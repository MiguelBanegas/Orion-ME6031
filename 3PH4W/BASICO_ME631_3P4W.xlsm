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ing\Downloads\"/>
    </mc:Choice>
  </mc:AlternateContent>
  <xr:revisionPtr revIDLastSave="0" documentId="13_ncr:1_{B000D0EA-0731-4CCE-91AA-C7FA3D0C3454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atos" sheetId="1" r:id="rId1"/>
    <sheet name="GRAFICOS" sheetId="4" r:id="rId2"/>
    <sheet name="BANCO DE CAPACITORES" sheetId="7" r:id="rId3"/>
    <sheet name="HISTOGRAMAS" sheetId="6" r:id="rId4"/>
    <sheet name="MAX_MIN" sheetId="5" r:id="rId5"/>
  </sheets>
  <definedNames>
    <definedName name="_xlnm._FilterDatabase" localSheetId="0" hidden="1">datos!$A$3:$CW$3</definedName>
    <definedName name="_xlnm._FilterDatabase" localSheetId="1" hidden="1">GRAFICOS!$A$11:$O$11</definedName>
    <definedName name="DATE">OFFSET(datos!#REF!,0,0,COUNTA(datos!#REF!)-3,1)</definedName>
    <definedName name="DEMANDA">INDIRECT("datos!"&amp;"CP"&amp;GRAFICOS!$N$13):INDIRECT("datos!"&amp;"CP"&amp;GRAFICOS!$N$14)</definedName>
    <definedName name="DMIA">INDIRECT("datos!"&amp;"CD"&amp;GRAFICOS!$N$13):INDIRECT("datos!"&amp;"CD"&amp;GRAFICOS!$N$14)</definedName>
    <definedName name="DMIAVG">INDIRECT("datos!"&amp;"CG"&amp;GRAFICOS!$N$13):INDIRECT("datos!"&amp;"CG"&amp;GRAFICOS!$N$14)</definedName>
    <definedName name="DMIB">INDIRECT("datos!"&amp;"CE"&amp;GRAFICOS!$N$13):INDIRECT("datos!"&amp;"CE"&amp;GRAFICOS!$N$14)</definedName>
    <definedName name="DMIC">INDIRECT("datos!"&amp;"CF"&amp;GRAFICOS!$N$13):INDIRECT("datos!"&amp;"CF"&amp;GRAFICOS!$N$14)</definedName>
    <definedName name="DMP">INDIRECT("datos!"&amp;"CP"&amp;GRAFICOS!$N$13):INDIRECT("datos!"&amp;"CP"&amp;GRAFICOS!$N$14)</definedName>
    <definedName name="DMQ">INDIRECT("datos!"&amp;"CS"&amp;GRAFICOS!$N$13):INDIRECT("datos!"&amp;"CS"&amp;GRAFICOS!$N$14)</definedName>
    <definedName name="DMS">INDIRECT("datos!"&amp;"CV"&amp;GRAFICOS!$N$13):INDIRECT("datos!"&amp;"CV"&amp;GRAFICOS!$N$14)</definedName>
    <definedName name="EPA">INDIRECT("datos!"&amp;"BR"&amp;GRAFICOS!$N$13):INDIRECT("datos!"&amp;"BR"&amp;GRAFICOS!$N$14)</definedName>
    <definedName name="EPB">INDIRECT("datos!"&amp;"BS"&amp;GRAFICOS!$N$13):INDIRECT("datos!"&amp;"BS"&amp;GRAFICOS!$N$14)</definedName>
    <definedName name="EPC">INDIRECT("datos!"&amp;"BT"&amp;GRAFICOS!$N$13):INDIRECT("datos!"&amp;"BT"&amp;GRAFICOS!$N$14)</definedName>
    <definedName name="EPSUM">INDIRECT("datos!"&amp;"BU"&amp;GRAFICOS!$N$13):INDIRECT("datos!"&amp;"BU"&amp;GRAFICOS!$N$14)</definedName>
    <definedName name="EQA">INDIRECT("datos!"&amp;"BV"&amp;GRAFICOS!$N$13):INDIRECT("datos!"&amp;"BV"&amp;GRAFICOS!$N$14)</definedName>
    <definedName name="EQB">INDIRECT("datos!"&amp;"BW"&amp;GRAFICOS!$N$13):INDIRECT("datos!"&amp;"BW"&amp;GRAFICOS!$N$14)</definedName>
    <definedName name="EQC">INDIRECT("datos!"&amp;"BX"&amp;GRAFICOS!$N$13):INDIRECT("datos!"&amp;"BX"&amp;GRAFICOS!$N$14)</definedName>
    <definedName name="EQSUM">INDIRECT("datos!"&amp;"BY"&amp;GRAFICOS!$N$13):INDIRECT("datos!"&amp;"BY"&amp;GRAFICOS!$N$14)</definedName>
    <definedName name="ESA">INDIRECT("datos!"&amp;"BZ"&amp;GRAFICOS!$N$13):INDIRECT("datos!"&amp;"BZ"&amp;GRAFICOS!$N$14)</definedName>
    <definedName name="ESB">INDIRECT("datos!"&amp;"CA"&amp;GRAFICOS!$N$13):INDIRECT("datos!"&amp;"CA"&amp;GRAFICOS!$N$14)</definedName>
    <definedName name="ESC">INDIRECT("datos!"&amp;"CB"&amp;GRAFICOS!$N$13):INDIRECT("datos!"&amp;"CB"&amp;GRAFICOS!$N$14)</definedName>
    <definedName name="ESSUM">INDIRECT("datos!"&amp;"CC"&amp;GRAFICOS!$N$13):INDIRECT("datos!"&amp;"CC"&amp;GRAFICOS!$N$14)</definedName>
    <definedName name="F_A">INDIRECT("datos!"&amp;"AX"&amp;GRAFICOS!$N$13):INDIRECT("datos!"&amp;"AX"&amp;GRAFICOS!$N$14)</definedName>
    <definedName name="F_AVG">INDIRECT("datos!"&amp;"BA"&amp;GRAFICOS!$N$13):INDIRECT("datos!"&amp;"BA"&amp;GRAFICOS!$N$14)</definedName>
    <definedName name="F_B">INDIRECT("datos!"&amp;"AY"&amp;GRAFICOS!$N$13):INDIRECT("datos!"&amp;"AY"&amp;GRAFICOS!$N$14)</definedName>
    <definedName name="F_C">INDIRECT("datos!"&amp;"AZ"&amp;GRAFICOS!$N$13):INDIRECT("datos!"&amp;"AZ"&amp;GRAFICOS!$N$14)</definedName>
    <definedName name="fichero" localSheetId="0">datos!#REF!</definedName>
    <definedName name="fichero_1" localSheetId="0">datos!#REF!</definedName>
    <definedName name="fichero_2" localSheetId="0">datos!$A$1:$A$2649</definedName>
    <definedName name="IA">INDIRECT("datos!"&amp;"K"&amp;GRAFICOS!$N$13):INDIRECT("datos!"&amp;"K"&amp;GRAFICOS!$N$14)</definedName>
    <definedName name="IAVG">INDIRECT("datos!"&amp;"N"&amp;GRAFICOS!$N$13):INDIRECT("datos!"&amp;"N"&amp;GRAFICOS!$N$14)</definedName>
    <definedName name="IB">INDIRECT("datos!"&amp;"L"&amp;GRAFICOS!$N$13):INDIRECT("datos!"&amp;"L"&amp;GRAFICOS!$N$14)</definedName>
    <definedName name="IC">INDIRECT("datos!"&amp;"M"&amp;GRAFICOS!$N$13):INDIRECT("datos!"&amp;"M"&amp;GRAFICOS!$N$14)</definedName>
    <definedName name="IN">INDIRECT("datos!"&amp;"O"&amp;GRAFICOS!$N$13):INDIRECT("datos!"&amp;"O"&amp;GRAFICOS!$N$14)</definedName>
    <definedName name="ITHA">INDIRECT("datos!"&amp;"P"&amp;GRAFICOS!$N$13):INDIRECT("datos!"&amp;"P"&amp;GRAFICOS!$N$14)</definedName>
    <definedName name="ITHAVG">INDIRECT("datos!"&amp;"S"&amp;GRAFICOS!$N$13):INDIRECT("datos!"&amp;"S"&amp;GRAFICOS!$N$14)</definedName>
    <definedName name="ITHB">INDIRECT("datos!"&amp;"Q"&amp;GRAFICOS!$N$13):INDIRECT("datos!"&amp;"Q"&amp;GRAFICOS!$N$14)</definedName>
    <definedName name="ITHC">INDIRECT("datos!"&amp;"R"&amp;GRAFICOS!$N$13):INDIRECT("datos!"&amp;"R"&amp;GRAFICOS!$N$14)</definedName>
    <definedName name="ITHVA">INDIRECT("datos!"&amp;"AC"&amp;GRAFICOS!$N$13):INDIRECT("datos!"&amp;"AC"&amp;GRAFICOS!$N$14)</definedName>
    <definedName name="ITHVAA">INDIRECT("datos!"&amp;"AR"&amp;GRAFICOS!$N$13):INDIRECT("datos!"&amp;"AR"&amp;GRAFICOS!$N$14)</definedName>
    <definedName name="ITHVB">INDIRECT("datos!"&amp;"AD"&amp;GRAFICOS!$N$13):INDIRECT("datos!"&amp;"AD"&amp;GRAFICOS!$N$14)</definedName>
    <definedName name="ITHVBA">INDIRECT("datos!"&amp;"AS"&amp;GRAFICOS!$N$13):INDIRECT("datos!"&amp;"AS"&amp;GRAFICOS!$N$14)</definedName>
    <definedName name="ITHVC">INDIRECT("datos!"&amp;"AE"&amp;GRAFICOS!$N$13):INDIRECT("datos!"&amp;"AE"&amp;GRAFICOS!$N$14)</definedName>
    <definedName name="ITHVCA">INDIRECT("datos!"&amp;"AT"&amp;GRAFICOS!$N$13):INDIRECT("datos!"&amp;"AT"&amp;GRAFICOS!$N$14)</definedName>
    <definedName name="ITHWA">INDIRECT("datos!"&amp;"AF"&amp;GRAFICOS!$N$13):INDIRECT("datos!"&amp;"AF"&amp;GRAFICOS!$N$14)</definedName>
    <definedName name="ITHWAA">INDIRECT("datos!"&amp;"AU"&amp;GRAFICOS!$N$13):INDIRECT("datos!"&amp;"AU"&amp;GRAFICOS!$N$14)</definedName>
    <definedName name="ITHWB">INDIRECT("datos!"&amp;"AG"&amp;GRAFICOS!$N$13):INDIRECT("datos!"&amp;"AG"&amp;GRAFICOS!$N$14)</definedName>
    <definedName name="ITHWBA">INDIRECT("datos!"&amp;"AV"&amp;GRAFICOS!$N$13):INDIRECT("datos!"&amp;"AV"&amp;GRAFICOS!$N$14)</definedName>
    <definedName name="ITHWC">INDIRECT("datos!"&amp;"AH"&amp;GRAFICOS!$N$13):INDIRECT("datos!"&amp;"AH"&amp;GRAFICOS!$N$14)</definedName>
    <definedName name="ITHWCA">INDIRECT("datos!"&amp;"AW"&amp;GRAFICOS!$N$13):INDIRECT("datos!"&amp;"AW"&amp;GRAFICOS!$N$14)</definedName>
    <definedName name="ITHXA">INDIRECT("datos!"&amp;"T"&amp;GRAFICOS!$N$13):INDIRECT("datos!"&amp;"T"&amp;GRAFICOS!$N$14)</definedName>
    <definedName name="ITHXAA">INDIRECT("datos!"&amp;"AI"&amp;GRAFICOS!$N$13):INDIRECT("datos!"&amp;"AI"&amp;GRAFICOS!$N$14)</definedName>
    <definedName name="ITHXB">INDIRECT("datos!"&amp;"U"&amp;GRAFICOS!$N$13):INDIRECT("datos!"&amp;"U"&amp;GRAFICOS!$N$14)</definedName>
    <definedName name="ITHXBA">INDIRECT("datos!"&amp;"AJ"&amp;GRAFICOS!$N$13):INDIRECT("datos!"&amp;"AJ"&amp;GRAFICOS!$N$14)</definedName>
    <definedName name="ITHXC">INDIRECT("datos!"&amp;"V"&amp;GRAFICOS!$N$13):INDIRECT("datos!"&amp;"V"&amp;GRAFICOS!$N$14)</definedName>
    <definedName name="ITHXCA">INDIRECT("datos!"&amp;"AK"&amp;GRAFICOS!$N$13):INDIRECT("datos!"&amp;"AK"&amp;GRAFICOS!$N$14)</definedName>
    <definedName name="ITHYA">INDIRECT("datos!"&amp;"W"&amp;GRAFICOS!$N$13):INDIRECT("datos!"&amp;"W"&amp;GRAFICOS!$N$14)</definedName>
    <definedName name="ITHYAA">INDIRECT("datos!"&amp;"AL"&amp;GRAFICOS!$N$13):INDIRECT("datos!"&amp;"AL"&amp;GRAFICOS!$N$14)</definedName>
    <definedName name="ITHYB">INDIRECT("datos!"&amp;"X"&amp;GRAFICOS!$N$13):INDIRECT("datos!"&amp;"X"&amp;GRAFICOS!$N$14)</definedName>
    <definedName name="ITHYBA">INDIRECT("datos!"&amp;"AM"&amp;GRAFICOS!$N$13):INDIRECT("datos!"&amp;"AM"&amp;GRAFICOS!$N$14)</definedName>
    <definedName name="ITHYC">INDIRECT("datos!"&amp;"Y"&amp;GRAFICOS!$N$13):INDIRECT("datos!"&amp;"Y"&amp;GRAFICOS!$N$14)</definedName>
    <definedName name="ITHYCA">INDIRECT("datos!"&amp;"AN"&amp;GRAFICOS!$N$13):INDIRECT("datos!"&amp;"AN"&amp;GRAFICOS!$N$14)</definedName>
    <definedName name="ITHZA">INDIRECT("datos!"&amp;"Z"&amp;GRAFICOS!$N$13):INDIRECT("datos!"&amp;"Z"&amp;GRAFICOS!$N$14)</definedName>
    <definedName name="ITHZAA">INDIRECT("datos!"&amp;"AO"&amp;GRAFICOS!$N$13):INDIRECT("datos!"&amp;"AO"&amp;GRAFICOS!$N$14)</definedName>
    <definedName name="ITHZB">INDIRECT("datos!"&amp;"AA"&amp;GRAFICOS!$N$13):INDIRECT("datos!"&amp;"AA"&amp;GRAFICOS!$N$14)</definedName>
    <definedName name="ITHZBA">INDIRECT("datos!"&amp;"AP"&amp;GRAFICOS!$N$13):INDIRECT("datos!"&amp;"AP"&amp;GRAFICOS!$N$14)</definedName>
    <definedName name="ITHZC">INDIRECT("datos!"&amp;"AB"&amp;GRAFICOS!$N$13):INDIRECT("datos!"&amp;"AB"&amp;GRAFICOS!$N$14)</definedName>
    <definedName name="ITHZCA">INDIRECT("datos!"&amp;"AQ"&amp;GRAFICOS!$N$13):INDIRECT("datos!"&amp;"AQ"&amp;GRAFICOS!$N$14)</definedName>
    <definedName name="P_A">INDIRECT("datos!"&amp;"BF"&amp;GRAFICOS!$N$13):INDIRECT("datos!"&amp;"BF"&amp;GRAFICOS!$N$14)</definedName>
    <definedName name="P_B">INDIRECT("datos!"&amp;"BG"&amp;GRAFICOS!$N$13):INDIRECT("datos!"&amp;"BG"&amp;GRAFICOS!$N$14)</definedName>
    <definedName name="P_C">INDIRECT("datos!"&amp;"BH"&amp;GRAFICOS!$N$13):INDIRECT("datos!"&amp;"BH"&amp;GRAFICOS!$N$14)</definedName>
    <definedName name="P_SUM">INDIRECT("datos!"&amp;"BI"&amp;GRAFICOS!$N$13):INDIRECT("datos!"&amp;"BI"&amp;GRAFICOS!$N$14)</definedName>
    <definedName name="PDMIA">INDIRECT("datos!"&amp;"CH"&amp;GRAFICOS!$N$13):INDIRECT("datos!"&amp;"CH"&amp;GRAFICOS!$N$14)</definedName>
    <definedName name="PDMIA_DT">INDIRECT("datos!"&amp;"CI"&amp;GRAFICOS!$N$13):INDIRECT("datos!"&amp;"CI"&amp;GRAFICOS!$N$14)</definedName>
    <definedName name="PDMIAVG">INDIRECT("datos!"&amp;"CN"&amp;GRAFICOS!$N$13):INDIRECT("datos!"&amp;"CN"&amp;GRAFICOS!$N$14)</definedName>
    <definedName name="PDMIAVG_DT">INDIRECT("datos!"&amp;"CO"&amp;GRAFICOS!$N$13):INDIRECT("datos!"&amp;"CO"&amp;GRAFICOS!$N$14)</definedName>
    <definedName name="PDMIB">INDIRECT("datos!"&amp;"CJ"&amp;GRAFICOS!$N$13):INDIRECT("datos!"&amp;"CJ"&amp;GRAFICOS!$N$14)</definedName>
    <definedName name="PDMIB_DT">INDIRECT("datos!"&amp;"CK"&amp;GRAFICOS!$N$13):INDIRECT("datos!"&amp;"CK"&amp;GRAFICOS!$N$14)</definedName>
    <definedName name="PDMIC">INDIRECT("datos!"&amp;"CL"&amp;GRAFICOS!$N$13):INDIRECT("datos!"&amp;"CL"&amp;GRAFICOS!$N$14)</definedName>
    <definedName name="PDMIC_DT">INDIRECT("datos!"&amp;"CM"&amp;GRAFICOS!$N$13):INDIRECT("datos!"&amp;"CM"&amp;GRAFICOS!$N$14)</definedName>
    <definedName name="PDMP">INDIRECT("datos!"&amp;"CQ"&amp;GRAFICOS!$N$13):INDIRECT("datos!"&amp;"CQ"&amp;GRAFICOS!$N$14)</definedName>
    <definedName name="PDMP_DT">INDIRECT("datos!"&amp;"CR"&amp;GRAFICOS!$N$13):INDIRECT("datos!"&amp;"CR"&amp;GRAFICOS!$N$14)</definedName>
    <definedName name="PDMQ">INDIRECT("datos!"&amp;"CT"&amp;GRAFICOS!$N$13):INDIRECT("datos!"&amp;"CT"&amp;GRAFICOS!$N$14)</definedName>
    <definedName name="PDMQ_DT">INDIRECT("datos!"&amp;"CU"&amp;GRAFICOS!$N$13):INDIRECT("datos!"&amp;"CU"&amp;GRAFICOS!$N$14)</definedName>
    <definedName name="PDMS">INDIRECT("datos!"&amp;"CW"&amp;GRAFICOS!$N$13):INDIRECT("datos!"&amp;"CW"&amp;GRAFICOS!$N$14)</definedName>
    <definedName name="PDMS_DT">INDIRECT("datos!"&amp;"CX"&amp;GRAFICOS!$N$13):INDIRECT("datos!"&amp;"CX"&amp;GRAFICOS!$N$14)</definedName>
    <definedName name="PFA">INDIRECT("datos!"&amp;"BB"&amp;GRAFICOS!$N$13):INDIRECT("datos!"&amp;"BB"&amp;GRAFICOS!$N$14)</definedName>
    <definedName name="PFAVG">INDIRECT("datos!"&amp;"BE"&amp;GRAFICOS!$N$13):INDIRECT("datos!"&amp;"BE"&amp;GRAFICOS!$N$14)</definedName>
    <definedName name="PFB">INDIRECT("datos!"&amp;"BC"&amp;GRAFICOS!$N$13):INDIRECT("datos!"&amp;"BC"&amp;GRAFICOS!$N$14)</definedName>
    <definedName name="PFC">INDIRECT("datos!"&amp;"BD"&amp;GRAFICOS!$N$13):INDIRECT("datos!"&amp;"BD"&amp;GRAFICOS!$N$14)</definedName>
    <definedName name="PMIB">INDIRECT("datos!"&amp;"CJ"&amp;GRAFICOS!$N$13):INDIRECT("datos!"&amp;"CJ"&amp;GRAFICOS!$N$14)</definedName>
    <definedName name="Q_A">INDIRECT("datos!"&amp;"BJ"&amp;GRAFICOS!$N$13):INDIRECT("datos!"&amp;"BJ"&amp;GRAFICOS!$N$14)</definedName>
    <definedName name="Q_B">INDIRECT("datos!"&amp;"BK"&amp;GRAFICOS!$N$13):INDIRECT("datos!"&amp;"BK"&amp;GRAFICOS!$N$14)</definedName>
    <definedName name="Q_C">INDIRECT("datos!"&amp;"BL"&amp;GRAFICOS!$N$13):INDIRECT("datos!"&amp;"BL"&amp;GRAFICOS!$N$14)</definedName>
    <definedName name="Q_SUM">INDIRECT("datos!"&amp;"BM"&amp;GRAFICOS!$N$13):INDIRECT("datos!"&amp;"BM"&amp;GRAFICOS!$N$14)</definedName>
    <definedName name="RANGO_TIEMPO">INDIRECT("datos!"&amp;"B"&amp;GRAFICOS!$N$13):INDIRECT("datos!"&amp;"B"&amp;GRAFICOS!$N$14)</definedName>
    <definedName name="S_A">INDIRECT("datos!"&amp;"BN"&amp;GRAFICOS!$N$13):INDIRECT("datos!"&amp;"BN"&amp;GRAFICOS!$N$14)</definedName>
    <definedName name="S_B">INDIRECT("datos!"&amp;"BO"&amp;GRAFICOS!$N$13):INDIRECT("datos!"&amp;"BO"&amp;GRAFICOS!$N$14)</definedName>
    <definedName name="S_C">INDIRECT("datos!"&amp;"BP"&amp;GRAFICOS!$N$13):INDIRECT("datos!"&amp;"BP"&amp;GRAFICOS!$N$14)</definedName>
    <definedName name="S_SUM">INDIRECT("datos!"&amp;"BQ"&amp;GRAFICOS!$N$13):INDIRECT("datos!"&amp;"BQ"&amp;GRAFICOS!$N$14)</definedName>
    <definedName name="TIME">OFFSET(datos!$A$4,0,0,COUNTA(datos!#REF!)-3,1)</definedName>
    <definedName name="UA">INDIRECT("datos!"&amp;"C"&amp;GRAFICOS!$N$13):INDIRECT("datos!"&amp;"C"&amp;GRAFICOS!$N$14)</definedName>
    <definedName name="UAVG">INDIRECT("datos!"&amp;"F"&amp;GRAFICOS!$N$13):INDIRECT("datos!"&amp;"F"&amp;GRAFICOS!$N$14)</definedName>
    <definedName name="UB">INDIRECT("datos!"&amp;"D"&amp;GRAFICOS!$N$13):INDIRECT("datos!"&amp;"D"&amp;GRAFICOS!$N$14)</definedName>
    <definedName name="UC">INDIRECT("datos!"&amp;"E"&amp;GRAFICOS!$N$13):INDIRECT("datos!"&amp;"E"&amp;GRAFICOS!$N$14)</definedName>
    <definedName name="UTHA">INDIRECT("datos!"&amp;"G"&amp;GRAFICOS!$N$13):INDIRECT("datos!"&amp;"G"&amp;GRAFICOS!$N$14)</definedName>
    <definedName name="UTHAVG">INDIRECT("datos!"&amp;"J"&amp;GRAFICOS!$N$13):INDIRECT("datos!"&amp;"J"&amp;GRAFICOS!$N$14)</definedName>
    <definedName name="UTHB">INDIRECT("datos!"&amp;"H"&amp;GRAFICOS!$N$13):INDIRECT("datos!"&amp;"H"&amp;GRAFICOS!$N$14)</definedName>
    <definedName name="UTHC">INDIRECT("datos!"&amp;"I"&amp;GRAFICOS!$N$13):INDIRECT("datos!"&amp;"I"&amp;GRAFICOS!$N$14)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6" i="6" l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P10" i="4" l="1"/>
  <c r="N10" i="4" s="1"/>
  <c r="C59" i="5" l="1"/>
  <c r="C56" i="5"/>
  <c r="C53" i="5"/>
  <c r="C50" i="5"/>
  <c r="C47" i="5"/>
  <c r="C44" i="5"/>
  <c r="C41" i="5"/>
  <c r="C38" i="5"/>
  <c r="C35" i="5"/>
  <c r="C32" i="5"/>
  <c r="Q11" i="4" l="1"/>
  <c r="M11" i="4" s="1"/>
  <c r="Q10" i="4"/>
  <c r="M10" i="4" s="1"/>
  <c r="N13" i="4" s="1" a="1"/>
  <c r="N13" i="4" s="1"/>
  <c r="P11" i="4"/>
  <c r="N11" i="4" s="1"/>
  <c r="P13" i="4"/>
  <c r="U33" i="5"/>
  <c r="U32" i="5"/>
  <c r="U31" i="5"/>
  <c r="U30" i="5"/>
  <c r="U29" i="5"/>
  <c r="N14" i="4" l="1" a="1"/>
  <c r="N14" i="4" s="1"/>
  <c r="M13" i="4"/>
  <c r="M14" i="4"/>
  <c r="H13" i="5"/>
  <c r="F13" i="5"/>
  <c r="H14" i="5"/>
  <c r="E13" i="5"/>
  <c r="F14" i="5"/>
  <c r="E14" i="5"/>
  <c r="D28" i="6"/>
  <c r="D36" i="6"/>
  <c r="B9" i="7"/>
  <c r="D24" i="6"/>
  <c r="B32" i="6"/>
  <c r="N37" i="7"/>
  <c r="D35" i="6"/>
  <c r="O34" i="7"/>
  <c r="C39" i="6"/>
  <c r="D20" i="6"/>
  <c r="D37" i="6"/>
  <c r="B22" i="6"/>
  <c r="C22" i="6"/>
  <c r="D23" i="6"/>
  <c r="C30" i="6"/>
  <c r="B38" i="6"/>
  <c r="D16" i="6"/>
  <c r="B15" i="6"/>
  <c r="C35" i="6"/>
  <c r="C18" i="6"/>
  <c r="D22" i="6"/>
  <c r="C32" i="6"/>
  <c r="D39" i="6"/>
  <c r="B23" i="6"/>
  <c r="D15" i="6"/>
  <c r="D29" i="6"/>
  <c r="N35" i="7"/>
  <c r="B36" i="6"/>
  <c r="C24" i="6"/>
  <c r="C17" i="6"/>
  <c r="C31" i="6"/>
  <c r="D25" i="6"/>
  <c r="B17" i="6"/>
  <c r="B30" i="6"/>
  <c r="D31" i="6"/>
  <c r="B35" i="6"/>
  <c r="B16" i="6"/>
  <c r="C15" i="6"/>
  <c r="B28" i="6"/>
  <c r="O37" i="7"/>
  <c r="B31" i="6"/>
  <c r="B33" i="6"/>
  <c r="C16" i="6"/>
  <c r="C28" i="6"/>
  <c r="D19" i="6"/>
  <c r="C23" i="6"/>
  <c r="B10" i="7"/>
  <c r="D40" i="6"/>
  <c r="C21" i="6"/>
  <c r="C20" i="6"/>
  <c r="D27" i="6"/>
  <c r="B19" i="6"/>
  <c r="D34" i="6"/>
  <c r="Q35" i="7"/>
  <c r="C26" i="6"/>
  <c r="B37" i="6"/>
  <c r="B29" i="6"/>
  <c r="B39" i="6"/>
  <c r="C19" i="6"/>
  <c r="D33" i="6"/>
  <c r="C29" i="6"/>
  <c r="B34" i="6"/>
  <c r="D38" i="6"/>
  <c r="D17" i="6"/>
  <c r="Q36" i="7"/>
  <c r="C37" i="6"/>
  <c r="Q37" i="7"/>
  <c r="C36" i="6"/>
  <c r="O35" i="7"/>
  <c r="Q34" i="7"/>
  <c r="C34" i="6"/>
  <c r="B21" i="6"/>
  <c r="D32" i="6"/>
  <c r="C33" i="6"/>
  <c r="B18" i="6"/>
  <c r="B24" i="6"/>
  <c r="B25" i="6"/>
  <c r="B27" i="6"/>
  <c r="D21" i="6"/>
  <c r="O36" i="7"/>
  <c r="N36" i="7"/>
  <c r="D26" i="6"/>
  <c r="C38" i="6"/>
  <c r="C25" i="6"/>
  <c r="D18" i="6"/>
  <c r="B20" i="6"/>
  <c r="D30" i="6"/>
  <c r="C40" i="6"/>
  <c r="B40" i="6"/>
  <c r="C27" i="6"/>
  <c r="N34" i="7"/>
  <c r="B26" i="6"/>
  <c r="P14" i="4" l="1"/>
  <c r="P35" i="7"/>
  <c r="A16" i="7"/>
  <c r="P34" i="7"/>
  <c r="P37" i="7"/>
  <c r="P36" i="7"/>
  <c r="B11" i="7"/>
  <c r="G13" i="5"/>
  <c r="G14" i="5"/>
  <c r="E99" i="5"/>
  <c r="F73" i="5"/>
  <c r="H86" i="5"/>
  <c r="F43" i="5"/>
  <c r="E47" i="5"/>
  <c r="F40" i="5"/>
  <c r="E111" i="5"/>
  <c r="E48" i="5"/>
  <c r="F42" i="5"/>
  <c r="H64" i="5"/>
  <c r="H56" i="5"/>
  <c r="H88" i="5"/>
  <c r="E56" i="5"/>
  <c r="E35" i="5"/>
  <c r="H45" i="5"/>
  <c r="H55" i="5"/>
  <c r="F74" i="5"/>
  <c r="H30" i="5"/>
  <c r="F103" i="5"/>
  <c r="H99" i="5"/>
  <c r="H71" i="5"/>
  <c r="F41" i="5"/>
  <c r="E38" i="5"/>
  <c r="E42" i="5"/>
  <c r="E57" i="5"/>
  <c r="E33" i="5"/>
  <c r="E61" i="5"/>
  <c r="E95" i="5"/>
  <c r="F75" i="5"/>
  <c r="E108" i="5"/>
  <c r="F49" i="5"/>
  <c r="F45" i="5"/>
  <c r="F86" i="5"/>
  <c r="F29" i="5"/>
  <c r="F106" i="5"/>
  <c r="H26" i="5"/>
  <c r="H29" i="5"/>
  <c r="E89" i="5"/>
  <c r="F84" i="5"/>
  <c r="F70" i="5"/>
  <c r="E81" i="5"/>
  <c r="E104" i="5"/>
  <c r="H46" i="5"/>
  <c r="E102" i="5"/>
  <c r="H43" i="5"/>
  <c r="H102" i="5"/>
  <c r="F110" i="5"/>
  <c r="H28" i="5"/>
  <c r="H93" i="5"/>
  <c r="E83" i="5"/>
  <c r="F65" i="5"/>
  <c r="H80" i="5"/>
  <c r="H47" i="5"/>
  <c r="H41" i="5"/>
  <c r="H18" i="5"/>
  <c r="H25" i="5"/>
  <c r="E92" i="5"/>
  <c r="F79" i="5"/>
  <c r="F95" i="5"/>
  <c r="F28" i="5"/>
  <c r="F100" i="5"/>
  <c r="E101" i="5"/>
  <c r="F36" i="5"/>
  <c r="H79" i="5"/>
  <c r="E50" i="5"/>
  <c r="H113" i="5"/>
  <c r="F99" i="5"/>
  <c r="E15" i="5"/>
  <c r="H37" i="5"/>
  <c r="F76" i="5"/>
  <c r="F33" i="5"/>
  <c r="H50" i="5"/>
  <c r="F50" i="5"/>
  <c r="F46" i="5"/>
  <c r="E22" i="5"/>
  <c r="H70" i="5"/>
  <c r="E18" i="5"/>
  <c r="H44" i="5"/>
  <c r="E86" i="5"/>
  <c r="E90" i="5"/>
  <c r="H23" i="5"/>
  <c r="E70" i="5"/>
  <c r="H54" i="5"/>
  <c r="F101" i="5"/>
  <c r="F67" i="5"/>
  <c r="F55" i="5"/>
  <c r="F60" i="5"/>
  <c r="E16" i="5"/>
  <c r="E66" i="5"/>
  <c r="E60" i="5"/>
  <c r="E98" i="5"/>
  <c r="F89" i="5"/>
  <c r="E88" i="5"/>
  <c r="E77" i="5"/>
  <c r="E71" i="5"/>
  <c r="E65" i="5"/>
  <c r="E31" i="5"/>
  <c r="E23" i="5"/>
  <c r="F88" i="5"/>
  <c r="H31" i="5"/>
  <c r="H40" i="5"/>
  <c r="H24" i="5"/>
  <c r="E34" i="5"/>
  <c r="E27" i="5"/>
  <c r="F97" i="5"/>
  <c r="F71" i="5"/>
  <c r="F85" i="5"/>
  <c r="E94" i="5"/>
  <c r="F57" i="5"/>
  <c r="F58" i="5"/>
  <c r="H114" i="5"/>
  <c r="E19" i="5"/>
  <c r="H77" i="5"/>
  <c r="E106" i="5"/>
  <c r="F38" i="5"/>
  <c r="H94" i="5"/>
  <c r="F104" i="5"/>
  <c r="H112" i="5"/>
  <c r="F47" i="5"/>
  <c r="F48" i="5"/>
  <c r="F69" i="5"/>
  <c r="E84" i="5"/>
  <c r="E100" i="5"/>
  <c r="H42" i="5"/>
  <c r="F59" i="5"/>
  <c r="H78" i="5"/>
  <c r="H83" i="5"/>
  <c r="F52" i="5"/>
  <c r="H59" i="5"/>
  <c r="E39" i="5"/>
  <c r="E73" i="5"/>
  <c r="F56" i="5"/>
  <c r="E17" i="5"/>
  <c r="F21" i="5"/>
  <c r="E85" i="5"/>
  <c r="F34" i="5"/>
  <c r="E93" i="5"/>
  <c r="H68" i="5"/>
  <c r="F26" i="5"/>
  <c r="E114" i="5"/>
  <c r="F109" i="5"/>
  <c r="H16" i="5"/>
  <c r="E41" i="5"/>
  <c r="E74" i="5"/>
  <c r="H15" i="5"/>
  <c r="F80" i="5"/>
  <c r="F66" i="5"/>
  <c r="F83" i="5"/>
  <c r="E21" i="5"/>
  <c r="H87" i="5"/>
  <c r="E53" i="5"/>
  <c r="E80" i="5"/>
  <c r="F82" i="5"/>
  <c r="F39" i="5"/>
  <c r="F87" i="5"/>
  <c r="F44" i="5"/>
  <c r="B16" i="7" a="1"/>
  <c r="H75" i="5"/>
  <c r="E25" i="5"/>
  <c r="H62" i="5"/>
  <c r="F16" i="5"/>
  <c r="E96" i="5"/>
  <c r="E55" i="5"/>
  <c r="H92" i="5"/>
  <c r="H17" i="5"/>
  <c r="E91" i="5"/>
  <c r="H74" i="5"/>
  <c r="E78" i="5"/>
  <c r="E105" i="5"/>
  <c r="H100" i="5"/>
  <c r="H82" i="5"/>
  <c r="F64" i="5"/>
  <c r="H27" i="5"/>
  <c r="F96" i="5"/>
  <c r="H81" i="5"/>
  <c r="E37" i="5"/>
  <c r="H89" i="5"/>
  <c r="F37" i="5"/>
  <c r="F31" i="5"/>
  <c r="H66" i="5"/>
  <c r="E75" i="5"/>
  <c r="H52" i="5"/>
  <c r="E36" i="5"/>
  <c r="F68" i="5"/>
  <c r="F24" i="5"/>
  <c r="H51" i="5"/>
  <c r="H103" i="5"/>
  <c r="F78" i="5"/>
  <c r="F53" i="5"/>
  <c r="H57" i="5"/>
  <c r="F35" i="5"/>
  <c r="H106" i="5"/>
  <c r="E82" i="5"/>
  <c r="H111" i="5"/>
  <c r="H84" i="5"/>
  <c r="F51" i="5"/>
  <c r="F20" i="5"/>
  <c r="H97" i="5"/>
  <c r="F114" i="5"/>
  <c r="F98" i="5"/>
  <c r="E67" i="5"/>
  <c r="H22" i="5"/>
  <c r="E46" i="5"/>
  <c r="F19" i="5"/>
  <c r="E58" i="5"/>
  <c r="F18" i="5"/>
  <c r="E64" i="5"/>
  <c r="F113" i="5"/>
  <c r="E28" i="5"/>
  <c r="F25" i="5"/>
  <c r="H105" i="5"/>
  <c r="H49" i="5"/>
  <c r="E110" i="5"/>
  <c r="H20" i="5"/>
  <c r="H39" i="5"/>
  <c r="E72" i="5"/>
  <c r="B15" i="7" a="1"/>
  <c r="F22" i="5"/>
  <c r="H35" i="5"/>
  <c r="H33" i="5"/>
  <c r="E52" i="5"/>
  <c r="E69" i="5"/>
  <c r="E113" i="5"/>
  <c r="F90" i="5"/>
  <c r="F61" i="5"/>
  <c r="E62" i="5"/>
  <c r="E20" i="5"/>
  <c r="F30" i="5"/>
  <c r="F63" i="5"/>
  <c r="H36" i="5"/>
  <c r="H85" i="5"/>
  <c r="E24" i="5"/>
  <c r="F105" i="5"/>
  <c r="H21" i="5"/>
  <c r="F23" i="5"/>
  <c r="H96" i="5"/>
  <c r="F77" i="5"/>
  <c r="F94" i="5"/>
  <c r="F17" i="5"/>
  <c r="H60" i="5"/>
  <c r="F62" i="5"/>
  <c r="E107" i="5"/>
  <c r="H69" i="5"/>
  <c r="H101" i="5"/>
  <c r="E97" i="5"/>
  <c r="E43" i="5"/>
  <c r="H109" i="5"/>
  <c r="F92" i="5"/>
  <c r="H67" i="5"/>
  <c r="E54" i="5"/>
  <c r="E40" i="5"/>
  <c r="H110" i="5"/>
  <c r="H76" i="5"/>
  <c r="H65" i="5"/>
  <c r="E112" i="5"/>
  <c r="F15" i="5"/>
  <c r="F81" i="5"/>
  <c r="F32" i="5"/>
  <c r="E29" i="5"/>
  <c r="E30" i="5"/>
  <c r="F108" i="5"/>
  <c r="F112" i="5"/>
  <c r="H32" i="5"/>
  <c r="H98" i="5"/>
  <c r="H108" i="5"/>
  <c r="F111" i="5"/>
  <c r="E63" i="5"/>
  <c r="H63" i="5"/>
  <c r="H72" i="5"/>
  <c r="H91" i="5"/>
  <c r="H53" i="5"/>
  <c r="H38" i="5"/>
  <c r="F27" i="5"/>
  <c r="E44" i="5"/>
  <c r="E109" i="5"/>
  <c r="H90" i="5"/>
  <c r="E45" i="5"/>
  <c r="F72" i="5"/>
  <c r="H61" i="5"/>
  <c r="E49" i="5"/>
  <c r="E51" i="5"/>
  <c r="F54" i="5"/>
  <c r="E79" i="5"/>
  <c r="E103" i="5"/>
  <c r="F107" i="5"/>
  <c r="H48" i="5"/>
  <c r="H58" i="5"/>
  <c r="H19" i="5"/>
  <c r="H73" i="5"/>
  <c r="E68" i="5"/>
  <c r="F91" i="5"/>
  <c r="E32" i="5"/>
  <c r="H95" i="5"/>
  <c r="E59" i="5"/>
  <c r="H34" i="5"/>
  <c r="E26" i="5"/>
  <c r="H107" i="5"/>
  <c r="E76" i="5"/>
  <c r="F93" i="5"/>
  <c r="H104" i="5"/>
  <c r="E87" i="5"/>
  <c r="F102" i="5"/>
  <c r="B16" i="7" l="1"/>
  <c r="D16" i="7" s="1"/>
  <c r="B15" i="7"/>
  <c r="A17" i="7"/>
  <c r="G37" i="5"/>
  <c r="G57" i="5"/>
  <c r="G44" i="5"/>
  <c r="G81" i="5"/>
  <c r="G101" i="5"/>
  <c r="G78" i="5"/>
  <c r="G19" i="5"/>
  <c r="G95" i="5"/>
  <c r="G16" i="5"/>
  <c r="G29" i="5"/>
  <c r="G91" i="5"/>
  <c r="G15" i="5"/>
  <c r="G56" i="5"/>
  <c r="G45" i="5"/>
  <c r="G47" i="5"/>
  <c r="G51" i="5"/>
  <c r="G46" i="5"/>
  <c r="G26" i="5"/>
  <c r="G109" i="5"/>
  <c r="G25" i="5"/>
  <c r="G76" i="5"/>
  <c r="G41" i="5"/>
  <c r="G80" i="5"/>
  <c r="G73" i="5"/>
  <c r="G52" i="5"/>
  <c r="G67" i="5"/>
  <c r="G75" i="5"/>
  <c r="G42" i="5"/>
  <c r="G106" i="5"/>
  <c r="G62" i="5"/>
  <c r="G113" i="5"/>
  <c r="G40" i="5"/>
  <c r="G107" i="5"/>
  <c r="G94" i="5"/>
  <c r="G33" i="5"/>
  <c r="G55" i="5"/>
  <c r="G69" i="5"/>
  <c r="G35" i="5"/>
  <c r="G49" i="5"/>
  <c r="G88" i="5"/>
  <c r="G23" i="5"/>
  <c r="G24" i="5"/>
  <c r="G89" i="5"/>
  <c r="G61" i="5"/>
  <c r="G77" i="5"/>
  <c r="G32" i="5"/>
  <c r="G110" i="5"/>
  <c r="G100" i="5"/>
  <c r="G34" i="5"/>
  <c r="G102" i="5"/>
  <c r="G93" i="5"/>
  <c r="G38" i="5"/>
  <c r="G74" i="5"/>
  <c r="G39" i="5"/>
  <c r="G112" i="5"/>
  <c r="G53" i="5"/>
  <c r="G114" i="5"/>
  <c r="G27" i="5"/>
  <c r="G85" i="5"/>
  <c r="G98" i="5"/>
  <c r="G84" i="5"/>
  <c r="G28" i="5"/>
  <c r="G64" i="5"/>
  <c r="G36" i="5"/>
  <c r="G20" i="5"/>
  <c r="G97" i="5"/>
  <c r="G105" i="5"/>
  <c r="G86" i="5"/>
  <c r="G22" i="5"/>
  <c r="G65" i="5"/>
  <c r="G70" i="5"/>
  <c r="G31" i="5"/>
  <c r="G59" i="5"/>
  <c r="G43" i="5"/>
  <c r="G21" i="5"/>
  <c r="G54" i="5"/>
  <c r="G18" i="5"/>
  <c r="G83" i="5"/>
  <c r="G58" i="5"/>
  <c r="G103" i="5"/>
  <c r="G96" i="5"/>
  <c r="G68" i="5"/>
  <c r="G111" i="5"/>
  <c r="G66" i="5"/>
  <c r="G99" i="5"/>
  <c r="G50" i="5"/>
  <c r="G87" i="5"/>
  <c r="G71" i="5"/>
  <c r="G92" i="5"/>
  <c r="G108" i="5"/>
  <c r="G82" i="5"/>
  <c r="G79" i="5"/>
  <c r="G104" i="5"/>
  <c r="G48" i="5"/>
  <c r="G63" i="5"/>
  <c r="G72" i="5"/>
  <c r="G17" i="5"/>
  <c r="G90" i="5"/>
  <c r="G30" i="5"/>
  <c r="G60" i="5"/>
  <c r="B17" i="7" a="1"/>
  <c r="B17" i="7" l="1"/>
  <c r="D17" i="7" s="1"/>
  <c r="A18" i="7"/>
  <c r="B18" i="7" a="1"/>
  <c r="C16" i="7"/>
  <c r="C17" i="7"/>
  <c r="C15" i="7"/>
  <c r="B18" i="7" l="1"/>
  <c r="D18" i="7" s="1"/>
  <c r="A19" i="7"/>
  <c r="B19" i="7" a="1"/>
  <c r="B19" i="7" l="1"/>
  <c r="D19" i="7" s="1"/>
  <c r="A20" i="7"/>
  <c r="C18" i="7"/>
  <c r="B20" i="7" a="1"/>
  <c r="C19" i="7"/>
  <c r="B20" i="7" l="1"/>
  <c r="D20" i="7" s="1"/>
  <c r="A21" i="7"/>
  <c r="B21" i="7" a="1"/>
  <c r="B21" i="7" l="1"/>
  <c r="D21" i="7" s="1"/>
  <c r="A22" i="7"/>
  <c r="B22" i="7" a="1"/>
  <c r="C20" i="7"/>
  <c r="C21" i="7"/>
  <c r="B22" i="7" l="1"/>
  <c r="D22" i="7" s="1"/>
  <c r="A23" i="7"/>
  <c r="B23" i="7" a="1"/>
  <c r="B23" i="7" l="1"/>
  <c r="D23" i="7" s="1"/>
  <c r="A24" i="7"/>
  <c r="B24" i="7" a="1"/>
  <c r="C22" i="7"/>
  <c r="B24" i="7" l="1"/>
  <c r="D24" i="7" s="1"/>
  <c r="A25" i="7"/>
  <c r="C23" i="7"/>
  <c r="B25" i="7" a="1"/>
  <c r="B25" i="7" l="1"/>
  <c r="D25" i="7" s="1"/>
  <c r="A26" i="7"/>
  <c r="B26" i="7" a="1"/>
  <c r="C24" i="7"/>
  <c r="B26" i="7" l="1"/>
  <c r="D26" i="7" s="1"/>
  <c r="A27" i="7"/>
  <c r="C25" i="7"/>
  <c r="B27" i="7" a="1"/>
  <c r="B27" i="7" l="1"/>
  <c r="D27" i="7" s="1"/>
  <c r="A28" i="7"/>
  <c r="B28" i="7" a="1"/>
  <c r="C26" i="7"/>
  <c r="B28" i="7" l="1"/>
  <c r="D28" i="7" s="1"/>
  <c r="A29" i="7"/>
  <c r="C27" i="7"/>
  <c r="B29" i="7" a="1"/>
  <c r="B29" i="7" l="1"/>
  <c r="D29" i="7" s="1"/>
  <c r="A30" i="7"/>
  <c r="C28" i="7"/>
  <c r="C29" i="7"/>
  <c r="B30" i="7" a="1"/>
  <c r="B30" i="7" l="1"/>
  <c r="D30" i="7" s="1"/>
  <c r="A31" i="7"/>
  <c r="B31" i="7" a="1"/>
  <c r="C30" i="7"/>
  <c r="B31" i="7" l="1"/>
  <c r="D31" i="7" s="1"/>
  <c r="A32" i="7"/>
  <c r="B32" i="7" a="1"/>
  <c r="C31" i="7"/>
  <c r="B32" i="7" l="1"/>
  <c r="D32" i="7" s="1"/>
  <c r="A33" i="7"/>
  <c r="B33" i="7" a="1"/>
  <c r="C32" i="7"/>
  <c r="B33" i="7" l="1"/>
  <c r="D33" i="7" s="1"/>
  <c r="A34" i="7"/>
  <c r="B34" i="7" a="1"/>
  <c r="C33" i="7"/>
  <c r="B34" i="7" l="1"/>
  <c r="D34" i="7" s="1"/>
  <c r="A35" i="7"/>
  <c r="B35" i="7" a="1"/>
  <c r="C34" i="7"/>
  <c r="B35" i="7" l="1"/>
  <c r="D35" i="7" s="1"/>
  <c r="A36" i="7"/>
  <c r="B36" i="7" a="1"/>
  <c r="B36" i="7" l="1"/>
  <c r="D36" i="7" s="1"/>
  <c r="A37" i="7"/>
  <c r="C35" i="7"/>
  <c r="C36" i="7"/>
  <c r="B37" i="7" a="1"/>
  <c r="B37" i="7" l="1"/>
  <c r="D37" i="7" s="1"/>
  <c r="A38" i="7"/>
  <c r="B38" i="7" a="1"/>
  <c r="C37" i="7"/>
  <c r="B38" i="7" l="1"/>
  <c r="D38" i="7" s="1"/>
  <c r="A39" i="7"/>
  <c r="B39" i="7" a="1"/>
  <c r="C38" i="7"/>
  <c r="B39" i="7" l="1"/>
  <c r="D39" i="7" s="1"/>
  <c r="A40" i="7"/>
  <c r="B40" i="7" a="1"/>
  <c r="C39" i="7"/>
  <c r="B40" i="7" l="1"/>
  <c r="D40" i="7" s="1"/>
  <c r="A41" i="7"/>
  <c r="B41" i="7" a="1"/>
  <c r="C40" i="7"/>
  <c r="B41" i="7" l="1"/>
  <c r="D41" i="7" s="1"/>
  <c r="A42" i="7"/>
  <c r="B42" i="7" a="1"/>
  <c r="C41" i="7"/>
  <c r="B42" i="7" l="1"/>
  <c r="D42" i="7" s="1"/>
  <c r="A43" i="7"/>
  <c r="B43" i="7" a="1"/>
  <c r="C42" i="7"/>
  <c r="B43" i="7" l="1"/>
  <c r="D43" i="7" s="1"/>
  <c r="A44" i="7"/>
  <c r="B44" i="7" a="1"/>
  <c r="B44" i="7" l="1"/>
  <c r="D44" i="7" s="1"/>
  <c r="A45" i="7"/>
  <c r="C43" i="7"/>
  <c r="B45" i="7" a="1"/>
  <c r="C44" i="7"/>
  <c r="B45" i="7" l="1"/>
  <c r="D45" i="7" s="1"/>
  <c r="A46" i="7"/>
  <c r="B46" i="7" a="1"/>
  <c r="C45" i="7"/>
  <c r="B46" i="7" l="1"/>
  <c r="D46" i="7" s="1"/>
  <c r="C46" i="7"/>
  <c r="D47" i="7" l="1"/>
  <c r="E16" i="7" l="1"/>
  <c r="E17" i="7"/>
  <c r="E21" i="7"/>
  <c r="E25" i="7"/>
  <c r="E29" i="7"/>
  <c r="E33" i="7"/>
  <c r="E37" i="7"/>
  <c r="E41" i="7"/>
  <c r="E45" i="7"/>
  <c r="E24" i="7"/>
  <c r="E32" i="7"/>
  <c r="E40" i="7"/>
  <c r="E18" i="7"/>
  <c r="E22" i="7"/>
  <c r="E26" i="7"/>
  <c r="E30" i="7"/>
  <c r="E34" i="7"/>
  <c r="E38" i="7"/>
  <c r="E42" i="7"/>
  <c r="E46" i="7"/>
  <c r="E20" i="7"/>
  <c r="E28" i="7"/>
  <c r="E36" i="7"/>
  <c r="E19" i="7"/>
  <c r="E23" i="7"/>
  <c r="E27" i="7"/>
  <c r="E31" i="7"/>
  <c r="E35" i="7"/>
  <c r="E39" i="7"/>
  <c r="E43" i="7"/>
  <c r="E4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61C703-3DF5-42D4-823F-BB6AF18B1DE2}" name="DataSheet_1819182001_3P4W2" type="6" refreshedVersion="8" background="1" saveData="1">
    <textPr prompt="0" codePage="850" sourceFile="C:\Users\bring\Downloads\DataSheet_1819182001_3P4W.csv" thousands="'" comma="1">
      <textFields count="5"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<sst xmlns="http://schemas.openxmlformats.org/spreadsheetml/2006/main" count="13597" uniqueCount="165">
  <si>
    <t>Date&amp;Time</t>
  </si>
  <si>
    <t>Voltage(V)</t>
  </si>
  <si>
    <t>UTHD(%)</t>
  </si>
  <si>
    <t>Current(A)</t>
  </si>
  <si>
    <t>ITHD(%)</t>
  </si>
  <si>
    <t>ITHD3(%)</t>
  </si>
  <si>
    <t>Frequency(Hz)</t>
  </si>
  <si>
    <t>Power Factor</t>
  </si>
  <si>
    <t>Active Power(W)</t>
  </si>
  <si>
    <t>Reactive Power(Var)</t>
  </si>
  <si>
    <t>Apparent Power(Va)</t>
  </si>
  <si>
    <t>Active Energy(Wh)</t>
  </si>
  <si>
    <t>Reactive Energy(Varh)</t>
  </si>
  <si>
    <t>Apparent Energy(Vah)</t>
  </si>
  <si>
    <t>Current Demand(A)</t>
  </si>
  <si>
    <t>Current Peak Demand(A)&amp;Date</t>
  </si>
  <si>
    <t>Total Active Power Deamnd(W)</t>
  </si>
  <si>
    <t>Total Active Power Peak Deamnd(W)&amp;Date</t>
  </si>
  <si>
    <t>Total Reactive Power Deamnd(Var)</t>
  </si>
  <si>
    <t>Total Reactive Power Peak Deamnd(Var)&amp;Date</t>
  </si>
  <si>
    <t>Total Apparent Power Deamnd(Va)</t>
  </si>
  <si>
    <t>Total Apparent Power Peak Deamnd(Va)&amp;Date</t>
  </si>
  <si>
    <t>Date</t>
  </si>
  <si>
    <t>Time</t>
  </si>
  <si>
    <t>UA</t>
  </si>
  <si>
    <t>UB</t>
  </si>
  <si>
    <t>UC</t>
  </si>
  <si>
    <t>UAvg</t>
  </si>
  <si>
    <t>UTHA</t>
  </si>
  <si>
    <t>UTHB</t>
  </si>
  <si>
    <t>UTHC</t>
  </si>
  <si>
    <t>UTHAvg</t>
  </si>
  <si>
    <t>IA</t>
  </si>
  <si>
    <t>IB</t>
  </si>
  <si>
    <t>IC</t>
  </si>
  <si>
    <t>IAvg</t>
  </si>
  <si>
    <t>IN</t>
  </si>
  <si>
    <t>ITHA</t>
  </si>
  <si>
    <t>ITHB</t>
  </si>
  <si>
    <t>ITHC</t>
  </si>
  <si>
    <t>ITHAvg</t>
  </si>
  <si>
    <t>ITHXA</t>
  </si>
  <si>
    <t>ITHXB</t>
  </si>
  <si>
    <t>ITHXC</t>
  </si>
  <si>
    <t>ITHYA</t>
  </si>
  <si>
    <t>ITHYB</t>
  </si>
  <si>
    <t>ITHYC</t>
  </si>
  <si>
    <t>ITHZA</t>
  </si>
  <si>
    <t>ITHZB</t>
  </si>
  <si>
    <t>ITHZC</t>
  </si>
  <si>
    <t>ITHVA</t>
  </si>
  <si>
    <t>ITHVB</t>
  </si>
  <si>
    <t>ITHVC</t>
  </si>
  <si>
    <t>ITHWA</t>
  </si>
  <si>
    <t>ITHWB</t>
  </si>
  <si>
    <t>ITHWC</t>
  </si>
  <si>
    <t>FA</t>
  </si>
  <si>
    <t>FB</t>
  </si>
  <si>
    <t>FC</t>
  </si>
  <si>
    <t>FAvg</t>
  </si>
  <si>
    <t>PFA</t>
  </si>
  <si>
    <t>PFB</t>
  </si>
  <si>
    <t>PFC</t>
  </si>
  <si>
    <t>PFAvg</t>
  </si>
  <si>
    <t>PA</t>
  </si>
  <si>
    <t>PB</t>
  </si>
  <si>
    <t>PC</t>
  </si>
  <si>
    <t>PSum</t>
  </si>
  <si>
    <t>QA</t>
  </si>
  <si>
    <t>QB</t>
  </si>
  <si>
    <t>QC</t>
  </si>
  <si>
    <t>QSum</t>
  </si>
  <si>
    <t>SA</t>
  </si>
  <si>
    <t>SB</t>
  </si>
  <si>
    <t>SC</t>
  </si>
  <si>
    <t>SSum</t>
  </si>
  <si>
    <t>EPA</t>
  </si>
  <si>
    <t>EPB</t>
  </si>
  <si>
    <t>EPC</t>
  </si>
  <si>
    <t>EPSum</t>
  </si>
  <si>
    <t>EQA</t>
  </si>
  <si>
    <t>EQB</t>
  </si>
  <si>
    <t>EQC</t>
  </si>
  <si>
    <t>EQSum</t>
  </si>
  <si>
    <t>ESA</t>
  </si>
  <si>
    <t>ESB</t>
  </si>
  <si>
    <t>ESC</t>
  </si>
  <si>
    <t>ESSum</t>
  </si>
  <si>
    <t>DmIA</t>
  </si>
  <si>
    <t>DmIB</t>
  </si>
  <si>
    <t>DmIC</t>
  </si>
  <si>
    <t>DmIAVG</t>
  </si>
  <si>
    <t>PDmIA</t>
  </si>
  <si>
    <t>PDmIA_D/T</t>
  </si>
  <si>
    <t>PDmIB</t>
  </si>
  <si>
    <t>PDmIB_D/T</t>
  </si>
  <si>
    <t>PDmIC</t>
  </si>
  <si>
    <t>PDmIC_D/T</t>
  </si>
  <si>
    <t>PDmIAVG</t>
  </si>
  <si>
    <t>PDmIAVG_D/T</t>
  </si>
  <si>
    <t>DmP</t>
  </si>
  <si>
    <t>PDmP</t>
  </si>
  <si>
    <t>PDmP_D/T</t>
  </si>
  <si>
    <t>DmQ</t>
  </si>
  <si>
    <t>PDmQ</t>
  </si>
  <si>
    <t>PDmQ_D/T</t>
  </si>
  <si>
    <t>DmS</t>
  </si>
  <si>
    <t>PDmS</t>
  </si>
  <si>
    <t>PDmS_D/T</t>
  </si>
  <si>
    <t>TIPO DE CONEXION 3 FASES 4 CONDUCTORES</t>
  </si>
  <si>
    <t>MAX</t>
  </si>
  <si>
    <t>MIN</t>
  </si>
  <si>
    <t>PROMEDIO</t>
  </si>
  <si>
    <t>MAX-MIN</t>
  </si>
  <si>
    <t>N°</t>
  </si>
  <si>
    <t>Parametro</t>
  </si>
  <si>
    <t>TIPO</t>
  </si>
  <si>
    <t>www.bring.com.ar</t>
  </si>
  <si>
    <t>info@bring.com.ar</t>
  </si>
  <si>
    <t>RANGO DE DATOS</t>
  </si>
  <si>
    <t>FILAS</t>
  </si>
  <si>
    <t>Minimo</t>
  </si>
  <si>
    <t>Maximo</t>
  </si>
  <si>
    <t>REGISTROS</t>
  </si>
  <si>
    <t>TOTALES</t>
  </si>
  <si>
    <t>USADOS</t>
  </si>
  <si>
    <t>Clase</t>
  </si>
  <si>
    <t>Frecuencia</t>
  </si>
  <si>
    <t>min</t>
  </si>
  <si>
    <t>max</t>
  </si>
  <si>
    <t>de a</t>
  </si>
  <si>
    <t>menor que..</t>
  </si>
  <si>
    <t>Q_SUM</t>
  </si>
  <si>
    <t>% CUBIERTO</t>
  </si>
  <si>
    <t>Limite recomendado 3% de UTHD</t>
  </si>
  <si>
    <t>2000-00-00 00:00:00</t>
  </si>
  <si>
    <t>ocurrencia</t>
  </si>
  <si>
    <t>Ponderacion</t>
  </si>
  <si>
    <t>VAR</t>
  </si>
  <si>
    <t>GRAFICOS DE OBTENIDOS CON EL ANALIZADOR DE CALIDAD DE ENERGIA ME-631</t>
  </si>
  <si>
    <t>EQUIPO ME- 631 BRING INGENIERIA</t>
  </si>
  <si>
    <t xml:space="preserve">Cliente </t>
  </si>
  <si>
    <t>STERNHEIM BERNARDO STERNHEIM OSCAR S H</t>
  </si>
  <si>
    <t>Empresa</t>
  </si>
  <si>
    <t>Bring Ingenieria</t>
  </si>
  <si>
    <t>Tarifa</t>
  </si>
  <si>
    <t>T3 - 50kw - EDENOR</t>
  </si>
  <si>
    <t>Cuit</t>
  </si>
  <si>
    <t>20-27859824-2</t>
  </si>
  <si>
    <t>Fecha</t>
  </si>
  <si>
    <t>Tel/cel</t>
  </si>
  <si>
    <t>+5491154572335</t>
  </si>
  <si>
    <t>Tablero</t>
  </si>
  <si>
    <t>GENERAL</t>
  </si>
  <si>
    <t>Mail</t>
  </si>
  <si>
    <t>Tecnico</t>
  </si>
  <si>
    <t>Juan Salva</t>
  </si>
  <si>
    <t>web</t>
  </si>
  <si>
    <t xml:space="preserve">Analisis </t>
  </si>
  <si>
    <t>Ing. Ramiro Bracco</t>
  </si>
  <si>
    <t>ProductSN:1819182001</t>
  </si>
  <si>
    <t>ITHD2(%)</t>
  </si>
  <si>
    <t>ITHD4(%)</t>
  </si>
  <si>
    <t>20165-165-165</t>
  </si>
  <si>
    <t>165:165:165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</si>
</sst>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400]h:mm:ss\ AM/PM"/>
    <numFmt numFmtId="165" formatCode="0.000"/>
    <numFmt numFmtId="166" formatCode="[$-F800]dddd\,\ mmmm\ dd\,\ yyyy"/>
    <numFmt numFmtId="167" formatCode="d\-m\-yy\ h:mm;@"/>
    <numFmt numFmtId="168" formatCode="0.0%"/>
    <numFmt numFmtId="170" formatCode="[$-F400]h:mm:ss\ AM/PM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8" fillId="0" borderId="0" xfId="0" applyFont="1"/>
    <xf numFmtId="0" fontId="19" fillId="0" borderId="0" xfId="0" applyFont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33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5" fontId="0" fillId="0" borderId="10" xfId="0" applyNumberFormat="1" applyBorder="1" applyAlignment="1">
      <alignment horizontal="center"/>
    </xf>
    <xf numFmtId="0" fontId="21" fillId="0" borderId="0" xfId="0" applyFont="1"/>
    <xf numFmtId="0" fontId="19" fillId="0" borderId="0" xfId="0" applyFont="1" applyAlignment="1">
      <alignment horizontal="left"/>
    </xf>
    <xf numFmtId="0" fontId="22" fillId="0" borderId="0" xfId="42"/>
    <xf numFmtId="0" fontId="0" fillId="35" borderId="10" xfId="0" applyFill="1" applyBorder="1" applyAlignment="1">
      <alignment horizontal="center"/>
    </xf>
    <xf numFmtId="164" fontId="0" fillId="35" borderId="10" xfId="0" applyNumberFormat="1" applyFill="1" applyBorder="1" applyAlignment="1">
      <alignment horizontal="center"/>
    </xf>
    <xf numFmtId="166" fontId="0" fillId="35" borderId="10" xfId="0" applyNumberForma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24" fillId="36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 vertical="center" wrapText="1"/>
    </xf>
    <xf numFmtId="1" fontId="0" fillId="0" borderId="10" xfId="0" applyNumberFormat="1" applyBorder="1" applyAlignment="1">
      <alignment horizontal="center" vertical="center"/>
    </xf>
    <xf numFmtId="166" fontId="0" fillId="34" borderId="10" xfId="0" applyNumberFormat="1" applyFill="1" applyBorder="1" applyAlignment="1" applyProtection="1">
      <alignment horizontal="left"/>
      <protection locked="0"/>
    </xf>
    <xf numFmtId="164" fontId="0" fillId="34" borderId="10" xfId="0" applyNumberFormat="1" applyFont="1" applyFill="1" applyBorder="1" applyAlignment="1" applyProtection="1">
      <alignment horizontal="center"/>
      <protection locked="0"/>
    </xf>
    <xf numFmtId="21" fontId="0" fillId="34" borderId="10" xfId="0" applyNumberFormat="1" applyFill="1" applyBorder="1" applyAlignment="1" applyProtection="1">
      <alignment horizontal="center"/>
      <protection locked="0"/>
    </xf>
    <xf numFmtId="167" fontId="0" fillId="0" borderId="10" xfId="0" applyNumberFormat="1" applyBorder="1" applyAlignment="1">
      <alignment horizontal="center" vertical="center"/>
    </xf>
    <xf numFmtId="0" fontId="25" fillId="0" borderId="10" xfId="0" applyFon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26" fillId="33" borderId="10" xfId="0" applyFont="1" applyFill="1" applyBorder="1" applyAlignment="1">
      <alignment horizontal="center"/>
    </xf>
    <xf numFmtId="0" fontId="26" fillId="0" borderId="0" xfId="0" applyFont="1"/>
    <xf numFmtId="0" fontId="25" fillId="0" borderId="10" xfId="0" applyFont="1" applyBorder="1" applyAlignment="1">
      <alignment horizontal="center"/>
    </xf>
    <xf numFmtId="1" fontId="25" fillId="0" borderId="10" xfId="0" applyNumberFormat="1" applyFont="1" applyBorder="1" applyAlignment="1">
      <alignment horizontal="center"/>
    </xf>
    <xf numFmtId="1" fontId="0" fillId="0" borderId="0" xfId="0" applyNumberFormat="1"/>
    <xf numFmtId="168" fontId="0" fillId="0" borderId="10" xfId="43" applyNumberFormat="1" applyFont="1" applyBorder="1" applyAlignment="1">
      <alignment horizontal="center"/>
    </xf>
    <xf numFmtId="9" fontId="0" fillId="0" borderId="10" xfId="43" applyFont="1" applyBorder="1" applyAlignment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16" fillId="0" borderId="17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8" xfId="0" applyBorder="1" applyProtection="1">
      <protection locked="0"/>
    </xf>
    <xf numFmtId="0" fontId="0" fillId="0" borderId="17" xfId="0" applyBorder="1" applyProtection="1">
      <protection locked="0"/>
    </xf>
    <xf numFmtId="0" fontId="16" fillId="0" borderId="0" xfId="0" applyFont="1" applyProtection="1">
      <protection locked="0"/>
    </xf>
    <xf numFmtId="14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0" fontId="22" fillId="0" borderId="0" xfId="42" applyBorder="1" applyProtection="1">
      <protection locked="0"/>
    </xf>
    <xf numFmtId="0" fontId="22" fillId="0" borderId="0" xfId="42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23" fillId="33" borderId="10" xfId="0" applyFont="1" applyFill="1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70" fontId="0" fillId="0" borderId="0" xfId="0" applyNumberForma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3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046"/>
              <c:pt idx="0">
                <c:v>0.216</c:v>
              </c:pt>
              <c:pt idx="1">
                <c:v>0.22700000000000001</c:v>
              </c:pt>
              <c:pt idx="2">
                <c:v>0.22900000000000001</c:v>
              </c:pt>
              <c:pt idx="3">
                <c:v>0.22600000000000001</c:v>
              </c:pt>
              <c:pt idx="4">
                <c:v>0.23499999999999999</c:v>
              </c:pt>
              <c:pt idx="5">
                <c:v>0.24099999999999999</c:v>
              </c:pt>
              <c:pt idx="6">
                <c:v>0.20599999999999999</c:v>
              </c:pt>
              <c:pt idx="7">
                <c:v>0.20899999999999999</c:v>
              </c:pt>
              <c:pt idx="8">
                <c:v>0.214</c:v>
              </c:pt>
              <c:pt idx="9">
                <c:v>0.20699999999999999</c:v>
              </c:pt>
              <c:pt idx="10">
                <c:v>0.19600000000000001</c:v>
              </c:pt>
              <c:pt idx="11">
                <c:v>0.21</c:v>
              </c:pt>
              <c:pt idx="12">
                <c:v>0.193</c:v>
              </c:pt>
              <c:pt idx="13">
                <c:v>0.40500000000000003</c:v>
              </c:pt>
              <c:pt idx="14">
                <c:v>0.55700000000000005</c:v>
              </c:pt>
              <c:pt idx="15">
                <c:v>0.53700000000000003</c:v>
              </c:pt>
              <c:pt idx="16">
                <c:v>0.56100000000000005</c:v>
              </c:pt>
              <c:pt idx="17">
                <c:v>0.219</c:v>
              </c:pt>
              <c:pt idx="18">
                <c:v>0.19500000000000001</c:v>
              </c:pt>
              <c:pt idx="19">
                <c:v>0.20899999999999999</c:v>
              </c:pt>
              <c:pt idx="20">
                <c:v>0.191</c:v>
              </c:pt>
              <c:pt idx="21">
                <c:v>0.215</c:v>
              </c:pt>
              <c:pt idx="22">
                <c:v>0.19500000000000001</c:v>
              </c:pt>
              <c:pt idx="23">
                <c:v>0.19800000000000001</c:v>
              </c:pt>
              <c:pt idx="24">
                <c:v>0.19500000000000001</c:v>
              </c:pt>
              <c:pt idx="25">
                <c:v>0.193</c:v>
              </c:pt>
              <c:pt idx="26">
                <c:v>0.22600000000000001</c:v>
              </c:pt>
              <c:pt idx="27">
                <c:v>0.22500000000000001</c:v>
              </c:pt>
              <c:pt idx="28">
                <c:v>0.23</c:v>
              </c:pt>
              <c:pt idx="29">
                <c:v>0.21199999999999999</c:v>
              </c:pt>
              <c:pt idx="30">
                <c:v>0.192</c:v>
              </c:pt>
              <c:pt idx="31">
                <c:v>0.20499999999999999</c:v>
              </c:pt>
              <c:pt idx="32">
                <c:v>0.20100000000000001</c:v>
              </c:pt>
              <c:pt idx="33">
                <c:v>0.191</c:v>
              </c:pt>
              <c:pt idx="34">
                <c:v>0.29799999999999999</c:v>
              </c:pt>
              <c:pt idx="35">
                <c:v>0.43</c:v>
              </c:pt>
              <c:pt idx="36">
                <c:v>0.27500000000000002</c:v>
              </c:pt>
              <c:pt idx="37">
                <c:v>0.46700000000000003</c:v>
              </c:pt>
              <c:pt idx="38">
                <c:v>0.81</c:v>
              </c:pt>
              <c:pt idx="39">
                <c:v>0.80500000000000005</c:v>
              </c:pt>
              <c:pt idx="40">
                <c:v>0.81</c:v>
              </c:pt>
              <c:pt idx="41">
                <c:v>0.748</c:v>
              </c:pt>
              <c:pt idx="42">
                <c:v>0.72099999999999997</c:v>
              </c:pt>
              <c:pt idx="43">
                <c:v>0.52900000000000003</c:v>
              </c:pt>
              <c:pt idx="44">
                <c:v>0.46300000000000002</c:v>
              </c:pt>
              <c:pt idx="45">
                <c:v>0.34300000000000003</c:v>
              </c:pt>
              <c:pt idx="46">
                <c:v>0.39700000000000002</c:v>
              </c:pt>
              <c:pt idx="47">
                <c:v>0.36</c:v>
              </c:pt>
              <c:pt idx="48">
                <c:v>0.36099999999999999</c:v>
              </c:pt>
              <c:pt idx="49">
                <c:v>0.34200000000000003</c:v>
              </c:pt>
              <c:pt idx="50">
                <c:v>0.33200000000000002</c:v>
              </c:pt>
              <c:pt idx="51">
                <c:v>0.35399999999999998</c:v>
              </c:pt>
              <c:pt idx="52">
                <c:v>0.35799999999999998</c:v>
              </c:pt>
              <c:pt idx="53">
                <c:v>0.30099999999999999</c:v>
              </c:pt>
              <c:pt idx="54">
                <c:v>0.33100000000000002</c:v>
              </c:pt>
              <c:pt idx="55">
                <c:v>0.312</c:v>
              </c:pt>
              <c:pt idx="56">
                <c:v>0.33</c:v>
              </c:pt>
              <c:pt idx="57">
                <c:v>0.28499999999999998</c:v>
              </c:pt>
              <c:pt idx="58">
                <c:v>0.33500000000000002</c:v>
              </c:pt>
              <c:pt idx="59">
                <c:v>0.314</c:v>
              </c:pt>
              <c:pt idx="60">
                <c:v>0.312</c:v>
              </c:pt>
              <c:pt idx="61">
                <c:v>0.29399999999999998</c:v>
              </c:pt>
              <c:pt idx="62">
                <c:v>0.32700000000000001</c:v>
              </c:pt>
              <c:pt idx="63">
                <c:v>0.29599999999999999</c:v>
              </c:pt>
              <c:pt idx="64">
                <c:v>0.73599999999999999</c:v>
              </c:pt>
              <c:pt idx="65">
                <c:v>0.76900000000000002</c:v>
              </c:pt>
              <c:pt idx="66">
                <c:v>0.7</c:v>
              </c:pt>
              <c:pt idx="67">
                <c:v>0.70099999999999996</c:v>
              </c:pt>
              <c:pt idx="68">
                <c:v>0.316</c:v>
              </c:pt>
              <c:pt idx="69">
                <c:v>0.30199999999999999</c:v>
              </c:pt>
              <c:pt idx="70">
                <c:v>0.30399999999999999</c:v>
              </c:pt>
              <c:pt idx="71">
                <c:v>0.28000000000000003</c:v>
              </c:pt>
              <c:pt idx="72">
                <c:v>0.32300000000000001</c:v>
              </c:pt>
              <c:pt idx="73">
                <c:v>0.27200000000000002</c:v>
              </c:pt>
              <c:pt idx="74">
                <c:v>0.30099999999999999</c:v>
              </c:pt>
              <c:pt idx="75">
                <c:v>0.29099999999999998</c:v>
              </c:pt>
              <c:pt idx="76">
                <c:v>0.312</c:v>
              </c:pt>
              <c:pt idx="77">
                <c:v>0.38300000000000001</c:v>
              </c:pt>
              <c:pt idx="78">
                <c:v>0.38</c:v>
              </c:pt>
              <c:pt idx="79">
                <c:v>0.35499999999999998</c:v>
              </c:pt>
              <c:pt idx="80">
                <c:v>0.40899999999999997</c:v>
              </c:pt>
              <c:pt idx="81">
                <c:v>0.35199999999999998</c:v>
              </c:pt>
              <c:pt idx="82">
                <c:v>0.32300000000000001</c:v>
              </c:pt>
              <c:pt idx="83">
                <c:v>0.40300000000000002</c:v>
              </c:pt>
              <c:pt idx="84">
                <c:v>0.46</c:v>
              </c:pt>
              <c:pt idx="85">
                <c:v>0.28799999999999998</c:v>
              </c:pt>
              <c:pt idx="86">
                <c:v>0.41399999999999998</c:v>
              </c:pt>
              <c:pt idx="87">
                <c:v>0.64500000000000002</c:v>
              </c:pt>
              <c:pt idx="88">
                <c:v>0.66300000000000003</c:v>
              </c:pt>
              <c:pt idx="89">
                <c:v>0.73799999999999999</c:v>
              </c:pt>
              <c:pt idx="90">
                <c:v>0.91500000000000004</c:v>
              </c:pt>
              <c:pt idx="91">
                <c:v>0.751</c:v>
              </c:pt>
              <c:pt idx="92">
                <c:v>0.76700000000000002</c:v>
              </c:pt>
              <c:pt idx="93">
                <c:v>0.92400000000000004</c:v>
              </c:pt>
              <c:pt idx="94">
                <c:v>0.61899999999999999</c:v>
              </c:pt>
              <c:pt idx="95">
                <c:v>0.67</c:v>
              </c:pt>
              <c:pt idx="96">
                <c:v>0.92600000000000005</c:v>
              </c:pt>
              <c:pt idx="97">
                <c:v>0.64100000000000001</c:v>
              </c:pt>
              <c:pt idx="98">
                <c:v>0.72099999999999997</c:v>
              </c:pt>
              <c:pt idx="99">
                <c:v>0.89200000000000002</c:v>
              </c:pt>
              <c:pt idx="100">
                <c:v>0.68700000000000006</c:v>
              </c:pt>
              <c:pt idx="101">
                <c:v>0.77400000000000002</c:v>
              </c:pt>
              <c:pt idx="102">
                <c:v>0.98299999999999998</c:v>
              </c:pt>
              <c:pt idx="103">
                <c:v>0.70199999999999996</c:v>
              </c:pt>
              <c:pt idx="104">
                <c:v>0.70099999999999996</c:v>
              </c:pt>
              <c:pt idx="105">
                <c:v>0.875</c:v>
              </c:pt>
              <c:pt idx="106">
                <c:v>0.80300000000000005</c:v>
              </c:pt>
              <c:pt idx="107">
                <c:v>0.70799999999999996</c:v>
              </c:pt>
              <c:pt idx="108">
                <c:v>0.93600000000000005</c:v>
              </c:pt>
              <c:pt idx="109">
                <c:v>0.45600000000000002</c:v>
              </c:pt>
              <c:pt idx="110">
                <c:v>0.35</c:v>
              </c:pt>
              <c:pt idx="111">
                <c:v>0.52100000000000002</c:v>
              </c:pt>
              <c:pt idx="112">
                <c:v>0.377</c:v>
              </c:pt>
              <c:pt idx="113">
                <c:v>0.30299999999999999</c:v>
              </c:pt>
              <c:pt idx="114">
                <c:v>0.61899999999999999</c:v>
              </c:pt>
              <c:pt idx="115">
                <c:v>0.26700000000000002</c:v>
              </c:pt>
              <c:pt idx="116">
                <c:v>0.28699999999999998</c:v>
              </c:pt>
              <c:pt idx="117">
                <c:v>0.45100000000000001</c:v>
              </c:pt>
              <c:pt idx="118">
                <c:v>0.63900000000000001</c:v>
              </c:pt>
              <c:pt idx="119">
                <c:v>0.311</c:v>
              </c:pt>
              <c:pt idx="120">
                <c:v>0.44500000000000001</c:v>
              </c:pt>
              <c:pt idx="121">
                <c:v>0.54500000000000004</c:v>
              </c:pt>
              <c:pt idx="122">
                <c:v>0.27</c:v>
              </c:pt>
              <c:pt idx="123">
                <c:v>0.32400000000000001</c:v>
              </c:pt>
              <c:pt idx="124">
                <c:v>0.48099999999999998</c:v>
              </c:pt>
              <c:pt idx="125">
                <c:v>0.247</c:v>
              </c:pt>
              <c:pt idx="126">
                <c:v>0.29599999999999999</c:v>
              </c:pt>
              <c:pt idx="127">
                <c:v>0.41099999999999998</c:v>
              </c:pt>
              <c:pt idx="128">
                <c:v>0.40600000000000003</c:v>
              </c:pt>
              <c:pt idx="129">
                <c:v>0.38</c:v>
              </c:pt>
              <c:pt idx="130">
                <c:v>0.93200000000000005</c:v>
              </c:pt>
              <c:pt idx="131">
                <c:v>0.69699999999999995</c:v>
              </c:pt>
              <c:pt idx="132">
                <c:v>0.78900000000000003</c:v>
              </c:pt>
              <c:pt idx="133">
                <c:v>0.875</c:v>
              </c:pt>
              <c:pt idx="134">
                <c:v>0.73399999999999999</c:v>
              </c:pt>
              <c:pt idx="135">
                <c:v>0.84199999999999997</c:v>
              </c:pt>
              <c:pt idx="136">
                <c:v>0.55500000000000005</c:v>
              </c:pt>
              <c:pt idx="137">
                <c:v>0.81499999999999995</c:v>
              </c:pt>
              <c:pt idx="138">
                <c:v>0.40100000000000002</c:v>
              </c:pt>
              <c:pt idx="139">
                <c:v>0.73899999999999999</c:v>
              </c:pt>
              <c:pt idx="140">
                <c:v>0.32400000000000001</c:v>
              </c:pt>
              <c:pt idx="141">
                <c:v>0.51500000000000001</c:v>
              </c:pt>
              <c:pt idx="142">
                <c:v>0.60099999999999998</c:v>
              </c:pt>
              <c:pt idx="143">
                <c:v>0.32300000000000001</c:v>
              </c:pt>
              <c:pt idx="144">
                <c:v>0.42299999999999999</c:v>
              </c:pt>
              <c:pt idx="145">
                <c:v>0.61699999999999999</c:v>
              </c:pt>
              <c:pt idx="146">
                <c:v>0.40400000000000003</c:v>
              </c:pt>
              <c:pt idx="147">
                <c:v>0.59399999999999997</c:v>
              </c:pt>
              <c:pt idx="148">
                <c:v>0.56100000000000005</c:v>
              </c:pt>
              <c:pt idx="149">
                <c:v>0.36199999999999999</c:v>
              </c:pt>
              <c:pt idx="150">
                <c:v>0.34899999999999998</c:v>
              </c:pt>
              <c:pt idx="151">
                <c:v>0.48699999999999999</c:v>
              </c:pt>
              <c:pt idx="152">
                <c:v>0.34100000000000003</c:v>
              </c:pt>
              <c:pt idx="153">
                <c:v>0.5</c:v>
              </c:pt>
              <c:pt idx="154">
                <c:v>0.61599999999999999</c:v>
              </c:pt>
              <c:pt idx="155">
                <c:v>0.317</c:v>
              </c:pt>
              <c:pt idx="156">
                <c:v>0.57199999999999995</c:v>
              </c:pt>
              <c:pt idx="157">
                <c:v>0.71799999999999997</c:v>
              </c:pt>
              <c:pt idx="158">
                <c:v>0.753</c:v>
              </c:pt>
              <c:pt idx="159">
                <c:v>0.83599999999999997</c:v>
              </c:pt>
              <c:pt idx="160">
                <c:v>1.0229999999999999</c:v>
              </c:pt>
              <c:pt idx="161">
                <c:v>0.68600000000000005</c:v>
              </c:pt>
              <c:pt idx="162">
                <c:v>0.85699999999999998</c:v>
              </c:pt>
              <c:pt idx="163">
                <c:v>0.99299999999999999</c:v>
              </c:pt>
              <c:pt idx="164">
                <c:v>0.63400000000000001</c:v>
              </c:pt>
              <c:pt idx="165">
                <c:v>0.77500000000000002</c:v>
              </c:pt>
              <c:pt idx="166">
                <c:v>0.876</c:v>
              </c:pt>
              <c:pt idx="167">
                <c:v>0.68400000000000005</c:v>
              </c:pt>
              <c:pt idx="168">
                <c:v>0.80100000000000005</c:v>
              </c:pt>
              <c:pt idx="169">
                <c:v>0.90500000000000003</c:v>
              </c:pt>
              <c:pt idx="170">
                <c:v>0.75</c:v>
              </c:pt>
              <c:pt idx="171">
                <c:v>0.78400000000000003</c:v>
              </c:pt>
              <c:pt idx="172">
                <c:v>0.89400000000000002</c:v>
              </c:pt>
              <c:pt idx="173">
                <c:v>0.76300000000000001</c:v>
              </c:pt>
              <c:pt idx="174">
                <c:v>0.82</c:v>
              </c:pt>
              <c:pt idx="175">
                <c:v>0.98</c:v>
              </c:pt>
              <c:pt idx="176">
                <c:v>0.68600000000000005</c:v>
              </c:pt>
              <c:pt idx="177">
                <c:v>0.77500000000000002</c:v>
              </c:pt>
              <c:pt idx="178">
                <c:v>0.95399999999999996</c:v>
              </c:pt>
              <c:pt idx="179">
                <c:v>0.72499999999999998</c:v>
              </c:pt>
              <c:pt idx="180">
                <c:v>0.78500000000000003</c:v>
              </c:pt>
              <c:pt idx="181">
                <c:v>0.94299999999999995</c:v>
              </c:pt>
              <c:pt idx="182">
                <c:v>0.69599999999999995</c:v>
              </c:pt>
              <c:pt idx="183">
                <c:v>0.76300000000000001</c:v>
              </c:pt>
              <c:pt idx="184">
                <c:v>0.90400000000000003</c:v>
              </c:pt>
              <c:pt idx="185">
                <c:v>0.74299999999999999</c:v>
              </c:pt>
              <c:pt idx="186">
                <c:v>0.77500000000000002</c:v>
              </c:pt>
              <c:pt idx="187">
                <c:v>0.92500000000000004</c:v>
              </c:pt>
              <c:pt idx="188">
                <c:v>0.69899999999999995</c:v>
              </c:pt>
              <c:pt idx="189">
                <c:v>0.9</c:v>
              </c:pt>
              <c:pt idx="190">
                <c:v>0.93899999999999995</c:v>
              </c:pt>
              <c:pt idx="191">
                <c:v>0.66</c:v>
              </c:pt>
              <c:pt idx="192">
                <c:v>0.79</c:v>
              </c:pt>
              <c:pt idx="193">
                <c:v>0.94899999999999995</c:v>
              </c:pt>
              <c:pt idx="194">
                <c:v>0.81200000000000006</c:v>
              </c:pt>
              <c:pt idx="195">
                <c:v>0.77300000000000002</c:v>
              </c:pt>
              <c:pt idx="196">
                <c:v>0.95</c:v>
              </c:pt>
              <c:pt idx="197">
                <c:v>0.66</c:v>
              </c:pt>
              <c:pt idx="198">
                <c:v>0.74099999999999999</c:v>
              </c:pt>
              <c:pt idx="199">
                <c:v>0.90200000000000002</c:v>
              </c:pt>
              <c:pt idx="200">
                <c:v>0.67600000000000005</c:v>
              </c:pt>
              <c:pt idx="201">
                <c:v>0.77200000000000002</c:v>
              </c:pt>
              <c:pt idx="202">
                <c:v>0.94</c:v>
              </c:pt>
              <c:pt idx="203">
                <c:v>0.79600000000000004</c:v>
              </c:pt>
              <c:pt idx="204">
                <c:v>0.70699999999999996</c:v>
              </c:pt>
              <c:pt idx="205">
                <c:v>0.84</c:v>
              </c:pt>
              <c:pt idx="206">
                <c:v>0.64900000000000002</c:v>
              </c:pt>
              <c:pt idx="207">
                <c:v>0.77400000000000002</c:v>
              </c:pt>
              <c:pt idx="208">
                <c:v>0.94499999999999995</c:v>
              </c:pt>
              <c:pt idx="209">
                <c:v>0.68</c:v>
              </c:pt>
              <c:pt idx="210">
                <c:v>0.73699999999999999</c:v>
              </c:pt>
              <c:pt idx="211">
                <c:v>0.84499999999999997</c:v>
              </c:pt>
              <c:pt idx="212">
                <c:v>0.42099999999999999</c:v>
              </c:pt>
              <c:pt idx="213">
                <c:v>0.33800000000000002</c:v>
              </c:pt>
              <c:pt idx="214">
                <c:v>0.53</c:v>
              </c:pt>
              <c:pt idx="215">
                <c:v>0.28699999999999998</c:v>
              </c:pt>
              <c:pt idx="216">
                <c:v>0.35899999999999999</c:v>
              </c:pt>
              <c:pt idx="217">
                <c:v>0.50800000000000001</c:v>
              </c:pt>
              <c:pt idx="218">
                <c:v>0.26700000000000002</c:v>
              </c:pt>
              <c:pt idx="219">
                <c:v>0.34399999999999997</c:v>
              </c:pt>
              <c:pt idx="220">
                <c:v>0.59099999999999997</c:v>
              </c:pt>
              <c:pt idx="221">
                <c:v>0.29499999999999998</c:v>
              </c:pt>
              <c:pt idx="222">
                <c:v>0.45700000000000002</c:v>
              </c:pt>
              <c:pt idx="223">
                <c:v>0.39400000000000002</c:v>
              </c:pt>
              <c:pt idx="224">
                <c:v>0.312</c:v>
              </c:pt>
              <c:pt idx="225">
                <c:v>0.38700000000000001</c:v>
              </c:pt>
              <c:pt idx="226">
                <c:v>0.45600000000000002</c:v>
              </c:pt>
              <c:pt idx="227">
                <c:v>0.30199999999999999</c:v>
              </c:pt>
              <c:pt idx="228">
                <c:v>0.41699999999999998</c:v>
              </c:pt>
              <c:pt idx="229">
                <c:v>0.29399999999999998</c:v>
              </c:pt>
              <c:pt idx="230">
                <c:v>0.30499999999999999</c:v>
              </c:pt>
              <c:pt idx="231">
                <c:v>0.47399999999999998</c:v>
              </c:pt>
              <c:pt idx="232">
                <c:v>0.27100000000000002</c:v>
              </c:pt>
              <c:pt idx="233">
                <c:v>0.39900000000000002</c:v>
              </c:pt>
              <c:pt idx="234">
                <c:v>0.84699999999999998</c:v>
              </c:pt>
              <c:pt idx="235">
                <c:v>0.67300000000000004</c:v>
              </c:pt>
              <c:pt idx="236">
                <c:v>0.76400000000000001</c:v>
              </c:pt>
              <c:pt idx="237">
                <c:v>0.89500000000000002</c:v>
              </c:pt>
              <c:pt idx="238">
                <c:v>0.71799999999999997</c:v>
              </c:pt>
              <c:pt idx="239">
                <c:v>0.88500000000000001</c:v>
              </c:pt>
              <c:pt idx="240">
                <c:v>0.4</c:v>
              </c:pt>
              <c:pt idx="241">
                <c:v>0.30199999999999999</c:v>
              </c:pt>
              <c:pt idx="242">
                <c:v>0.42299999999999999</c:v>
              </c:pt>
              <c:pt idx="243">
                <c:v>0.28899999999999998</c:v>
              </c:pt>
              <c:pt idx="244">
                <c:v>0.371</c:v>
              </c:pt>
              <c:pt idx="245">
                <c:v>0.47199999999999998</c:v>
              </c:pt>
              <c:pt idx="246">
                <c:v>0.28000000000000003</c:v>
              </c:pt>
              <c:pt idx="247">
                <c:v>0.29799999999999999</c:v>
              </c:pt>
              <c:pt idx="248">
                <c:v>0.45400000000000001</c:v>
              </c:pt>
              <c:pt idx="249">
                <c:v>0.26900000000000002</c:v>
              </c:pt>
              <c:pt idx="250">
                <c:v>0.315</c:v>
              </c:pt>
              <c:pt idx="251">
                <c:v>0.505</c:v>
              </c:pt>
              <c:pt idx="252">
                <c:v>0.41</c:v>
              </c:pt>
              <c:pt idx="253">
                <c:v>0.26</c:v>
              </c:pt>
              <c:pt idx="254">
                <c:v>0.372</c:v>
              </c:pt>
              <c:pt idx="255">
                <c:v>0.26600000000000001</c:v>
              </c:pt>
              <c:pt idx="256">
                <c:v>0.27900000000000003</c:v>
              </c:pt>
              <c:pt idx="257">
                <c:v>0.33100000000000002</c:v>
              </c:pt>
              <c:pt idx="258">
                <c:v>0.48099999999999998</c:v>
              </c:pt>
              <c:pt idx="259">
                <c:v>0.27600000000000002</c:v>
              </c:pt>
              <c:pt idx="260">
                <c:v>0.38800000000000001</c:v>
              </c:pt>
              <c:pt idx="261">
                <c:v>0.80300000000000005</c:v>
              </c:pt>
              <c:pt idx="262">
                <c:v>0.66200000000000003</c:v>
              </c:pt>
              <c:pt idx="263">
                <c:v>0.80100000000000005</c:v>
              </c:pt>
              <c:pt idx="264">
                <c:v>0.85099999999999998</c:v>
              </c:pt>
              <c:pt idx="265">
                <c:v>0.68500000000000005</c:v>
              </c:pt>
              <c:pt idx="266">
                <c:v>0.85199999999999998</c:v>
              </c:pt>
              <c:pt idx="267">
                <c:v>0.84899999999999998</c:v>
              </c:pt>
              <c:pt idx="268">
                <c:v>0.67100000000000004</c:v>
              </c:pt>
              <c:pt idx="269">
                <c:v>0.73899999999999999</c:v>
              </c:pt>
              <c:pt idx="270">
                <c:v>0.68799999999999994</c:v>
              </c:pt>
              <c:pt idx="271">
                <c:v>0.68600000000000005</c:v>
              </c:pt>
              <c:pt idx="272">
                <c:v>0.78100000000000003</c:v>
              </c:pt>
              <c:pt idx="273">
                <c:v>0.89900000000000002</c:v>
              </c:pt>
              <c:pt idx="274">
                <c:v>0.66100000000000003</c:v>
              </c:pt>
              <c:pt idx="275">
                <c:v>0.73799999999999999</c:v>
              </c:pt>
              <c:pt idx="276">
                <c:v>0.58299999999999996</c:v>
              </c:pt>
              <c:pt idx="277">
                <c:v>0.28899999999999998</c:v>
              </c:pt>
              <c:pt idx="278">
                <c:v>0.39</c:v>
              </c:pt>
              <c:pt idx="279">
                <c:v>0.38200000000000001</c:v>
              </c:pt>
              <c:pt idx="280">
                <c:v>0.28399999999999997</c:v>
              </c:pt>
              <c:pt idx="281">
                <c:v>0.35299999999999998</c:v>
              </c:pt>
              <c:pt idx="282">
                <c:v>0.27400000000000002</c:v>
              </c:pt>
              <c:pt idx="283">
                <c:v>0.33500000000000002</c:v>
              </c:pt>
              <c:pt idx="284">
                <c:v>0.36799999999999999</c:v>
              </c:pt>
              <c:pt idx="285">
                <c:v>0.28399999999999997</c:v>
              </c:pt>
              <c:pt idx="286">
                <c:v>0.42899999999999999</c:v>
              </c:pt>
              <c:pt idx="287">
                <c:v>0.26700000000000002</c:v>
              </c:pt>
              <c:pt idx="288">
                <c:v>0.314</c:v>
              </c:pt>
              <c:pt idx="289">
                <c:v>0.46400000000000002</c:v>
              </c:pt>
              <c:pt idx="290">
                <c:v>0.26300000000000001</c:v>
              </c:pt>
              <c:pt idx="291">
                <c:v>0.26900000000000002</c:v>
              </c:pt>
              <c:pt idx="292">
                <c:v>0.43099999999999999</c:v>
              </c:pt>
              <c:pt idx="293">
                <c:v>0.249</c:v>
              </c:pt>
              <c:pt idx="294">
                <c:v>0.315</c:v>
              </c:pt>
              <c:pt idx="295">
                <c:v>0.495</c:v>
              </c:pt>
              <c:pt idx="296">
                <c:v>0.46100000000000002</c:v>
              </c:pt>
              <c:pt idx="297">
                <c:v>0.68</c:v>
              </c:pt>
              <c:pt idx="298">
                <c:v>0.79800000000000004</c:v>
              </c:pt>
              <c:pt idx="299">
                <c:v>0.64600000000000002</c:v>
              </c:pt>
              <c:pt idx="300">
                <c:v>0.73499999999999999</c:v>
              </c:pt>
              <c:pt idx="301">
                <c:v>0.89800000000000002</c:v>
              </c:pt>
              <c:pt idx="302">
                <c:v>0.66100000000000003</c:v>
              </c:pt>
              <c:pt idx="303">
                <c:v>0.28499999999999998</c:v>
              </c:pt>
              <c:pt idx="304">
                <c:v>0.41599999999999998</c:v>
              </c:pt>
              <c:pt idx="305">
                <c:v>0.27300000000000002</c:v>
              </c:pt>
              <c:pt idx="306">
                <c:v>0.34899999999999998</c:v>
              </c:pt>
              <c:pt idx="307">
                <c:v>0.33100000000000002</c:v>
              </c:pt>
              <c:pt idx="308">
                <c:v>0.47499999999999998</c:v>
              </c:pt>
              <c:pt idx="309">
                <c:v>0.52200000000000002</c:v>
              </c:pt>
              <c:pt idx="310">
                <c:v>0.379</c:v>
              </c:pt>
              <c:pt idx="311">
                <c:v>0.45100000000000001</c:v>
              </c:pt>
              <c:pt idx="312">
                <c:v>0.623</c:v>
              </c:pt>
              <c:pt idx="313">
                <c:v>0.39300000000000002</c:v>
              </c:pt>
              <c:pt idx="314">
                <c:v>0.443</c:v>
              </c:pt>
              <c:pt idx="315">
                <c:v>0.54800000000000004</c:v>
              </c:pt>
              <c:pt idx="316">
                <c:v>0.34599999999999997</c:v>
              </c:pt>
              <c:pt idx="317">
                <c:v>0.434</c:v>
              </c:pt>
              <c:pt idx="318">
                <c:v>0.39200000000000002</c:v>
              </c:pt>
              <c:pt idx="319">
                <c:v>0.32200000000000001</c:v>
              </c:pt>
              <c:pt idx="320">
                <c:v>0.44800000000000001</c:v>
              </c:pt>
              <c:pt idx="321">
                <c:v>0.35799999999999998</c:v>
              </c:pt>
              <c:pt idx="322">
                <c:v>0.42</c:v>
              </c:pt>
              <c:pt idx="323">
                <c:v>0.51800000000000002</c:v>
              </c:pt>
              <c:pt idx="324">
                <c:v>0.78300000000000003</c:v>
              </c:pt>
              <c:pt idx="325">
                <c:v>0.84</c:v>
              </c:pt>
              <c:pt idx="326">
                <c:v>0.79800000000000004</c:v>
              </c:pt>
              <c:pt idx="327">
                <c:v>0.81699999999999995</c:v>
              </c:pt>
              <c:pt idx="328">
                <c:v>0.746</c:v>
              </c:pt>
              <c:pt idx="329">
                <c:v>0.79400000000000004</c:v>
              </c:pt>
              <c:pt idx="330">
                <c:v>0.874</c:v>
              </c:pt>
              <c:pt idx="331">
                <c:v>0.78900000000000003</c:v>
              </c:pt>
              <c:pt idx="332">
                <c:v>0.83399999999999996</c:v>
              </c:pt>
              <c:pt idx="333">
                <c:v>0.71199999999999997</c:v>
              </c:pt>
              <c:pt idx="334">
                <c:v>0.80400000000000005</c:v>
              </c:pt>
              <c:pt idx="335">
                <c:v>0.88900000000000001</c:v>
              </c:pt>
              <c:pt idx="336">
                <c:v>0.746</c:v>
              </c:pt>
              <c:pt idx="337">
                <c:v>0.84399999999999997</c:v>
              </c:pt>
              <c:pt idx="338">
                <c:v>0.77</c:v>
              </c:pt>
              <c:pt idx="339">
                <c:v>0.77300000000000002</c:v>
              </c:pt>
              <c:pt idx="340">
                <c:v>0.84499999999999997</c:v>
              </c:pt>
              <c:pt idx="341">
                <c:v>0.35499999999999998</c:v>
              </c:pt>
              <c:pt idx="342">
                <c:v>0.34</c:v>
              </c:pt>
              <c:pt idx="343">
                <c:v>0.38600000000000001</c:v>
              </c:pt>
              <c:pt idx="344">
                <c:v>0.31900000000000001</c:v>
              </c:pt>
              <c:pt idx="345">
                <c:v>0.438</c:v>
              </c:pt>
              <c:pt idx="346">
                <c:v>0.34</c:v>
              </c:pt>
              <c:pt idx="347">
                <c:v>0.32300000000000001</c:v>
              </c:pt>
              <c:pt idx="348">
                <c:v>0.379</c:v>
              </c:pt>
              <c:pt idx="349">
                <c:v>0.32800000000000001</c:v>
              </c:pt>
              <c:pt idx="350">
                <c:v>0.41099999999999998</c:v>
              </c:pt>
              <c:pt idx="351">
                <c:v>0.40400000000000003</c:v>
              </c:pt>
              <c:pt idx="352">
                <c:v>0.311</c:v>
              </c:pt>
              <c:pt idx="353">
                <c:v>0.45300000000000001</c:v>
              </c:pt>
              <c:pt idx="354">
                <c:v>0.33</c:v>
              </c:pt>
              <c:pt idx="355">
                <c:v>0.35799999999999998</c:v>
              </c:pt>
              <c:pt idx="356">
                <c:v>0.45500000000000002</c:v>
              </c:pt>
              <c:pt idx="357">
                <c:v>0.30399999999999999</c:v>
              </c:pt>
              <c:pt idx="358">
                <c:v>0.48899999999999999</c:v>
              </c:pt>
              <c:pt idx="359">
                <c:v>0.308</c:v>
              </c:pt>
              <c:pt idx="360">
                <c:v>0.32200000000000001</c:v>
              </c:pt>
              <c:pt idx="361">
                <c:v>0.60099999999999998</c:v>
              </c:pt>
              <c:pt idx="362">
                <c:v>0.70499999999999996</c:v>
              </c:pt>
              <c:pt idx="363">
                <c:v>0.76700000000000002</c:v>
              </c:pt>
              <c:pt idx="364">
                <c:v>0.74</c:v>
              </c:pt>
              <c:pt idx="365">
                <c:v>0.67800000000000005</c:v>
              </c:pt>
              <c:pt idx="366">
                <c:v>0.78200000000000003</c:v>
              </c:pt>
              <c:pt idx="367">
                <c:v>0.76800000000000002</c:v>
              </c:pt>
              <c:pt idx="368">
                <c:v>0.72099999999999997</c:v>
              </c:pt>
              <c:pt idx="369">
                <c:v>0.85499999999999998</c:v>
              </c:pt>
              <c:pt idx="370">
                <c:v>0.70199999999999996</c:v>
              </c:pt>
              <c:pt idx="371">
                <c:v>0.67900000000000005</c:v>
              </c:pt>
              <c:pt idx="372">
                <c:v>0.81200000000000006</c:v>
              </c:pt>
              <c:pt idx="373">
                <c:v>0.71599999999999997</c:v>
              </c:pt>
              <c:pt idx="374">
                <c:v>0.755</c:v>
              </c:pt>
              <c:pt idx="375">
                <c:v>0.60699999999999998</c:v>
              </c:pt>
              <c:pt idx="376">
                <c:v>0.27900000000000003</c:v>
              </c:pt>
              <c:pt idx="377">
                <c:v>0.33500000000000002</c:v>
              </c:pt>
              <c:pt idx="378">
                <c:v>0.44500000000000001</c:v>
              </c:pt>
              <c:pt idx="379">
                <c:v>0.33</c:v>
              </c:pt>
              <c:pt idx="380">
                <c:v>0.434</c:v>
              </c:pt>
              <c:pt idx="381">
                <c:v>0.26100000000000001</c:v>
              </c:pt>
              <c:pt idx="382">
                <c:v>0.35</c:v>
              </c:pt>
              <c:pt idx="383">
                <c:v>0.44</c:v>
              </c:pt>
              <c:pt idx="384">
                <c:v>0.311</c:v>
              </c:pt>
              <c:pt idx="385">
                <c:v>0.36199999999999999</c:v>
              </c:pt>
              <c:pt idx="386">
                <c:v>0.31</c:v>
              </c:pt>
              <c:pt idx="387">
                <c:v>0.34699999999999998</c:v>
              </c:pt>
              <c:pt idx="388">
                <c:v>0.33900000000000002</c:v>
              </c:pt>
              <c:pt idx="389">
                <c:v>0.26600000000000001</c:v>
              </c:pt>
              <c:pt idx="390">
                <c:v>0.36599999999999999</c:v>
              </c:pt>
              <c:pt idx="391">
                <c:v>0.28899999999999998</c:v>
              </c:pt>
              <c:pt idx="392">
                <c:v>0.35899999999999999</c:v>
              </c:pt>
              <c:pt idx="393">
                <c:v>0.36399999999999999</c:v>
              </c:pt>
              <c:pt idx="394">
                <c:v>0.29299999999999998</c:v>
              </c:pt>
              <c:pt idx="395">
                <c:v>0.55900000000000005</c:v>
              </c:pt>
              <c:pt idx="396">
                <c:v>0.65600000000000003</c:v>
              </c:pt>
              <c:pt idx="397">
                <c:v>0.71299999999999997</c:v>
              </c:pt>
              <c:pt idx="398">
                <c:v>0.76800000000000002</c:v>
              </c:pt>
              <c:pt idx="399">
                <c:v>0.34200000000000003</c:v>
              </c:pt>
              <c:pt idx="400">
                <c:v>0.39200000000000002</c:v>
              </c:pt>
              <c:pt idx="401">
                <c:v>0.28199999999999997</c:v>
              </c:pt>
              <c:pt idx="402">
                <c:v>0.372</c:v>
              </c:pt>
              <c:pt idx="403">
                <c:v>0.32700000000000001</c:v>
              </c:pt>
              <c:pt idx="404">
                <c:v>0.31900000000000001</c:v>
              </c:pt>
              <c:pt idx="405">
                <c:v>0.35899999999999999</c:v>
              </c:pt>
              <c:pt idx="406">
                <c:v>0.27500000000000002</c:v>
              </c:pt>
              <c:pt idx="407">
                <c:v>0.39700000000000002</c:v>
              </c:pt>
              <c:pt idx="408">
                <c:v>0.311</c:v>
              </c:pt>
              <c:pt idx="409">
                <c:v>0.313</c:v>
              </c:pt>
              <c:pt idx="410">
                <c:v>0.42499999999999999</c:v>
              </c:pt>
              <c:pt idx="411">
                <c:v>0.28299999999999997</c:v>
              </c:pt>
              <c:pt idx="412">
                <c:v>0.375</c:v>
              </c:pt>
              <c:pt idx="413">
                <c:v>0.26100000000000001</c:v>
              </c:pt>
              <c:pt idx="414">
                <c:v>0.29899999999999999</c:v>
              </c:pt>
              <c:pt idx="415">
                <c:v>0.46800000000000003</c:v>
              </c:pt>
              <c:pt idx="416">
                <c:v>0.28699999999999998</c:v>
              </c:pt>
              <c:pt idx="417">
                <c:v>0.29899999999999999</c:v>
              </c:pt>
              <c:pt idx="418">
                <c:v>0.38200000000000001</c:v>
              </c:pt>
              <c:pt idx="419">
                <c:v>0.30299999999999999</c:v>
              </c:pt>
              <c:pt idx="420">
                <c:v>0.748</c:v>
              </c:pt>
              <c:pt idx="421">
                <c:v>0.70099999999999996</c:v>
              </c:pt>
              <c:pt idx="422">
                <c:v>0.65100000000000002</c:v>
              </c:pt>
              <c:pt idx="423">
                <c:v>0.73899999999999999</c:v>
              </c:pt>
              <c:pt idx="424">
                <c:v>0.627</c:v>
              </c:pt>
              <c:pt idx="425">
                <c:v>0.71299999999999997</c:v>
              </c:pt>
              <c:pt idx="426">
                <c:v>0.39800000000000002</c:v>
              </c:pt>
              <c:pt idx="427">
                <c:v>0.28000000000000003</c:v>
              </c:pt>
              <c:pt idx="428">
                <c:v>0.31</c:v>
              </c:pt>
              <c:pt idx="429">
                <c:v>0.27200000000000002</c:v>
              </c:pt>
              <c:pt idx="430">
                <c:v>0.28399999999999997</c:v>
              </c:pt>
              <c:pt idx="431">
                <c:v>0.41499999999999998</c:v>
              </c:pt>
              <c:pt idx="432">
                <c:v>0.27700000000000002</c:v>
              </c:pt>
              <c:pt idx="433">
                <c:v>0.32200000000000001</c:v>
              </c:pt>
              <c:pt idx="434">
                <c:v>0.39500000000000002</c:v>
              </c:pt>
              <c:pt idx="435">
                <c:v>0.33200000000000002</c:v>
              </c:pt>
              <c:pt idx="436">
                <c:v>0.44500000000000001</c:v>
              </c:pt>
              <c:pt idx="437">
                <c:v>0.32</c:v>
              </c:pt>
              <c:pt idx="438">
                <c:v>0.35499999999999998</c:v>
              </c:pt>
              <c:pt idx="439">
                <c:v>0.29499999999999998</c:v>
              </c:pt>
              <c:pt idx="440">
                <c:v>0.34300000000000003</c:v>
              </c:pt>
              <c:pt idx="441">
                <c:v>0.28999999999999998</c:v>
              </c:pt>
              <c:pt idx="442">
                <c:v>0.29299999999999998</c:v>
              </c:pt>
              <c:pt idx="443">
                <c:v>0.41199999999999998</c:v>
              </c:pt>
              <c:pt idx="444">
                <c:v>0.28899999999999998</c:v>
              </c:pt>
              <c:pt idx="445">
                <c:v>0.27900000000000003</c:v>
              </c:pt>
              <c:pt idx="446">
                <c:v>0.61399999999999999</c:v>
              </c:pt>
              <c:pt idx="447">
                <c:v>0.42499999999999999</c:v>
              </c:pt>
              <c:pt idx="448">
                <c:v>0.89700000000000002</c:v>
              </c:pt>
              <c:pt idx="449">
                <c:v>0.82</c:v>
              </c:pt>
              <c:pt idx="450">
                <c:v>0.77700000000000002</c:v>
              </c:pt>
              <c:pt idx="451">
                <c:v>0.71699999999999997</c:v>
              </c:pt>
              <c:pt idx="452">
                <c:v>0.83799999999999997</c:v>
              </c:pt>
              <c:pt idx="453">
                <c:v>0.876</c:v>
              </c:pt>
              <c:pt idx="454">
                <c:v>0.78800000000000003</c:v>
              </c:pt>
              <c:pt idx="455">
                <c:v>0.78200000000000003</c:v>
              </c:pt>
              <c:pt idx="456">
                <c:v>0.77500000000000002</c:v>
              </c:pt>
              <c:pt idx="457">
                <c:v>0.85099999999999998</c:v>
              </c:pt>
              <c:pt idx="458">
                <c:v>0.98899999999999999</c:v>
              </c:pt>
              <c:pt idx="459">
                <c:v>0.95599999999999996</c:v>
              </c:pt>
              <c:pt idx="460">
                <c:v>0.77800000000000002</c:v>
              </c:pt>
              <c:pt idx="461">
                <c:v>0.79200000000000004</c:v>
              </c:pt>
              <c:pt idx="462">
                <c:v>0.94799999999999995</c:v>
              </c:pt>
              <c:pt idx="463">
                <c:v>0.75600000000000001</c:v>
              </c:pt>
              <c:pt idx="464">
                <c:v>0.85499999999999998</c:v>
              </c:pt>
              <c:pt idx="465">
                <c:v>0.93200000000000005</c:v>
              </c:pt>
              <c:pt idx="466">
                <c:v>0.81</c:v>
              </c:pt>
              <c:pt idx="467">
                <c:v>0.83099999999999996</c:v>
              </c:pt>
              <c:pt idx="468">
                <c:v>0.82299999999999995</c:v>
              </c:pt>
              <c:pt idx="469">
                <c:v>0.78</c:v>
              </c:pt>
              <c:pt idx="470">
                <c:v>0.83699999999999997</c:v>
              </c:pt>
              <c:pt idx="471">
                <c:v>0.91800000000000004</c:v>
              </c:pt>
              <c:pt idx="472">
                <c:v>0.74299999999999999</c:v>
              </c:pt>
              <c:pt idx="473">
                <c:v>0.83299999999999996</c:v>
              </c:pt>
              <c:pt idx="474">
                <c:v>0.95599999999999996</c:v>
              </c:pt>
              <c:pt idx="475">
                <c:v>0.75600000000000001</c:v>
              </c:pt>
              <c:pt idx="476">
                <c:v>0.75</c:v>
              </c:pt>
              <c:pt idx="477">
                <c:v>0.88500000000000001</c:v>
              </c:pt>
              <c:pt idx="478">
                <c:v>0.753</c:v>
              </c:pt>
              <c:pt idx="479">
                <c:v>0.81899999999999995</c:v>
              </c:pt>
              <c:pt idx="480">
                <c:v>0.91</c:v>
              </c:pt>
              <c:pt idx="481">
                <c:v>0.76200000000000001</c:v>
              </c:pt>
              <c:pt idx="482">
                <c:v>0.84199999999999997</c:v>
              </c:pt>
              <c:pt idx="483">
                <c:v>0.88300000000000001</c:v>
              </c:pt>
              <c:pt idx="484">
                <c:v>0.75800000000000001</c:v>
              </c:pt>
              <c:pt idx="485">
                <c:v>0.84</c:v>
              </c:pt>
              <c:pt idx="486">
                <c:v>0.43</c:v>
              </c:pt>
              <c:pt idx="487">
                <c:v>0.309</c:v>
              </c:pt>
              <c:pt idx="488">
                <c:v>0.4</c:v>
              </c:pt>
              <c:pt idx="489">
                <c:v>0.33900000000000002</c:v>
              </c:pt>
              <c:pt idx="490">
                <c:v>0.373</c:v>
              </c:pt>
              <c:pt idx="491">
                <c:v>0.47099999999999997</c:v>
              </c:pt>
              <c:pt idx="492">
                <c:v>0.38400000000000001</c:v>
              </c:pt>
              <c:pt idx="493">
                <c:v>0.33100000000000002</c:v>
              </c:pt>
              <c:pt idx="494">
                <c:v>0.45700000000000002</c:v>
              </c:pt>
              <c:pt idx="495">
                <c:v>0.39500000000000002</c:v>
              </c:pt>
              <c:pt idx="496">
                <c:v>0.42799999999999999</c:v>
              </c:pt>
              <c:pt idx="497">
                <c:v>0.46</c:v>
              </c:pt>
              <c:pt idx="498">
                <c:v>0.35899999999999999</c:v>
              </c:pt>
              <c:pt idx="499">
                <c:v>0.47499999999999998</c:v>
              </c:pt>
              <c:pt idx="500">
                <c:v>0.33400000000000002</c:v>
              </c:pt>
              <c:pt idx="501">
                <c:v>0.36</c:v>
              </c:pt>
              <c:pt idx="502">
                <c:v>0.38200000000000001</c:v>
              </c:pt>
              <c:pt idx="503">
                <c:v>0.35099999999999998</c:v>
              </c:pt>
              <c:pt idx="504">
                <c:v>0.42799999999999999</c:v>
              </c:pt>
              <c:pt idx="505">
                <c:v>0.376</c:v>
              </c:pt>
              <c:pt idx="506">
                <c:v>0.64300000000000002</c:v>
              </c:pt>
              <c:pt idx="507">
                <c:v>0.79100000000000004</c:v>
              </c:pt>
              <c:pt idx="508">
                <c:v>0.79400000000000004</c:v>
              </c:pt>
              <c:pt idx="509">
                <c:v>0.78800000000000003</c:v>
              </c:pt>
              <c:pt idx="510">
                <c:v>0.78400000000000003</c:v>
              </c:pt>
              <c:pt idx="511">
                <c:v>0.77300000000000002</c:v>
              </c:pt>
              <c:pt idx="512">
                <c:v>0.83099999999999996</c:v>
              </c:pt>
              <c:pt idx="513">
                <c:v>0.71</c:v>
              </c:pt>
              <c:pt idx="514">
                <c:v>0.82499999999999996</c:v>
              </c:pt>
              <c:pt idx="515">
                <c:v>0.79800000000000004</c:v>
              </c:pt>
              <c:pt idx="516">
                <c:v>0.72699999999999998</c:v>
              </c:pt>
              <c:pt idx="517">
                <c:v>0.81399999999999995</c:v>
              </c:pt>
              <c:pt idx="518">
                <c:v>0.68700000000000006</c:v>
              </c:pt>
              <c:pt idx="519">
                <c:v>0.76800000000000002</c:v>
              </c:pt>
              <c:pt idx="520">
                <c:v>0.871</c:v>
              </c:pt>
              <c:pt idx="521">
                <c:v>0.72899999999999998</c:v>
              </c:pt>
              <c:pt idx="522">
                <c:v>0.77400000000000002</c:v>
              </c:pt>
              <c:pt idx="523">
                <c:v>0.88500000000000001</c:v>
              </c:pt>
              <c:pt idx="524">
                <c:v>0.747</c:v>
              </c:pt>
              <c:pt idx="525">
                <c:v>0.90800000000000003</c:v>
              </c:pt>
              <c:pt idx="526">
                <c:v>0.64300000000000002</c:v>
              </c:pt>
              <c:pt idx="527">
                <c:v>0.7</c:v>
              </c:pt>
              <c:pt idx="528">
                <c:v>0.84299999999999997</c:v>
              </c:pt>
              <c:pt idx="529">
                <c:v>0.69499999999999995</c:v>
              </c:pt>
              <c:pt idx="530">
                <c:v>0.749</c:v>
              </c:pt>
              <c:pt idx="531">
                <c:v>0.86799999999999999</c:v>
              </c:pt>
              <c:pt idx="532">
                <c:v>0.52800000000000002</c:v>
              </c:pt>
              <c:pt idx="533">
                <c:v>0.38300000000000001</c:v>
              </c:pt>
              <c:pt idx="534">
                <c:v>0.52900000000000003</c:v>
              </c:pt>
              <c:pt idx="535">
                <c:v>0.29599999999999999</c:v>
              </c:pt>
              <c:pt idx="536">
                <c:v>0.312</c:v>
              </c:pt>
              <c:pt idx="537">
                <c:v>0.45</c:v>
              </c:pt>
              <c:pt idx="538">
                <c:v>0.29299999999999998</c:v>
              </c:pt>
              <c:pt idx="539">
                <c:v>0.36799999999999999</c:v>
              </c:pt>
              <c:pt idx="540">
                <c:v>0.45500000000000002</c:v>
              </c:pt>
              <c:pt idx="541">
                <c:v>0.31900000000000001</c:v>
              </c:pt>
              <c:pt idx="542">
                <c:v>0.43099999999999999</c:v>
              </c:pt>
              <c:pt idx="543">
                <c:v>0.30499999999999999</c:v>
              </c:pt>
              <c:pt idx="544">
                <c:v>0.36399999999999999</c:v>
              </c:pt>
              <c:pt idx="545">
                <c:v>0.46600000000000003</c:v>
              </c:pt>
              <c:pt idx="546">
                <c:v>0.311</c:v>
              </c:pt>
              <c:pt idx="547">
                <c:v>0.34799999999999998</c:v>
              </c:pt>
              <c:pt idx="548">
                <c:v>0.32200000000000001</c:v>
              </c:pt>
              <c:pt idx="549">
                <c:v>0.32300000000000001</c:v>
              </c:pt>
              <c:pt idx="550">
                <c:v>0.47899999999999998</c:v>
              </c:pt>
              <c:pt idx="551">
                <c:v>0.28299999999999997</c:v>
              </c:pt>
              <c:pt idx="552">
                <c:v>0.56499999999999995</c:v>
              </c:pt>
              <c:pt idx="553">
                <c:v>0.90300000000000002</c:v>
              </c:pt>
              <c:pt idx="554">
                <c:v>0.66800000000000004</c:v>
              </c:pt>
              <c:pt idx="555">
                <c:v>0.75900000000000001</c:v>
              </c:pt>
              <c:pt idx="556">
                <c:v>0.73</c:v>
              </c:pt>
              <c:pt idx="557">
                <c:v>0.69299999999999995</c:v>
              </c:pt>
              <c:pt idx="558">
                <c:v>0.81299999999999994</c:v>
              </c:pt>
              <c:pt idx="559">
                <c:v>0.51300000000000001</c:v>
              </c:pt>
              <c:pt idx="560">
                <c:v>0.38100000000000001</c:v>
              </c:pt>
              <c:pt idx="561">
                <c:v>0.46500000000000002</c:v>
              </c:pt>
              <c:pt idx="562">
                <c:v>0.28199999999999997</c:v>
              </c:pt>
              <c:pt idx="563">
                <c:v>0.34</c:v>
              </c:pt>
              <c:pt idx="564">
                <c:v>0.38700000000000001</c:v>
              </c:pt>
              <c:pt idx="565">
                <c:v>0.32200000000000001</c:v>
              </c:pt>
              <c:pt idx="566">
                <c:v>0.42699999999999999</c:v>
              </c:pt>
              <c:pt idx="567">
                <c:v>0.29499999999999998</c:v>
              </c:pt>
              <c:pt idx="568">
                <c:v>0.35299999999999998</c:v>
              </c:pt>
              <c:pt idx="569">
                <c:v>0.437</c:v>
              </c:pt>
              <c:pt idx="570">
                <c:v>0.36399999999999999</c:v>
              </c:pt>
              <c:pt idx="571">
                <c:v>0.45800000000000002</c:v>
              </c:pt>
              <c:pt idx="572">
                <c:v>0.314</c:v>
              </c:pt>
              <c:pt idx="573">
                <c:v>0.38200000000000001</c:v>
              </c:pt>
              <c:pt idx="574">
                <c:v>0.375</c:v>
              </c:pt>
              <c:pt idx="575">
                <c:v>0.29099999999999998</c:v>
              </c:pt>
              <c:pt idx="576">
                <c:v>0.46200000000000002</c:v>
              </c:pt>
              <c:pt idx="577">
                <c:v>0.27900000000000003</c:v>
              </c:pt>
              <c:pt idx="578">
                <c:v>0.39300000000000002</c:v>
              </c:pt>
              <c:pt idx="579">
                <c:v>0.72799999999999998</c:v>
              </c:pt>
              <c:pt idx="580">
                <c:v>0.70399999999999996</c:v>
              </c:pt>
              <c:pt idx="581">
                <c:v>0.89400000000000002</c:v>
              </c:pt>
              <c:pt idx="582">
                <c:v>0.68500000000000005</c:v>
              </c:pt>
              <c:pt idx="583">
                <c:v>0.94399999999999995</c:v>
              </c:pt>
              <c:pt idx="584">
                <c:v>1.01</c:v>
              </c:pt>
              <c:pt idx="585">
                <c:v>0.76</c:v>
              </c:pt>
              <c:pt idx="586">
                <c:v>0.86099999999999999</c:v>
              </c:pt>
              <c:pt idx="587">
                <c:v>0.92600000000000005</c:v>
              </c:pt>
              <c:pt idx="588">
                <c:v>0.82</c:v>
              </c:pt>
              <c:pt idx="589">
                <c:v>0.86299999999999999</c:v>
              </c:pt>
              <c:pt idx="590">
                <c:v>0.76600000000000001</c:v>
              </c:pt>
              <c:pt idx="591">
                <c:v>0.441</c:v>
              </c:pt>
              <c:pt idx="592">
                <c:v>0.44400000000000001</c:v>
              </c:pt>
              <c:pt idx="593">
                <c:v>0.48099999999999998</c:v>
              </c:pt>
              <c:pt idx="594">
                <c:v>0.59499999999999997</c:v>
              </c:pt>
              <c:pt idx="595">
                <c:v>0.56599999999999995</c:v>
              </c:pt>
              <c:pt idx="596">
                <c:v>0.44</c:v>
              </c:pt>
              <c:pt idx="597">
                <c:v>0.50900000000000001</c:v>
              </c:pt>
              <c:pt idx="598">
                <c:v>0.61599999999999999</c:v>
              </c:pt>
              <c:pt idx="599">
                <c:v>0.745</c:v>
              </c:pt>
              <c:pt idx="600">
                <c:v>0.48399999999999999</c:v>
              </c:pt>
              <c:pt idx="601">
                <c:v>0.71299999999999997</c:v>
              </c:pt>
              <c:pt idx="602">
                <c:v>0.64700000000000002</c:v>
              </c:pt>
              <c:pt idx="603">
                <c:v>0.749</c:v>
              </c:pt>
              <c:pt idx="604">
                <c:v>0.80500000000000005</c:v>
              </c:pt>
              <c:pt idx="605">
                <c:v>0.72799999999999998</c:v>
              </c:pt>
              <c:pt idx="606">
                <c:v>0.69099999999999995</c:v>
              </c:pt>
              <c:pt idx="607">
                <c:v>0.79300000000000004</c:v>
              </c:pt>
              <c:pt idx="608">
                <c:v>0.68100000000000005</c:v>
              </c:pt>
              <c:pt idx="609">
                <c:v>0.74</c:v>
              </c:pt>
              <c:pt idx="610">
                <c:v>0.76500000000000001</c:v>
              </c:pt>
              <c:pt idx="611">
                <c:v>0.74299999999999999</c:v>
              </c:pt>
              <c:pt idx="612">
                <c:v>0.73</c:v>
              </c:pt>
              <c:pt idx="613">
                <c:v>0.83599999999999997</c:v>
              </c:pt>
              <c:pt idx="614">
                <c:v>0.69399999999999995</c:v>
              </c:pt>
              <c:pt idx="615">
                <c:v>0.74399999999999999</c:v>
              </c:pt>
              <c:pt idx="616">
                <c:v>0.83799999999999997</c:v>
              </c:pt>
              <c:pt idx="617">
                <c:v>0.69699999999999995</c:v>
              </c:pt>
              <c:pt idx="618">
                <c:v>0.68700000000000006</c:v>
              </c:pt>
              <c:pt idx="619">
                <c:v>0.76300000000000001</c:v>
              </c:pt>
              <c:pt idx="620">
                <c:v>0.755</c:v>
              </c:pt>
              <c:pt idx="621">
                <c:v>0.92800000000000005</c:v>
              </c:pt>
              <c:pt idx="622">
                <c:v>0.94299999999999995</c:v>
              </c:pt>
              <c:pt idx="623">
                <c:v>0.875</c:v>
              </c:pt>
              <c:pt idx="624">
                <c:v>0.92700000000000005</c:v>
              </c:pt>
              <c:pt idx="625">
                <c:v>0.93</c:v>
              </c:pt>
              <c:pt idx="626">
                <c:v>0.88700000000000001</c:v>
              </c:pt>
              <c:pt idx="627">
                <c:v>0.88200000000000001</c:v>
              </c:pt>
              <c:pt idx="628">
                <c:v>0.92600000000000005</c:v>
              </c:pt>
              <c:pt idx="629">
                <c:v>0.90700000000000003</c:v>
              </c:pt>
              <c:pt idx="630">
                <c:v>0.95599999999999996</c:v>
              </c:pt>
              <c:pt idx="631">
                <c:v>0.876</c:v>
              </c:pt>
              <c:pt idx="632">
                <c:v>0.89300000000000002</c:v>
              </c:pt>
              <c:pt idx="633">
                <c:v>0.94099999999999995</c:v>
              </c:pt>
              <c:pt idx="634">
                <c:v>0.88300000000000001</c:v>
              </c:pt>
              <c:pt idx="635">
                <c:v>0.92700000000000005</c:v>
              </c:pt>
              <c:pt idx="636">
                <c:v>0.93600000000000005</c:v>
              </c:pt>
              <c:pt idx="637">
                <c:v>0.89600000000000002</c:v>
              </c:pt>
              <c:pt idx="638">
                <c:v>0.93799999999999994</c:v>
              </c:pt>
              <c:pt idx="639">
                <c:v>0.96599999999999997</c:v>
              </c:pt>
              <c:pt idx="640">
                <c:v>0.90900000000000003</c:v>
              </c:pt>
              <c:pt idx="641">
                <c:v>0.91300000000000003</c:v>
              </c:pt>
              <c:pt idx="642">
                <c:v>1.002</c:v>
              </c:pt>
              <c:pt idx="643">
                <c:v>0.90900000000000003</c:v>
              </c:pt>
              <c:pt idx="644">
                <c:v>0.93899999999999995</c:v>
              </c:pt>
              <c:pt idx="645">
                <c:v>0.94799999999999995</c:v>
              </c:pt>
              <c:pt idx="646">
                <c:v>0.97799999999999998</c:v>
              </c:pt>
              <c:pt idx="647">
                <c:v>0.95299999999999996</c:v>
              </c:pt>
              <c:pt idx="648">
                <c:v>0.96099999999999997</c:v>
              </c:pt>
              <c:pt idx="649">
                <c:v>0.91300000000000003</c:v>
              </c:pt>
              <c:pt idx="650">
                <c:v>0.95099999999999996</c:v>
              </c:pt>
              <c:pt idx="651">
                <c:v>0.95799999999999996</c:v>
              </c:pt>
              <c:pt idx="652">
                <c:v>0.95199999999999996</c:v>
              </c:pt>
              <c:pt idx="653">
                <c:v>0.96099999999999997</c:v>
              </c:pt>
              <c:pt idx="654">
                <c:v>0.95199999999999996</c:v>
              </c:pt>
              <c:pt idx="655">
                <c:v>0.92600000000000005</c:v>
              </c:pt>
              <c:pt idx="656">
                <c:v>0.94199999999999995</c:v>
              </c:pt>
              <c:pt idx="657">
                <c:v>0.98299999999999998</c:v>
              </c:pt>
              <c:pt idx="658">
                <c:v>0.93</c:v>
              </c:pt>
              <c:pt idx="659">
                <c:v>0.94299999999999995</c:v>
              </c:pt>
              <c:pt idx="660">
                <c:v>0.95399999999999996</c:v>
              </c:pt>
              <c:pt idx="661">
                <c:v>0.93600000000000005</c:v>
              </c:pt>
              <c:pt idx="662">
                <c:v>0.95599999999999996</c:v>
              </c:pt>
              <c:pt idx="663">
                <c:v>1.0069999999999999</c:v>
              </c:pt>
              <c:pt idx="664">
                <c:v>0.92800000000000005</c:v>
              </c:pt>
              <c:pt idx="665">
                <c:v>0.95299999999999996</c:v>
              </c:pt>
              <c:pt idx="666">
                <c:v>0.97699999999999998</c:v>
              </c:pt>
              <c:pt idx="667">
                <c:v>0.97599999999999998</c:v>
              </c:pt>
              <c:pt idx="668">
                <c:v>0.96299999999999997</c:v>
              </c:pt>
              <c:pt idx="669">
                <c:v>0.96899999999999997</c:v>
              </c:pt>
              <c:pt idx="670">
                <c:v>0.94599999999999995</c:v>
              </c:pt>
              <c:pt idx="671">
                <c:v>0.95499999999999996</c:v>
              </c:pt>
              <c:pt idx="672">
                <c:v>0.97299999999999998</c:v>
              </c:pt>
              <c:pt idx="673">
                <c:v>0.99099999999999999</c:v>
              </c:pt>
              <c:pt idx="674">
                <c:v>0.98399999999999999</c:v>
              </c:pt>
              <c:pt idx="675">
                <c:v>0.99099999999999999</c:v>
              </c:pt>
              <c:pt idx="676">
                <c:v>0.98699999999999999</c:v>
              </c:pt>
              <c:pt idx="677">
                <c:v>0.96399999999999997</c:v>
              </c:pt>
              <c:pt idx="678">
                <c:v>0.97</c:v>
              </c:pt>
              <c:pt idx="679">
                <c:v>0.96399999999999997</c:v>
              </c:pt>
              <c:pt idx="680">
                <c:v>0.93799999999999994</c:v>
              </c:pt>
              <c:pt idx="681">
                <c:v>0.98299999999999998</c:v>
              </c:pt>
              <c:pt idx="682">
                <c:v>0.98</c:v>
              </c:pt>
              <c:pt idx="683">
                <c:v>0.95</c:v>
              </c:pt>
              <c:pt idx="684">
                <c:v>0.98799999999999999</c:v>
              </c:pt>
              <c:pt idx="685">
                <c:v>0.98799999999999999</c:v>
              </c:pt>
              <c:pt idx="686">
                <c:v>0.89900000000000002</c:v>
              </c:pt>
              <c:pt idx="687">
                <c:v>0.98599999999999999</c:v>
              </c:pt>
              <c:pt idx="688">
                <c:v>0.96599999999999997</c:v>
              </c:pt>
              <c:pt idx="689">
                <c:v>0.95599999999999996</c:v>
              </c:pt>
              <c:pt idx="690">
                <c:v>0.98599999999999999</c:v>
              </c:pt>
              <c:pt idx="691">
                <c:v>0.96799999999999997</c:v>
              </c:pt>
              <c:pt idx="692">
                <c:v>0.95099999999999996</c:v>
              </c:pt>
              <c:pt idx="693">
                <c:v>0.98199999999999998</c:v>
              </c:pt>
              <c:pt idx="694">
                <c:v>1.0009999999999999</c:v>
              </c:pt>
              <c:pt idx="695">
                <c:v>0.98199999999999998</c:v>
              </c:pt>
              <c:pt idx="696">
                <c:v>0.98299999999999998</c:v>
              </c:pt>
              <c:pt idx="697">
                <c:v>0.96499999999999997</c:v>
              </c:pt>
              <c:pt idx="698">
                <c:v>0.96</c:v>
              </c:pt>
              <c:pt idx="699">
                <c:v>0.97099999999999997</c:v>
              </c:pt>
              <c:pt idx="700">
                <c:v>0.96699999999999997</c:v>
              </c:pt>
              <c:pt idx="701">
                <c:v>0.97699999999999998</c:v>
              </c:pt>
              <c:pt idx="702">
                <c:v>0.96899999999999997</c:v>
              </c:pt>
              <c:pt idx="703">
                <c:v>0.96299999999999997</c:v>
              </c:pt>
              <c:pt idx="704">
                <c:v>0.995</c:v>
              </c:pt>
              <c:pt idx="705">
                <c:v>0.997</c:v>
              </c:pt>
              <c:pt idx="706">
                <c:v>0.96</c:v>
              </c:pt>
              <c:pt idx="707">
                <c:v>0.97799999999999998</c:v>
              </c:pt>
              <c:pt idx="708">
                <c:v>0.95199999999999996</c:v>
              </c:pt>
              <c:pt idx="709">
                <c:v>0.95399999999999996</c:v>
              </c:pt>
              <c:pt idx="710">
                <c:v>1.012</c:v>
              </c:pt>
              <c:pt idx="711">
                <c:v>0.95599999999999996</c:v>
              </c:pt>
              <c:pt idx="712">
                <c:v>0.96599999999999997</c:v>
              </c:pt>
              <c:pt idx="713">
                <c:v>1.0049999999999999</c:v>
              </c:pt>
              <c:pt idx="714">
                <c:v>0.96799999999999997</c:v>
              </c:pt>
              <c:pt idx="715">
                <c:v>0.95699999999999996</c:v>
              </c:pt>
              <c:pt idx="716">
                <c:v>0.98399999999999999</c:v>
              </c:pt>
              <c:pt idx="717">
                <c:v>0.97599999999999998</c:v>
              </c:pt>
              <c:pt idx="718">
                <c:v>0.96699999999999997</c:v>
              </c:pt>
              <c:pt idx="719">
                <c:v>0.97199999999999998</c:v>
              </c:pt>
              <c:pt idx="720">
                <c:v>0.96799999999999997</c:v>
              </c:pt>
              <c:pt idx="721">
                <c:v>0.995</c:v>
              </c:pt>
              <c:pt idx="722">
                <c:v>0.97399999999999998</c:v>
              </c:pt>
              <c:pt idx="723">
                <c:v>0.94699999999999995</c:v>
              </c:pt>
              <c:pt idx="724">
                <c:v>0.95199999999999996</c:v>
              </c:pt>
              <c:pt idx="725">
                <c:v>0.97399999999999998</c:v>
              </c:pt>
              <c:pt idx="726">
                <c:v>0.98699999999999999</c:v>
              </c:pt>
              <c:pt idx="727">
                <c:v>0.98</c:v>
              </c:pt>
              <c:pt idx="728">
                <c:v>0.96899999999999997</c:v>
              </c:pt>
              <c:pt idx="729">
                <c:v>1.016</c:v>
              </c:pt>
              <c:pt idx="730">
                <c:v>0.995</c:v>
              </c:pt>
              <c:pt idx="731">
                <c:v>0.98899999999999999</c:v>
              </c:pt>
              <c:pt idx="732">
                <c:v>0.96799999999999997</c:v>
              </c:pt>
              <c:pt idx="733">
                <c:v>0.97299999999999998</c:v>
              </c:pt>
              <c:pt idx="734">
                <c:v>0.99</c:v>
              </c:pt>
              <c:pt idx="735">
                <c:v>0.93899999999999995</c:v>
              </c:pt>
              <c:pt idx="736">
                <c:v>0.98699999999999999</c:v>
              </c:pt>
              <c:pt idx="737">
                <c:v>0.98299999999999998</c:v>
              </c:pt>
              <c:pt idx="738">
                <c:v>0.98099999999999998</c:v>
              </c:pt>
              <c:pt idx="739">
                <c:v>0.96399999999999997</c:v>
              </c:pt>
              <c:pt idx="740">
                <c:v>0.97699999999999998</c:v>
              </c:pt>
              <c:pt idx="741">
                <c:v>0.97099999999999997</c:v>
              </c:pt>
              <c:pt idx="742">
                <c:v>0.995</c:v>
              </c:pt>
              <c:pt idx="743">
                <c:v>0.97299999999999998</c:v>
              </c:pt>
              <c:pt idx="744">
                <c:v>0.95899999999999996</c:v>
              </c:pt>
              <c:pt idx="745">
                <c:v>0.99299999999999999</c:v>
              </c:pt>
              <c:pt idx="746">
                <c:v>0.99299999999999999</c:v>
              </c:pt>
              <c:pt idx="747">
                <c:v>0.97899999999999998</c:v>
              </c:pt>
              <c:pt idx="748">
                <c:v>0.95399999999999996</c:v>
              </c:pt>
              <c:pt idx="749">
                <c:v>0.96299999999999997</c:v>
              </c:pt>
              <c:pt idx="750">
                <c:v>0.96099999999999997</c:v>
              </c:pt>
              <c:pt idx="751">
                <c:v>0.94099999999999995</c:v>
              </c:pt>
              <c:pt idx="752">
                <c:v>0.93100000000000005</c:v>
              </c:pt>
              <c:pt idx="753">
                <c:v>0.95199999999999996</c:v>
              </c:pt>
              <c:pt idx="754">
                <c:v>0.93400000000000005</c:v>
              </c:pt>
              <c:pt idx="755">
                <c:v>0.96</c:v>
              </c:pt>
              <c:pt idx="756">
                <c:v>0.95099999999999996</c:v>
              </c:pt>
              <c:pt idx="757">
                <c:v>1.0029999999999999</c:v>
              </c:pt>
              <c:pt idx="758">
                <c:v>0.98799999999999999</c:v>
              </c:pt>
              <c:pt idx="759">
                <c:v>0.95399999999999996</c:v>
              </c:pt>
              <c:pt idx="760">
                <c:v>0.98299999999999998</c:v>
              </c:pt>
              <c:pt idx="761">
                <c:v>0.97</c:v>
              </c:pt>
              <c:pt idx="762">
                <c:v>0.98899999999999999</c:v>
              </c:pt>
              <c:pt idx="763">
                <c:v>0.96899999999999997</c:v>
              </c:pt>
              <c:pt idx="764">
                <c:v>0.98799999999999999</c:v>
              </c:pt>
              <c:pt idx="765">
                <c:v>0.94599999999999995</c:v>
              </c:pt>
              <c:pt idx="766">
                <c:v>0.96299999999999997</c:v>
              </c:pt>
              <c:pt idx="767">
                <c:v>1.0089999999999999</c:v>
              </c:pt>
              <c:pt idx="768">
                <c:v>0.98299999999999998</c:v>
              </c:pt>
              <c:pt idx="769">
                <c:v>0.95199999999999996</c:v>
              </c:pt>
              <c:pt idx="770">
                <c:v>0.98099999999999998</c:v>
              </c:pt>
              <c:pt idx="771">
                <c:v>1.002</c:v>
              </c:pt>
              <c:pt idx="772">
                <c:v>0.98499999999999999</c:v>
              </c:pt>
              <c:pt idx="773">
                <c:v>0.96799999999999997</c:v>
              </c:pt>
              <c:pt idx="774">
                <c:v>0.96</c:v>
              </c:pt>
              <c:pt idx="775">
                <c:v>0.97599999999999998</c:v>
              </c:pt>
              <c:pt idx="776">
                <c:v>0.97199999999999998</c:v>
              </c:pt>
              <c:pt idx="777">
                <c:v>0.94599999999999995</c:v>
              </c:pt>
              <c:pt idx="778">
                <c:v>0.96099999999999997</c:v>
              </c:pt>
              <c:pt idx="779">
                <c:v>0.94899999999999995</c:v>
              </c:pt>
              <c:pt idx="780">
                <c:v>0.95899999999999996</c:v>
              </c:pt>
              <c:pt idx="781">
                <c:v>0.98399999999999999</c:v>
              </c:pt>
              <c:pt idx="782">
                <c:v>0.999</c:v>
              </c:pt>
              <c:pt idx="783">
                <c:v>0.97899999999999998</c:v>
              </c:pt>
              <c:pt idx="784">
                <c:v>0.94899999999999995</c:v>
              </c:pt>
              <c:pt idx="785">
                <c:v>1.0029999999999999</c:v>
              </c:pt>
              <c:pt idx="786">
                <c:v>0.98899999999999999</c:v>
              </c:pt>
              <c:pt idx="787">
                <c:v>0.96899999999999997</c:v>
              </c:pt>
              <c:pt idx="788">
                <c:v>0.98099999999999998</c:v>
              </c:pt>
              <c:pt idx="789">
                <c:v>1.008</c:v>
              </c:pt>
              <c:pt idx="790">
                <c:v>0.98899999999999999</c:v>
              </c:pt>
              <c:pt idx="791">
                <c:v>0.995</c:v>
              </c:pt>
              <c:pt idx="792">
                <c:v>0.97699999999999998</c:v>
              </c:pt>
              <c:pt idx="793">
                <c:v>0.97399999999999998</c:v>
              </c:pt>
              <c:pt idx="794">
                <c:v>0.996</c:v>
              </c:pt>
              <c:pt idx="795">
                <c:v>0.97499999999999998</c:v>
              </c:pt>
              <c:pt idx="796">
                <c:v>0.99399999999999999</c:v>
              </c:pt>
              <c:pt idx="797">
                <c:v>0.97199999999999998</c:v>
              </c:pt>
              <c:pt idx="798">
                <c:v>0.96499999999999997</c:v>
              </c:pt>
              <c:pt idx="799">
                <c:v>0.96699999999999997</c:v>
              </c:pt>
              <c:pt idx="800">
                <c:v>0.97199999999999998</c:v>
              </c:pt>
              <c:pt idx="801">
                <c:v>0.96099999999999997</c:v>
              </c:pt>
              <c:pt idx="802">
                <c:v>0.98</c:v>
              </c:pt>
              <c:pt idx="803">
                <c:v>0.95799999999999996</c:v>
              </c:pt>
              <c:pt idx="804">
                <c:v>0.94899999999999995</c:v>
              </c:pt>
              <c:pt idx="805">
                <c:v>0.95499999999999996</c:v>
              </c:pt>
              <c:pt idx="806">
                <c:v>0.95399999999999996</c:v>
              </c:pt>
              <c:pt idx="807">
                <c:v>0.95799999999999996</c:v>
              </c:pt>
              <c:pt idx="808">
                <c:v>1.002</c:v>
              </c:pt>
              <c:pt idx="809">
                <c:v>0.98799999999999999</c:v>
              </c:pt>
              <c:pt idx="810">
                <c:v>0.94799999999999995</c:v>
              </c:pt>
              <c:pt idx="811">
                <c:v>0.95</c:v>
              </c:pt>
              <c:pt idx="812">
                <c:v>0.95299999999999996</c:v>
              </c:pt>
              <c:pt idx="813">
                <c:v>0.96399999999999997</c:v>
              </c:pt>
              <c:pt idx="814">
                <c:v>0.94799999999999995</c:v>
              </c:pt>
              <c:pt idx="815">
                <c:v>0.95899999999999996</c:v>
              </c:pt>
              <c:pt idx="816">
                <c:v>0.96199999999999997</c:v>
              </c:pt>
              <c:pt idx="817">
                <c:v>0.96099999999999997</c:v>
              </c:pt>
              <c:pt idx="818">
                <c:v>0.97099999999999997</c:v>
              </c:pt>
              <c:pt idx="819">
                <c:v>0.96799999999999997</c:v>
              </c:pt>
              <c:pt idx="820">
                <c:v>0.95699999999999996</c:v>
              </c:pt>
              <c:pt idx="821">
                <c:v>0.94499999999999995</c:v>
              </c:pt>
              <c:pt idx="822">
                <c:v>0.96099999999999997</c:v>
              </c:pt>
              <c:pt idx="823">
                <c:v>0.95</c:v>
              </c:pt>
              <c:pt idx="824">
                <c:v>0.96499999999999997</c:v>
              </c:pt>
              <c:pt idx="825">
                <c:v>0.95799999999999996</c:v>
              </c:pt>
              <c:pt idx="826">
                <c:v>0.95299999999999996</c:v>
              </c:pt>
              <c:pt idx="827">
                <c:v>0.95599999999999996</c:v>
              </c:pt>
              <c:pt idx="828">
                <c:v>0.94199999999999995</c:v>
              </c:pt>
              <c:pt idx="829">
                <c:v>0.95499999999999996</c:v>
              </c:pt>
              <c:pt idx="830">
                <c:v>0.95199999999999996</c:v>
              </c:pt>
              <c:pt idx="831">
                <c:v>0.94599999999999995</c:v>
              </c:pt>
              <c:pt idx="832">
                <c:v>0.96499999999999997</c:v>
              </c:pt>
              <c:pt idx="833">
                <c:v>0.96199999999999997</c:v>
              </c:pt>
              <c:pt idx="834">
                <c:v>0.99399999999999999</c:v>
              </c:pt>
              <c:pt idx="835">
                <c:v>0.96799999999999997</c:v>
              </c:pt>
              <c:pt idx="836">
                <c:v>0.96899999999999997</c:v>
              </c:pt>
              <c:pt idx="837">
                <c:v>0.94599999999999995</c:v>
              </c:pt>
              <c:pt idx="838">
                <c:v>0.95499999999999996</c:v>
              </c:pt>
              <c:pt idx="839">
                <c:v>0.96799999999999997</c:v>
              </c:pt>
              <c:pt idx="840">
                <c:v>0.95199999999999996</c:v>
              </c:pt>
              <c:pt idx="841">
                <c:v>0.95799999999999996</c:v>
              </c:pt>
              <c:pt idx="842">
                <c:v>0.96199999999999997</c:v>
              </c:pt>
              <c:pt idx="843">
                <c:v>0.92300000000000004</c:v>
              </c:pt>
              <c:pt idx="844">
                <c:v>0.92400000000000004</c:v>
              </c:pt>
              <c:pt idx="845">
                <c:v>0.94899999999999995</c:v>
              </c:pt>
              <c:pt idx="846">
                <c:v>0.95099999999999996</c:v>
              </c:pt>
              <c:pt idx="847">
                <c:v>0.96299999999999997</c:v>
              </c:pt>
              <c:pt idx="848">
                <c:v>0.95</c:v>
              </c:pt>
              <c:pt idx="849">
                <c:v>0.96799999999999997</c:v>
              </c:pt>
              <c:pt idx="850">
                <c:v>0.97399999999999998</c:v>
              </c:pt>
              <c:pt idx="851">
                <c:v>0.98199999999999998</c:v>
              </c:pt>
              <c:pt idx="852">
                <c:v>0.99199999999999999</c:v>
              </c:pt>
              <c:pt idx="853">
                <c:v>0.97599999999999998</c:v>
              </c:pt>
              <c:pt idx="854">
                <c:v>0.98399999999999999</c:v>
              </c:pt>
              <c:pt idx="855">
                <c:v>0.98899999999999999</c:v>
              </c:pt>
              <c:pt idx="856">
                <c:v>0.99399999999999999</c:v>
              </c:pt>
              <c:pt idx="857">
                <c:v>0.95399999999999996</c:v>
              </c:pt>
              <c:pt idx="858">
                <c:v>0.96499999999999997</c:v>
              </c:pt>
              <c:pt idx="859">
                <c:v>0.97099999999999997</c:v>
              </c:pt>
              <c:pt idx="860">
                <c:v>0.96</c:v>
              </c:pt>
              <c:pt idx="861">
                <c:v>0.97399999999999998</c:v>
              </c:pt>
              <c:pt idx="862">
                <c:v>0.95399999999999996</c:v>
              </c:pt>
              <c:pt idx="863">
                <c:v>0.95099999999999996</c:v>
              </c:pt>
              <c:pt idx="864">
                <c:v>0.96699999999999997</c:v>
              </c:pt>
              <c:pt idx="865">
                <c:v>0.97699999999999998</c:v>
              </c:pt>
              <c:pt idx="866">
                <c:v>0.97499999999999998</c:v>
              </c:pt>
              <c:pt idx="867">
                <c:v>0.98099999999999998</c:v>
              </c:pt>
              <c:pt idx="868">
                <c:v>0.97699999999999998</c:v>
              </c:pt>
              <c:pt idx="869">
                <c:v>0.98</c:v>
              </c:pt>
              <c:pt idx="870">
                <c:v>0.98899999999999999</c:v>
              </c:pt>
              <c:pt idx="871">
                <c:v>0.99199999999999999</c:v>
              </c:pt>
              <c:pt idx="872">
                <c:v>0.99099999999999999</c:v>
              </c:pt>
              <c:pt idx="873">
                <c:v>0.95699999999999996</c:v>
              </c:pt>
              <c:pt idx="874">
                <c:v>0.96699999999999997</c:v>
              </c:pt>
              <c:pt idx="875">
                <c:v>0.96899999999999997</c:v>
              </c:pt>
              <c:pt idx="876">
                <c:v>1.026</c:v>
              </c:pt>
              <c:pt idx="877">
                <c:v>0.98599999999999999</c:v>
              </c:pt>
              <c:pt idx="878">
                <c:v>0.95199999999999996</c:v>
              </c:pt>
              <c:pt idx="879">
                <c:v>0.96199999999999997</c:v>
              </c:pt>
              <c:pt idx="880">
                <c:v>0.96899999999999997</c:v>
              </c:pt>
              <c:pt idx="881">
                <c:v>0.96699999999999997</c:v>
              </c:pt>
              <c:pt idx="882">
                <c:v>0.97099999999999997</c:v>
              </c:pt>
              <c:pt idx="883">
                <c:v>0.97299999999999998</c:v>
              </c:pt>
              <c:pt idx="884">
                <c:v>0.97899999999999998</c:v>
              </c:pt>
              <c:pt idx="885">
                <c:v>0.98799999999999999</c:v>
              </c:pt>
              <c:pt idx="886">
                <c:v>0.97899999999999998</c:v>
              </c:pt>
              <c:pt idx="887">
                <c:v>0.97599999999999998</c:v>
              </c:pt>
              <c:pt idx="888">
                <c:v>0.98699999999999999</c:v>
              </c:pt>
              <c:pt idx="889">
                <c:v>1.0069999999999999</c:v>
              </c:pt>
              <c:pt idx="890">
                <c:v>0.999</c:v>
              </c:pt>
              <c:pt idx="891">
                <c:v>1.0009999999999999</c:v>
              </c:pt>
              <c:pt idx="892">
                <c:v>1.006</c:v>
              </c:pt>
              <c:pt idx="893">
                <c:v>0.997</c:v>
              </c:pt>
              <c:pt idx="894">
                <c:v>0.97299999999999998</c:v>
              </c:pt>
              <c:pt idx="895">
                <c:v>0.99199999999999999</c:v>
              </c:pt>
              <c:pt idx="896">
                <c:v>0.99399999999999999</c:v>
              </c:pt>
              <c:pt idx="897">
                <c:v>1.024</c:v>
              </c:pt>
              <c:pt idx="898">
                <c:v>0.98499999999999999</c:v>
              </c:pt>
              <c:pt idx="899">
                <c:v>0.98599999999999999</c:v>
              </c:pt>
              <c:pt idx="900">
                <c:v>0.97199999999999998</c:v>
              </c:pt>
              <c:pt idx="901">
                <c:v>0.996</c:v>
              </c:pt>
              <c:pt idx="902">
                <c:v>0.98599999999999999</c:v>
              </c:pt>
              <c:pt idx="903">
                <c:v>0.98299999999999998</c:v>
              </c:pt>
              <c:pt idx="904">
                <c:v>1.006</c:v>
              </c:pt>
              <c:pt idx="905">
                <c:v>0.96799999999999997</c:v>
              </c:pt>
              <c:pt idx="906">
                <c:v>1.008</c:v>
              </c:pt>
              <c:pt idx="907">
                <c:v>0.995</c:v>
              </c:pt>
              <c:pt idx="908">
                <c:v>0.92500000000000004</c:v>
              </c:pt>
              <c:pt idx="909">
                <c:v>0.93200000000000005</c:v>
              </c:pt>
              <c:pt idx="910">
                <c:v>0.93300000000000005</c:v>
              </c:pt>
              <c:pt idx="911">
                <c:v>0.93</c:v>
              </c:pt>
              <c:pt idx="912">
                <c:v>0.93700000000000006</c:v>
              </c:pt>
              <c:pt idx="913">
                <c:v>0.92900000000000005</c:v>
              </c:pt>
              <c:pt idx="914">
                <c:v>0.90500000000000003</c:v>
              </c:pt>
              <c:pt idx="915">
                <c:v>0.93899999999999995</c:v>
              </c:pt>
              <c:pt idx="916">
                <c:v>0.91700000000000004</c:v>
              </c:pt>
              <c:pt idx="917">
                <c:v>0.91800000000000004</c:v>
              </c:pt>
              <c:pt idx="918">
                <c:v>0.95499999999999996</c:v>
              </c:pt>
              <c:pt idx="919">
                <c:v>0.96499999999999997</c:v>
              </c:pt>
              <c:pt idx="920">
                <c:v>0.95299999999999996</c:v>
              </c:pt>
              <c:pt idx="921">
                <c:v>0.97</c:v>
              </c:pt>
              <c:pt idx="922">
                <c:v>0.92900000000000005</c:v>
              </c:pt>
              <c:pt idx="923">
                <c:v>0.89900000000000002</c:v>
              </c:pt>
              <c:pt idx="924">
                <c:v>0.89700000000000002</c:v>
              </c:pt>
              <c:pt idx="925">
                <c:v>0.89300000000000002</c:v>
              </c:pt>
              <c:pt idx="926">
                <c:v>0.90600000000000003</c:v>
              </c:pt>
              <c:pt idx="927">
                <c:v>0.90300000000000002</c:v>
              </c:pt>
              <c:pt idx="928">
                <c:v>0.94099999999999995</c:v>
              </c:pt>
              <c:pt idx="929">
                <c:v>0.96099999999999997</c:v>
              </c:pt>
              <c:pt idx="930">
                <c:v>0.96399999999999997</c:v>
              </c:pt>
              <c:pt idx="931">
                <c:v>0.96099999999999997</c:v>
              </c:pt>
              <c:pt idx="932">
                <c:v>0.96299999999999997</c:v>
              </c:pt>
              <c:pt idx="933">
                <c:v>0.95799999999999996</c:v>
              </c:pt>
              <c:pt idx="934">
                <c:v>0.97399999999999998</c:v>
              </c:pt>
              <c:pt idx="935">
                <c:v>0.97299999999999998</c:v>
              </c:pt>
              <c:pt idx="936">
                <c:v>0.96899999999999997</c:v>
              </c:pt>
              <c:pt idx="937">
                <c:v>0.97599999999999998</c:v>
              </c:pt>
              <c:pt idx="938">
                <c:v>0.97499999999999998</c:v>
              </c:pt>
              <c:pt idx="939">
                <c:v>0.98199999999999998</c:v>
              </c:pt>
              <c:pt idx="940">
                <c:v>0.95</c:v>
              </c:pt>
              <c:pt idx="941">
                <c:v>0.96199999999999997</c:v>
              </c:pt>
              <c:pt idx="942">
                <c:v>0.95899999999999996</c:v>
              </c:pt>
              <c:pt idx="943">
                <c:v>0.95299999999999996</c:v>
              </c:pt>
              <c:pt idx="944">
                <c:v>0.996</c:v>
              </c:pt>
              <c:pt idx="945">
                <c:v>0.97199999999999998</c:v>
              </c:pt>
              <c:pt idx="946">
                <c:v>0.95699999999999996</c:v>
              </c:pt>
              <c:pt idx="947">
                <c:v>0.95399999999999996</c:v>
              </c:pt>
              <c:pt idx="948">
                <c:v>0.93799999999999994</c:v>
              </c:pt>
              <c:pt idx="949">
                <c:v>0.93300000000000005</c:v>
              </c:pt>
              <c:pt idx="950">
                <c:v>0.94</c:v>
              </c:pt>
              <c:pt idx="951">
                <c:v>0.94699999999999995</c:v>
              </c:pt>
              <c:pt idx="952">
                <c:v>0.95099999999999996</c:v>
              </c:pt>
              <c:pt idx="953">
                <c:v>0.94699999999999995</c:v>
              </c:pt>
              <c:pt idx="954">
                <c:v>0.96099999999999997</c:v>
              </c:pt>
              <c:pt idx="955">
                <c:v>0.95599999999999996</c:v>
              </c:pt>
              <c:pt idx="956">
                <c:v>0.95899999999999996</c:v>
              </c:pt>
              <c:pt idx="957">
                <c:v>0.96499999999999997</c:v>
              </c:pt>
              <c:pt idx="958">
                <c:v>0.96599999999999997</c:v>
              </c:pt>
              <c:pt idx="959">
                <c:v>0.96799999999999997</c:v>
              </c:pt>
              <c:pt idx="960">
                <c:v>0.97</c:v>
              </c:pt>
              <c:pt idx="961">
                <c:v>0.97499999999999998</c:v>
              </c:pt>
              <c:pt idx="962">
                <c:v>0.96499999999999997</c:v>
              </c:pt>
              <c:pt idx="963">
                <c:v>0.98099999999999998</c:v>
              </c:pt>
              <c:pt idx="964">
                <c:v>0.97899999999999998</c:v>
              </c:pt>
              <c:pt idx="965">
                <c:v>0.98499999999999999</c:v>
              </c:pt>
              <c:pt idx="966">
                <c:v>0.98199999999999998</c:v>
              </c:pt>
              <c:pt idx="967">
                <c:v>0.97099999999999997</c:v>
              </c:pt>
              <c:pt idx="968">
                <c:v>0.99399999999999999</c:v>
              </c:pt>
              <c:pt idx="969">
                <c:v>0.98399999999999999</c:v>
              </c:pt>
              <c:pt idx="970">
                <c:v>0.98799999999999999</c:v>
              </c:pt>
              <c:pt idx="971">
                <c:v>0.99199999999999999</c:v>
              </c:pt>
              <c:pt idx="972">
                <c:v>0.97899999999999998</c:v>
              </c:pt>
              <c:pt idx="973">
                <c:v>0.98299999999999998</c:v>
              </c:pt>
              <c:pt idx="974">
                <c:v>0.95899999999999996</c:v>
              </c:pt>
              <c:pt idx="975">
                <c:v>0.98499999999999999</c:v>
              </c:pt>
              <c:pt idx="976">
                <c:v>1.0209999999999999</c:v>
              </c:pt>
              <c:pt idx="977">
                <c:v>0.98499999999999999</c:v>
              </c:pt>
              <c:pt idx="978">
                <c:v>1.01</c:v>
              </c:pt>
              <c:pt idx="979">
                <c:v>0.97299999999999998</c:v>
              </c:pt>
              <c:pt idx="980">
                <c:v>0.97899999999999998</c:v>
              </c:pt>
              <c:pt idx="981">
                <c:v>1.0249999999999999</c:v>
              </c:pt>
              <c:pt idx="982">
                <c:v>1.004</c:v>
              </c:pt>
              <c:pt idx="983">
                <c:v>0.97799999999999998</c:v>
              </c:pt>
              <c:pt idx="984">
                <c:v>0.98399999999999999</c:v>
              </c:pt>
              <c:pt idx="985">
                <c:v>0.96899999999999997</c:v>
              </c:pt>
              <c:pt idx="986">
                <c:v>0.96899999999999997</c:v>
              </c:pt>
              <c:pt idx="987">
                <c:v>0.96099999999999997</c:v>
              </c:pt>
              <c:pt idx="988">
                <c:v>0.97199999999999998</c:v>
              </c:pt>
              <c:pt idx="989">
                <c:v>0.95599999999999996</c:v>
              </c:pt>
              <c:pt idx="990">
                <c:v>0.91700000000000004</c:v>
              </c:pt>
              <c:pt idx="991">
                <c:v>0.92100000000000004</c:v>
              </c:pt>
              <c:pt idx="992">
                <c:v>0.93400000000000005</c:v>
              </c:pt>
              <c:pt idx="993">
                <c:v>0.91900000000000004</c:v>
              </c:pt>
              <c:pt idx="994">
                <c:v>0.92600000000000005</c:v>
              </c:pt>
              <c:pt idx="995">
                <c:v>0.91900000000000004</c:v>
              </c:pt>
              <c:pt idx="996">
                <c:v>0.92200000000000004</c:v>
              </c:pt>
              <c:pt idx="997">
                <c:v>0.91600000000000004</c:v>
              </c:pt>
              <c:pt idx="998">
                <c:v>0.92600000000000005</c:v>
              </c:pt>
              <c:pt idx="999">
                <c:v>0.92100000000000004</c:v>
              </c:pt>
              <c:pt idx="1000">
                <c:v>0.92500000000000004</c:v>
              </c:pt>
              <c:pt idx="1001">
                <c:v>0.96899999999999997</c:v>
              </c:pt>
              <c:pt idx="1002">
                <c:v>0.96699999999999997</c:v>
              </c:pt>
              <c:pt idx="1003">
                <c:v>0.97899999999999998</c:v>
              </c:pt>
              <c:pt idx="1004">
                <c:v>0.96799999999999997</c:v>
              </c:pt>
              <c:pt idx="1005">
                <c:v>0.97599999999999998</c:v>
              </c:pt>
              <c:pt idx="1006">
                <c:v>0.98199999999999998</c:v>
              </c:pt>
              <c:pt idx="1007">
                <c:v>0.97299999999999998</c:v>
              </c:pt>
              <c:pt idx="1008">
                <c:v>0.97699999999999998</c:v>
              </c:pt>
              <c:pt idx="1009">
                <c:v>0.96799999999999997</c:v>
              </c:pt>
              <c:pt idx="1010">
                <c:v>0.96399999999999997</c:v>
              </c:pt>
              <c:pt idx="1011">
                <c:v>0.96499999999999997</c:v>
              </c:pt>
              <c:pt idx="1012">
                <c:v>0.96599999999999997</c:v>
              </c:pt>
              <c:pt idx="1013">
                <c:v>0.95799999999999996</c:v>
              </c:pt>
              <c:pt idx="1014">
                <c:v>0.95299999999999996</c:v>
              </c:pt>
              <c:pt idx="1015">
                <c:v>0.95399999999999996</c:v>
              </c:pt>
              <c:pt idx="1016">
                <c:v>0.94</c:v>
              </c:pt>
              <c:pt idx="1017">
                <c:v>0.94499999999999995</c:v>
              </c:pt>
              <c:pt idx="1018">
                <c:v>0.98499999999999999</c:v>
              </c:pt>
              <c:pt idx="1019">
                <c:v>0.98399999999999999</c:v>
              </c:pt>
              <c:pt idx="1020">
                <c:v>1.0029999999999999</c:v>
              </c:pt>
              <c:pt idx="1021">
                <c:v>0.97599999999999998</c:v>
              </c:pt>
              <c:pt idx="1022">
                <c:v>1.016</c:v>
              </c:pt>
              <c:pt idx="1023">
                <c:v>0.91500000000000004</c:v>
              </c:pt>
              <c:pt idx="1024">
                <c:v>0.78200000000000003</c:v>
              </c:pt>
              <c:pt idx="1025">
                <c:v>0.57699999999999996</c:v>
              </c:pt>
              <c:pt idx="1026">
                <c:v>0.45800000000000002</c:v>
              </c:pt>
              <c:pt idx="1027">
                <c:v>0.378</c:v>
              </c:pt>
              <c:pt idx="1028">
                <c:v>0.41199999999999998</c:v>
              </c:pt>
              <c:pt idx="1029">
                <c:v>0.26300000000000001</c:v>
              </c:pt>
              <c:pt idx="1030">
                <c:v>0.39</c:v>
              </c:pt>
              <c:pt idx="1031">
                <c:v>0.32600000000000001</c:v>
              </c:pt>
              <c:pt idx="1032">
                <c:v>0.29299999999999998</c:v>
              </c:pt>
              <c:pt idx="1033">
                <c:v>0.39400000000000002</c:v>
              </c:pt>
              <c:pt idx="1034">
                <c:v>0.30399999999999999</c:v>
              </c:pt>
              <c:pt idx="1035">
                <c:v>0.38200000000000001</c:v>
              </c:pt>
              <c:pt idx="1036">
                <c:v>0.41299999999999998</c:v>
              </c:pt>
              <c:pt idx="1037">
                <c:v>0.27800000000000002</c:v>
              </c:pt>
              <c:pt idx="1038">
                <c:v>0.39900000000000002</c:v>
              </c:pt>
              <c:pt idx="1039">
                <c:v>0.26700000000000002</c:v>
              </c:pt>
              <c:pt idx="1040">
                <c:v>0.375</c:v>
              </c:pt>
              <c:pt idx="1041">
                <c:v>0.628</c:v>
              </c:pt>
              <c:pt idx="1042">
                <c:v>0.66500000000000004</c:v>
              </c:pt>
              <c:pt idx="1043">
                <c:v>0.77500000000000002</c:v>
              </c:pt>
              <c:pt idx="1044">
                <c:v>0.26300000000000001</c:v>
              </c:pt>
              <c:pt idx="1045">
                <c:v>0.32100000000000001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531-4DE2-BBC9-A8AD063D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326376"/>
        <c:axId val="523323752"/>
      </c:lineChart>
      <c:catAx>
        <c:axId val="523326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23323752"/>
        <c:crosses val="autoZero"/>
        <c:auto val="1"/>
        <c:lblAlgn val="ctr"/>
        <c:lblOffset val="100"/>
        <c:noMultiLvlLbl val="0"/>
      </c:catAx>
      <c:valAx>
        <c:axId val="52332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2332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datos!$CO$2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[0]!DEMANDA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6-442F-8C0C-C9C4C756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TENSION</a:t>
            </a:r>
            <a:r>
              <a:rPr lang="es-AR" baseline="0"/>
              <a:t> L-N [V]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2467372612906148E-2"/>
          <c:y val="0.16539582173151862"/>
          <c:w val="0.82601531360304115"/>
          <c:h val="0.7311559024064123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datos!$B$3</c:f>
              <c:strCache>
                <c:ptCount val="1"/>
                <c:pt idx="0">
                  <c:v>Time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64-4168-B887-7B8F6D864B7B}"/>
            </c:ext>
          </c:extLst>
        </c:ser>
        <c:ser>
          <c:idx val="1"/>
          <c:order val="1"/>
          <c:tx>
            <c:strRef>
              <c:f>datos!$C$3</c:f>
              <c:strCache>
                <c:ptCount val="1"/>
                <c:pt idx="0">
                  <c:v>UA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64-4168-B887-7B8F6D864B7B}"/>
            </c:ext>
          </c:extLst>
        </c:ser>
        <c:ser>
          <c:idx val="2"/>
          <c:order val="2"/>
          <c:tx>
            <c:strRef>
              <c:f>datos!$D$3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64-4168-B887-7B8F6D86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5627586206896553E-2"/>
          <c:y val="0.16707207207207206"/>
          <c:w val="0.81448254140646215"/>
          <c:h val="0.72843122650209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datos!$F$3</c:f>
              <c:strCache>
                <c:ptCount val="1"/>
                <c:pt idx="0">
                  <c:v>UAvg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[0]!UTHA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5-40BC-B1D0-A9B40274BEEF}"/>
            </c:ext>
          </c:extLst>
        </c:ser>
        <c:ser>
          <c:idx val="1"/>
          <c:order val="1"/>
          <c:tx>
            <c:strRef>
              <c:f>datos!$G$3</c:f>
              <c:strCache>
                <c:ptCount val="1"/>
                <c:pt idx="0">
                  <c:v>UTHA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[0]!UTHB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5-40BC-B1D0-A9B40274BEEF}"/>
            </c:ext>
          </c:extLst>
        </c:ser>
        <c:ser>
          <c:idx val="2"/>
          <c:order val="2"/>
          <c:tx>
            <c:strRef>
              <c:f>datos!$H$3</c:f>
              <c:strCache>
                <c:ptCount val="1"/>
                <c:pt idx="0">
                  <c:v>UTHB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[0]!UTHC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35-40BC-B1D0-A9B40274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Frecuencia [Hz]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datos!$AW$3</c:f>
              <c:strCache>
                <c:ptCount val="1"/>
                <c:pt idx="0">
                  <c:v>EPB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[0]!F_A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5-4A1A-B3CC-66225B57ED9E}"/>
            </c:ext>
          </c:extLst>
        </c:ser>
        <c:ser>
          <c:idx val="1"/>
          <c:order val="1"/>
          <c:tx>
            <c:strRef>
              <c:f>datos!$AX$3</c:f>
              <c:strCache>
                <c:ptCount val="1"/>
                <c:pt idx="0">
                  <c:v>EPC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[0]!F_B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5-4A1A-B3CC-66225B57ED9E}"/>
            </c:ext>
          </c:extLst>
        </c:ser>
        <c:ser>
          <c:idx val="2"/>
          <c:order val="2"/>
          <c:tx>
            <c:strRef>
              <c:f>datos!$AY$3</c:f>
              <c:strCache>
                <c:ptCount val="1"/>
                <c:pt idx="0">
                  <c:v>EPSum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[0]!F_C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25-4A1A-B3CC-66225B57E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ACTIVA [W]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datos!$BE$3</c:f>
              <c:strCache>
                <c:ptCount val="1"/>
                <c:pt idx="0">
                  <c:v>ESB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3E-47CC-82B5-55B7BFAAF573}"/>
            </c:ext>
          </c:extLst>
        </c:ser>
        <c:ser>
          <c:idx val="1"/>
          <c:order val="1"/>
          <c:tx>
            <c:strRef>
              <c:f>datos!$BF$3</c:f>
              <c:strCache>
                <c:ptCount val="1"/>
                <c:pt idx="0">
                  <c:v>ESC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[0]!P_B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3E-47CC-82B5-55B7BFAAF573}"/>
            </c:ext>
          </c:extLst>
        </c:ser>
        <c:ser>
          <c:idx val="2"/>
          <c:order val="2"/>
          <c:tx>
            <c:strRef>
              <c:f>datos!$BG$3</c:f>
              <c:strCache>
                <c:ptCount val="1"/>
                <c:pt idx="0">
                  <c:v>ESSum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[0]!P_C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3E-47CC-82B5-55B7BFAA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FACTOR DE POTENCIA PROMEDIO [-]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datos!$CO$2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[0]!PFAVG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4-4CF6-A689-974B7CC8C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REACTIVA [VAr]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datos!$BI$3</c:f>
              <c:strCache>
                <c:ptCount val="1"/>
                <c:pt idx="0">
                  <c:v>DmIB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[0]!Q_A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1-4980-BF8A-7BEC70DEEF90}"/>
            </c:ext>
          </c:extLst>
        </c:ser>
        <c:ser>
          <c:idx val="1"/>
          <c:order val="1"/>
          <c:tx>
            <c:strRef>
              <c:f>datos!$BJ$3</c:f>
              <c:strCache>
                <c:ptCount val="1"/>
                <c:pt idx="0">
                  <c:v>DmIC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[0]!Q_B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31-4980-BF8A-7BEC70DEEF90}"/>
            </c:ext>
          </c:extLst>
        </c:ser>
        <c:ser>
          <c:idx val="2"/>
          <c:order val="2"/>
          <c:tx>
            <c:strRef>
              <c:f>datos!$BK$3</c:f>
              <c:strCache>
                <c:ptCount val="1"/>
                <c:pt idx="0">
                  <c:v>DmIAVG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[0]!Q_C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31-4980-BF8A-7BEC70DEE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APARENTE [VA]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datos!$BM$3</c:f>
              <c:strCache>
                <c:ptCount val="1"/>
                <c:pt idx="0">
                  <c:v>PDmIA_D/T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[0]!S_A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B-4E5B-84AC-B9CB4C5D4BCF}"/>
            </c:ext>
          </c:extLst>
        </c:ser>
        <c:ser>
          <c:idx val="1"/>
          <c:order val="1"/>
          <c:tx>
            <c:strRef>
              <c:f>datos!$BN$3</c:f>
              <c:strCache>
                <c:ptCount val="1"/>
                <c:pt idx="0">
                  <c:v>PDmIB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[0]!S_B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B-4E5B-84AC-B9CB4C5D4BCF}"/>
            </c:ext>
          </c:extLst>
        </c:ser>
        <c:ser>
          <c:idx val="2"/>
          <c:order val="2"/>
          <c:tx>
            <c:strRef>
              <c:f>datos!$BO$3</c:f>
              <c:strCache>
                <c:ptCount val="1"/>
                <c:pt idx="0">
                  <c:v>PDmIB_D/T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[0]!S_C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B-4E5B-84AC-B9CB4C5D4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TENSION</a:t>
            </a:r>
            <a:r>
              <a:rPr lang="es-AR" baseline="0"/>
              <a:t> L-N [V]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2467372612906148E-2"/>
          <c:y val="0.16539582173151862"/>
          <c:w val="0.82601531360304115"/>
          <c:h val="0.7311559024064123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datos!$B$3</c:f>
              <c:strCache>
                <c:ptCount val="1"/>
                <c:pt idx="0">
                  <c:v>Time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64-4168-B887-7B8F6D864B7B}"/>
            </c:ext>
          </c:extLst>
        </c:ser>
        <c:ser>
          <c:idx val="1"/>
          <c:order val="1"/>
          <c:tx>
            <c:strRef>
              <c:f>datos!$C$3</c:f>
              <c:strCache>
                <c:ptCount val="1"/>
                <c:pt idx="0">
                  <c:v>UA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64-4168-B887-7B8F6D864B7B}"/>
            </c:ext>
          </c:extLst>
        </c:ser>
        <c:ser>
          <c:idx val="2"/>
          <c:order val="2"/>
          <c:tx>
            <c:strRef>
              <c:f>datos!$D$3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64-4168-B887-7B8F6D86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CORRIENTE [A]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datos!$J$3</c:f>
              <c:strCache>
                <c:ptCount val="1"/>
                <c:pt idx="0">
                  <c:v>UTHAvg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28-436E-8CB7-753FA23E22B3}"/>
            </c:ext>
          </c:extLst>
        </c:ser>
        <c:ser>
          <c:idx val="1"/>
          <c:order val="1"/>
          <c:tx>
            <c:strRef>
              <c:f>datos!$K$3</c:f>
              <c:strCache>
                <c:ptCount val="1"/>
                <c:pt idx="0">
                  <c:v>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922"/>
            <c:marker>
              <c:symbol val="none"/>
            </c:marker>
            <c:bubble3D val="0"/>
            <c:spPr>
              <a:ln w="127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2-4AB5-B384-398B5F7AF24F}"/>
              </c:ext>
            </c:extLst>
          </c:dPt>
          <c:xVal>
            <c:numRef>
              <c:f>[0]!RANGO_TIEMPO</c:f>
            </c:numRef>
          </c:xVal>
          <c:yVal>
            <c:numRef>
              <c:f>[0]!IB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28-436E-8CB7-753FA23E22B3}"/>
            </c:ext>
          </c:extLst>
        </c:ser>
        <c:ser>
          <c:idx val="2"/>
          <c:order val="2"/>
          <c:tx>
            <c:strRef>
              <c:f>datos!$L$3</c:f>
              <c:strCache>
                <c:ptCount val="1"/>
                <c:pt idx="0">
                  <c:v>IB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28-436E-8CB7-753FA23E2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datos!$O$3</c:f>
              <c:strCache>
                <c:ptCount val="1"/>
                <c:pt idx="0">
                  <c:v>ITHA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[0]!ITHA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C-4F94-97EA-EC75FE61D4E4}"/>
            </c:ext>
          </c:extLst>
        </c:ser>
        <c:ser>
          <c:idx val="1"/>
          <c:order val="1"/>
          <c:tx>
            <c:strRef>
              <c:f>datos!$P$3</c:f>
              <c:strCache>
                <c:ptCount val="1"/>
                <c:pt idx="0">
                  <c:v>ITHB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[0]!ITHB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C-4F94-97EA-EC75FE61D4E4}"/>
            </c:ext>
          </c:extLst>
        </c:ser>
        <c:ser>
          <c:idx val="2"/>
          <c:order val="2"/>
          <c:tx>
            <c:strRef>
              <c:f>datos!$Q$3</c:f>
              <c:strCache>
                <c:ptCount val="1"/>
                <c:pt idx="0">
                  <c:v>ITHC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[0]!ITHC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C-4F94-97EA-EC75FE61D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FRECUENCIA DE OCURRENCIA PONDERADA</a:t>
            </a:r>
          </a:p>
        </c:rich>
      </c:tx>
      <c:layout>
        <c:manualLayout>
          <c:xMode val="edge"/>
          <c:yMode val="edge"/>
          <c:x val="0.25131582003576991"/>
          <c:y val="2.8825631993369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'BANCO DE CAPACITORES'!$A$15:$A$46</c:f>
              <c:strCache>
                <c:ptCount val="2"/>
                <c:pt idx="0">
                  <c:v>menor que..</c:v>
                </c:pt>
                <c:pt idx="1">
                  <c:v>#¡REF!</c:v>
                </c:pt>
              </c:strCache>
            </c:strRef>
          </c:cat>
          <c:val>
            <c:numRef>
              <c:f>'BANCO DE CAPACITORES'!$D$15:$D$46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5-403F-A480-B8F66ED7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377760"/>
        <c:axId val="645376120"/>
      </c:barChart>
      <c:catAx>
        <c:axId val="64537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376120"/>
        <c:crosses val="autoZero"/>
        <c:auto val="1"/>
        <c:lblAlgn val="ctr"/>
        <c:lblOffset val="100"/>
        <c:noMultiLvlLbl val="0"/>
      </c:catAx>
      <c:valAx>
        <c:axId val="64537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3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REACTIVA [VAr]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Q_SUM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[0]!Q_SUM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[0]!RANGO_TIEMPO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DD8-4D96-B767-7DFF9CFB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74288"/>
        <c:axId val="623875272"/>
      </c:lineChart>
      <c:catAx>
        <c:axId val="62387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auto val="1"/>
        <c:lblAlgn val="ctr"/>
        <c:lblOffset val="100"/>
        <c:noMultiLvlLbl val="0"/>
      </c:catAx>
      <c:valAx>
        <c:axId val="62387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UTHD_AVG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UTHD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[0]!UTHAVG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[0]!RANGO_TIEMPO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B2B5-444A-95B3-955168DAD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874288"/>
        <c:axId val="623875272"/>
      </c:lineChart>
      <c:catAx>
        <c:axId val="62387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auto val="1"/>
        <c:lblAlgn val="ctr"/>
        <c:lblOffset val="100"/>
        <c:noMultiLvlLbl val="0"/>
      </c:catAx>
      <c:valAx>
        <c:axId val="623875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56745406824147"/>
          <c:y val="0.11239265091863515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HISTOGRAMAS!$A$15:$A$40</c:f>
              <c:strCache>
                <c:ptCount val="26"/>
                <c:pt idx="0">
                  <c:v>menor que..</c:v>
                </c:pt>
                <c:pt idx="1">
                  <c:v>190</c:v>
                </c:pt>
                <c:pt idx="2">
                  <c:v>192</c:v>
                </c:pt>
                <c:pt idx="3">
                  <c:v>194</c:v>
                </c:pt>
                <c:pt idx="4">
                  <c:v>196</c:v>
                </c:pt>
                <c:pt idx="5">
                  <c:v>198</c:v>
                </c:pt>
                <c:pt idx="6">
                  <c:v>200</c:v>
                </c:pt>
                <c:pt idx="7">
                  <c:v>202</c:v>
                </c:pt>
                <c:pt idx="8">
                  <c:v>204</c:v>
                </c:pt>
                <c:pt idx="9">
                  <c:v>206</c:v>
                </c:pt>
                <c:pt idx="10">
                  <c:v>208</c:v>
                </c:pt>
                <c:pt idx="11">
                  <c:v>210</c:v>
                </c:pt>
                <c:pt idx="12">
                  <c:v>212</c:v>
                </c:pt>
                <c:pt idx="13">
                  <c:v>214</c:v>
                </c:pt>
                <c:pt idx="14">
                  <c:v>216</c:v>
                </c:pt>
                <c:pt idx="15">
                  <c:v>218</c:v>
                </c:pt>
                <c:pt idx="16">
                  <c:v>220</c:v>
                </c:pt>
                <c:pt idx="17">
                  <c:v>222</c:v>
                </c:pt>
                <c:pt idx="18">
                  <c:v>224</c:v>
                </c:pt>
                <c:pt idx="19">
                  <c:v>226</c:v>
                </c:pt>
                <c:pt idx="20">
                  <c:v>228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236</c:v>
                </c:pt>
                <c:pt idx="25">
                  <c:v>238</c:v>
                </c:pt>
              </c:strCache>
            </c:strRef>
          </c:cat>
          <c:val>
            <c:numRef>
              <c:f>HISTOGRAMAS!$B$15:$B$40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556752405949256"/>
          <c:y val="0.13017032963686964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HISTOGRAMAS!$A$15:$A$40</c:f>
              <c:strCache>
                <c:ptCount val="26"/>
                <c:pt idx="0">
                  <c:v>menor que..</c:v>
                </c:pt>
                <c:pt idx="1">
                  <c:v>190</c:v>
                </c:pt>
                <c:pt idx="2">
                  <c:v>192</c:v>
                </c:pt>
                <c:pt idx="3">
                  <c:v>194</c:v>
                </c:pt>
                <c:pt idx="4">
                  <c:v>196</c:v>
                </c:pt>
                <c:pt idx="5">
                  <c:v>198</c:v>
                </c:pt>
                <c:pt idx="6">
                  <c:v>200</c:v>
                </c:pt>
                <c:pt idx="7">
                  <c:v>202</c:v>
                </c:pt>
                <c:pt idx="8">
                  <c:v>204</c:v>
                </c:pt>
                <c:pt idx="9">
                  <c:v>206</c:v>
                </c:pt>
                <c:pt idx="10">
                  <c:v>208</c:v>
                </c:pt>
                <c:pt idx="11">
                  <c:v>210</c:v>
                </c:pt>
                <c:pt idx="12">
                  <c:v>212</c:v>
                </c:pt>
                <c:pt idx="13">
                  <c:v>214</c:v>
                </c:pt>
                <c:pt idx="14">
                  <c:v>216</c:v>
                </c:pt>
                <c:pt idx="15">
                  <c:v>218</c:v>
                </c:pt>
                <c:pt idx="16">
                  <c:v>220</c:v>
                </c:pt>
                <c:pt idx="17">
                  <c:v>222</c:v>
                </c:pt>
                <c:pt idx="18">
                  <c:v>224</c:v>
                </c:pt>
                <c:pt idx="19">
                  <c:v>226</c:v>
                </c:pt>
                <c:pt idx="20">
                  <c:v>228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236</c:v>
                </c:pt>
                <c:pt idx="25">
                  <c:v>238</c:v>
                </c:pt>
              </c:strCache>
            </c:strRef>
          </c:cat>
          <c:val>
            <c:numRef>
              <c:f>HISTOGRAMAS!$C$15:$C$40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8556752405949256"/>
          <c:y val="0.13017032963686964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HISTOGRAMAS!$A$15:$A$40</c:f>
              <c:strCache>
                <c:ptCount val="26"/>
                <c:pt idx="0">
                  <c:v>menor que..</c:v>
                </c:pt>
                <c:pt idx="1">
                  <c:v>190</c:v>
                </c:pt>
                <c:pt idx="2">
                  <c:v>192</c:v>
                </c:pt>
                <c:pt idx="3">
                  <c:v>194</c:v>
                </c:pt>
                <c:pt idx="4">
                  <c:v>196</c:v>
                </c:pt>
                <c:pt idx="5">
                  <c:v>198</c:v>
                </c:pt>
                <c:pt idx="6">
                  <c:v>200</c:v>
                </c:pt>
                <c:pt idx="7">
                  <c:v>202</c:v>
                </c:pt>
                <c:pt idx="8">
                  <c:v>204</c:v>
                </c:pt>
                <c:pt idx="9">
                  <c:v>206</c:v>
                </c:pt>
                <c:pt idx="10">
                  <c:v>208</c:v>
                </c:pt>
                <c:pt idx="11">
                  <c:v>210</c:v>
                </c:pt>
                <c:pt idx="12">
                  <c:v>212</c:v>
                </c:pt>
                <c:pt idx="13">
                  <c:v>214</c:v>
                </c:pt>
                <c:pt idx="14">
                  <c:v>216</c:v>
                </c:pt>
                <c:pt idx="15">
                  <c:v>218</c:v>
                </c:pt>
                <c:pt idx="16">
                  <c:v>220</c:v>
                </c:pt>
                <c:pt idx="17">
                  <c:v>222</c:v>
                </c:pt>
                <c:pt idx="18">
                  <c:v>224</c:v>
                </c:pt>
                <c:pt idx="19">
                  <c:v>226</c:v>
                </c:pt>
                <c:pt idx="20">
                  <c:v>228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236</c:v>
                </c:pt>
                <c:pt idx="25">
                  <c:v>238</c:v>
                </c:pt>
              </c:strCache>
            </c:strRef>
          </c:cat>
          <c:val>
            <c:numRef>
              <c:f>HISTOGRAMAS!$D$15:$D$40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ITHD PROMEDIO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2786648595155115"/>
          <c:y val="0.16774193548387095"/>
          <c:w val="0.835718917488255"/>
          <c:h val="0.71097519261705189"/>
        </c:manualLayout>
      </c:layout>
      <c:barChart>
        <c:barDir val="col"/>
        <c:grouping val="clustered"/>
        <c:varyColors val="0"/>
        <c:ser>
          <c:idx val="1"/>
          <c:order val="0"/>
          <c:tx>
            <c:v>ITHDA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MAX_MIN!$U$29:$U$33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(MAX_MIN!$H$32,MAX_MIN!$H$35,MAX_MIN!$H$38,MAX_MIN!$H$41,MAX_MIN!$H$44)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8C-4015-A16A-DE4DB048E2A6}"/>
            </c:ext>
          </c:extLst>
        </c:ser>
        <c:ser>
          <c:idx val="0"/>
          <c:order val="1"/>
          <c:tx>
            <c:v>ITHDB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MAX_MIN!$U$29:$U$33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(MAX_MIN!$H$33,MAX_MIN!$H$36,MAX_MIN!$H$39,MAX_MIN!$H$42,MAX_MIN!$H$45)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8C-4015-A16A-DE4DB048E2A6}"/>
            </c:ext>
          </c:extLst>
        </c:ser>
        <c:ser>
          <c:idx val="2"/>
          <c:order val="2"/>
          <c:tx>
            <c:v>ITHDC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MAX_MIN!$U$29:$U$33</c:f>
              <c:strCache>
                <c:ptCount val="5"/>
                <c:pt idx="0">
                  <c:v>ITHD2(%)</c:v>
                </c:pt>
                <c:pt idx="1">
                  <c:v>ITHD3(%)</c:v>
                </c:pt>
                <c:pt idx="2">
                  <c:v>ITHD4(%)</c:v>
                </c:pt>
                <c:pt idx="3">
                  <c:v>Frequency(Hz)</c:v>
                </c:pt>
                <c:pt idx="4">
                  <c:v>0</c:v>
                </c:pt>
              </c:strCache>
            </c:strRef>
          </c:cat>
          <c:val>
            <c:numRef>
              <c:f>(MAX_MIN!$H$34,MAX_MIN!$H$37,MAX_MIN!$H$40,MAX_MIN!$H$43,MAX_MIN!$H$46)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8C-4015-A16A-DE4DB048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522640"/>
        <c:axId val="984523296"/>
      </c:barChart>
      <c:catAx>
        <c:axId val="98452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3296"/>
        <c:crosses val="autoZero"/>
        <c:auto val="1"/>
        <c:lblAlgn val="ctr"/>
        <c:lblOffset val="100"/>
        <c:noMultiLvlLbl val="0"/>
      </c:catAx>
      <c:valAx>
        <c:axId val="9845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</a:t>
                </a:r>
              </a:p>
            </c:rich>
          </c:tx>
          <c:layout>
            <c:manualLayout>
              <c:xMode val="edge"/>
              <c:yMode val="edge"/>
              <c:x val="2.172023579019835E-3"/>
              <c:y val="0.484197104394208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0938427778496"/>
          <c:y val="0.1803755820844975"/>
          <c:w val="9.9914331517808819E-2"/>
          <c:h val="0.18750131233595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2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1.xml"/><Relationship Id="rId5" Type="http://schemas.openxmlformats.org/officeDocument/2006/relationships/chart" Target="../charts/chart6.xml"/><Relationship Id="rId10" Type="http://schemas.openxmlformats.org/officeDocument/2006/relationships/chart" Target="../charts/chart10.xml"/><Relationship Id="rId4" Type="http://schemas.openxmlformats.org/officeDocument/2006/relationships/chart" Target="../charts/chart5.xml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41910</xdr:colOff>
      <xdr:row>975</xdr:row>
      <xdr:rowOff>125730</xdr:rowOff>
    </xdr:from>
    <xdr:to>
      <xdr:col>51</xdr:col>
      <xdr:colOff>651510</xdr:colOff>
      <xdr:row>990</xdr:row>
      <xdr:rowOff>125730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74</xdr:row>
      <xdr:rowOff>68356</xdr:rowOff>
    </xdr:from>
    <xdr:to>
      <xdr:col>9</xdr:col>
      <xdr:colOff>371475</xdr:colOff>
      <xdr:row>93</xdr:row>
      <xdr:rowOff>56030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0</xdr:colOff>
      <xdr:row>14</xdr:row>
      <xdr:rowOff>9525</xdr:rowOff>
    </xdr:from>
    <xdr:to>
      <xdr:col>9</xdr:col>
      <xdr:colOff>285750</xdr:colOff>
      <xdr:row>28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28</xdr:row>
      <xdr:rowOff>168088</xdr:rowOff>
    </xdr:from>
    <xdr:to>
      <xdr:col>9</xdr:col>
      <xdr:colOff>375397</xdr:colOff>
      <xdr:row>43</xdr:row>
      <xdr:rowOff>184339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20453</xdr:colOff>
      <xdr:row>43</xdr:row>
      <xdr:rowOff>180974</xdr:rowOff>
    </xdr:from>
    <xdr:to>
      <xdr:col>9</xdr:col>
      <xdr:colOff>381000</xdr:colOff>
      <xdr:row>59</xdr:row>
      <xdr:rowOff>33618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9</xdr:col>
      <xdr:colOff>358589</xdr:colOff>
      <xdr:row>43</xdr:row>
      <xdr:rowOff>190499</xdr:rowOff>
    </xdr:from>
    <xdr:to>
      <xdr:col>17</xdr:col>
      <xdr:colOff>44824</xdr:colOff>
      <xdr:row>59</xdr:row>
      <xdr:rowOff>12886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9</xdr:col>
      <xdr:colOff>369795</xdr:colOff>
      <xdr:row>74</xdr:row>
      <xdr:rowOff>81242</xdr:rowOff>
    </xdr:from>
    <xdr:to>
      <xdr:col>17</xdr:col>
      <xdr:colOff>33618</xdr:colOff>
      <xdr:row>93</xdr:row>
      <xdr:rowOff>44823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0</xdr:colOff>
      <xdr:row>59</xdr:row>
      <xdr:rowOff>22412</xdr:rowOff>
    </xdr:from>
    <xdr:to>
      <xdr:col>9</xdr:col>
      <xdr:colOff>360320</xdr:colOff>
      <xdr:row>74</xdr:row>
      <xdr:rowOff>66200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9</xdr:col>
      <xdr:colOff>368063</xdr:colOff>
      <xdr:row>59</xdr:row>
      <xdr:rowOff>9524</xdr:rowOff>
    </xdr:from>
    <xdr:to>
      <xdr:col>17</xdr:col>
      <xdr:colOff>33618</xdr:colOff>
      <xdr:row>74</xdr:row>
      <xdr:rowOff>80595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9</xdr:row>
          <xdr:rowOff>9525</xdr:rowOff>
        </xdr:from>
        <xdr:to>
          <xdr:col>8</xdr:col>
          <xdr:colOff>742950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ANALISIS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9525</xdr:rowOff>
        </xdr:from>
        <xdr:to>
          <xdr:col>11</xdr:col>
          <xdr:colOff>314325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MAX Y MIN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420940</xdr:colOff>
      <xdr:row>0</xdr:row>
      <xdr:rowOff>114300</xdr:rowOff>
    </xdr:from>
    <xdr:to>
      <xdr:col>16</xdr:col>
      <xdr:colOff>1566070</xdr:colOff>
      <xdr:row>7</xdr:row>
      <xdr:rowOff>38100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5340" y="114300"/>
          <a:ext cx="1145130" cy="12573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9</xdr:col>
      <xdr:colOff>386603</xdr:colOff>
      <xdr:row>28</xdr:row>
      <xdr:rowOff>179294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9</xdr:col>
      <xdr:colOff>370474</xdr:colOff>
      <xdr:row>13</xdr:row>
      <xdr:rowOff>190499</xdr:rowOff>
    </xdr:from>
    <xdr:to>
      <xdr:col>17</xdr:col>
      <xdr:colOff>33619</xdr:colOff>
      <xdr:row>28</xdr:row>
      <xdr:rowOff>188990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9</xdr:col>
      <xdr:colOff>369795</xdr:colOff>
      <xdr:row>28</xdr:row>
      <xdr:rowOff>166408</xdr:rowOff>
    </xdr:from>
    <xdr:to>
      <xdr:col>17</xdr:col>
      <xdr:colOff>33618</xdr:colOff>
      <xdr:row>43</xdr:row>
      <xdr:rowOff>179295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777240</xdr:colOff>
      <xdr:row>8</xdr:row>
      <xdr:rowOff>0</xdr:rowOff>
    </xdr:from>
    <xdr:to>
      <xdr:col>19</xdr:col>
      <xdr:colOff>464820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</xdr:colOff>
      <xdr:row>8</xdr:row>
      <xdr:rowOff>0</xdr:rowOff>
    </xdr:from>
    <xdr:to>
      <xdr:col>12</xdr:col>
      <xdr:colOff>7620</xdr:colOff>
      <xdr:row>27</xdr:row>
      <xdr:rowOff>15240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60960</xdr:colOff>
      <xdr:row>27</xdr:row>
      <xdr:rowOff>76200</xdr:rowOff>
    </xdr:from>
    <xdr:to>
      <xdr:col>11</xdr:col>
      <xdr:colOff>769620</xdr:colOff>
      <xdr:row>46</xdr:row>
      <xdr:rowOff>106680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14</xdr:col>
      <xdr:colOff>476970</xdr:colOff>
      <xdr:row>0</xdr:row>
      <xdr:rowOff>103094</xdr:rowOff>
    </xdr:from>
    <xdr:to>
      <xdr:col>16</xdr:col>
      <xdr:colOff>98100</xdr:colOff>
      <xdr:row>7</xdr:row>
      <xdr:rowOff>26894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3764" y="103094"/>
          <a:ext cx="1145130" cy="13357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9526</xdr:colOff>
      <xdr:row>12</xdr:row>
      <xdr:rowOff>0</xdr:rowOff>
    </xdr:from>
    <xdr:to>
      <xdr:col>9</xdr:col>
      <xdr:colOff>9526</xdr:colOff>
      <xdr:row>34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</xdr:colOff>
      <xdr:row>11</xdr:row>
      <xdr:rowOff>180975</xdr:rowOff>
    </xdr:from>
    <xdr:to>
      <xdr:col>13</xdr:col>
      <xdr:colOff>571500</xdr:colOff>
      <xdr:row>34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619125</xdr:colOff>
      <xdr:row>11</xdr:row>
      <xdr:rowOff>180975</xdr:rowOff>
    </xdr:from>
    <xdr:to>
      <xdr:col>18</xdr:col>
      <xdr:colOff>257175</xdr:colOff>
      <xdr:row>34</xdr:row>
      <xdr:rowOff>114299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544765</xdr:colOff>
      <xdr:row>3</xdr:row>
      <xdr:rowOff>47625</xdr:rowOff>
    </xdr:from>
    <xdr:to>
      <xdr:col>16</xdr:col>
      <xdr:colOff>165895</xdr:colOff>
      <xdr:row>9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765" y="628650"/>
          <a:ext cx="1145130" cy="1333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10</xdr:row>
      <xdr:rowOff>180975</xdr:rowOff>
    </xdr:from>
    <xdr:to>
      <xdr:col>14</xdr:col>
      <xdr:colOff>419099</xdr:colOff>
      <xdr:row>28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544765</xdr:colOff>
      <xdr:row>0</xdr:row>
      <xdr:rowOff>28575</xdr:rowOff>
    </xdr:from>
    <xdr:to>
      <xdr:col>16</xdr:col>
      <xdr:colOff>165895</xdr:colOff>
      <xdr:row>6</xdr:row>
      <xdr:rowOff>142875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3690" y="28575"/>
          <a:ext cx="1145130" cy="13335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_2" connectionId="1" xr16:uid="{71706055-2B58-4863-ADF6-74F4E61C614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info@bring.com.a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ring.com.ar/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ing.com.ar/" TargetMode="External"/><Relationship Id="rId1" Type="http://schemas.openxmlformats.org/officeDocument/2006/relationships/hyperlink" Target="mailto:info@bring.com.ar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ing.com.ar/" TargetMode="External"/><Relationship Id="rId1" Type="http://schemas.openxmlformats.org/officeDocument/2006/relationships/hyperlink" Target="mailto:info@bring.com.ar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bring.com.ar" TargetMode="Externa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ing.com.a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W3046"/>
  <sheetViews>
    <sheetView zoomScaleNormal="100" workbookViewId="0">
      <selection activeCell="B1" sqref="B1:B1048576"/>
    </sheetView>
  </sheetViews>
  <sheetFormatPr baseColWidth="10" defaultRowHeight="15" x14ac:dyDescent="0.25"/>
  <cols>
    <col min="1" max="1" width="21" style="1" bestFit="1" customWidth="1"/>
    <col min="2" max="2" width="11.140625" style="75" bestFit="1" customWidth="1"/>
    <col min="3" max="4" width="7" bestFit="1" customWidth="1"/>
    <col min="5" max="5" width="7.42578125" bestFit="1" customWidth="1"/>
    <col min="6" max="6" width="8.28515625" bestFit="1" customWidth="1"/>
    <col min="7" max="8" width="7.85546875" bestFit="1" customWidth="1"/>
    <col min="9" max="9" width="9.7109375" bestFit="1" customWidth="1"/>
    <col min="10" max="10" width="7.7109375" customWidth="1"/>
    <col min="11" max="13" width="7" bestFit="1" customWidth="1"/>
    <col min="14" max="14" width="6" bestFit="1" customWidth="1"/>
    <col min="15" max="15" width="7.5703125" bestFit="1" customWidth="1"/>
    <col min="16" max="17" width="7.140625" bestFit="1" customWidth="1"/>
    <col min="18" max="18" width="8.85546875" bestFit="1" customWidth="1"/>
    <col min="19" max="19" width="8.5703125" bestFit="1" customWidth="1"/>
    <col min="20" max="21" width="8.140625" bestFit="1" customWidth="1"/>
    <col min="22" max="22" width="8.5703125" bestFit="1" customWidth="1"/>
    <col min="23" max="24" width="8.140625" bestFit="1" customWidth="1"/>
    <col min="25" max="25" width="8.5703125" bestFit="1" customWidth="1"/>
    <col min="26" max="27" width="8" bestFit="1" customWidth="1"/>
    <col min="28" max="28" width="9.5703125" bestFit="1" customWidth="1"/>
    <col min="29" max="30" width="8.28515625" bestFit="1" customWidth="1"/>
    <col min="31" max="31" width="9.5703125" bestFit="1" customWidth="1"/>
    <col min="32" max="33" width="8.85546875" bestFit="1" customWidth="1"/>
    <col min="34" max="34" width="8.28515625" bestFit="1" customWidth="1"/>
    <col min="35" max="36" width="8.140625" bestFit="1" customWidth="1"/>
    <col min="37" max="37" width="8.28515625" bestFit="1" customWidth="1"/>
    <col min="38" max="39" width="8.140625" bestFit="1" customWidth="1"/>
    <col min="40" max="40" width="8.28515625" bestFit="1" customWidth="1"/>
    <col min="41" max="42" width="8" bestFit="1" customWidth="1"/>
    <col min="43" max="43" width="9.28515625" bestFit="1" customWidth="1"/>
    <col min="44" max="45" width="8.28515625" bestFit="1" customWidth="1"/>
    <col min="46" max="46" width="9.28515625" bestFit="1" customWidth="1"/>
    <col min="47" max="48" width="8.85546875" bestFit="1" customWidth="1"/>
    <col min="49" max="49" width="12.42578125" bestFit="1" customWidth="1"/>
    <col min="50" max="51" width="6" bestFit="1" customWidth="1"/>
    <col min="52" max="52" width="7" bestFit="1" customWidth="1"/>
    <col min="53" max="53" width="11.85546875" bestFit="1" customWidth="1"/>
    <col min="54" max="55" width="6.7109375" bestFit="1" customWidth="1"/>
    <col min="56" max="56" width="8" bestFit="1" customWidth="1"/>
    <col min="57" max="57" width="14.5703125" bestFit="1" customWidth="1"/>
    <col min="58" max="59" width="9.7109375" bestFit="1" customWidth="1"/>
    <col min="60" max="60" width="10.7109375" bestFit="1" customWidth="1"/>
    <col min="61" max="61" width="17.7109375" bestFit="1" customWidth="1"/>
    <col min="62" max="64" width="9.7109375" bestFit="1" customWidth="1"/>
    <col min="65" max="65" width="17.42578125" bestFit="1" customWidth="1"/>
    <col min="66" max="67" width="9" bestFit="1" customWidth="1"/>
    <col min="68" max="68" width="10" bestFit="1" customWidth="1"/>
    <col min="69" max="69" width="15.7109375" bestFit="1" customWidth="1"/>
    <col min="70" max="71" width="8" bestFit="1" customWidth="1"/>
    <col min="72" max="72" width="8.7109375" bestFit="1" customWidth="1"/>
    <col min="73" max="73" width="18.85546875" bestFit="1" customWidth="1"/>
    <col min="74" max="75" width="7" bestFit="1" customWidth="1"/>
    <col min="76" max="76" width="9" bestFit="1" customWidth="1"/>
    <col min="77" max="77" width="18.7109375" bestFit="1" customWidth="1"/>
    <col min="78" max="79" width="8" bestFit="1" customWidth="1"/>
    <col min="80" max="80" width="8.5703125" bestFit="1" customWidth="1"/>
    <col min="81" max="81" width="16.7109375" bestFit="1" customWidth="1"/>
    <col min="82" max="83" width="7.7109375" bestFit="1" customWidth="1"/>
    <col min="84" max="84" width="10" bestFit="1" customWidth="1"/>
    <col min="85" max="85" width="26.42578125" bestFit="1" customWidth="1"/>
    <col min="86" max="86" width="15.5703125" bestFit="1" customWidth="1"/>
    <col min="87" max="87" width="8.7109375" bestFit="1" customWidth="1"/>
    <col min="88" max="88" width="18" bestFit="1" customWidth="1"/>
    <col min="89" max="89" width="8.7109375" bestFit="1" customWidth="1"/>
    <col min="90" max="90" width="18" bestFit="1" customWidth="1"/>
    <col min="91" max="91" width="11" bestFit="1" customWidth="1"/>
    <col min="92" max="92" width="15.5703125" bestFit="1" customWidth="1"/>
    <col min="93" max="93" width="26.7109375" bestFit="1" customWidth="1"/>
    <col min="94" max="94" width="36.5703125" bestFit="1" customWidth="1"/>
    <col min="95" max="95" width="15.5703125" bestFit="1" customWidth="1"/>
    <col min="96" max="96" width="29.7109375" bestFit="1" customWidth="1"/>
    <col min="97" max="97" width="39.5703125" bestFit="1" customWidth="1"/>
    <col min="98" max="98" width="18" bestFit="1" customWidth="1"/>
    <col min="99" max="99" width="29.5703125" bestFit="1" customWidth="1"/>
    <col min="100" max="100" width="39.28515625" bestFit="1" customWidth="1"/>
    <col min="101" max="101" width="15.5703125" bestFit="1" customWidth="1"/>
  </cols>
  <sheetData>
    <row r="1" spans="1:101" x14ac:dyDescent="0.25">
      <c r="A1" s="1" t="s">
        <v>160</v>
      </c>
    </row>
    <row r="2" spans="1:101" x14ac:dyDescent="0.25">
      <c r="A2" s="1" t="s">
        <v>0</v>
      </c>
      <c r="C2" t="s">
        <v>1</v>
      </c>
      <c r="G2" t="s">
        <v>2</v>
      </c>
      <c r="K2" t="s">
        <v>3</v>
      </c>
      <c r="O2" t="s">
        <v>4</v>
      </c>
      <c r="S2" t="s">
        <v>161</v>
      </c>
      <c r="V2" t="s">
        <v>5</v>
      </c>
      <c r="Y2" t="s">
        <v>162</v>
      </c>
      <c r="AB2" t="s">
        <v>6</v>
      </c>
      <c r="AF2" t="s">
        <v>7</v>
      </c>
      <c r="AJ2" t="s">
        <v>8</v>
      </c>
      <c r="AN2" t="s">
        <v>9</v>
      </c>
      <c r="AR2" t="s">
        <v>10</v>
      </c>
      <c r="AV2" t="s">
        <v>11</v>
      </c>
      <c r="AZ2" t="s">
        <v>12</v>
      </c>
      <c r="BD2" t="s">
        <v>13</v>
      </c>
      <c r="BH2" t="s">
        <v>14</v>
      </c>
      <c r="BL2" t="s">
        <v>15</v>
      </c>
      <c r="BT2" t="s">
        <v>16</v>
      </c>
      <c r="BU2" t="s">
        <v>17</v>
      </c>
      <c r="BW2" t="s">
        <v>18</v>
      </c>
      <c r="BX2" t="s">
        <v>19</v>
      </c>
      <c r="BZ2" t="s">
        <v>20</v>
      </c>
      <c r="CA2" t="s">
        <v>21</v>
      </c>
    </row>
    <row r="3" spans="1:101" x14ac:dyDescent="0.25">
      <c r="A3" s="1" t="s">
        <v>22</v>
      </c>
      <c r="B3" s="75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28</v>
      </c>
      <c r="H3" t="s">
        <v>29</v>
      </c>
      <c r="I3" t="s">
        <v>30</v>
      </c>
      <c r="J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37</v>
      </c>
      <c r="P3" t="s">
        <v>38</v>
      </c>
      <c r="Q3" t="s">
        <v>39</v>
      </c>
      <c r="R3" t="s">
        <v>40</v>
      </c>
      <c r="S3" t="s">
        <v>41</v>
      </c>
      <c r="T3" t="s">
        <v>42</v>
      </c>
      <c r="U3" t="s">
        <v>43</v>
      </c>
      <c r="V3" t="s">
        <v>44</v>
      </c>
      <c r="W3" t="s">
        <v>45</v>
      </c>
      <c r="X3" t="s">
        <v>46</v>
      </c>
      <c r="Y3" t="s">
        <v>47</v>
      </c>
      <c r="Z3" t="s">
        <v>48</v>
      </c>
      <c r="AA3" t="s">
        <v>49</v>
      </c>
      <c r="AB3" t="s">
        <v>56</v>
      </c>
      <c r="AC3" t="s">
        <v>57</v>
      </c>
      <c r="AD3" t="s">
        <v>58</v>
      </c>
      <c r="AE3" t="s">
        <v>59</v>
      </c>
      <c r="AF3" t="s">
        <v>60</v>
      </c>
      <c r="AG3" t="s">
        <v>61</v>
      </c>
      <c r="AH3" t="s">
        <v>62</v>
      </c>
      <c r="AI3" t="s">
        <v>63</v>
      </c>
      <c r="AJ3" t="s">
        <v>64</v>
      </c>
      <c r="AK3" t="s">
        <v>65</v>
      </c>
      <c r="AL3" t="s">
        <v>66</v>
      </c>
      <c r="AM3" t="s">
        <v>67</v>
      </c>
      <c r="AN3" t="s">
        <v>68</v>
      </c>
      <c r="AO3" t="s">
        <v>69</v>
      </c>
      <c r="AP3" t="s">
        <v>70</v>
      </c>
      <c r="AQ3" t="s">
        <v>71</v>
      </c>
      <c r="AR3" t="s">
        <v>72</v>
      </c>
      <c r="AS3" t="s">
        <v>73</v>
      </c>
      <c r="AT3" t="s">
        <v>74</v>
      </c>
      <c r="AU3" t="s">
        <v>75</v>
      </c>
      <c r="AV3" t="s">
        <v>76</v>
      </c>
      <c r="AW3" t="s">
        <v>77</v>
      </c>
      <c r="AX3" t="s">
        <v>78</v>
      </c>
      <c r="AY3" t="s">
        <v>79</v>
      </c>
      <c r="AZ3" t="s">
        <v>80</v>
      </c>
      <c r="BA3" t="s">
        <v>81</v>
      </c>
      <c r="BB3" t="s">
        <v>82</v>
      </c>
      <c r="BC3" t="s">
        <v>83</v>
      </c>
      <c r="BD3" t="s">
        <v>84</v>
      </c>
      <c r="BE3" t="s">
        <v>85</v>
      </c>
      <c r="BF3" t="s">
        <v>86</v>
      </c>
      <c r="BG3" t="s">
        <v>87</v>
      </c>
      <c r="BH3" t="s">
        <v>88</v>
      </c>
      <c r="BI3" t="s">
        <v>89</v>
      </c>
      <c r="BJ3" t="s">
        <v>90</v>
      </c>
      <c r="BK3" t="s">
        <v>91</v>
      </c>
      <c r="BL3" t="s">
        <v>92</v>
      </c>
      <c r="BM3" t="s">
        <v>93</v>
      </c>
      <c r="BN3" t="s">
        <v>94</v>
      </c>
      <c r="BO3" t="s">
        <v>95</v>
      </c>
      <c r="BP3" t="s">
        <v>96</v>
      </c>
      <c r="BQ3" t="s">
        <v>97</v>
      </c>
      <c r="BR3" t="s">
        <v>98</v>
      </c>
      <c r="BS3" t="s">
        <v>99</v>
      </c>
      <c r="BT3" t="s">
        <v>100</v>
      </c>
      <c r="BU3" t="s">
        <v>101</v>
      </c>
      <c r="BV3" t="s">
        <v>102</v>
      </c>
      <c r="BW3" t="s">
        <v>103</v>
      </c>
      <c r="BX3" t="s">
        <v>104</v>
      </c>
      <c r="BY3" t="s">
        <v>105</v>
      </c>
      <c r="BZ3" t="s">
        <v>106</v>
      </c>
      <c r="CA3" t="s">
        <v>107</v>
      </c>
      <c r="CB3" t="s">
        <v>108</v>
      </c>
    </row>
    <row r="4" spans="1:101" x14ac:dyDescent="0.25">
      <c r="A4" s="1" t="s">
        <v>163</v>
      </c>
      <c r="B4" s="75" t="s">
        <v>164</v>
      </c>
      <c r="C4">
        <v>0</v>
      </c>
      <c r="D4">
        <v>0</v>
      </c>
      <c r="E4">
        <v>0</v>
      </c>
      <c r="F4">
        <v>604324.56000000006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3.91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7490</v>
      </c>
      <c r="AW4">
        <v>3350</v>
      </c>
      <c r="AX4">
        <v>1219</v>
      </c>
      <c r="AY4">
        <v>12059</v>
      </c>
      <c r="AZ4">
        <v>4202</v>
      </c>
      <c r="BA4">
        <v>7438</v>
      </c>
      <c r="BB4">
        <v>1432</v>
      </c>
      <c r="BC4">
        <v>13072</v>
      </c>
      <c r="BD4">
        <v>9486</v>
      </c>
      <c r="BE4">
        <v>9222</v>
      </c>
      <c r="BF4">
        <v>1768</v>
      </c>
      <c r="BG4">
        <v>20476</v>
      </c>
      <c r="BH4">
        <v>0</v>
      </c>
      <c r="BI4">
        <v>0</v>
      </c>
      <c r="BJ4">
        <v>0</v>
      </c>
      <c r="BK4">
        <v>0</v>
      </c>
      <c r="BL4" s="2">
        <v>24.82</v>
      </c>
      <c r="BM4" s="2">
        <v>42005.095138888886</v>
      </c>
      <c r="BN4" s="2">
        <v>5.4</v>
      </c>
      <c r="BO4" s="2">
        <v>42005.092361111114</v>
      </c>
      <c r="BP4" s="2">
        <v>6.92</v>
      </c>
      <c r="BQ4" s="2">
        <v>42005.092361111114</v>
      </c>
      <c r="BR4" s="2">
        <v>11.07</v>
      </c>
      <c r="BS4" s="2">
        <v>42005.092361111114</v>
      </c>
      <c r="BT4">
        <v>0</v>
      </c>
      <c r="BU4">
        <v>0</v>
      </c>
      <c r="BV4" t="s">
        <v>135</v>
      </c>
      <c r="BW4">
        <v>0</v>
      </c>
      <c r="BX4">
        <v>0</v>
      </c>
      <c r="BY4" t="s">
        <v>135</v>
      </c>
      <c r="BZ4">
        <v>0</v>
      </c>
      <c r="CA4">
        <v>0</v>
      </c>
      <c r="CB4" t="s">
        <v>135</v>
      </c>
      <c r="CH4" s="2"/>
      <c r="CN4" s="2"/>
      <c r="CQ4" s="2"/>
      <c r="CW4" s="2"/>
    </row>
    <row r="5" spans="1:101" x14ac:dyDescent="0.25">
      <c r="A5" s="1" t="s">
        <v>163</v>
      </c>
      <c r="B5" s="75" t="s">
        <v>164</v>
      </c>
      <c r="C5">
        <v>0</v>
      </c>
      <c r="D5">
        <v>0</v>
      </c>
      <c r="E5">
        <v>0</v>
      </c>
      <c r="F5">
        <v>604324.56000000006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3.91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7490</v>
      </c>
      <c r="AW5">
        <v>3350</v>
      </c>
      <c r="AX5">
        <v>1219</v>
      </c>
      <c r="AY5">
        <v>12059</v>
      </c>
      <c r="AZ5">
        <v>4202</v>
      </c>
      <c r="BA5">
        <v>7438</v>
      </c>
      <c r="BB5">
        <v>1432</v>
      </c>
      <c r="BC5">
        <v>13072</v>
      </c>
      <c r="BD5">
        <v>9486</v>
      </c>
      <c r="BE5">
        <v>9222</v>
      </c>
      <c r="BF5">
        <v>1768</v>
      </c>
      <c r="BG5">
        <v>20476</v>
      </c>
      <c r="BH5">
        <v>0</v>
      </c>
      <c r="BI5">
        <v>0</v>
      </c>
      <c r="BJ5">
        <v>0</v>
      </c>
      <c r="BK5">
        <v>0</v>
      </c>
      <c r="BL5" s="2">
        <v>24.82</v>
      </c>
      <c r="BM5" s="2">
        <v>42005.095138888886</v>
      </c>
      <c r="BN5" s="2">
        <v>5.4</v>
      </c>
      <c r="BO5" s="2">
        <v>42005.092361111114</v>
      </c>
      <c r="BP5" s="2">
        <v>6.92</v>
      </c>
      <c r="BQ5" s="2">
        <v>42005.092361111114</v>
      </c>
      <c r="BR5" s="2">
        <v>11.07</v>
      </c>
      <c r="BS5" s="2">
        <v>42005.092361111114</v>
      </c>
      <c r="BT5">
        <v>0</v>
      </c>
      <c r="BU5">
        <v>0</v>
      </c>
      <c r="BV5" t="s">
        <v>135</v>
      </c>
      <c r="BW5">
        <v>0</v>
      </c>
      <c r="BX5">
        <v>0</v>
      </c>
      <c r="BY5" t="s">
        <v>135</v>
      </c>
      <c r="BZ5">
        <v>0</v>
      </c>
      <c r="CA5">
        <v>0</v>
      </c>
      <c r="CB5" t="s">
        <v>135</v>
      </c>
      <c r="CH5" s="2"/>
      <c r="CN5" s="2"/>
      <c r="CQ5" s="2"/>
      <c r="CW5" s="2"/>
    </row>
    <row r="6" spans="1:101" x14ac:dyDescent="0.25">
      <c r="A6" s="1" t="s">
        <v>163</v>
      </c>
      <c r="B6" s="75" t="s">
        <v>164</v>
      </c>
      <c r="C6">
        <v>0</v>
      </c>
      <c r="D6">
        <v>0</v>
      </c>
      <c r="E6">
        <v>0</v>
      </c>
      <c r="F6">
        <v>604324.56000000006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3.91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7490</v>
      </c>
      <c r="AW6">
        <v>3350</v>
      </c>
      <c r="AX6">
        <v>1219</v>
      </c>
      <c r="AY6">
        <v>12059</v>
      </c>
      <c r="AZ6">
        <v>4202</v>
      </c>
      <c r="BA6">
        <v>7438</v>
      </c>
      <c r="BB6">
        <v>1432</v>
      </c>
      <c r="BC6">
        <v>13072</v>
      </c>
      <c r="BD6">
        <v>9486</v>
      </c>
      <c r="BE6">
        <v>9222</v>
      </c>
      <c r="BF6">
        <v>1768</v>
      </c>
      <c r="BG6">
        <v>20476</v>
      </c>
      <c r="BH6">
        <v>0</v>
      </c>
      <c r="BI6">
        <v>0</v>
      </c>
      <c r="BJ6">
        <v>0</v>
      </c>
      <c r="BK6">
        <v>0</v>
      </c>
      <c r="BL6" s="2">
        <v>24.82</v>
      </c>
      <c r="BM6" s="2">
        <v>42005.095138888886</v>
      </c>
      <c r="BN6" s="2">
        <v>5.4</v>
      </c>
      <c r="BO6" s="2">
        <v>42005.092361111114</v>
      </c>
      <c r="BP6" s="2">
        <v>6.92</v>
      </c>
      <c r="BQ6" s="2">
        <v>42005.092361111114</v>
      </c>
      <c r="BR6" s="2">
        <v>11.07</v>
      </c>
      <c r="BS6" s="2">
        <v>42005.092361111114</v>
      </c>
      <c r="BT6">
        <v>0</v>
      </c>
      <c r="BU6">
        <v>0</v>
      </c>
      <c r="BV6" t="s">
        <v>135</v>
      </c>
      <c r="BW6">
        <v>0</v>
      </c>
      <c r="BX6">
        <v>0</v>
      </c>
      <c r="BY6" t="s">
        <v>135</v>
      </c>
      <c r="BZ6">
        <v>0</v>
      </c>
      <c r="CA6">
        <v>0</v>
      </c>
      <c r="CB6" t="s">
        <v>135</v>
      </c>
      <c r="CH6" s="2"/>
      <c r="CN6" s="2"/>
      <c r="CQ6" s="2"/>
      <c r="CW6" s="2"/>
    </row>
    <row r="7" spans="1:101" x14ac:dyDescent="0.25">
      <c r="A7" s="1" t="s">
        <v>163</v>
      </c>
      <c r="B7" s="75" t="s">
        <v>164</v>
      </c>
      <c r="C7">
        <v>0</v>
      </c>
      <c r="D7">
        <v>0</v>
      </c>
      <c r="E7">
        <v>0</v>
      </c>
      <c r="F7">
        <v>604324.56000000006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3.91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7490</v>
      </c>
      <c r="AW7">
        <v>3350</v>
      </c>
      <c r="AX7">
        <v>1219</v>
      </c>
      <c r="AY7">
        <v>12059</v>
      </c>
      <c r="AZ7">
        <v>4202</v>
      </c>
      <c r="BA7">
        <v>7438</v>
      </c>
      <c r="BB7">
        <v>1432</v>
      </c>
      <c r="BC7">
        <v>13072</v>
      </c>
      <c r="BD7">
        <v>9486</v>
      </c>
      <c r="BE7">
        <v>9222</v>
      </c>
      <c r="BF7">
        <v>1768</v>
      </c>
      <c r="BG7">
        <v>20476</v>
      </c>
      <c r="BH7">
        <v>0</v>
      </c>
      <c r="BI7">
        <v>0</v>
      </c>
      <c r="BJ7">
        <v>0</v>
      </c>
      <c r="BK7">
        <v>0</v>
      </c>
      <c r="BL7" s="2">
        <v>24.82</v>
      </c>
      <c r="BM7" s="2">
        <v>42005.095138888886</v>
      </c>
      <c r="BN7" s="2">
        <v>5.4</v>
      </c>
      <c r="BO7" s="2">
        <v>42005.092361111114</v>
      </c>
      <c r="BP7" s="2">
        <v>6.92</v>
      </c>
      <c r="BQ7" s="2">
        <v>42005.092361111114</v>
      </c>
      <c r="BR7" s="2">
        <v>11.07</v>
      </c>
      <c r="BS7" s="2">
        <v>42005.092361111114</v>
      </c>
      <c r="BT7">
        <v>0</v>
      </c>
      <c r="BU7">
        <v>0</v>
      </c>
      <c r="BV7" t="s">
        <v>135</v>
      </c>
      <c r="BW7">
        <v>0</v>
      </c>
      <c r="BX7">
        <v>0</v>
      </c>
      <c r="BY7" t="s">
        <v>135</v>
      </c>
      <c r="BZ7">
        <v>0</v>
      </c>
      <c r="CA7">
        <v>0</v>
      </c>
      <c r="CB7" t="s">
        <v>135</v>
      </c>
      <c r="CH7" s="2"/>
      <c r="CN7" s="2"/>
      <c r="CQ7" s="2"/>
      <c r="CW7" s="2"/>
    </row>
    <row r="8" spans="1:101" x14ac:dyDescent="0.25">
      <c r="A8" s="1" t="s">
        <v>163</v>
      </c>
      <c r="B8" s="75" t="s">
        <v>164</v>
      </c>
      <c r="C8">
        <v>0</v>
      </c>
      <c r="D8">
        <v>0</v>
      </c>
      <c r="E8">
        <v>0</v>
      </c>
      <c r="F8">
        <v>604324.56000000006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3.91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7490</v>
      </c>
      <c r="AW8">
        <v>3350</v>
      </c>
      <c r="AX8">
        <v>1219</v>
      </c>
      <c r="AY8">
        <v>12059</v>
      </c>
      <c r="AZ8">
        <v>4202</v>
      </c>
      <c r="BA8">
        <v>7438</v>
      </c>
      <c r="BB8">
        <v>1432</v>
      </c>
      <c r="BC8">
        <v>13072</v>
      </c>
      <c r="BD8">
        <v>9486</v>
      </c>
      <c r="BE8">
        <v>9222</v>
      </c>
      <c r="BF8">
        <v>1768</v>
      </c>
      <c r="BG8">
        <v>20476</v>
      </c>
      <c r="BH8">
        <v>0</v>
      </c>
      <c r="BI8">
        <v>0</v>
      </c>
      <c r="BJ8">
        <v>0</v>
      </c>
      <c r="BK8">
        <v>0</v>
      </c>
      <c r="BL8" s="2">
        <v>24.82</v>
      </c>
      <c r="BM8" s="2">
        <v>42005.095138888886</v>
      </c>
      <c r="BN8" s="2">
        <v>5.4</v>
      </c>
      <c r="BO8" s="2">
        <v>42005.092361111114</v>
      </c>
      <c r="BP8" s="2">
        <v>6.92</v>
      </c>
      <c r="BQ8" s="2">
        <v>42005.092361111114</v>
      </c>
      <c r="BR8" s="2">
        <v>11.07</v>
      </c>
      <c r="BS8" s="2">
        <v>42005.092361111114</v>
      </c>
      <c r="BT8">
        <v>0</v>
      </c>
      <c r="BU8">
        <v>0</v>
      </c>
      <c r="BV8" t="s">
        <v>135</v>
      </c>
      <c r="BW8">
        <v>0</v>
      </c>
      <c r="BX8">
        <v>0</v>
      </c>
      <c r="BY8" t="s">
        <v>135</v>
      </c>
      <c r="BZ8">
        <v>0</v>
      </c>
      <c r="CA8">
        <v>0</v>
      </c>
      <c r="CB8" t="s">
        <v>135</v>
      </c>
      <c r="CH8" s="2"/>
      <c r="CN8" s="2"/>
      <c r="CQ8" s="2"/>
      <c r="CW8" s="2"/>
    </row>
    <row r="9" spans="1:101" x14ac:dyDescent="0.25">
      <c r="A9" s="1" t="s">
        <v>163</v>
      </c>
      <c r="B9" s="75" t="s">
        <v>164</v>
      </c>
      <c r="C9">
        <v>0</v>
      </c>
      <c r="D9">
        <v>0</v>
      </c>
      <c r="E9">
        <v>0</v>
      </c>
      <c r="F9">
        <v>604324.56000000006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3.91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7490</v>
      </c>
      <c r="AW9">
        <v>3350</v>
      </c>
      <c r="AX9">
        <v>1219</v>
      </c>
      <c r="AY9">
        <v>12059</v>
      </c>
      <c r="AZ9">
        <v>4202</v>
      </c>
      <c r="BA9">
        <v>7438</v>
      </c>
      <c r="BB9">
        <v>1432</v>
      </c>
      <c r="BC9">
        <v>13072</v>
      </c>
      <c r="BD9">
        <v>9486</v>
      </c>
      <c r="BE9">
        <v>9222</v>
      </c>
      <c r="BF9">
        <v>1768</v>
      </c>
      <c r="BG9">
        <v>20476</v>
      </c>
      <c r="BH9">
        <v>0</v>
      </c>
      <c r="BI9">
        <v>0</v>
      </c>
      <c r="BJ9">
        <v>0</v>
      </c>
      <c r="BK9">
        <v>0</v>
      </c>
      <c r="BL9" s="2">
        <v>24.82</v>
      </c>
      <c r="BM9" s="2">
        <v>42005.095138888886</v>
      </c>
      <c r="BN9" s="2">
        <v>5.4</v>
      </c>
      <c r="BO9" s="2">
        <v>42005.092361111114</v>
      </c>
      <c r="BP9" s="2">
        <v>6.92</v>
      </c>
      <c r="BQ9" s="2">
        <v>42005.092361111114</v>
      </c>
      <c r="BR9" s="2">
        <v>11.07</v>
      </c>
      <c r="BS9" s="2">
        <v>42005.092361111114</v>
      </c>
      <c r="BT9">
        <v>0</v>
      </c>
      <c r="BU9">
        <v>0</v>
      </c>
      <c r="BV9" t="s">
        <v>135</v>
      </c>
      <c r="BW9">
        <v>0</v>
      </c>
      <c r="BX9">
        <v>0</v>
      </c>
      <c r="BY9" t="s">
        <v>135</v>
      </c>
      <c r="BZ9">
        <v>0</v>
      </c>
      <c r="CA9">
        <v>0</v>
      </c>
      <c r="CB9" t="s">
        <v>135</v>
      </c>
      <c r="CH9" s="2"/>
      <c r="CN9" s="2"/>
      <c r="CQ9" s="2"/>
      <c r="CW9" s="2"/>
    </row>
    <row r="10" spans="1:101" x14ac:dyDescent="0.25">
      <c r="A10" s="1" t="s">
        <v>163</v>
      </c>
      <c r="B10" s="75" t="s">
        <v>164</v>
      </c>
      <c r="C10">
        <v>0</v>
      </c>
      <c r="D10">
        <v>0</v>
      </c>
      <c r="E10">
        <v>0</v>
      </c>
      <c r="F10">
        <v>604324.56000000006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3.91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7490</v>
      </c>
      <c r="AW10">
        <v>3350</v>
      </c>
      <c r="AX10">
        <v>1219</v>
      </c>
      <c r="AY10">
        <v>12059</v>
      </c>
      <c r="AZ10">
        <v>4202</v>
      </c>
      <c r="BA10">
        <v>7438</v>
      </c>
      <c r="BB10">
        <v>1432</v>
      </c>
      <c r="BC10">
        <v>13072</v>
      </c>
      <c r="BD10">
        <v>9486</v>
      </c>
      <c r="BE10">
        <v>9222</v>
      </c>
      <c r="BF10">
        <v>1768</v>
      </c>
      <c r="BG10">
        <v>20476</v>
      </c>
      <c r="BH10">
        <v>0</v>
      </c>
      <c r="BI10">
        <v>0</v>
      </c>
      <c r="BJ10">
        <v>0</v>
      </c>
      <c r="BK10">
        <v>0</v>
      </c>
      <c r="BL10" s="2">
        <v>24.82</v>
      </c>
      <c r="BM10" s="2">
        <v>42005.095138888886</v>
      </c>
      <c r="BN10" s="2">
        <v>5.4</v>
      </c>
      <c r="BO10" s="2">
        <v>42005.092361111114</v>
      </c>
      <c r="BP10" s="2">
        <v>6.92</v>
      </c>
      <c r="BQ10" s="2">
        <v>42005.092361111114</v>
      </c>
      <c r="BR10" s="2">
        <v>11.07</v>
      </c>
      <c r="BS10" s="2">
        <v>42005.092361111114</v>
      </c>
      <c r="BT10">
        <v>0</v>
      </c>
      <c r="BU10">
        <v>0</v>
      </c>
      <c r="BV10" t="s">
        <v>135</v>
      </c>
      <c r="BW10">
        <v>0</v>
      </c>
      <c r="BX10">
        <v>0</v>
      </c>
      <c r="BY10" t="s">
        <v>135</v>
      </c>
      <c r="BZ10">
        <v>0</v>
      </c>
      <c r="CA10">
        <v>0</v>
      </c>
      <c r="CB10" t="s">
        <v>135</v>
      </c>
      <c r="CH10" s="2"/>
      <c r="CN10" s="2"/>
      <c r="CQ10" s="2"/>
      <c r="CW10" s="2"/>
    </row>
    <row r="11" spans="1:101" x14ac:dyDescent="0.25">
      <c r="A11" s="1" t="s">
        <v>163</v>
      </c>
      <c r="B11" s="75" t="s">
        <v>164</v>
      </c>
      <c r="C11">
        <v>0</v>
      </c>
      <c r="D11">
        <v>0</v>
      </c>
      <c r="E11">
        <v>0</v>
      </c>
      <c r="F11">
        <v>604324.56000000006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3.91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7490</v>
      </c>
      <c r="AW11">
        <v>3350</v>
      </c>
      <c r="AX11">
        <v>1219</v>
      </c>
      <c r="AY11">
        <v>12059</v>
      </c>
      <c r="AZ11">
        <v>4202</v>
      </c>
      <c r="BA11">
        <v>7438</v>
      </c>
      <c r="BB11">
        <v>1432</v>
      </c>
      <c r="BC11">
        <v>13072</v>
      </c>
      <c r="BD11">
        <v>9486</v>
      </c>
      <c r="BE11">
        <v>9222</v>
      </c>
      <c r="BF11">
        <v>1768</v>
      </c>
      <c r="BG11">
        <v>20476</v>
      </c>
      <c r="BH11">
        <v>0</v>
      </c>
      <c r="BI11">
        <v>0</v>
      </c>
      <c r="BJ11">
        <v>0</v>
      </c>
      <c r="BK11">
        <v>0</v>
      </c>
      <c r="BL11" s="2">
        <v>24.82</v>
      </c>
      <c r="BM11" s="2">
        <v>42005.095138888886</v>
      </c>
      <c r="BN11" s="2">
        <v>5.4</v>
      </c>
      <c r="BO11" s="2">
        <v>42005.092361111114</v>
      </c>
      <c r="BP11" s="2">
        <v>6.92</v>
      </c>
      <c r="BQ11" s="2">
        <v>42005.092361111114</v>
      </c>
      <c r="BR11" s="2">
        <v>11.07</v>
      </c>
      <c r="BS11" s="2">
        <v>42005.092361111114</v>
      </c>
      <c r="BT11">
        <v>0</v>
      </c>
      <c r="BU11">
        <v>0</v>
      </c>
      <c r="BV11" t="s">
        <v>135</v>
      </c>
      <c r="BW11">
        <v>0</v>
      </c>
      <c r="BX11">
        <v>0</v>
      </c>
      <c r="BY11" t="s">
        <v>135</v>
      </c>
      <c r="BZ11">
        <v>0</v>
      </c>
      <c r="CA11">
        <v>0</v>
      </c>
      <c r="CB11" t="s">
        <v>135</v>
      </c>
      <c r="CH11" s="2"/>
      <c r="CN11" s="2"/>
      <c r="CQ11" s="2"/>
      <c r="CW11" s="2"/>
    </row>
    <row r="12" spans="1:101" x14ac:dyDescent="0.25">
      <c r="A12" s="1" t="s">
        <v>163</v>
      </c>
      <c r="B12" s="75" t="s">
        <v>164</v>
      </c>
      <c r="C12">
        <v>0</v>
      </c>
      <c r="D12">
        <v>0</v>
      </c>
      <c r="E12">
        <v>0</v>
      </c>
      <c r="F12">
        <v>604324.56000000006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3.91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7490</v>
      </c>
      <c r="AW12">
        <v>3350</v>
      </c>
      <c r="AX12">
        <v>1219</v>
      </c>
      <c r="AY12">
        <v>12059</v>
      </c>
      <c r="AZ12">
        <v>4202</v>
      </c>
      <c r="BA12">
        <v>7438</v>
      </c>
      <c r="BB12">
        <v>1432</v>
      </c>
      <c r="BC12">
        <v>13072</v>
      </c>
      <c r="BD12">
        <v>9486</v>
      </c>
      <c r="BE12">
        <v>9222</v>
      </c>
      <c r="BF12">
        <v>1768</v>
      </c>
      <c r="BG12">
        <v>20476</v>
      </c>
      <c r="BH12">
        <v>0</v>
      </c>
      <c r="BI12">
        <v>0</v>
      </c>
      <c r="BJ12">
        <v>0</v>
      </c>
      <c r="BK12">
        <v>0</v>
      </c>
      <c r="BL12" s="2">
        <v>24.82</v>
      </c>
      <c r="BM12" s="2">
        <v>42005.095138888886</v>
      </c>
      <c r="BN12" s="2">
        <v>5.4</v>
      </c>
      <c r="BO12" s="2">
        <v>42005.092361111114</v>
      </c>
      <c r="BP12" s="2">
        <v>6.92</v>
      </c>
      <c r="BQ12" s="2">
        <v>42005.092361111114</v>
      </c>
      <c r="BR12" s="2">
        <v>11.07</v>
      </c>
      <c r="BS12" s="2">
        <v>42005.092361111114</v>
      </c>
      <c r="BT12">
        <v>0</v>
      </c>
      <c r="BU12">
        <v>0</v>
      </c>
      <c r="BV12" t="s">
        <v>135</v>
      </c>
      <c r="BW12">
        <v>0</v>
      </c>
      <c r="BX12">
        <v>0</v>
      </c>
      <c r="BY12" t="s">
        <v>135</v>
      </c>
      <c r="BZ12">
        <v>0</v>
      </c>
      <c r="CA12">
        <v>0</v>
      </c>
      <c r="CB12" t="s">
        <v>135</v>
      </c>
      <c r="CH12" s="2"/>
      <c r="CN12" s="2"/>
      <c r="CQ12" s="2"/>
      <c r="CW12" s="2"/>
    </row>
    <row r="13" spans="1:101" x14ac:dyDescent="0.25">
      <c r="A13" s="1" t="s">
        <v>163</v>
      </c>
      <c r="B13" s="75" t="s">
        <v>164</v>
      </c>
      <c r="C13">
        <v>0</v>
      </c>
      <c r="D13">
        <v>0</v>
      </c>
      <c r="E13">
        <v>0</v>
      </c>
      <c r="F13">
        <v>604324.56000000006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3.91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7490</v>
      </c>
      <c r="AW13">
        <v>3350</v>
      </c>
      <c r="AX13">
        <v>1219</v>
      </c>
      <c r="AY13">
        <v>12059</v>
      </c>
      <c r="AZ13">
        <v>4202</v>
      </c>
      <c r="BA13">
        <v>7438</v>
      </c>
      <c r="BB13">
        <v>1432</v>
      </c>
      <c r="BC13">
        <v>13072</v>
      </c>
      <c r="BD13">
        <v>9486</v>
      </c>
      <c r="BE13">
        <v>9222</v>
      </c>
      <c r="BF13">
        <v>1768</v>
      </c>
      <c r="BG13">
        <v>20476</v>
      </c>
      <c r="BH13">
        <v>0</v>
      </c>
      <c r="BI13">
        <v>0</v>
      </c>
      <c r="BJ13">
        <v>0</v>
      </c>
      <c r="BK13">
        <v>0</v>
      </c>
      <c r="BL13" s="2">
        <v>24.82</v>
      </c>
      <c r="BM13" s="2">
        <v>42005.095138888886</v>
      </c>
      <c r="BN13" s="2">
        <v>5.4</v>
      </c>
      <c r="BO13" s="2">
        <v>42005.092361111114</v>
      </c>
      <c r="BP13" s="2">
        <v>6.92</v>
      </c>
      <c r="BQ13" s="2">
        <v>42005.092361111114</v>
      </c>
      <c r="BR13" s="2">
        <v>11.07</v>
      </c>
      <c r="BS13" s="2">
        <v>42005.092361111114</v>
      </c>
      <c r="BT13">
        <v>0</v>
      </c>
      <c r="BU13">
        <v>0</v>
      </c>
      <c r="BV13" t="s">
        <v>135</v>
      </c>
      <c r="BW13">
        <v>0</v>
      </c>
      <c r="BX13">
        <v>0</v>
      </c>
      <c r="BY13" t="s">
        <v>135</v>
      </c>
      <c r="BZ13">
        <v>0</v>
      </c>
      <c r="CA13">
        <v>0</v>
      </c>
      <c r="CB13" t="s">
        <v>135</v>
      </c>
      <c r="CH13" s="2"/>
      <c r="CN13" s="2"/>
      <c r="CQ13" s="2"/>
      <c r="CW13" s="2"/>
    </row>
    <row r="14" spans="1:101" x14ac:dyDescent="0.25">
      <c r="A14" s="1" t="s">
        <v>163</v>
      </c>
      <c r="B14" s="75" t="s">
        <v>164</v>
      </c>
      <c r="C14">
        <v>0</v>
      </c>
      <c r="D14">
        <v>0</v>
      </c>
      <c r="E14">
        <v>0</v>
      </c>
      <c r="F14">
        <v>604324.56000000006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3.91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7490</v>
      </c>
      <c r="AW14">
        <v>3350</v>
      </c>
      <c r="AX14">
        <v>1219</v>
      </c>
      <c r="AY14">
        <v>12059</v>
      </c>
      <c r="AZ14">
        <v>4202</v>
      </c>
      <c r="BA14">
        <v>7438</v>
      </c>
      <c r="BB14">
        <v>1432</v>
      </c>
      <c r="BC14">
        <v>13072</v>
      </c>
      <c r="BD14">
        <v>9486</v>
      </c>
      <c r="BE14">
        <v>9222</v>
      </c>
      <c r="BF14">
        <v>1768</v>
      </c>
      <c r="BG14">
        <v>20476</v>
      </c>
      <c r="BH14">
        <v>0</v>
      </c>
      <c r="BI14">
        <v>0</v>
      </c>
      <c r="BJ14">
        <v>0</v>
      </c>
      <c r="BK14">
        <v>0</v>
      </c>
      <c r="BL14" s="2">
        <v>24.82</v>
      </c>
      <c r="BM14" s="2">
        <v>42005.095138888886</v>
      </c>
      <c r="BN14" s="2">
        <v>5.4</v>
      </c>
      <c r="BO14" s="2">
        <v>42005.092361111114</v>
      </c>
      <c r="BP14" s="2">
        <v>6.92</v>
      </c>
      <c r="BQ14" s="2">
        <v>42005.092361111114</v>
      </c>
      <c r="BR14" s="2">
        <v>11.07</v>
      </c>
      <c r="BS14" s="2">
        <v>42005.092361111114</v>
      </c>
      <c r="BT14">
        <v>0</v>
      </c>
      <c r="BU14">
        <v>0</v>
      </c>
      <c r="BV14" t="s">
        <v>135</v>
      </c>
      <c r="BW14">
        <v>0</v>
      </c>
      <c r="BX14">
        <v>0</v>
      </c>
      <c r="BY14" t="s">
        <v>135</v>
      </c>
      <c r="BZ14">
        <v>0</v>
      </c>
      <c r="CA14">
        <v>0</v>
      </c>
      <c r="CB14" t="s">
        <v>135</v>
      </c>
      <c r="CH14" s="2"/>
      <c r="CN14" s="2"/>
      <c r="CQ14" s="2"/>
      <c r="CW14" s="2"/>
    </row>
    <row r="15" spans="1:101" x14ac:dyDescent="0.25">
      <c r="A15" s="1" t="s">
        <v>163</v>
      </c>
      <c r="B15" s="75" t="s">
        <v>164</v>
      </c>
      <c r="C15">
        <v>0</v>
      </c>
      <c r="D15">
        <v>0</v>
      </c>
      <c r="E15">
        <v>0</v>
      </c>
      <c r="F15">
        <v>604324.56000000006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3.91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7490</v>
      </c>
      <c r="AW15">
        <v>3350</v>
      </c>
      <c r="AX15">
        <v>1219</v>
      </c>
      <c r="AY15">
        <v>12059</v>
      </c>
      <c r="AZ15">
        <v>4202</v>
      </c>
      <c r="BA15">
        <v>7438</v>
      </c>
      <c r="BB15">
        <v>1432</v>
      </c>
      <c r="BC15">
        <v>13072</v>
      </c>
      <c r="BD15">
        <v>9486</v>
      </c>
      <c r="BE15">
        <v>9222</v>
      </c>
      <c r="BF15">
        <v>1768</v>
      </c>
      <c r="BG15">
        <v>20476</v>
      </c>
      <c r="BH15">
        <v>0</v>
      </c>
      <c r="BI15">
        <v>0</v>
      </c>
      <c r="BJ15">
        <v>0</v>
      </c>
      <c r="BK15">
        <v>0</v>
      </c>
      <c r="BL15" s="2">
        <v>24.82</v>
      </c>
      <c r="BM15" s="2">
        <v>42005.095138888886</v>
      </c>
      <c r="BN15" s="2">
        <v>5.4</v>
      </c>
      <c r="BO15" s="2">
        <v>42005.092361111114</v>
      </c>
      <c r="BP15" s="2">
        <v>6.92</v>
      </c>
      <c r="BQ15" s="2">
        <v>42005.092361111114</v>
      </c>
      <c r="BR15" s="2">
        <v>11.07</v>
      </c>
      <c r="BS15" s="2">
        <v>42005.092361111114</v>
      </c>
      <c r="BT15">
        <v>0</v>
      </c>
      <c r="BU15">
        <v>0</v>
      </c>
      <c r="BV15" t="s">
        <v>135</v>
      </c>
      <c r="BW15">
        <v>0</v>
      </c>
      <c r="BX15">
        <v>0</v>
      </c>
      <c r="BY15" t="s">
        <v>135</v>
      </c>
      <c r="BZ15">
        <v>0</v>
      </c>
      <c r="CA15">
        <v>0</v>
      </c>
      <c r="CB15" t="s">
        <v>135</v>
      </c>
      <c r="CH15" s="2"/>
      <c r="CN15" s="2"/>
      <c r="CQ15" s="2"/>
      <c r="CW15" s="2"/>
    </row>
    <row r="16" spans="1:101" x14ac:dyDescent="0.25">
      <c r="A16" s="1" t="s">
        <v>163</v>
      </c>
      <c r="B16" s="75" t="s">
        <v>164</v>
      </c>
      <c r="C16">
        <v>0</v>
      </c>
      <c r="D16">
        <v>0</v>
      </c>
      <c r="E16">
        <v>0</v>
      </c>
      <c r="F16">
        <v>604324.56000000006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3.91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7490</v>
      </c>
      <c r="AW16">
        <v>3350</v>
      </c>
      <c r="AX16">
        <v>1219</v>
      </c>
      <c r="AY16">
        <v>12059</v>
      </c>
      <c r="AZ16">
        <v>4202</v>
      </c>
      <c r="BA16">
        <v>7438</v>
      </c>
      <c r="BB16">
        <v>1432</v>
      </c>
      <c r="BC16">
        <v>13072</v>
      </c>
      <c r="BD16">
        <v>9486</v>
      </c>
      <c r="BE16">
        <v>9222</v>
      </c>
      <c r="BF16">
        <v>1768</v>
      </c>
      <c r="BG16">
        <v>20476</v>
      </c>
      <c r="BH16">
        <v>0</v>
      </c>
      <c r="BI16">
        <v>0</v>
      </c>
      <c r="BJ16">
        <v>0</v>
      </c>
      <c r="BK16">
        <v>0</v>
      </c>
      <c r="BL16" s="2">
        <v>24.82</v>
      </c>
      <c r="BM16" s="2">
        <v>42005.095138888886</v>
      </c>
      <c r="BN16" s="2">
        <v>5.4</v>
      </c>
      <c r="BO16" s="2">
        <v>42005.092361111114</v>
      </c>
      <c r="BP16" s="2">
        <v>6.92</v>
      </c>
      <c r="BQ16" s="2">
        <v>42005.092361111114</v>
      </c>
      <c r="BR16" s="2">
        <v>11.07</v>
      </c>
      <c r="BS16" s="2">
        <v>42005.092361111114</v>
      </c>
      <c r="BT16">
        <v>0</v>
      </c>
      <c r="BU16">
        <v>0</v>
      </c>
      <c r="BV16" t="s">
        <v>135</v>
      </c>
      <c r="BW16">
        <v>0</v>
      </c>
      <c r="BX16">
        <v>0</v>
      </c>
      <c r="BY16" t="s">
        <v>135</v>
      </c>
      <c r="BZ16">
        <v>0</v>
      </c>
      <c r="CA16">
        <v>0</v>
      </c>
      <c r="CB16" t="s">
        <v>135</v>
      </c>
      <c r="CH16" s="2"/>
      <c r="CN16" s="2"/>
      <c r="CQ16" s="2"/>
      <c r="CW16" s="2"/>
    </row>
    <row r="17" spans="1:101" x14ac:dyDescent="0.25">
      <c r="A17" s="1" t="s">
        <v>163</v>
      </c>
      <c r="B17" s="75" t="s">
        <v>164</v>
      </c>
      <c r="C17">
        <v>0</v>
      </c>
      <c r="D17">
        <v>0</v>
      </c>
      <c r="E17">
        <v>0</v>
      </c>
      <c r="F17">
        <v>604324.56000000006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3.91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7490</v>
      </c>
      <c r="AW17">
        <v>3350</v>
      </c>
      <c r="AX17">
        <v>1219</v>
      </c>
      <c r="AY17">
        <v>12059</v>
      </c>
      <c r="AZ17">
        <v>4202</v>
      </c>
      <c r="BA17">
        <v>7438</v>
      </c>
      <c r="BB17">
        <v>1432</v>
      </c>
      <c r="BC17">
        <v>13072</v>
      </c>
      <c r="BD17">
        <v>9486</v>
      </c>
      <c r="BE17">
        <v>9222</v>
      </c>
      <c r="BF17">
        <v>1768</v>
      </c>
      <c r="BG17">
        <v>20476</v>
      </c>
      <c r="BH17">
        <v>0</v>
      </c>
      <c r="BI17">
        <v>0</v>
      </c>
      <c r="BJ17">
        <v>0</v>
      </c>
      <c r="BK17">
        <v>0</v>
      </c>
      <c r="BL17" s="2">
        <v>24.82</v>
      </c>
      <c r="BM17" s="2">
        <v>42005.095138888886</v>
      </c>
      <c r="BN17" s="2">
        <v>5.4</v>
      </c>
      <c r="BO17" s="2">
        <v>42005.092361111114</v>
      </c>
      <c r="BP17" s="2">
        <v>6.92</v>
      </c>
      <c r="BQ17" s="2">
        <v>42005.092361111114</v>
      </c>
      <c r="BR17" s="2">
        <v>11.07</v>
      </c>
      <c r="BS17" s="2">
        <v>42005.092361111114</v>
      </c>
      <c r="BT17">
        <v>0</v>
      </c>
      <c r="BU17">
        <v>0</v>
      </c>
      <c r="BV17" t="s">
        <v>135</v>
      </c>
      <c r="BW17">
        <v>0</v>
      </c>
      <c r="BX17">
        <v>0</v>
      </c>
      <c r="BY17" t="s">
        <v>135</v>
      </c>
      <c r="BZ17">
        <v>0</v>
      </c>
      <c r="CA17">
        <v>0</v>
      </c>
      <c r="CB17" t="s">
        <v>135</v>
      </c>
      <c r="CH17" s="2"/>
      <c r="CN17" s="2"/>
      <c r="CQ17" s="2"/>
      <c r="CW17" s="2"/>
    </row>
    <row r="18" spans="1:101" x14ac:dyDescent="0.25">
      <c r="A18" s="1" t="s">
        <v>163</v>
      </c>
      <c r="B18" s="75" t="s">
        <v>164</v>
      </c>
      <c r="C18">
        <v>0</v>
      </c>
      <c r="D18">
        <v>0</v>
      </c>
      <c r="E18">
        <v>0</v>
      </c>
      <c r="F18">
        <v>604324.56000000006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3.91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7490</v>
      </c>
      <c r="AW18">
        <v>3350</v>
      </c>
      <c r="AX18">
        <v>1219</v>
      </c>
      <c r="AY18">
        <v>12059</v>
      </c>
      <c r="AZ18">
        <v>4202</v>
      </c>
      <c r="BA18">
        <v>7438</v>
      </c>
      <c r="BB18">
        <v>1432</v>
      </c>
      <c r="BC18">
        <v>13072</v>
      </c>
      <c r="BD18">
        <v>9486</v>
      </c>
      <c r="BE18">
        <v>9222</v>
      </c>
      <c r="BF18">
        <v>1768</v>
      </c>
      <c r="BG18">
        <v>20476</v>
      </c>
      <c r="BH18">
        <v>0</v>
      </c>
      <c r="BI18">
        <v>0</v>
      </c>
      <c r="BJ18">
        <v>0</v>
      </c>
      <c r="BK18">
        <v>0</v>
      </c>
      <c r="BL18" s="2">
        <v>24.82</v>
      </c>
      <c r="BM18" s="2">
        <v>42005.095138888886</v>
      </c>
      <c r="BN18" s="2">
        <v>5.4</v>
      </c>
      <c r="BO18" s="2">
        <v>42005.092361111114</v>
      </c>
      <c r="BP18" s="2">
        <v>6.92</v>
      </c>
      <c r="BQ18" s="2">
        <v>42005.092361111114</v>
      </c>
      <c r="BR18" s="2">
        <v>11.07</v>
      </c>
      <c r="BS18" s="2">
        <v>42005.092361111114</v>
      </c>
      <c r="BT18">
        <v>0</v>
      </c>
      <c r="BU18">
        <v>0</v>
      </c>
      <c r="BV18" t="s">
        <v>135</v>
      </c>
      <c r="BW18">
        <v>0</v>
      </c>
      <c r="BX18">
        <v>0</v>
      </c>
      <c r="BY18" t="s">
        <v>135</v>
      </c>
      <c r="BZ18">
        <v>0</v>
      </c>
      <c r="CA18">
        <v>0</v>
      </c>
      <c r="CB18" t="s">
        <v>135</v>
      </c>
      <c r="CH18" s="2"/>
      <c r="CN18" s="2"/>
      <c r="CQ18" s="2"/>
      <c r="CW18" s="2"/>
    </row>
    <row r="19" spans="1:101" x14ac:dyDescent="0.25">
      <c r="A19" s="1" t="s">
        <v>163</v>
      </c>
      <c r="B19" s="75" t="s">
        <v>164</v>
      </c>
      <c r="C19">
        <v>0</v>
      </c>
      <c r="D19">
        <v>0</v>
      </c>
      <c r="E19">
        <v>0</v>
      </c>
      <c r="F19">
        <v>604324.56000000006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3.91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7490</v>
      </c>
      <c r="AW19">
        <v>3350</v>
      </c>
      <c r="AX19">
        <v>1219</v>
      </c>
      <c r="AY19">
        <v>12059</v>
      </c>
      <c r="AZ19">
        <v>4202</v>
      </c>
      <c r="BA19">
        <v>7438</v>
      </c>
      <c r="BB19">
        <v>1432</v>
      </c>
      <c r="BC19">
        <v>13072</v>
      </c>
      <c r="BD19">
        <v>9486</v>
      </c>
      <c r="BE19">
        <v>9222</v>
      </c>
      <c r="BF19">
        <v>1768</v>
      </c>
      <c r="BG19">
        <v>20476</v>
      </c>
      <c r="BH19">
        <v>0</v>
      </c>
      <c r="BI19">
        <v>0</v>
      </c>
      <c r="BJ19">
        <v>0</v>
      </c>
      <c r="BK19">
        <v>0</v>
      </c>
      <c r="BL19" s="2">
        <v>24.82</v>
      </c>
      <c r="BM19" s="2">
        <v>42005.095138888886</v>
      </c>
      <c r="BN19" s="2">
        <v>5.4</v>
      </c>
      <c r="BO19" s="2">
        <v>42005.092361111114</v>
      </c>
      <c r="BP19" s="2">
        <v>6.92</v>
      </c>
      <c r="BQ19" s="2">
        <v>42005.092361111114</v>
      </c>
      <c r="BR19" s="2">
        <v>11.07</v>
      </c>
      <c r="BS19" s="2">
        <v>42005.092361111114</v>
      </c>
      <c r="BT19">
        <v>0</v>
      </c>
      <c r="BU19">
        <v>0</v>
      </c>
      <c r="BV19" t="s">
        <v>135</v>
      </c>
      <c r="BW19">
        <v>0</v>
      </c>
      <c r="BX19">
        <v>0</v>
      </c>
      <c r="BY19" t="s">
        <v>135</v>
      </c>
      <c r="BZ19">
        <v>0</v>
      </c>
      <c r="CA19">
        <v>0</v>
      </c>
      <c r="CB19" t="s">
        <v>135</v>
      </c>
      <c r="CH19" s="2"/>
      <c r="CJ19" s="2"/>
      <c r="CL19" s="2"/>
      <c r="CN19" s="2"/>
      <c r="CQ19" s="2"/>
      <c r="CT19" s="2"/>
      <c r="CW19" s="2"/>
    </row>
    <row r="20" spans="1:101" x14ac:dyDescent="0.25">
      <c r="A20" s="1" t="s">
        <v>163</v>
      </c>
      <c r="B20" s="75" t="s">
        <v>164</v>
      </c>
      <c r="C20">
        <v>0</v>
      </c>
      <c r="D20">
        <v>0</v>
      </c>
      <c r="E20">
        <v>0</v>
      </c>
      <c r="F20">
        <v>604324.56000000006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3.91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7490</v>
      </c>
      <c r="AW20">
        <v>3350</v>
      </c>
      <c r="AX20">
        <v>1219</v>
      </c>
      <c r="AY20">
        <v>12059</v>
      </c>
      <c r="AZ20">
        <v>4202</v>
      </c>
      <c r="BA20">
        <v>7438</v>
      </c>
      <c r="BB20">
        <v>1432</v>
      </c>
      <c r="BC20">
        <v>13072</v>
      </c>
      <c r="BD20">
        <v>9486</v>
      </c>
      <c r="BE20">
        <v>9222</v>
      </c>
      <c r="BF20">
        <v>1768</v>
      </c>
      <c r="BG20">
        <v>20476</v>
      </c>
      <c r="BH20">
        <v>0</v>
      </c>
      <c r="BI20">
        <v>0</v>
      </c>
      <c r="BJ20">
        <v>0</v>
      </c>
      <c r="BK20">
        <v>0</v>
      </c>
      <c r="BL20" s="2">
        <v>24.82</v>
      </c>
      <c r="BM20" s="2">
        <v>42005.095138888886</v>
      </c>
      <c r="BN20" s="2">
        <v>5.4</v>
      </c>
      <c r="BO20" s="2">
        <v>42005.092361111114</v>
      </c>
      <c r="BP20" s="2">
        <v>6.92</v>
      </c>
      <c r="BQ20" s="2">
        <v>42005.092361111114</v>
      </c>
      <c r="BR20" s="2">
        <v>11.07</v>
      </c>
      <c r="BS20" s="2">
        <v>42005.092361111114</v>
      </c>
      <c r="BT20">
        <v>0</v>
      </c>
      <c r="BU20">
        <v>0</v>
      </c>
      <c r="BV20" t="s">
        <v>135</v>
      </c>
      <c r="BW20">
        <v>0</v>
      </c>
      <c r="BX20">
        <v>0</v>
      </c>
      <c r="BY20" t="s">
        <v>135</v>
      </c>
      <c r="BZ20">
        <v>0</v>
      </c>
      <c r="CA20">
        <v>0</v>
      </c>
      <c r="CB20" t="s">
        <v>135</v>
      </c>
      <c r="CH20" s="2"/>
      <c r="CJ20" s="2"/>
      <c r="CL20" s="2"/>
      <c r="CN20" s="2"/>
      <c r="CQ20" s="2"/>
      <c r="CT20" s="2"/>
      <c r="CW20" s="2"/>
    </row>
    <row r="21" spans="1:101" x14ac:dyDescent="0.25">
      <c r="A21" s="1" t="s">
        <v>163</v>
      </c>
      <c r="B21" s="75" t="s">
        <v>164</v>
      </c>
      <c r="C21">
        <v>0</v>
      </c>
      <c r="D21">
        <v>0</v>
      </c>
      <c r="E21">
        <v>0</v>
      </c>
      <c r="F21">
        <v>604324.56000000006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3.91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7490</v>
      </c>
      <c r="AW21">
        <v>3350</v>
      </c>
      <c r="AX21">
        <v>1219</v>
      </c>
      <c r="AY21">
        <v>12059</v>
      </c>
      <c r="AZ21">
        <v>4202</v>
      </c>
      <c r="BA21">
        <v>7438</v>
      </c>
      <c r="BB21">
        <v>1432</v>
      </c>
      <c r="BC21">
        <v>13072</v>
      </c>
      <c r="BD21">
        <v>9486</v>
      </c>
      <c r="BE21">
        <v>9222</v>
      </c>
      <c r="BF21">
        <v>1768</v>
      </c>
      <c r="BG21">
        <v>20476</v>
      </c>
      <c r="BH21">
        <v>0</v>
      </c>
      <c r="BI21">
        <v>0</v>
      </c>
      <c r="BJ21">
        <v>0</v>
      </c>
      <c r="BK21">
        <v>0</v>
      </c>
      <c r="BL21" s="2">
        <v>24.82</v>
      </c>
      <c r="BM21" s="2">
        <v>42005.095138888886</v>
      </c>
      <c r="BN21" s="2">
        <v>5.4</v>
      </c>
      <c r="BO21" s="2">
        <v>42005.092361111114</v>
      </c>
      <c r="BP21" s="2">
        <v>6.92</v>
      </c>
      <c r="BQ21" s="2">
        <v>42005.092361111114</v>
      </c>
      <c r="BR21" s="2">
        <v>11.07</v>
      </c>
      <c r="BS21" s="2">
        <v>42005.092361111114</v>
      </c>
      <c r="BT21">
        <v>0</v>
      </c>
      <c r="BU21">
        <v>0</v>
      </c>
      <c r="BV21" t="s">
        <v>135</v>
      </c>
      <c r="BW21">
        <v>0</v>
      </c>
      <c r="BX21">
        <v>0</v>
      </c>
      <c r="BY21" t="s">
        <v>135</v>
      </c>
      <c r="BZ21">
        <v>0</v>
      </c>
      <c r="CA21">
        <v>0</v>
      </c>
      <c r="CB21" t="s">
        <v>135</v>
      </c>
      <c r="CH21" s="2"/>
      <c r="CJ21" s="2"/>
      <c r="CL21" s="2"/>
      <c r="CN21" s="2"/>
      <c r="CQ21" s="2"/>
      <c r="CT21" s="2"/>
      <c r="CW21" s="2"/>
    </row>
    <row r="22" spans="1:101" x14ac:dyDescent="0.25">
      <c r="A22" s="1" t="s">
        <v>163</v>
      </c>
      <c r="B22" s="75" t="s">
        <v>164</v>
      </c>
      <c r="C22">
        <v>0</v>
      </c>
      <c r="D22">
        <v>0</v>
      </c>
      <c r="E22">
        <v>0</v>
      </c>
      <c r="F22">
        <v>604324.56000000006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3.91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7490</v>
      </c>
      <c r="AW22">
        <v>3350</v>
      </c>
      <c r="AX22">
        <v>1219</v>
      </c>
      <c r="AY22">
        <v>12059</v>
      </c>
      <c r="AZ22">
        <v>4202</v>
      </c>
      <c r="BA22">
        <v>7438</v>
      </c>
      <c r="BB22">
        <v>1432</v>
      </c>
      <c r="BC22">
        <v>13072</v>
      </c>
      <c r="BD22">
        <v>9486</v>
      </c>
      <c r="BE22">
        <v>9222</v>
      </c>
      <c r="BF22">
        <v>1768</v>
      </c>
      <c r="BG22">
        <v>20476</v>
      </c>
      <c r="BH22">
        <v>0</v>
      </c>
      <c r="BI22">
        <v>0</v>
      </c>
      <c r="BJ22">
        <v>0</v>
      </c>
      <c r="BK22">
        <v>0</v>
      </c>
      <c r="BL22" s="2">
        <v>24.82</v>
      </c>
      <c r="BM22" s="2">
        <v>42005.095138888886</v>
      </c>
      <c r="BN22" s="2">
        <v>5.4</v>
      </c>
      <c r="BO22" s="2">
        <v>42005.092361111114</v>
      </c>
      <c r="BP22" s="2">
        <v>6.92</v>
      </c>
      <c r="BQ22" s="2">
        <v>42005.092361111114</v>
      </c>
      <c r="BR22" s="2">
        <v>11.07</v>
      </c>
      <c r="BS22" s="2">
        <v>42005.092361111114</v>
      </c>
      <c r="BT22">
        <v>0</v>
      </c>
      <c r="BU22">
        <v>0</v>
      </c>
      <c r="BV22" t="s">
        <v>135</v>
      </c>
      <c r="BW22">
        <v>0</v>
      </c>
      <c r="BX22">
        <v>0</v>
      </c>
      <c r="BY22" t="s">
        <v>135</v>
      </c>
      <c r="BZ22">
        <v>0</v>
      </c>
      <c r="CA22">
        <v>0</v>
      </c>
      <c r="CB22" t="s">
        <v>135</v>
      </c>
      <c r="CH22" s="2"/>
      <c r="CJ22" s="2"/>
      <c r="CL22" s="2"/>
      <c r="CN22" s="2"/>
      <c r="CQ22" s="2"/>
      <c r="CT22" s="2"/>
      <c r="CW22" s="2"/>
    </row>
    <row r="23" spans="1:101" x14ac:dyDescent="0.25">
      <c r="A23" s="1" t="s">
        <v>163</v>
      </c>
      <c r="B23" s="75" t="s">
        <v>164</v>
      </c>
      <c r="C23">
        <v>0</v>
      </c>
      <c r="D23">
        <v>0</v>
      </c>
      <c r="E23">
        <v>0</v>
      </c>
      <c r="F23">
        <v>604324.56000000006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3.91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7490</v>
      </c>
      <c r="AW23">
        <v>3350</v>
      </c>
      <c r="AX23">
        <v>1219</v>
      </c>
      <c r="AY23">
        <v>12059</v>
      </c>
      <c r="AZ23">
        <v>4202</v>
      </c>
      <c r="BA23">
        <v>7438</v>
      </c>
      <c r="BB23">
        <v>1432</v>
      </c>
      <c r="BC23">
        <v>13072</v>
      </c>
      <c r="BD23">
        <v>9486</v>
      </c>
      <c r="BE23">
        <v>9222</v>
      </c>
      <c r="BF23">
        <v>1768</v>
      </c>
      <c r="BG23">
        <v>20476</v>
      </c>
      <c r="BH23">
        <v>0</v>
      </c>
      <c r="BI23">
        <v>0</v>
      </c>
      <c r="BJ23">
        <v>0</v>
      </c>
      <c r="BK23">
        <v>0</v>
      </c>
      <c r="BL23" s="2">
        <v>24.82</v>
      </c>
      <c r="BM23" s="2">
        <v>42005.095138888886</v>
      </c>
      <c r="BN23" s="2">
        <v>5.4</v>
      </c>
      <c r="BO23" s="2">
        <v>42005.092361111114</v>
      </c>
      <c r="BP23" s="2">
        <v>6.92</v>
      </c>
      <c r="BQ23" s="2">
        <v>42005.092361111114</v>
      </c>
      <c r="BR23" s="2">
        <v>11.07</v>
      </c>
      <c r="BS23" s="2">
        <v>42005.092361111114</v>
      </c>
      <c r="BT23">
        <v>0</v>
      </c>
      <c r="BU23">
        <v>0</v>
      </c>
      <c r="BV23" t="s">
        <v>135</v>
      </c>
      <c r="BW23">
        <v>0</v>
      </c>
      <c r="BX23">
        <v>0</v>
      </c>
      <c r="BY23" t="s">
        <v>135</v>
      </c>
      <c r="BZ23">
        <v>0</v>
      </c>
      <c r="CA23">
        <v>0</v>
      </c>
      <c r="CB23" t="s">
        <v>135</v>
      </c>
      <c r="CH23" s="2"/>
      <c r="CJ23" s="2"/>
      <c r="CL23" s="2"/>
      <c r="CN23" s="2"/>
      <c r="CQ23" s="2"/>
      <c r="CT23" s="2"/>
      <c r="CW23" s="2"/>
    </row>
    <row r="24" spans="1:101" x14ac:dyDescent="0.25">
      <c r="A24" s="1" t="s">
        <v>163</v>
      </c>
      <c r="B24" s="75" t="s">
        <v>164</v>
      </c>
      <c r="C24">
        <v>0</v>
      </c>
      <c r="D24">
        <v>0</v>
      </c>
      <c r="E24">
        <v>0</v>
      </c>
      <c r="F24">
        <v>604324.56000000006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3.91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7490</v>
      </c>
      <c r="AW24">
        <v>3350</v>
      </c>
      <c r="AX24">
        <v>1219</v>
      </c>
      <c r="AY24">
        <v>12059</v>
      </c>
      <c r="AZ24">
        <v>4202</v>
      </c>
      <c r="BA24">
        <v>7438</v>
      </c>
      <c r="BB24">
        <v>1432</v>
      </c>
      <c r="BC24">
        <v>13072</v>
      </c>
      <c r="BD24">
        <v>9486</v>
      </c>
      <c r="BE24">
        <v>9222</v>
      </c>
      <c r="BF24">
        <v>1768</v>
      </c>
      <c r="BG24">
        <v>20476</v>
      </c>
      <c r="BH24">
        <v>0</v>
      </c>
      <c r="BI24">
        <v>0</v>
      </c>
      <c r="BJ24">
        <v>0</v>
      </c>
      <c r="BK24">
        <v>0</v>
      </c>
      <c r="BL24" s="2">
        <v>24.82</v>
      </c>
      <c r="BM24" s="2">
        <v>42005.095138888886</v>
      </c>
      <c r="BN24" s="2">
        <v>5.4</v>
      </c>
      <c r="BO24" s="2">
        <v>42005.092361111114</v>
      </c>
      <c r="BP24" s="2">
        <v>6.92</v>
      </c>
      <c r="BQ24" s="2">
        <v>42005.092361111114</v>
      </c>
      <c r="BR24" s="2">
        <v>11.07</v>
      </c>
      <c r="BS24" s="2">
        <v>42005.092361111114</v>
      </c>
      <c r="BT24">
        <v>0</v>
      </c>
      <c r="BU24">
        <v>0</v>
      </c>
      <c r="BV24" t="s">
        <v>135</v>
      </c>
      <c r="BW24">
        <v>0</v>
      </c>
      <c r="BX24">
        <v>0</v>
      </c>
      <c r="BY24" t="s">
        <v>135</v>
      </c>
      <c r="BZ24">
        <v>0</v>
      </c>
      <c r="CA24">
        <v>0</v>
      </c>
      <c r="CB24" t="s">
        <v>135</v>
      </c>
      <c r="CH24" s="2"/>
      <c r="CJ24" s="2"/>
      <c r="CL24" s="2"/>
      <c r="CN24" s="2"/>
      <c r="CQ24" s="2"/>
      <c r="CT24" s="2"/>
      <c r="CW24" s="2"/>
    </row>
    <row r="25" spans="1:101" x14ac:dyDescent="0.25">
      <c r="A25" s="1" t="s">
        <v>163</v>
      </c>
      <c r="B25" s="75" t="s">
        <v>164</v>
      </c>
      <c r="C25">
        <v>0</v>
      </c>
      <c r="D25">
        <v>0</v>
      </c>
      <c r="E25">
        <v>0</v>
      </c>
      <c r="F25">
        <v>604324.56000000006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3.91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7490</v>
      </c>
      <c r="AW25">
        <v>3350</v>
      </c>
      <c r="AX25">
        <v>1219</v>
      </c>
      <c r="AY25">
        <v>12059</v>
      </c>
      <c r="AZ25">
        <v>4202</v>
      </c>
      <c r="BA25">
        <v>7438</v>
      </c>
      <c r="BB25">
        <v>1432</v>
      </c>
      <c r="BC25">
        <v>13072</v>
      </c>
      <c r="BD25">
        <v>9486</v>
      </c>
      <c r="BE25">
        <v>9222</v>
      </c>
      <c r="BF25">
        <v>1768</v>
      </c>
      <c r="BG25">
        <v>20476</v>
      </c>
      <c r="BH25">
        <v>0</v>
      </c>
      <c r="BI25">
        <v>0</v>
      </c>
      <c r="BJ25">
        <v>0</v>
      </c>
      <c r="BK25">
        <v>0</v>
      </c>
      <c r="BL25" s="2">
        <v>24.82</v>
      </c>
      <c r="BM25" s="2">
        <v>42005.095138888886</v>
      </c>
      <c r="BN25" s="2">
        <v>5.4</v>
      </c>
      <c r="BO25" s="2">
        <v>42005.092361111114</v>
      </c>
      <c r="BP25" s="2">
        <v>6.92</v>
      </c>
      <c r="BQ25" s="2">
        <v>42005.092361111114</v>
      </c>
      <c r="BR25" s="2">
        <v>11.07</v>
      </c>
      <c r="BS25" s="2">
        <v>42005.092361111114</v>
      </c>
      <c r="BT25">
        <v>0</v>
      </c>
      <c r="BU25">
        <v>0</v>
      </c>
      <c r="BV25" t="s">
        <v>135</v>
      </c>
      <c r="BW25">
        <v>0</v>
      </c>
      <c r="BX25">
        <v>0</v>
      </c>
      <c r="BY25" t="s">
        <v>135</v>
      </c>
      <c r="BZ25">
        <v>0</v>
      </c>
      <c r="CA25">
        <v>0</v>
      </c>
      <c r="CB25" t="s">
        <v>135</v>
      </c>
      <c r="CH25" s="2"/>
      <c r="CJ25" s="2"/>
      <c r="CL25" s="2"/>
      <c r="CN25" s="2"/>
      <c r="CQ25" s="2"/>
      <c r="CT25" s="2"/>
      <c r="CW25" s="2"/>
    </row>
    <row r="26" spans="1:101" x14ac:dyDescent="0.25">
      <c r="A26" s="1" t="s">
        <v>163</v>
      </c>
      <c r="B26" s="75" t="s">
        <v>164</v>
      </c>
      <c r="C26">
        <v>0</v>
      </c>
      <c r="D26">
        <v>0</v>
      </c>
      <c r="E26">
        <v>0</v>
      </c>
      <c r="F26">
        <v>604324.56000000006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3.91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7490</v>
      </c>
      <c r="AW26">
        <v>3350</v>
      </c>
      <c r="AX26">
        <v>1219</v>
      </c>
      <c r="AY26">
        <v>12059</v>
      </c>
      <c r="AZ26">
        <v>4202</v>
      </c>
      <c r="BA26">
        <v>7438</v>
      </c>
      <c r="BB26">
        <v>1432</v>
      </c>
      <c r="BC26">
        <v>13072</v>
      </c>
      <c r="BD26">
        <v>9486</v>
      </c>
      <c r="BE26">
        <v>9222</v>
      </c>
      <c r="BF26">
        <v>1768</v>
      </c>
      <c r="BG26">
        <v>20476</v>
      </c>
      <c r="BH26">
        <v>0</v>
      </c>
      <c r="BI26">
        <v>0</v>
      </c>
      <c r="BJ26">
        <v>0</v>
      </c>
      <c r="BK26">
        <v>0</v>
      </c>
      <c r="BL26" s="2">
        <v>24.82</v>
      </c>
      <c r="BM26" s="2">
        <v>42005.095138888886</v>
      </c>
      <c r="BN26" s="2">
        <v>5.4</v>
      </c>
      <c r="BO26" s="2">
        <v>42005.092361111114</v>
      </c>
      <c r="BP26" s="2">
        <v>6.92</v>
      </c>
      <c r="BQ26" s="2">
        <v>42005.092361111114</v>
      </c>
      <c r="BR26" s="2">
        <v>11.07</v>
      </c>
      <c r="BS26" s="2">
        <v>42005.092361111114</v>
      </c>
      <c r="BT26">
        <v>0</v>
      </c>
      <c r="BU26">
        <v>0</v>
      </c>
      <c r="BV26" t="s">
        <v>135</v>
      </c>
      <c r="BW26">
        <v>0</v>
      </c>
      <c r="BX26">
        <v>0</v>
      </c>
      <c r="BY26" t="s">
        <v>135</v>
      </c>
      <c r="BZ26">
        <v>0</v>
      </c>
      <c r="CA26">
        <v>0</v>
      </c>
      <c r="CB26" t="s">
        <v>135</v>
      </c>
      <c r="CH26" s="2"/>
      <c r="CJ26" s="2"/>
      <c r="CL26" s="2"/>
      <c r="CN26" s="2"/>
      <c r="CQ26" s="2"/>
      <c r="CT26" s="2"/>
      <c r="CW26" s="2"/>
    </row>
    <row r="27" spans="1:101" x14ac:dyDescent="0.25">
      <c r="A27" s="1" t="s">
        <v>163</v>
      </c>
      <c r="B27" s="75" t="s">
        <v>164</v>
      </c>
      <c r="C27">
        <v>0</v>
      </c>
      <c r="D27">
        <v>0</v>
      </c>
      <c r="E27">
        <v>0</v>
      </c>
      <c r="F27">
        <v>604324.56000000006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3.91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7490</v>
      </c>
      <c r="AW27">
        <v>3350</v>
      </c>
      <c r="AX27">
        <v>1219</v>
      </c>
      <c r="AY27">
        <v>12059</v>
      </c>
      <c r="AZ27">
        <v>4202</v>
      </c>
      <c r="BA27">
        <v>7438</v>
      </c>
      <c r="BB27">
        <v>1432</v>
      </c>
      <c r="BC27">
        <v>13072</v>
      </c>
      <c r="BD27">
        <v>9486</v>
      </c>
      <c r="BE27">
        <v>9222</v>
      </c>
      <c r="BF27">
        <v>1768</v>
      </c>
      <c r="BG27">
        <v>20476</v>
      </c>
      <c r="BH27">
        <v>0</v>
      </c>
      <c r="BI27">
        <v>0</v>
      </c>
      <c r="BJ27">
        <v>0</v>
      </c>
      <c r="BK27">
        <v>0</v>
      </c>
      <c r="BL27" s="2">
        <v>24.82</v>
      </c>
      <c r="BM27" s="2">
        <v>42005.095138888886</v>
      </c>
      <c r="BN27" s="2">
        <v>5.4</v>
      </c>
      <c r="BO27" s="2">
        <v>42005.092361111114</v>
      </c>
      <c r="BP27" s="2">
        <v>6.92</v>
      </c>
      <c r="BQ27" s="2">
        <v>42005.092361111114</v>
      </c>
      <c r="BR27" s="2">
        <v>11.07</v>
      </c>
      <c r="BS27" s="2">
        <v>42005.092361111114</v>
      </c>
      <c r="BT27">
        <v>0</v>
      </c>
      <c r="BU27">
        <v>0</v>
      </c>
      <c r="BV27" t="s">
        <v>135</v>
      </c>
      <c r="BW27">
        <v>0</v>
      </c>
      <c r="BX27">
        <v>0</v>
      </c>
      <c r="BY27" t="s">
        <v>135</v>
      </c>
      <c r="BZ27">
        <v>0</v>
      </c>
      <c r="CA27">
        <v>0</v>
      </c>
      <c r="CB27" t="s">
        <v>135</v>
      </c>
      <c r="CH27" s="2"/>
      <c r="CJ27" s="2"/>
      <c r="CL27" s="2"/>
      <c r="CN27" s="2"/>
      <c r="CQ27" s="2"/>
      <c r="CT27" s="2"/>
      <c r="CW27" s="2"/>
    </row>
    <row r="28" spans="1:101" x14ac:dyDescent="0.25">
      <c r="A28" s="1" t="s">
        <v>163</v>
      </c>
      <c r="B28" s="75" t="s">
        <v>164</v>
      </c>
      <c r="C28">
        <v>0</v>
      </c>
      <c r="D28">
        <v>0</v>
      </c>
      <c r="E28">
        <v>0</v>
      </c>
      <c r="F28">
        <v>604324.56000000006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3.91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7490</v>
      </c>
      <c r="AW28">
        <v>3350</v>
      </c>
      <c r="AX28">
        <v>1219</v>
      </c>
      <c r="AY28">
        <v>12059</v>
      </c>
      <c r="AZ28">
        <v>4202</v>
      </c>
      <c r="BA28">
        <v>7438</v>
      </c>
      <c r="BB28">
        <v>1432</v>
      </c>
      <c r="BC28">
        <v>13072</v>
      </c>
      <c r="BD28">
        <v>9486</v>
      </c>
      <c r="BE28">
        <v>9222</v>
      </c>
      <c r="BF28">
        <v>1768</v>
      </c>
      <c r="BG28">
        <v>20476</v>
      </c>
      <c r="BH28">
        <v>0</v>
      </c>
      <c r="BI28">
        <v>0</v>
      </c>
      <c r="BJ28">
        <v>0</v>
      </c>
      <c r="BK28">
        <v>0</v>
      </c>
      <c r="BL28" s="2">
        <v>24.82</v>
      </c>
      <c r="BM28" s="2">
        <v>42005.095138888886</v>
      </c>
      <c r="BN28" s="2">
        <v>5.4</v>
      </c>
      <c r="BO28" s="2">
        <v>42005.092361111114</v>
      </c>
      <c r="BP28" s="2">
        <v>6.92</v>
      </c>
      <c r="BQ28" s="2">
        <v>42005.092361111114</v>
      </c>
      <c r="BR28" s="2">
        <v>11.07</v>
      </c>
      <c r="BS28" s="2">
        <v>42005.092361111114</v>
      </c>
      <c r="BT28">
        <v>0</v>
      </c>
      <c r="BU28">
        <v>0</v>
      </c>
      <c r="BV28" t="s">
        <v>135</v>
      </c>
      <c r="BW28">
        <v>0</v>
      </c>
      <c r="BX28">
        <v>0</v>
      </c>
      <c r="BY28" t="s">
        <v>135</v>
      </c>
      <c r="BZ28">
        <v>0</v>
      </c>
      <c r="CA28">
        <v>0</v>
      </c>
      <c r="CB28" t="s">
        <v>135</v>
      </c>
      <c r="CH28" s="2"/>
      <c r="CJ28" s="2"/>
      <c r="CL28" s="2"/>
      <c r="CN28" s="2"/>
      <c r="CQ28" s="2"/>
      <c r="CT28" s="2"/>
      <c r="CW28" s="2"/>
    </row>
    <row r="29" spans="1:101" x14ac:dyDescent="0.25">
      <c r="A29" s="1" t="s">
        <v>163</v>
      </c>
      <c r="B29" s="75" t="s">
        <v>164</v>
      </c>
      <c r="C29">
        <v>0</v>
      </c>
      <c r="D29">
        <v>0</v>
      </c>
      <c r="E29">
        <v>0</v>
      </c>
      <c r="F29">
        <v>604324.56000000006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3.91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7490</v>
      </c>
      <c r="AW29">
        <v>3350</v>
      </c>
      <c r="AX29">
        <v>1219</v>
      </c>
      <c r="AY29">
        <v>12059</v>
      </c>
      <c r="AZ29">
        <v>4202</v>
      </c>
      <c r="BA29">
        <v>7438</v>
      </c>
      <c r="BB29">
        <v>1432</v>
      </c>
      <c r="BC29">
        <v>13072</v>
      </c>
      <c r="BD29">
        <v>9486</v>
      </c>
      <c r="BE29">
        <v>9222</v>
      </c>
      <c r="BF29">
        <v>1768</v>
      </c>
      <c r="BG29">
        <v>20476</v>
      </c>
      <c r="BH29">
        <v>0</v>
      </c>
      <c r="BI29">
        <v>0</v>
      </c>
      <c r="BJ29">
        <v>0</v>
      </c>
      <c r="BK29">
        <v>0</v>
      </c>
      <c r="BL29" s="2">
        <v>24.82</v>
      </c>
      <c r="BM29" s="2">
        <v>42005.095138888886</v>
      </c>
      <c r="BN29" s="2">
        <v>5.4</v>
      </c>
      <c r="BO29" s="2">
        <v>42005.092361111114</v>
      </c>
      <c r="BP29" s="2">
        <v>6.92</v>
      </c>
      <c r="BQ29" s="2">
        <v>42005.092361111114</v>
      </c>
      <c r="BR29" s="2">
        <v>11.07</v>
      </c>
      <c r="BS29" s="2">
        <v>42005.092361111114</v>
      </c>
      <c r="BT29">
        <v>0</v>
      </c>
      <c r="BU29">
        <v>0</v>
      </c>
      <c r="BV29" t="s">
        <v>135</v>
      </c>
      <c r="BW29">
        <v>0</v>
      </c>
      <c r="BX29">
        <v>0</v>
      </c>
      <c r="BY29" t="s">
        <v>135</v>
      </c>
      <c r="BZ29">
        <v>0</v>
      </c>
      <c r="CA29">
        <v>0</v>
      </c>
      <c r="CB29" t="s">
        <v>135</v>
      </c>
      <c r="CH29" s="2"/>
      <c r="CJ29" s="2"/>
      <c r="CL29" s="2"/>
      <c r="CN29" s="2"/>
      <c r="CQ29" s="2"/>
      <c r="CT29" s="2"/>
      <c r="CW29" s="2"/>
    </row>
    <row r="30" spans="1:101" x14ac:dyDescent="0.25">
      <c r="A30" s="1" t="s">
        <v>163</v>
      </c>
      <c r="B30" s="75" t="s">
        <v>164</v>
      </c>
      <c r="C30">
        <v>0</v>
      </c>
      <c r="D30">
        <v>0</v>
      </c>
      <c r="E30">
        <v>0</v>
      </c>
      <c r="F30">
        <v>604324.56000000006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3.91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7490</v>
      </c>
      <c r="AW30">
        <v>3350</v>
      </c>
      <c r="AX30">
        <v>1219</v>
      </c>
      <c r="AY30">
        <v>12059</v>
      </c>
      <c r="AZ30">
        <v>4202</v>
      </c>
      <c r="BA30">
        <v>7438</v>
      </c>
      <c r="BB30">
        <v>1432</v>
      </c>
      <c r="BC30">
        <v>13072</v>
      </c>
      <c r="BD30">
        <v>9486</v>
      </c>
      <c r="BE30">
        <v>9222</v>
      </c>
      <c r="BF30">
        <v>1768</v>
      </c>
      <c r="BG30">
        <v>20476</v>
      </c>
      <c r="BH30">
        <v>0</v>
      </c>
      <c r="BI30">
        <v>0</v>
      </c>
      <c r="BJ30">
        <v>0</v>
      </c>
      <c r="BK30">
        <v>0</v>
      </c>
      <c r="BL30" s="2">
        <v>24.82</v>
      </c>
      <c r="BM30" s="2">
        <v>42005.095138888886</v>
      </c>
      <c r="BN30" s="2">
        <v>5.4</v>
      </c>
      <c r="BO30" s="2">
        <v>42005.092361111114</v>
      </c>
      <c r="BP30" s="2">
        <v>6.92</v>
      </c>
      <c r="BQ30" s="2">
        <v>42005.092361111114</v>
      </c>
      <c r="BR30" s="2">
        <v>11.07</v>
      </c>
      <c r="BS30" s="2">
        <v>42005.092361111114</v>
      </c>
      <c r="BT30">
        <v>0</v>
      </c>
      <c r="BU30">
        <v>0</v>
      </c>
      <c r="BV30" t="s">
        <v>135</v>
      </c>
      <c r="BW30">
        <v>0</v>
      </c>
      <c r="BX30">
        <v>0</v>
      </c>
      <c r="BY30" t="s">
        <v>135</v>
      </c>
      <c r="BZ30">
        <v>0</v>
      </c>
      <c r="CA30">
        <v>0</v>
      </c>
      <c r="CB30" t="s">
        <v>135</v>
      </c>
      <c r="CH30" s="2"/>
      <c r="CJ30" s="2"/>
      <c r="CL30" s="2"/>
      <c r="CN30" s="2"/>
      <c r="CQ30" s="2"/>
      <c r="CT30" s="2"/>
      <c r="CW30" s="2"/>
    </row>
    <row r="31" spans="1:101" x14ac:dyDescent="0.25">
      <c r="A31" s="1" t="s">
        <v>163</v>
      </c>
      <c r="B31" s="75" t="s">
        <v>164</v>
      </c>
      <c r="C31">
        <v>0</v>
      </c>
      <c r="D31">
        <v>0</v>
      </c>
      <c r="E31">
        <v>0</v>
      </c>
      <c r="F31">
        <v>604324.56000000006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3.91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7490</v>
      </c>
      <c r="AW31">
        <v>3350</v>
      </c>
      <c r="AX31">
        <v>1219</v>
      </c>
      <c r="AY31">
        <v>12059</v>
      </c>
      <c r="AZ31">
        <v>4202</v>
      </c>
      <c r="BA31">
        <v>7438</v>
      </c>
      <c r="BB31">
        <v>1432</v>
      </c>
      <c r="BC31">
        <v>13072</v>
      </c>
      <c r="BD31">
        <v>9486</v>
      </c>
      <c r="BE31">
        <v>9222</v>
      </c>
      <c r="BF31">
        <v>1768</v>
      </c>
      <c r="BG31">
        <v>20476</v>
      </c>
      <c r="BH31">
        <v>0</v>
      </c>
      <c r="BI31">
        <v>0</v>
      </c>
      <c r="BJ31">
        <v>0</v>
      </c>
      <c r="BK31">
        <v>0</v>
      </c>
      <c r="BL31" s="2">
        <v>24.82</v>
      </c>
      <c r="BM31" s="2">
        <v>42005.095138888886</v>
      </c>
      <c r="BN31" s="2">
        <v>5.4</v>
      </c>
      <c r="BO31" s="2">
        <v>42005.092361111114</v>
      </c>
      <c r="BP31" s="2">
        <v>6.92</v>
      </c>
      <c r="BQ31" s="2">
        <v>42005.092361111114</v>
      </c>
      <c r="BR31" s="2">
        <v>11.07</v>
      </c>
      <c r="BS31" s="2">
        <v>42005.092361111114</v>
      </c>
      <c r="BT31">
        <v>0</v>
      </c>
      <c r="BU31">
        <v>0</v>
      </c>
      <c r="BV31" t="s">
        <v>135</v>
      </c>
      <c r="BW31">
        <v>0</v>
      </c>
      <c r="BX31">
        <v>0</v>
      </c>
      <c r="BY31" t="s">
        <v>135</v>
      </c>
      <c r="BZ31">
        <v>0</v>
      </c>
      <c r="CA31">
        <v>0</v>
      </c>
      <c r="CB31" t="s">
        <v>135</v>
      </c>
      <c r="CH31" s="2"/>
      <c r="CJ31" s="2"/>
      <c r="CL31" s="2"/>
      <c r="CN31" s="2"/>
      <c r="CQ31" s="2"/>
      <c r="CT31" s="2"/>
      <c r="CW31" s="2"/>
    </row>
    <row r="32" spans="1:101" x14ac:dyDescent="0.25">
      <c r="A32" s="1" t="s">
        <v>163</v>
      </c>
      <c r="B32" s="75" t="s">
        <v>164</v>
      </c>
      <c r="C32">
        <v>0</v>
      </c>
      <c r="D32">
        <v>0</v>
      </c>
      <c r="E32">
        <v>0</v>
      </c>
      <c r="F32">
        <v>604324.56000000006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3.91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7490</v>
      </c>
      <c r="AW32">
        <v>3350</v>
      </c>
      <c r="AX32">
        <v>1219</v>
      </c>
      <c r="AY32">
        <v>12059</v>
      </c>
      <c r="AZ32">
        <v>4202</v>
      </c>
      <c r="BA32">
        <v>7438</v>
      </c>
      <c r="BB32">
        <v>1432</v>
      </c>
      <c r="BC32">
        <v>13072</v>
      </c>
      <c r="BD32">
        <v>9486</v>
      </c>
      <c r="BE32">
        <v>9222</v>
      </c>
      <c r="BF32">
        <v>1768</v>
      </c>
      <c r="BG32">
        <v>20476</v>
      </c>
      <c r="BH32">
        <v>0</v>
      </c>
      <c r="BI32">
        <v>0</v>
      </c>
      <c r="BJ32">
        <v>0</v>
      </c>
      <c r="BK32">
        <v>0</v>
      </c>
      <c r="BL32" s="2">
        <v>24.82</v>
      </c>
      <c r="BM32" s="2">
        <v>42005.095138888886</v>
      </c>
      <c r="BN32" s="2">
        <v>5.4</v>
      </c>
      <c r="BO32" s="2">
        <v>42005.092361111114</v>
      </c>
      <c r="BP32" s="2">
        <v>6.92</v>
      </c>
      <c r="BQ32" s="2">
        <v>42005.092361111114</v>
      </c>
      <c r="BR32" s="2">
        <v>11.07</v>
      </c>
      <c r="BS32" s="2">
        <v>42005.092361111114</v>
      </c>
      <c r="BT32">
        <v>0</v>
      </c>
      <c r="BU32">
        <v>0</v>
      </c>
      <c r="BV32" t="s">
        <v>135</v>
      </c>
      <c r="BW32">
        <v>0</v>
      </c>
      <c r="BX32">
        <v>0</v>
      </c>
      <c r="BY32" t="s">
        <v>135</v>
      </c>
      <c r="BZ32">
        <v>0</v>
      </c>
      <c r="CA32">
        <v>0</v>
      </c>
      <c r="CB32" t="s">
        <v>135</v>
      </c>
      <c r="CH32" s="2"/>
      <c r="CJ32" s="2"/>
      <c r="CL32" s="2"/>
      <c r="CN32" s="2"/>
      <c r="CQ32" s="2"/>
      <c r="CT32" s="2"/>
      <c r="CW32" s="2"/>
    </row>
    <row r="33" spans="1:101" x14ac:dyDescent="0.25">
      <c r="A33" s="1" t="s">
        <v>163</v>
      </c>
      <c r="B33" s="75" t="s">
        <v>164</v>
      </c>
      <c r="C33">
        <v>0</v>
      </c>
      <c r="D33">
        <v>0</v>
      </c>
      <c r="E33">
        <v>0</v>
      </c>
      <c r="F33">
        <v>604324.56000000006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3.91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7490</v>
      </c>
      <c r="AW33">
        <v>3350</v>
      </c>
      <c r="AX33">
        <v>1219</v>
      </c>
      <c r="AY33">
        <v>12059</v>
      </c>
      <c r="AZ33">
        <v>4202</v>
      </c>
      <c r="BA33">
        <v>7438</v>
      </c>
      <c r="BB33">
        <v>1432</v>
      </c>
      <c r="BC33">
        <v>13072</v>
      </c>
      <c r="BD33">
        <v>9486</v>
      </c>
      <c r="BE33">
        <v>9222</v>
      </c>
      <c r="BF33">
        <v>1768</v>
      </c>
      <c r="BG33">
        <v>20476</v>
      </c>
      <c r="BH33">
        <v>0</v>
      </c>
      <c r="BI33">
        <v>0</v>
      </c>
      <c r="BJ33">
        <v>0</v>
      </c>
      <c r="BK33">
        <v>0</v>
      </c>
      <c r="BL33" s="2">
        <v>24.82</v>
      </c>
      <c r="BM33" s="2">
        <v>42005.095138888886</v>
      </c>
      <c r="BN33" s="2">
        <v>5.4</v>
      </c>
      <c r="BO33" s="2">
        <v>42005.092361111114</v>
      </c>
      <c r="BP33" s="2">
        <v>6.92</v>
      </c>
      <c r="BQ33" s="2">
        <v>42005.092361111114</v>
      </c>
      <c r="BR33" s="2">
        <v>11.07</v>
      </c>
      <c r="BS33" s="2">
        <v>42005.092361111114</v>
      </c>
      <c r="BT33">
        <v>0</v>
      </c>
      <c r="BU33">
        <v>0</v>
      </c>
      <c r="BV33" t="s">
        <v>135</v>
      </c>
      <c r="BW33">
        <v>0</v>
      </c>
      <c r="BX33">
        <v>0</v>
      </c>
      <c r="BY33" t="s">
        <v>135</v>
      </c>
      <c r="BZ33">
        <v>0</v>
      </c>
      <c r="CA33">
        <v>0</v>
      </c>
      <c r="CB33" t="s">
        <v>135</v>
      </c>
      <c r="CH33" s="2"/>
      <c r="CJ33" s="2"/>
      <c r="CL33" s="2"/>
      <c r="CN33" s="2"/>
      <c r="CQ33" s="2"/>
      <c r="CT33" s="2"/>
      <c r="CW33" s="2"/>
    </row>
    <row r="34" spans="1:101" x14ac:dyDescent="0.25">
      <c r="A34" s="1" t="s">
        <v>163</v>
      </c>
      <c r="B34" s="75" t="s">
        <v>164</v>
      </c>
      <c r="C34">
        <v>0</v>
      </c>
      <c r="D34">
        <v>0</v>
      </c>
      <c r="E34">
        <v>0</v>
      </c>
      <c r="F34">
        <v>604324.56000000006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3.91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7490</v>
      </c>
      <c r="AW34">
        <v>3350</v>
      </c>
      <c r="AX34">
        <v>1219</v>
      </c>
      <c r="AY34">
        <v>12059</v>
      </c>
      <c r="AZ34">
        <v>4202</v>
      </c>
      <c r="BA34">
        <v>7438</v>
      </c>
      <c r="BB34">
        <v>1432</v>
      </c>
      <c r="BC34">
        <v>13072</v>
      </c>
      <c r="BD34">
        <v>9486</v>
      </c>
      <c r="BE34">
        <v>9222</v>
      </c>
      <c r="BF34">
        <v>1768</v>
      </c>
      <c r="BG34">
        <v>20476</v>
      </c>
      <c r="BH34">
        <v>0</v>
      </c>
      <c r="BI34">
        <v>0</v>
      </c>
      <c r="BJ34">
        <v>0</v>
      </c>
      <c r="BK34">
        <v>0</v>
      </c>
      <c r="BL34" s="2">
        <v>24.82</v>
      </c>
      <c r="BM34" s="2">
        <v>42005.095138888886</v>
      </c>
      <c r="BN34" s="2">
        <v>5.4</v>
      </c>
      <c r="BO34" s="2">
        <v>42005.092361111114</v>
      </c>
      <c r="BP34" s="2">
        <v>6.92</v>
      </c>
      <c r="BQ34" s="2">
        <v>42005.092361111114</v>
      </c>
      <c r="BR34" s="2">
        <v>11.07</v>
      </c>
      <c r="BS34" s="2">
        <v>42005.092361111114</v>
      </c>
      <c r="BT34">
        <v>0</v>
      </c>
      <c r="BU34">
        <v>0</v>
      </c>
      <c r="BV34" t="s">
        <v>135</v>
      </c>
      <c r="BW34">
        <v>0</v>
      </c>
      <c r="BX34">
        <v>0</v>
      </c>
      <c r="BY34" t="s">
        <v>135</v>
      </c>
      <c r="BZ34">
        <v>0</v>
      </c>
      <c r="CA34">
        <v>0</v>
      </c>
      <c r="CB34" t="s">
        <v>135</v>
      </c>
      <c r="CH34" s="2"/>
      <c r="CJ34" s="2"/>
      <c r="CL34" s="2"/>
      <c r="CN34" s="2"/>
      <c r="CQ34" s="2"/>
      <c r="CT34" s="2"/>
      <c r="CW34" s="2"/>
    </row>
    <row r="35" spans="1:101" x14ac:dyDescent="0.25">
      <c r="A35" s="1" t="s">
        <v>163</v>
      </c>
      <c r="B35" s="75" t="s">
        <v>164</v>
      </c>
      <c r="C35">
        <v>0</v>
      </c>
      <c r="D35">
        <v>0</v>
      </c>
      <c r="E35">
        <v>0</v>
      </c>
      <c r="F35">
        <v>604324.56000000006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3.91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7490</v>
      </c>
      <c r="AW35">
        <v>3350</v>
      </c>
      <c r="AX35">
        <v>1219</v>
      </c>
      <c r="AY35">
        <v>12059</v>
      </c>
      <c r="AZ35">
        <v>4202</v>
      </c>
      <c r="BA35">
        <v>7438</v>
      </c>
      <c r="BB35">
        <v>1432</v>
      </c>
      <c r="BC35">
        <v>13072</v>
      </c>
      <c r="BD35">
        <v>9486</v>
      </c>
      <c r="BE35">
        <v>9222</v>
      </c>
      <c r="BF35">
        <v>1768</v>
      </c>
      <c r="BG35">
        <v>20476</v>
      </c>
      <c r="BH35">
        <v>0</v>
      </c>
      <c r="BI35">
        <v>0</v>
      </c>
      <c r="BJ35">
        <v>0</v>
      </c>
      <c r="BK35">
        <v>0</v>
      </c>
      <c r="BL35" s="2">
        <v>24.82</v>
      </c>
      <c r="BM35" s="2">
        <v>42005.095138888886</v>
      </c>
      <c r="BN35" s="2">
        <v>5.4</v>
      </c>
      <c r="BO35" s="2">
        <v>42005.092361111114</v>
      </c>
      <c r="BP35" s="2">
        <v>6.92</v>
      </c>
      <c r="BQ35" s="2">
        <v>42005.092361111114</v>
      </c>
      <c r="BR35" s="2">
        <v>11.07</v>
      </c>
      <c r="BS35" s="2">
        <v>42005.092361111114</v>
      </c>
      <c r="BT35">
        <v>0</v>
      </c>
      <c r="BU35">
        <v>0</v>
      </c>
      <c r="BV35" t="s">
        <v>135</v>
      </c>
      <c r="BW35">
        <v>0</v>
      </c>
      <c r="BX35">
        <v>0</v>
      </c>
      <c r="BY35" t="s">
        <v>135</v>
      </c>
      <c r="BZ35">
        <v>0</v>
      </c>
      <c r="CA35">
        <v>0</v>
      </c>
      <c r="CB35" t="s">
        <v>135</v>
      </c>
      <c r="CH35" s="2"/>
      <c r="CJ35" s="2"/>
      <c r="CL35" s="2"/>
      <c r="CN35" s="2"/>
      <c r="CQ35" s="2"/>
      <c r="CT35" s="2"/>
      <c r="CW35" s="2"/>
    </row>
    <row r="36" spans="1:101" x14ac:dyDescent="0.25">
      <c r="A36" s="1" t="s">
        <v>163</v>
      </c>
      <c r="B36" s="75" t="s">
        <v>164</v>
      </c>
      <c r="C36">
        <v>0</v>
      </c>
      <c r="D36">
        <v>0</v>
      </c>
      <c r="E36">
        <v>0</v>
      </c>
      <c r="F36">
        <v>604324.56000000006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3.91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7490</v>
      </c>
      <c r="AW36">
        <v>3350</v>
      </c>
      <c r="AX36">
        <v>1219</v>
      </c>
      <c r="AY36">
        <v>12059</v>
      </c>
      <c r="AZ36">
        <v>4202</v>
      </c>
      <c r="BA36">
        <v>7438</v>
      </c>
      <c r="BB36">
        <v>1432</v>
      </c>
      <c r="BC36">
        <v>13072</v>
      </c>
      <c r="BD36">
        <v>9486</v>
      </c>
      <c r="BE36">
        <v>9222</v>
      </c>
      <c r="BF36">
        <v>1768</v>
      </c>
      <c r="BG36">
        <v>20476</v>
      </c>
      <c r="BH36">
        <v>0</v>
      </c>
      <c r="BI36">
        <v>0</v>
      </c>
      <c r="BJ36">
        <v>0</v>
      </c>
      <c r="BK36">
        <v>0</v>
      </c>
      <c r="BL36" s="2">
        <v>24.82</v>
      </c>
      <c r="BM36" s="2">
        <v>42005.095138888886</v>
      </c>
      <c r="BN36" s="2">
        <v>5.4</v>
      </c>
      <c r="BO36" s="2">
        <v>42005.092361111114</v>
      </c>
      <c r="BP36" s="2">
        <v>6.92</v>
      </c>
      <c r="BQ36" s="2">
        <v>42005.092361111114</v>
      </c>
      <c r="BR36" s="2">
        <v>11.07</v>
      </c>
      <c r="BS36" s="2">
        <v>42005.092361111114</v>
      </c>
      <c r="BT36">
        <v>0</v>
      </c>
      <c r="BU36">
        <v>0</v>
      </c>
      <c r="BV36" t="s">
        <v>135</v>
      </c>
      <c r="BW36">
        <v>0</v>
      </c>
      <c r="BX36">
        <v>0</v>
      </c>
      <c r="BY36" t="s">
        <v>135</v>
      </c>
      <c r="BZ36">
        <v>0</v>
      </c>
      <c r="CA36">
        <v>0</v>
      </c>
      <c r="CB36" t="s">
        <v>135</v>
      </c>
      <c r="CH36" s="2"/>
      <c r="CJ36" s="2"/>
      <c r="CL36" s="2"/>
      <c r="CN36" s="2"/>
      <c r="CQ36" s="2"/>
      <c r="CT36" s="2"/>
      <c r="CW36" s="2"/>
    </row>
    <row r="37" spans="1:101" x14ac:dyDescent="0.25">
      <c r="A37" s="1" t="s">
        <v>163</v>
      </c>
      <c r="B37" s="75" t="s">
        <v>164</v>
      </c>
      <c r="C37">
        <v>0</v>
      </c>
      <c r="D37">
        <v>0</v>
      </c>
      <c r="E37">
        <v>0</v>
      </c>
      <c r="F37">
        <v>604324.56000000006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3.91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7490</v>
      </c>
      <c r="AW37">
        <v>3350</v>
      </c>
      <c r="AX37">
        <v>1219</v>
      </c>
      <c r="AY37">
        <v>12059</v>
      </c>
      <c r="AZ37">
        <v>4202</v>
      </c>
      <c r="BA37">
        <v>7438</v>
      </c>
      <c r="BB37">
        <v>1432</v>
      </c>
      <c r="BC37">
        <v>13072</v>
      </c>
      <c r="BD37">
        <v>9486</v>
      </c>
      <c r="BE37">
        <v>9222</v>
      </c>
      <c r="BF37">
        <v>1768</v>
      </c>
      <c r="BG37">
        <v>20476</v>
      </c>
      <c r="BH37">
        <v>0</v>
      </c>
      <c r="BI37">
        <v>0</v>
      </c>
      <c r="BJ37">
        <v>0</v>
      </c>
      <c r="BK37">
        <v>0</v>
      </c>
      <c r="BL37" s="2">
        <v>24.82</v>
      </c>
      <c r="BM37" s="2">
        <v>42005.095138888886</v>
      </c>
      <c r="BN37" s="2">
        <v>5.4</v>
      </c>
      <c r="BO37" s="2">
        <v>42005.092361111114</v>
      </c>
      <c r="BP37" s="2">
        <v>6.92</v>
      </c>
      <c r="BQ37" s="2">
        <v>42005.092361111114</v>
      </c>
      <c r="BR37" s="2">
        <v>11.07</v>
      </c>
      <c r="BS37" s="2">
        <v>42005.092361111114</v>
      </c>
      <c r="BT37">
        <v>0</v>
      </c>
      <c r="BU37">
        <v>0</v>
      </c>
      <c r="BV37" t="s">
        <v>135</v>
      </c>
      <c r="BW37">
        <v>0</v>
      </c>
      <c r="BX37">
        <v>0</v>
      </c>
      <c r="BY37" t="s">
        <v>135</v>
      </c>
      <c r="BZ37">
        <v>0</v>
      </c>
      <c r="CA37">
        <v>0</v>
      </c>
      <c r="CB37" t="s">
        <v>135</v>
      </c>
      <c r="CH37" s="2"/>
      <c r="CJ37" s="2"/>
      <c r="CL37" s="2"/>
      <c r="CN37" s="2"/>
      <c r="CQ37" s="2"/>
      <c r="CT37" s="2"/>
      <c r="CW37" s="2"/>
    </row>
    <row r="38" spans="1:101" x14ac:dyDescent="0.25">
      <c r="A38" s="1" t="s">
        <v>163</v>
      </c>
      <c r="B38" s="75" t="s">
        <v>164</v>
      </c>
      <c r="C38">
        <v>0</v>
      </c>
      <c r="D38">
        <v>0</v>
      </c>
      <c r="E38">
        <v>0</v>
      </c>
      <c r="F38">
        <v>604324.56000000006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3.91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7490</v>
      </c>
      <c r="AW38">
        <v>3350</v>
      </c>
      <c r="AX38">
        <v>1219</v>
      </c>
      <c r="AY38">
        <v>12059</v>
      </c>
      <c r="AZ38">
        <v>4202</v>
      </c>
      <c r="BA38">
        <v>7438</v>
      </c>
      <c r="BB38">
        <v>1432</v>
      </c>
      <c r="BC38">
        <v>13072</v>
      </c>
      <c r="BD38">
        <v>9486</v>
      </c>
      <c r="BE38">
        <v>9222</v>
      </c>
      <c r="BF38">
        <v>1768</v>
      </c>
      <c r="BG38">
        <v>20476</v>
      </c>
      <c r="BH38">
        <v>0</v>
      </c>
      <c r="BI38">
        <v>0</v>
      </c>
      <c r="BJ38">
        <v>0</v>
      </c>
      <c r="BK38">
        <v>0</v>
      </c>
      <c r="BL38" s="2">
        <v>24.82</v>
      </c>
      <c r="BM38" s="2">
        <v>42005.095138888886</v>
      </c>
      <c r="BN38" s="2">
        <v>5.4</v>
      </c>
      <c r="BO38" s="2">
        <v>42005.092361111114</v>
      </c>
      <c r="BP38" s="2">
        <v>6.92</v>
      </c>
      <c r="BQ38" s="2">
        <v>42005.092361111114</v>
      </c>
      <c r="BR38" s="2">
        <v>11.07</v>
      </c>
      <c r="BS38" s="2">
        <v>42005.092361111114</v>
      </c>
      <c r="BT38">
        <v>0</v>
      </c>
      <c r="BU38">
        <v>0</v>
      </c>
      <c r="BV38" t="s">
        <v>135</v>
      </c>
      <c r="BW38">
        <v>0</v>
      </c>
      <c r="BX38">
        <v>0</v>
      </c>
      <c r="BY38" t="s">
        <v>135</v>
      </c>
      <c r="BZ38">
        <v>0</v>
      </c>
      <c r="CA38">
        <v>0</v>
      </c>
      <c r="CB38" t="s">
        <v>135</v>
      </c>
      <c r="CH38" s="2"/>
      <c r="CJ38" s="2"/>
      <c r="CL38" s="2"/>
      <c r="CN38" s="2"/>
      <c r="CQ38" s="2"/>
      <c r="CT38" s="2"/>
      <c r="CW38" s="2"/>
    </row>
    <row r="39" spans="1:101" x14ac:dyDescent="0.25">
      <c r="A39" s="1" t="s">
        <v>163</v>
      </c>
      <c r="B39" s="75" t="s">
        <v>164</v>
      </c>
      <c r="C39">
        <v>0</v>
      </c>
      <c r="D39">
        <v>0</v>
      </c>
      <c r="E39">
        <v>0</v>
      </c>
      <c r="F39">
        <v>604324.56000000006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3.91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7490</v>
      </c>
      <c r="AW39">
        <v>3350</v>
      </c>
      <c r="AX39">
        <v>1219</v>
      </c>
      <c r="AY39">
        <v>12059</v>
      </c>
      <c r="AZ39">
        <v>4202</v>
      </c>
      <c r="BA39">
        <v>7438</v>
      </c>
      <c r="BB39">
        <v>1432</v>
      </c>
      <c r="BC39">
        <v>13072</v>
      </c>
      <c r="BD39">
        <v>9486</v>
      </c>
      <c r="BE39">
        <v>9222</v>
      </c>
      <c r="BF39">
        <v>1768</v>
      </c>
      <c r="BG39">
        <v>20476</v>
      </c>
      <c r="BH39">
        <v>0</v>
      </c>
      <c r="BI39">
        <v>0</v>
      </c>
      <c r="BJ39">
        <v>0</v>
      </c>
      <c r="BK39">
        <v>0</v>
      </c>
      <c r="BL39" s="2">
        <v>24.82</v>
      </c>
      <c r="BM39" s="2">
        <v>42005.095138888886</v>
      </c>
      <c r="BN39" s="2">
        <v>5.4</v>
      </c>
      <c r="BO39" s="2">
        <v>42005.092361111114</v>
      </c>
      <c r="BP39" s="2">
        <v>6.92</v>
      </c>
      <c r="BQ39" s="2">
        <v>42005.092361111114</v>
      </c>
      <c r="BR39" s="2">
        <v>11.07</v>
      </c>
      <c r="BS39" s="2">
        <v>42005.092361111114</v>
      </c>
      <c r="BT39">
        <v>0</v>
      </c>
      <c r="BU39">
        <v>0</v>
      </c>
      <c r="BV39" t="s">
        <v>135</v>
      </c>
      <c r="BW39">
        <v>0</v>
      </c>
      <c r="BX39">
        <v>0</v>
      </c>
      <c r="BY39" t="s">
        <v>135</v>
      </c>
      <c r="BZ39">
        <v>0</v>
      </c>
      <c r="CA39">
        <v>0</v>
      </c>
      <c r="CB39" t="s">
        <v>135</v>
      </c>
      <c r="CH39" s="2"/>
      <c r="CJ39" s="2"/>
      <c r="CL39" s="2"/>
      <c r="CN39" s="2"/>
      <c r="CQ39" s="2"/>
      <c r="CT39" s="2"/>
      <c r="CW39" s="2"/>
    </row>
    <row r="40" spans="1:101" x14ac:dyDescent="0.25">
      <c r="A40" s="1" t="s">
        <v>163</v>
      </c>
      <c r="B40" s="75" t="s">
        <v>164</v>
      </c>
      <c r="C40">
        <v>0</v>
      </c>
      <c r="D40">
        <v>0</v>
      </c>
      <c r="E40">
        <v>0</v>
      </c>
      <c r="F40">
        <v>604324.56000000006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3.91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7490</v>
      </c>
      <c r="AW40">
        <v>3350</v>
      </c>
      <c r="AX40">
        <v>1219</v>
      </c>
      <c r="AY40">
        <v>12059</v>
      </c>
      <c r="AZ40">
        <v>4202</v>
      </c>
      <c r="BA40">
        <v>7438</v>
      </c>
      <c r="BB40">
        <v>1432</v>
      </c>
      <c r="BC40">
        <v>13072</v>
      </c>
      <c r="BD40">
        <v>9486</v>
      </c>
      <c r="BE40">
        <v>9222</v>
      </c>
      <c r="BF40">
        <v>1768</v>
      </c>
      <c r="BG40">
        <v>20476</v>
      </c>
      <c r="BH40">
        <v>0</v>
      </c>
      <c r="BI40">
        <v>0</v>
      </c>
      <c r="BJ40">
        <v>0</v>
      </c>
      <c r="BK40">
        <v>0</v>
      </c>
      <c r="BL40" s="2">
        <v>24.82</v>
      </c>
      <c r="BM40" s="2">
        <v>42005.095138888886</v>
      </c>
      <c r="BN40" s="2">
        <v>5.4</v>
      </c>
      <c r="BO40" s="2">
        <v>42005.092361111114</v>
      </c>
      <c r="BP40" s="2">
        <v>6.92</v>
      </c>
      <c r="BQ40" s="2">
        <v>42005.092361111114</v>
      </c>
      <c r="BR40" s="2">
        <v>11.07</v>
      </c>
      <c r="BS40" s="2">
        <v>42005.092361111114</v>
      </c>
      <c r="BT40">
        <v>0</v>
      </c>
      <c r="BU40">
        <v>0</v>
      </c>
      <c r="BV40" t="s">
        <v>135</v>
      </c>
      <c r="BW40">
        <v>0</v>
      </c>
      <c r="BX40">
        <v>0</v>
      </c>
      <c r="BY40" t="s">
        <v>135</v>
      </c>
      <c r="BZ40">
        <v>0</v>
      </c>
      <c r="CA40">
        <v>0</v>
      </c>
      <c r="CB40" t="s">
        <v>135</v>
      </c>
      <c r="CH40" s="2"/>
      <c r="CJ40" s="2"/>
      <c r="CL40" s="2"/>
      <c r="CN40" s="2"/>
      <c r="CQ40" s="2"/>
      <c r="CT40" s="2"/>
      <c r="CW40" s="2"/>
    </row>
    <row r="41" spans="1:101" x14ac:dyDescent="0.25">
      <c r="A41" s="1" t="s">
        <v>163</v>
      </c>
      <c r="B41" s="75" t="s">
        <v>164</v>
      </c>
      <c r="C41">
        <v>0</v>
      </c>
      <c r="D41">
        <v>0</v>
      </c>
      <c r="E41">
        <v>0</v>
      </c>
      <c r="F41">
        <v>604324.56000000006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3.91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7490</v>
      </c>
      <c r="AW41">
        <v>3350</v>
      </c>
      <c r="AX41">
        <v>1219</v>
      </c>
      <c r="AY41">
        <v>12059</v>
      </c>
      <c r="AZ41">
        <v>4202</v>
      </c>
      <c r="BA41">
        <v>7438</v>
      </c>
      <c r="BB41">
        <v>1432</v>
      </c>
      <c r="BC41">
        <v>13072</v>
      </c>
      <c r="BD41">
        <v>9486</v>
      </c>
      <c r="BE41">
        <v>9222</v>
      </c>
      <c r="BF41">
        <v>1768</v>
      </c>
      <c r="BG41">
        <v>20476</v>
      </c>
      <c r="BH41">
        <v>0</v>
      </c>
      <c r="BI41">
        <v>0</v>
      </c>
      <c r="BJ41">
        <v>0</v>
      </c>
      <c r="BK41">
        <v>0</v>
      </c>
      <c r="BL41" s="2">
        <v>24.82</v>
      </c>
      <c r="BM41" s="2">
        <v>42005.095138888886</v>
      </c>
      <c r="BN41" s="2">
        <v>5.4</v>
      </c>
      <c r="BO41" s="2">
        <v>42005.092361111114</v>
      </c>
      <c r="BP41" s="2">
        <v>6.92</v>
      </c>
      <c r="BQ41" s="2">
        <v>42005.092361111114</v>
      </c>
      <c r="BR41" s="2">
        <v>11.07</v>
      </c>
      <c r="BS41" s="2">
        <v>42005.092361111114</v>
      </c>
      <c r="BT41">
        <v>0</v>
      </c>
      <c r="BU41">
        <v>0</v>
      </c>
      <c r="BV41" t="s">
        <v>135</v>
      </c>
      <c r="BW41">
        <v>0</v>
      </c>
      <c r="BX41">
        <v>0</v>
      </c>
      <c r="BY41" t="s">
        <v>135</v>
      </c>
      <c r="BZ41">
        <v>0</v>
      </c>
      <c r="CA41">
        <v>0</v>
      </c>
      <c r="CB41" t="s">
        <v>135</v>
      </c>
      <c r="CH41" s="2"/>
      <c r="CJ41" s="2"/>
      <c r="CL41" s="2"/>
      <c r="CN41" s="2"/>
      <c r="CQ41" s="2"/>
      <c r="CT41" s="2"/>
      <c r="CW41" s="2"/>
    </row>
    <row r="42" spans="1:101" x14ac:dyDescent="0.25">
      <c r="A42" s="1" t="s">
        <v>163</v>
      </c>
      <c r="B42" s="75" t="s">
        <v>164</v>
      </c>
      <c r="C42">
        <v>0</v>
      </c>
      <c r="D42">
        <v>0</v>
      </c>
      <c r="E42">
        <v>0</v>
      </c>
      <c r="F42">
        <v>604324.56000000006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3.91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7490</v>
      </c>
      <c r="AW42">
        <v>3350</v>
      </c>
      <c r="AX42">
        <v>1219</v>
      </c>
      <c r="AY42">
        <v>12059</v>
      </c>
      <c r="AZ42">
        <v>4202</v>
      </c>
      <c r="BA42">
        <v>7438</v>
      </c>
      <c r="BB42">
        <v>1432</v>
      </c>
      <c r="BC42">
        <v>13072</v>
      </c>
      <c r="BD42">
        <v>9486</v>
      </c>
      <c r="BE42">
        <v>9222</v>
      </c>
      <c r="BF42">
        <v>1768</v>
      </c>
      <c r="BG42">
        <v>20476</v>
      </c>
      <c r="BH42">
        <v>0</v>
      </c>
      <c r="BI42">
        <v>0</v>
      </c>
      <c r="BJ42">
        <v>0</v>
      </c>
      <c r="BK42">
        <v>0</v>
      </c>
      <c r="BL42" s="2">
        <v>24.82</v>
      </c>
      <c r="BM42" s="2">
        <v>42005.095138888886</v>
      </c>
      <c r="BN42" s="2">
        <v>5.4</v>
      </c>
      <c r="BO42" s="2">
        <v>42005.092361111114</v>
      </c>
      <c r="BP42" s="2">
        <v>6.92</v>
      </c>
      <c r="BQ42" s="2">
        <v>42005.092361111114</v>
      </c>
      <c r="BR42" s="2">
        <v>11.07</v>
      </c>
      <c r="BS42" s="2">
        <v>42005.092361111114</v>
      </c>
      <c r="BT42">
        <v>0</v>
      </c>
      <c r="BU42">
        <v>0</v>
      </c>
      <c r="BV42" t="s">
        <v>135</v>
      </c>
      <c r="BW42">
        <v>0</v>
      </c>
      <c r="BX42">
        <v>0</v>
      </c>
      <c r="BY42" t="s">
        <v>135</v>
      </c>
      <c r="BZ42">
        <v>0</v>
      </c>
      <c r="CA42">
        <v>0</v>
      </c>
      <c r="CB42" t="s">
        <v>135</v>
      </c>
      <c r="CH42" s="2"/>
      <c r="CJ42" s="2"/>
      <c r="CL42" s="2"/>
      <c r="CN42" s="2"/>
      <c r="CQ42" s="2"/>
      <c r="CT42" s="2"/>
      <c r="CW42" s="2"/>
    </row>
    <row r="43" spans="1:101" x14ac:dyDescent="0.25">
      <c r="A43" s="1" t="s">
        <v>163</v>
      </c>
      <c r="B43" s="75" t="s">
        <v>164</v>
      </c>
      <c r="C43">
        <v>0</v>
      </c>
      <c r="D43">
        <v>0</v>
      </c>
      <c r="E43">
        <v>0</v>
      </c>
      <c r="F43">
        <v>604324.56000000006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3.91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7490</v>
      </c>
      <c r="AW43">
        <v>3350</v>
      </c>
      <c r="AX43">
        <v>1219</v>
      </c>
      <c r="AY43">
        <v>12059</v>
      </c>
      <c r="AZ43">
        <v>4202</v>
      </c>
      <c r="BA43">
        <v>7438</v>
      </c>
      <c r="BB43">
        <v>1432</v>
      </c>
      <c r="BC43">
        <v>13072</v>
      </c>
      <c r="BD43">
        <v>9486</v>
      </c>
      <c r="BE43">
        <v>9222</v>
      </c>
      <c r="BF43">
        <v>1768</v>
      </c>
      <c r="BG43">
        <v>20476</v>
      </c>
      <c r="BH43">
        <v>0</v>
      </c>
      <c r="BI43">
        <v>0</v>
      </c>
      <c r="BJ43">
        <v>0</v>
      </c>
      <c r="BK43">
        <v>0</v>
      </c>
      <c r="BL43" s="2">
        <v>24.82</v>
      </c>
      <c r="BM43" s="2">
        <v>42005.095138888886</v>
      </c>
      <c r="BN43" s="2">
        <v>5.4</v>
      </c>
      <c r="BO43" s="2">
        <v>42005.092361111114</v>
      </c>
      <c r="BP43" s="2">
        <v>6.92</v>
      </c>
      <c r="BQ43" s="2">
        <v>42005.092361111114</v>
      </c>
      <c r="BR43" s="2">
        <v>11.07</v>
      </c>
      <c r="BS43" s="2">
        <v>42005.092361111114</v>
      </c>
      <c r="BT43">
        <v>0</v>
      </c>
      <c r="BU43">
        <v>0</v>
      </c>
      <c r="BV43" t="s">
        <v>135</v>
      </c>
      <c r="BW43">
        <v>0</v>
      </c>
      <c r="BX43">
        <v>0</v>
      </c>
      <c r="BY43" t="s">
        <v>135</v>
      </c>
      <c r="BZ43">
        <v>0</v>
      </c>
      <c r="CA43">
        <v>0</v>
      </c>
      <c r="CB43" t="s">
        <v>135</v>
      </c>
      <c r="CH43" s="2"/>
      <c r="CJ43" s="2"/>
      <c r="CL43" s="2"/>
      <c r="CN43" s="2"/>
      <c r="CQ43" s="2"/>
      <c r="CT43" s="2"/>
      <c r="CW43" s="2"/>
    </row>
    <row r="44" spans="1:101" x14ac:dyDescent="0.25">
      <c r="A44" s="1" t="s">
        <v>163</v>
      </c>
      <c r="B44" s="75" t="s">
        <v>164</v>
      </c>
      <c r="C44">
        <v>0</v>
      </c>
      <c r="D44">
        <v>0</v>
      </c>
      <c r="E44">
        <v>0</v>
      </c>
      <c r="F44">
        <v>604324.56000000006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3.91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7490</v>
      </c>
      <c r="AW44">
        <v>3350</v>
      </c>
      <c r="AX44">
        <v>1219</v>
      </c>
      <c r="AY44">
        <v>12059</v>
      </c>
      <c r="AZ44">
        <v>4202</v>
      </c>
      <c r="BA44">
        <v>7438</v>
      </c>
      <c r="BB44">
        <v>1432</v>
      </c>
      <c r="BC44">
        <v>13072</v>
      </c>
      <c r="BD44">
        <v>9486</v>
      </c>
      <c r="BE44">
        <v>9222</v>
      </c>
      <c r="BF44">
        <v>1768</v>
      </c>
      <c r="BG44">
        <v>20476</v>
      </c>
      <c r="BH44">
        <v>0</v>
      </c>
      <c r="BI44">
        <v>0</v>
      </c>
      <c r="BJ44">
        <v>0</v>
      </c>
      <c r="BK44">
        <v>0</v>
      </c>
      <c r="BL44" s="2">
        <v>24.82</v>
      </c>
      <c r="BM44" s="2">
        <v>42005.095138888886</v>
      </c>
      <c r="BN44" s="2">
        <v>5.4</v>
      </c>
      <c r="BO44" s="2">
        <v>42005.092361111114</v>
      </c>
      <c r="BP44" s="2">
        <v>6.92</v>
      </c>
      <c r="BQ44" s="2">
        <v>42005.092361111114</v>
      </c>
      <c r="BR44" s="2">
        <v>11.07</v>
      </c>
      <c r="BS44" s="2">
        <v>42005.092361111114</v>
      </c>
      <c r="BT44">
        <v>0</v>
      </c>
      <c r="BU44">
        <v>0</v>
      </c>
      <c r="BV44" t="s">
        <v>135</v>
      </c>
      <c r="BW44">
        <v>0</v>
      </c>
      <c r="BX44">
        <v>0</v>
      </c>
      <c r="BY44" t="s">
        <v>135</v>
      </c>
      <c r="BZ44">
        <v>0</v>
      </c>
      <c r="CA44">
        <v>0</v>
      </c>
      <c r="CB44" t="s">
        <v>135</v>
      </c>
      <c r="CH44" s="2"/>
      <c r="CJ44" s="2"/>
      <c r="CL44" s="2"/>
      <c r="CN44" s="2"/>
      <c r="CQ44" s="2"/>
      <c r="CT44" s="2"/>
      <c r="CW44" s="2"/>
    </row>
    <row r="45" spans="1:101" x14ac:dyDescent="0.25">
      <c r="A45" s="1" t="s">
        <v>163</v>
      </c>
      <c r="B45" s="75" t="s">
        <v>164</v>
      </c>
      <c r="C45">
        <v>0</v>
      </c>
      <c r="D45">
        <v>0</v>
      </c>
      <c r="E45">
        <v>0</v>
      </c>
      <c r="F45">
        <v>604324.56000000006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3.91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7490</v>
      </c>
      <c r="AW45">
        <v>3350</v>
      </c>
      <c r="AX45">
        <v>1219</v>
      </c>
      <c r="AY45">
        <v>12059</v>
      </c>
      <c r="AZ45">
        <v>4202</v>
      </c>
      <c r="BA45">
        <v>7438</v>
      </c>
      <c r="BB45">
        <v>1432</v>
      </c>
      <c r="BC45">
        <v>13072</v>
      </c>
      <c r="BD45">
        <v>9486</v>
      </c>
      <c r="BE45">
        <v>9222</v>
      </c>
      <c r="BF45">
        <v>1768</v>
      </c>
      <c r="BG45">
        <v>20476</v>
      </c>
      <c r="BH45">
        <v>0</v>
      </c>
      <c r="BI45">
        <v>0</v>
      </c>
      <c r="BJ45">
        <v>0</v>
      </c>
      <c r="BK45">
        <v>0</v>
      </c>
      <c r="BL45" s="2">
        <v>24.82</v>
      </c>
      <c r="BM45" s="2">
        <v>42005.095138888886</v>
      </c>
      <c r="BN45" s="2">
        <v>5.4</v>
      </c>
      <c r="BO45" s="2">
        <v>42005.092361111114</v>
      </c>
      <c r="BP45" s="2">
        <v>6.92</v>
      </c>
      <c r="BQ45" s="2">
        <v>42005.092361111114</v>
      </c>
      <c r="BR45" s="2">
        <v>11.07</v>
      </c>
      <c r="BS45" s="2">
        <v>42005.092361111114</v>
      </c>
      <c r="BT45">
        <v>0</v>
      </c>
      <c r="BU45">
        <v>0</v>
      </c>
      <c r="BV45" t="s">
        <v>135</v>
      </c>
      <c r="BW45">
        <v>0</v>
      </c>
      <c r="BX45">
        <v>0</v>
      </c>
      <c r="BY45" t="s">
        <v>135</v>
      </c>
      <c r="BZ45">
        <v>0</v>
      </c>
      <c r="CA45">
        <v>0</v>
      </c>
      <c r="CB45" t="s">
        <v>135</v>
      </c>
      <c r="CH45" s="2"/>
      <c r="CJ45" s="2"/>
      <c r="CL45" s="2"/>
      <c r="CN45" s="2"/>
      <c r="CQ45" s="2"/>
      <c r="CT45" s="2"/>
      <c r="CW45" s="2"/>
    </row>
    <row r="46" spans="1:101" x14ac:dyDescent="0.25">
      <c r="A46" s="1" t="s">
        <v>163</v>
      </c>
      <c r="B46" s="75" t="s">
        <v>164</v>
      </c>
      <c r="C46">
        <v>0</v>
      </c>
      <c r="D46">
        <v>0</v>
      </c>
      <c r="E46">
        <v>0</v>
      </c>
      <c r="F46">
        <v>604324.56000000006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3.91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7490</v>
      </c>
      <c r="AW46">
        <v>3350</v>
      </c>
      <c r="AX46">
        <v>1219</v>
      </c>
      <c r="AY46">
        <v>12059</v>
      </c>
      <c r="AZ46">
        <v>4202</v>
      </c>
      <c r="BA46">
        <v>7438</v>
      </c>
      <c r="BB46">
        <v>1432</v>
      </c>
      <c r="BC46">
        <v>13072</v>
      </c>
      <c r="BD46">
        <v>9486</v>
      </c>
      <c r="BE46">
        <v>9222</v>
      </c>
      <c r="BF46">
        <v>1768</v>
      </c>
      <c r="BG46">
        <v>20476</v>
      </c>
      <c r="BH46">
        <v>0</v>
      </c>
      <c r="BI46">
        <v>0</v>
      </c>
      <c r="BJ46">
        <v>0</v>
      </c>
      <c r="BK46">
        <v>0</v>
      </c>
      <c r="BL46" s="2">
        <v>24.82</v>
      </c>
      <c r="BM46" s="2">
        <v>42005.095138888886</v>
      </c>
      <c r="BN46" s="2">
        <v>5.4</v>
      </c>
      <c r="BO46" s="2">
        <v>42005.092361111114</v>
      </c>
      <c r="BP46" s="2">
        <v>6.92</v>
      </c>
      <c r="BQ46" s="2">
        <v>42005.092361111114</v>
      </c>
      <c r="BR46" s="2">
        <v>11.07</v>
      </c>
      <c r="BS46" s="2">
        <v>42005.092361111114</v>
      </c>
      <c r="BT46">
        <v>0</v>
      </c>
      <c r="BU46">
        <v>0</v>
      </c>
      <c r="BV46" t="s">
        <v>135</v>
      </c>
      <c r="BW46">
        <v>0</v>
      </c>
      <c r="BX46">
        <v>0</v>
      </c>
      <c r="BY46" t="s">
        <v>135</v>
      </c>
      <c r="BZ46">
        <v>0</v>
      </c>
      <c r="CA46">
        <v>0</v>
      </c>
      <c r="CB46" t="s">
        <v>135</v>
      </c>
      <c r="CH46" s="2"/>
      <c r="CJ46" s="2"/>
      <c r="CL46" s="2"/>
      <c r="CN46" s="2"/>
      <c r="CQ46" s="2"/>
      <c r="CT46" s="2"/>
      <c r="CW46" s="2"/>
    </row>
    <row r="47" spans="1:101" x14ac:dyDescent="0.25">
      <c r="A47" s="1" t="s">
        <v>163</v>
      </c>
      <c r="B47" s="75" t="s">
        <v>164</v>
      </c>
      <c r="C47">
        <v>0</v>
      </c>
      <c r="D47">
        <v>0</v>
      </c>
      <c r="E47">
        <v>0</v>
      </c>
      <c r="F47">
        <v>604324.56000000006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3.91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7490</v>
      </c>
      <c r="AW47">
        <v>3350</v>
      </c>
      <c r="AX47">
        <v>1219</v>
      </c>
      <c r="AY47">
        <v>12059</v>
      </c>
      <c r="AZ47">
        <v>4202</v>
      </c>
      <c r="BA47">
        <v>7438</v>
      </c>
      <c r="BB47">
        <v>1432</v>
      </c>
      <c r="BC47">
        <v>13072</v>
      </c>
      <c r="BD47">
        <v>9486</v>
      </c>
      <c r="BE47">
        <v>9222</v>
      </c>
      <c r="BF47">
        <v>1768</v>
      </c>
      <c r="BG47">
        <v>20476</v>
      </c>
      <c r="BH47">
        <v>0</v>
      </c>
      <c r="BI47">
        <v>0</v>
      </c>
      <c r="BJ47">
        <v>0</v>
      </c>
      <c r="BK47">
        <v>0</v>
      </c>
      <c r="BL47" s="2">
        <v>24.82</v>
      </c>
      <c r="BM47" s="2">
        <v>42005.095138888886</v>
      </c>
      <c r="BN47" s="2">
        <v>5.4</v>
      </c>
      <c r="BO47" s="2">
        <v>42005.092361111114</v>
      </c>
      <c r="BP47" s="2">
        <v>6.92</v>
      </c>
      <c r="BQ47" s="2">
        <v>42005.092361111114</v>
      </c>
      <c r="BR47" s="2">
        <v>11.07</v>
      </c>
      <c r="BS47" s="2">
        <v>42005.092361111114</v>
      </c>
      <c r="BT47">
        <v>0</v>
      </c>
      <c r="BU47">
        <v>0</v>
      </c>
      <c r="BV47" t="s">
        <v>135</v>
      </c>
      <c r="BW47">
        <v>0</v>
      </c>
      <c r="BX47">
        <v>0</v>
      </c>
      <c r="BY47" t="s">
        <v>135</v>
      </c>
      <c r="BZ47">
        <v>0</v>
      </c>
      <c r="CA47">
        <v>0</v>
      </c>
      <c r="CB47" t="s">
        <v>135</v>
      </c>
      <c r="CH47" s="2"/>
      <c r="CJ47" s="2"/>
      <c r="CL47" s="2"/>
      <c r="CN47" s="2"/>
      <c r="CQ47" s="2"/>
      <c r="CT47" s="2"/>
      <c r="CW47" s="2"/>
    </row>
    <row r="48" spans="1:101" x14ac:dyDescent="0.25">
      <c r="A48" s="1" t="s">
        <v>163</v>
      </c>
      <c r="B48" s="75" t="s">
        <v>164</v>
      </c>
      <c r="C48">
        <v>0</v>
      </c>
      <c r="D48">
        <v>0</v>
      </c>
      <c r="E48">
        <v>0</v>
      </c>
      <c r="F48">
        <v>604324.56000000006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3.91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7490</v>
      </c>
      <c r="AW48">
        <v>3350</v>
      </c>
      <c r="AX48">
        <v>1219</v>
      </c>
      <c r="AY48">
        <v>12059</v>
      </c>
      <c r="AZ48">
        <v>4202</v>
      </c>
      <c r="BA48">
        <v>7438</v>
      </c>
      <c r="BB48">
        <v>1432</v>
      </c>
      <c r="BC48">
        <v>13072</v>
      </c>
      <c r="BD48">
        <v>9486</v>
      </c>
      <c r="BE48">
        <v>9222</v>
      </c>
      <c r="BF48">
        <v>1768</v>
      </c>
      <c r="BG48">
        <v>20476</v>
      </c>
      <c r="BH48">
        <v>0</v>
      </c>
      <c r="BI48">
        <v>0</v>
      </c>
      <c r="BJ48">
        <v>0</v>
      </c>
      <c r="BK48">
        <v>0</v>
      </c>
      <c r="BL48" s="2">
        <v>24.82</v>
      </c>
      <c r="BM48" s="2">
        <v>42005.095138888886</v>
      </c>
      <c r="BN48" s="2">
        <v>5.4</v>
      </c>
      <c r="BO48" s="2">
        <v>42005.092361111114</v>
      </c>
      <c r="BP48" s="2">
        <v>6.92</v>
      </c>
      <c r="BQ48" s="2">
        <v>42005.092361111114</v>
      </c>
      <c r="BR48" s="2">
        <v>11.07</v>
      </c>
      <c r="BS48" s="2">
        <v>42005.092361111114</v>
      </c>
      <c r="BT48">
        <v>0</v>
      </c>
      <c r="BU48">
        <v>0</v>
      </c>
      <c r="BV48" t="s">
        <v>135</v>
      </c>
      <c r="BW48">
        <v>0</v>
      </c>
      <c r="BX48">
        <v>0</v>
      </c>
      <c r="BY48" t="s">
        <v>135</v>
      </c>
      <c r="BZ48">
        <v>0</v>
      </c>
      <c r="CA48">
        <v>0</v>
      </c>
      <c r="CB48" t="s">
        <v>135</v>
      </c>
      <c r="CH48" s="2"/>
      <c r="CJ48" s="2"/>
      <c r="CL48" s="2"/>
      <c r="CN48" s="2"/>
      <c r="CQ48" s="2"/>
      <c r="CT48" s="2"/>
      <c r="CW48" s="2"/>
    </row>
    <row r="49" spans="1:101" x14ac:dyDescent="0.25">
      <c r="A49" s="1" t="s">
        <v>163</v>
      </c>
      <c r="B49" s="75" t="s">
        <v>164</v>
      </c>
      <c r="C49">
        <v>0</v>
      </c>
      <c r="D49">
        <v>0</v>
      </c>
      <c r="E49">
        <v>0</v>
      </c>
      <c r="F49">
        <v>604324.56000000006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3.91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7490</v>
      </c>
      <c r="AW49">
        <v>3350</v>
      </c>
      <c r="AX49">
        <v>1219</v>
      </c>
      <c r="AY49">
        <v>12059</v>
      </c>
      <c r="AZ49">
        <v>4202</v>
      </c>
      <c r="BA49">
        <v>7438</v>
      </c>
      <c r="BB49">
        <v>1432</v>
      </c>
      <c r="BC49">
        <v>13072</v>
      </c>
      <c r="BD49">
        <v>9486</v>
      </c>
      <c r="BE49">
        <v>9222</v>
      </c>
      <c r="BF49">
        <v>1768</v>
      </c>
      <c r="BG49">
        <v>20476</v>
      </c>
      <c r="BH49">
        <v>0</v>
      </c>
      <c r="BI49">
        <v>0</v>
      </c>
      <c r="BJ49">
        <v>0</v>
      </c>
      <c r="BK49">
        <v>0</v>
      </c>
      <c r="BL49" s="2">
        <v>24.82</v>
      </c>
      <c r="BM49" s="2">
        <v>42005.095138888886</v>
      </c>
      <c r="BN49" s="2">
        <v>5.4</v>
      </c>
      <c r="BO49" s="2">
        <v>42005.092361111114</v>
      </c>
      <c r="BP49" s="2">
        <v>6.92</v>
      </c>
      <c r="BQ49" s="2">
        <v>42005.092361111114</v>
      </c>
      <c r="BR49" s="2">
        <v>11.07</v>
      </c>
      <c r="BS49" s="2">
        <v>42005.092361111114</v>
      </c>
      <c r="BT49">
        <v>0</v>
      </c>
      <c r="BU49">
        <v>0</v>
      </c>
      <c r="BV49" t="s">
        <v>135</v>
      </c>
      <c r="BW49">
        <v>0</v>
      </c>
      <c r="BX49">
        <v>0</v>
      </c>
      <c r="BY49" t="s">
        <v>135</v>
      </c>
      <c r="BZ49">
        <v>0</v>
      </c>
      <c r="CA49">
        <v>0</v>
      </c>
      <c r="CB49" t="s">
        <v>135</v>
      </c>
      <c r="CH49" s="2"/>
      <c r="CJ49" s="2"/>
      <c r="CL49" s="2"/>
      <c r="CN49" s="2"/>
      <c r="CQ49" s="2"/>
      <c r="CT49" s="2"/>
      <c r="CW49" s="2"/>
    </row>
    <row r="50" spans="1:101" x14ac:dyDescent="0.25">
      <c r="A50" s="1" t="s">
        <v>163</v>
      </c>
      <c r="B50" s="75" t="s">
        <v>164</v>
      </c>
      <c r="C50">
        <v>0</v>
      </c>
      <c r="D50">
        <v>0</v>
      </c>
      <c r="E50">
        <v>0</v>
      </c>
      <c r="F50">
        <v>604324.56000000006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3.91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7490</v>
      </c>
      <c r="AW50">
        <v>3350</v>
      </c>
      <c r="AX50">
        <v>1219</v>
      </c>
      <c r="AY50">
        <v>12059</v>
      </c>
      <c r="AZ50">
        <v>4202</v>
      </c>
      <c r="BA50">
        <v>7438</v>
      </c>
      <c r="BB50">
        <v>1432</v>
      </c>
      <c r="BC50">
        <v>13072</v>
      </c>
      <c r="BD50">
        <v>9486</v>
      </c>
      <c r="BE50">
        <v>9222</v>
      </c>
      <c r="BF50">
        <v>1768</v>
      </c>
      <c r="BG50">
        <v>20476</v>
      </c>
      <c r="BH50">
        <v>0</v>
      </c>
      <c r="BI50">
        <v>0</v>
      </c>
      <c r="BJ50">
        <v>0</v>
      </c>
      <c r="BK50">
        <v>0</v>
      </c>
      <c r="BL50" s="2">
        <v>24.82</v>
      </c>
      <c r="BM50" s="2">
        <v>42005.095138888886</v>
      </c>
      <c r="BN50" s="2">
        <v>5.4</v>
      </c>
      <c r="BO50" s="2">
        <v>42005.092361111114</v>
      </c>
      <c r="BP50" s="2">
        <v>6.92</v>
      </c>
      <c r="BQ50" s="2">
        <v>42005.092361111114</v>
      </c>
      <c r="BR50" s="2">
        <v>11.07</v>
      </c>
      <c r="BS50" s="2">
        <v>42005.092361111114</v>
      </c>
      <c r="BT50">
        <v>0</v>
      </c>
      <c r="BU50">
        <v>0</v>
      </c>
      <c r="BV50" t="s">
        <v>135</v>
      </c>
      <c r="BW50">
        <v>0</v>
      </c>
      <c r="BX50">
        <v>0</v>
      </c>
      <c r="BY50" t="s">
        <v>135</v>
      </c>
      <c r="BZ50">
        <v>0</v>
      </c>
      <c r="CA50">
        <v>0</v>
      </c>
      <c r="CB50" t="s">
        <v>135</v>
      </c>
      <c r="CH50" s="2"/>
      <c r="CJ50" s="2"/>
      <c r="CL50" s="2"/>
      <c r="CN50" s="2"/>
      <c r="CQ50" s="2"/>
      <c r="CT50" s="2"/>
      <c r="CW50" s="2"/>
    </row>
    <row r="51" spans="1:101" x14ac:dyDescent="0.25">
      <c r="A51" s="1" t="s">
        <v>163</v>
      </c>
      <c r="B51" s="75" t="s">
        <v>164</v>
      </c>
      <c r="C51">
        <v>0</v>
      </c>
      <c r="D51">
        <v>0</v>
      </c>
      <c r="E51">
        <v>0</v>
      </c>
      <c r="F51">
        <v>604324.56000000006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3.91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7490</v>
      </c>
      <c r="AW51">
        <v>3350</v>
      </c>
      <c r="AX51">
        <v>1219</v>
      </c>
      <c r="AY51">
        <v>12059</v>
      </c>
      <c r="AZ51">
        <v>4202</v>
      </c>
      <c r="BA51">
        <v>7438</v>
      </c>
      <c r="BB51">
        <v>1432</v>
      </c>
      <c r="BC51">
        <v>13072</v>
      </c>
      <c r="BD51">
        <v>9486</v>
      </c>
      <c r="BE51">
        <v>9222</v>
      </c>
      <c r="BF51">
        <v>1768</v>
      </c>
      <c r="BG51">
        <v>20476</v>
      </c>
      <c r="BH51">
        <v>0</v>
      </c>
      <c r="BI51">
        <v>0</v>
      </c>
      <c r="BJ51">
        <v>0</v>
      </c>
      <c r="BK51">
        <v>0</v>
      </c>
      <c r="BL51" s="2">
        <v>24.82</v>
      </c>
      <c r="BM51" s="2">
        <v>42005.095138888886</v>
      </c>
      <c r="BN51" s="2">
        <v>5.4</v>
      </c>
      <c r="BO51" s="2">
        <v>42005.092361111114</v>
      </c>
      <c r="BP51" s="2">
        <v>6.92</v>
      </c>
      <c r="BQ51" s="2">
        <v>42005.092361111114</v>
      </c>
      <c r="BR51" s="2">
        <v>11.07</v>
      </c>
      <c r="BS51" s="2">
        <v>42005.092361111114</v>
      </c>
      <c r="BT51">
        <v>0</v>
      </c>
      <c r="BU51">
        <v>0</v>
      </c>
      <c r="BV51" t="s">
        <v>135</v>
      </c>
      <c r="BW51">
        <v>0</v>
      </c>
      <c r="BX51">
        <v>0</v>
      </c>
      <c r="BY51" t="s">
        <v>135</v>
      </c>
      <c r="BZ51">
        <v>0</v>
      </c>
      <c r="CA51">
        <v>0</v>
      </c>
      <c r="CB51" t="s">
        <v>135</v>
      </c>
      <c r="CH51" s="2"/>
      <c r="CJ51" s="2"/>
      <c r="CL51" s="2"/>
      <c r="CN51" s="2"/>
      <c r="CQ51" s="2"/>
      <c r="CT51" s="2"/>
      <c r="CW51" s="2"/>
    </row>
    <row r="52" spans="1:101" x14ac:dyDescent="0.25">
      <c r="A52" s="1" t="s">
        <v>163</v>
      </c>
      <c r="B52" s="75" t="s">
        <v>164</v>
      </c>
      <c r="C52">
        <v>0</v>
      </c>
      <c r="D52">
        <v>0</v>
      </c>
      <c r="E52">
        <v>0</v>
      </c>
      <c r="F52">
        <v>604324.56000000006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3.91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7490</v>
      </c>
      <c r="AW52">
        <v>3350</v>
      </c>
      <c r="AX52">
        <v>1219</v>
      </c>
      <c r="AY52">
        <v>12059</v>
      </c>
      <c r="AZ52">
        <v>4202</v>
      </c>
      <c r="BA52">
        <v>7438</v>
      </c>
      <c r="BB52">
        <v>1432</v>
      </c>
      <c r="BC52">
        <v>13072</v>
      </c>
      <c r="BD52">
        <v>9486</v>
      </c>
      <c r="BE52">
        <v>9222</v>
      </c>
      <c r="BF52">
        <v>1768</v>
      </c>
      <c r="BG52">
        <v>20476</v>
      </c>
      <c r="BH52">
        <v>0</v>
      </c>
      <c r="BI52">
        <v>0</v>
      </c>
      <c r="BJ52">
        <v>0</v>
      </c>
      <c r="BK52">
        <v>0</v>
      </c>
      <c r="BL52" s="2">
        <v>24.82</v>
      </c>
      <c r="BM52" s="2">
        <v>42005.095138888886</v>
      </c>
      <c r="BN52" s="2">
        <v>5.4</v>
      </c>
      <c r="BO52" s="2">
        <v>42005.092361111114</v>
      </c>
      <c r="BP52" s="2">
        <v>6.92</v>
      </c>
      <c r="BQ52" s="2">
        <v>42005.092361111114</v>
      </c>
      <c r="BR52" s="2">
        <v>11.07</v>
      </c>
      <c r="BS52" s="2">
        <v>42005.092361111114</v>
      </c>
      <c r="BT52">
        <v>0</v>
      </c>
      <c r="BU52">
        <v>0</v>
      </c>
      <c r="BV52" t="s">
        <v>135</v>
      </c>
      <c r="BW52">
        <v>0</v>
      </c>
      <c r="BX52">
        <v>0</v>
      </c>
      <c r="BY52" t="s">
        <v>135</v>
      </c>
      <c r="BZ52">
        <v>0</v>
      </c>
      <c r="CA52">
        <v>0</v>
      </c>
      <c r="CB52" t="s">
        <v>135</v>
      </c>
      <c r="CH52" s="2"/>
      <c r="CJ52" s="2"/>
      <c r="CL52" s="2"/>
      <c r="CN52" s="2"/>
      <c r="CQ52" s="2"/>
      <c r="CT52" s="2"/>
      <c r="CW52" s="2"/>
    </row>
    <row r="53" spans="1:101" x14ac:dyDescent="0.25">
      <c r="A53" s="1" t="s">
        <v>163</v>
      </c>
      <c r="B53" s="75" t="s">
        <v>164</v>
      </c>
      <c r="C53">
        <v>0</v>
      </c>
      <c r="D53">
        <v>0</v>
      </c>
      <c r="E53">
        <v>0</v>
      </c>
      <c r="F53">
        <v>604324.56000000006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3.91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7490</v>
      </c>
      <c r="AW53">
        <v>3350</v>
      </c>
      <c r="AX53">
        <v>1219</v>
      </c>
      <c r="AY53">
        <v>12059</v>
      </c>
      <c r="AZ53">
        <v>4202</v>
      </c>
      <c r="BA53">
        <v>7438</v>
      </c>
      <c r="BB53">
        <v>1432</v>
      </c>
      <c r="BC53">
        <v>13072</v>
      </c>
      <c r="BD53">
        <v>9486</v>
      </c>
      <c r="BE53">
        <v>9222</v>
      </c>
      <c r="BF53">
        <v>1768</v>
      </c>
      <c r="BG53">
        <v>20476</v>
      </c>
      <c r="BH53">
        <v>0</v>
      </c>
      <c r="BI53">
        <v>0</v>
      </c>
      <c r="BJ53">
        <v>0</v>
      </c>
      <c r="BK53">
        <v>0</v>
      </c>
      <c r="BL53" s="2">
        <v>24.82</v>
      </c>
      <c r="BM53" s="2">
        <v>42005.095138888886</v>
      </c>
      <c r="BN53" s="2">
        <v>5.4</v>
      </c>
      <c r="BO53" s="2">
        <v>42005.092361111114</v>
      </c>
      <c r="BP53" s="2">
        <v>6.92</v>
      </c>
      <c r="BQ53" s="2">
        <v>42005.092361111114</v>
      </c>
      <c r="BR53" s="2">
        <v>11.07</v>
      </c>
      <c r="BS53" s="2">
        <v>42005.092361111114</v>
      </c>
      <c r="BT53">
        <v>0</v>
      </c>
      <c r="BU53">
        <v>0</v>
      </c>
      <c r="BV53" t="s">
        <v>135</v>
      </c>
      <c r="BW53">
        <v>0</v>
      </c>
      <c r="BX53">
        <v>0</v>
      </c>
      <c r="BY53" t="s">
        <v>135</v>
      </c>
      <c r="BZ53">
        <v>0</v>
      </c>
      <c r="CA53">
        <v>0</v>
      </c>
      <c r="CB53" t="s">
        <v>135</v>
      </c>
      <c r="CH53" s="2"/>
      <c r="CJ53" s="2"/>
      <c r="CL53" s="2"/>
      <c r="CN53" s="2"/>
      <c r="CQ53" s="2"/>
      <c r="CT53" s="2"/>
      <c r="CW53" s="2"/>
    </row>
    <row r="54" spans="1:101" x14ac:dyDescent="0.25">
      <c r="A54" s="1" t="s">
        <v>163</v>
      </c>
      <c r="B54" s="75" t="s">
        <v>164</v>
      </c>
      <c r="C54">
        <v>0</v>
      </c>
      <c r="D54">
        <v>0</v>
      </c>
      <c r="E54">
        <v>0</v>
      </c>
      <c r="F54">
        <v>604324.56000000006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3.91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7490</v>
      </c>
      <c r="AW54">
        <v>3350</v>
      </c>
      <c r="AX54">
        <v>1219</v>
      </c>
      <c r="AY54">
        <v>12059</v>
      </c>
      <c r="AZ54">
        <v>4202</v>
      </c>
      <c r="BA54">
        <v>7438</v>
      </c>
      <c r="BB54">
        <v>1432</v>
      </c>
      <c r="BC54">
        <v>13072</v>
      </c>
      <c r="BD54">
        <v>9486</v>
      </c>
      <c r="BE54">
        <v>9222</v>
      </c>
      <c r="BF54">
        <v>1768</v>
      </c>
      <c r="BG54">
        <v>20476</v>
      </c>
      <c r="BH54">
        <v>0</v>
      </c>
      <c r="BI54">
        <v>0</v>
      </c>
      <c r="BJ54">
        <v>0</v>
      </c>
      <c r="BK54">
        <v>0</v>
      </c>
      <c r="BL54" s="2">
        <v>24.82</v>
      </c>
      <c r="BM54" s="2">
        <v>42005.095138888886</v>
      </c>
      <c r="BN54" s="2">
        <v>5.4</v>
      </c>
      <c r="BO54" s="2">
        <v>42005.092361111114</v>
      </c>
      <c r="BP54" s="2">
        <v>6.92</v>
      </c>
      <c r="BQ54" s="2">
        <v>42005.092361111114</v>
      </c>
      <c r="BR54" s="2">
        <v>11.07</v>
      </c>
      <c r="BS54" s="2">
        <v>42005.092361111114</v>
      </c>
      <c r="BT54">
        <v>0</v>
      </c>
      <c r="BU54">
        <v>0</v>
      </c>
      <c r="BV54" t="s">
        <v>135</v>
      </c>
      <c r="BW54">
        <v>0</v>
      </c>
      <c r="BX54">
        <v>0</v>
      </c>
      <c r="BY54" t="s">
        <v>135</v>
      </c>
      <c r="BZ54">
        <v>0</v>
      </c>
      <c r="CA54">
        <v>0</v>
      </c>
      <c r="CB54" t="s">
        <v>135</v>
      </c>
      <c r="CH54" s="2"/>
      <c r="CJ54" s="2"/>
      <c r="CL54" s="2"/>
      <c r="CN54" s="2"/>
      <c r="CQ54" s="2"/>
      <c r="CT54" s="2"/>
      <c r="CW54" s="2"/>
    </row>
    <row r="55" spans="1:101" x14ac:dyDescent="0.25">
      <c r="A55" s="1" t="s">
        <v>163</v>
      </c>
      <c r="B55" s="75" t="s">
        <v>164</v>
      </c>
      <c r="C55">
        <v>0</v>
      </c>
      <c r="D55">
        <v>0</v>
      </c>
      <c r="E55">
        <v>0</v>
      </c>
      <c r="F55">
        <v>604324.56000000006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3.91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7490</v>
      </c>
      <c r="AW55">
        <v>3350</v>
      </c>
      <c r="AX55">
        <v>1219</v>
      </c>
      <c r="AY55">
        <v>12059</v>
      </c>
      <c r="AZ55">
        <v>4202</v>
      </c>
      <c r="BA55">
        <v>7438</v>
      </c>
      <c r="BB55">
        <v>1432</v>
      </c>
      <c r="BC55">
        <v>13072</v>
      </c>
      <c r="BD55">
        <v>9486</v>
      </c>
      <c r="BE55">
        <v>9222</v>
      </c>
      <c r="BF55">
        <v>1768</v>
      </c>
      <c r="BG55">
        <v>20476</v>
      </c>
      <c r="BH55">
        <v>0</v>
      </c>
      <c r="BI55">
        <v>0</v>
      </c>
      <c r="BJ55">
        <v>0</v>
      </c>
      <c r="BK55">
        <v>0</v>
      </c>
      <c r="BL55" s="2">
        <v>24.82</v>
      </c>
      <c r="BM55" s="2">
        <v>42005.095138888886</v>
      </c>
      <c r="BN55" s="2">
        <v>5.4</v>
      </c>
      <c r="BO55" s="2">
        <v>42005.092361111114</v>
      </c>
      <c r="BP55" s="2">
        <v>6.92</v>
      </c>
      <c r="BQ55" s="2">
        <v>42005.092361111114</v>
      </c>
      <c r="BR55" s="2">
        <v>11.07</v>
      </c>
      <c r="BS55" s="2">
        <v>42005.092361111114</v>
      </c>
      <c r="BT55">
        <v>0</v>
      </c>
      <c r="BU55">
        <v>0</v>
      </c>
      <c r="BV55" t="s">
        <v>135</v>
      </c>
      <c r="BW55">
        <v>0</v>
      </c>
      <c r="BX55">
        <v>0</v>
      </c>
      <c r="BY55" t="s">
        <v>135</v>
      </c>
      <c r="BZ55">
        <v>0</v>
      </c>
      <c r="CA55">
        <v>0</v>
      </c>
      <c r="CB55" t="s">
        <v>135</v>
      </c>
      <c r="CH55" s="2"/>
      <c r="CJ55" s="2"/>
      <c r="CL55" s="2"/>
      <c r="CN55" s="2"/>
      <c r="CQ55" s="2"/>
      <c r="CT55" s="2"/>
      <c r="CW55" s="2"/>
    </row>
    <row r="56" spans="1:101" x14ac:dyDescent="0.25">
      <c r="A56" s="1" t="s">
        <v>163</v>
      </c>
      <c r="B56" s="75" t="s">
        <v>164</v>
      </c>
      <c r="C56">
        <v>0</v>
      </c>
      <c r="D56">
        <v>0</v>
      </c>
      <c r="E56">
        <v>0</v>
      </c>
      <c r="F56">
        <v>604324.56000000006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3.91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7490</v>
      </c>
      <c r="AW56">
        <v>3350</v>
      </c>
      <c r="AX56">
        <v>1219</v>
      </c>
      <c r="AY56">
        <v>12059</v>
      </c>
      <c r="AZ56">
        <v>4202</v>
      </c>
      <c r="BA56">
        <v>7438</v>
      </c>
      <c r="BB56">
        <v>1432</v>
      </c>
      <c r="BC56">
        <v>13072</v>
      </c>
      <c r="BD56">
        <v>9486</v>
      </c>
      <c r="BE56">
        <v>9222</v>
      </c>
      <c r="BF56">
        <v>1768</v>
      </c>
      <c r="BG56">
        <v>20476</v>
      </c>
      <c r="BH56">
        <v>0</v>
      </c>
      <c r="BI56">
        <v>0</v>
      </c>
      <c r="BJ56">
        <v>0</v>
      </c>
      <c r="BK56">
        <v>0</v>
      </c>
      <c r="BL56" s="2">
        <v>24.82</v>
      </c>
      <c r="BM56" s="2">
        <v>42005.095138888886</v>
      </c>
      <c r="BN56" s="2">
        <v>5.4</v>
      </c>
      <c r="BO56" s="2">
        <v>42005.092361111114</v>
      </c>
      <c r="BP56" s="2">
        <v>6.92</v>
      </c>
      <c r="BQ56" s="2">
        <v>42005.092361111114</v>
      </c>
      <c r="BR56" s="2">
        <v>11.07</v>
      </c>
      <c r="BS56" s="2">
        <v>42005.092361111114</v>
      </c>
      <c r="BT56">
        <v>0</v>
      </c>
      <c r="BU56">
        <v>0</v>
      </c>
      <c r="BV56" t="s">
        <v>135</v>
      </c>
      <c r="BW56">
        <v>0</v>
      </c>
      <c r="BX56">
        <v>0</v>
      </c>
      <c r="BY56" t="s">
        <v>135</v>
      </c>
      <c r="BZ56">
        <v>0</v>
      </c>
      <c r="CA56">
        <v>0</v>
      </c>
      <c r="CB56" t="s">
        <v>135</v>
      </c>
      <c r="CH56" s="2"/>
      <c r="CJ56" s="2"/>
      <c r="CL56" s="2"/>
      <c r="CN56" s="2"/>
      <c r="CQ56" s="2"/>
      <c r="CT56" s="2"/>
      <c r="CW56" s="2"/>
    </row>
    <row r="57" spans="1:101" x14ac:dyDescent="0.25">
      <c r="A57" s="1" t="s">
        <v>163</v>
      </c>
      <c r="B57" s="75" t="s">
        <v>164</v>
      </c>
      <c r="C57">
        <v>0</v>
      </c>
      <c r="D57">
        <v>0</v>
      </c>
      <c r="E57">
        <v>0</v>
      </c>
      <c r="F57">
        <v>604324.56000000006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3.91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7490</v>
      </c>
      <c r="AW57">
        <v>3350</v>
      </c>
      <c r="AX57">
        <v>1219</v>
      </c>
      <c r="AY57">
        <v>12059</v>
      </c>
      <c r="AZ57">
        <v>4202</v>
      </c>
      <c r="BA57">
        <v>7438</v>
      </c>
      <c r="BB57">
        <v>1432</v>
      </c>
      <c r="BC57">
        <v>13072</v>
      </c>
      <c r="BD57">
        <v>9486</v>
      </c>
      <c r="BE57">
        <v>9222</v>
      </c>
      <c r="BF57">
        <v>1768</v>
      </c>
      <c r="BG57">
        <v>20476</v>
      </c>
      <c r="BH57">
        <v>0</v>
      </c>
      <c r="BI57">
        <v>0</v>
      </c>
      <c r="BJ57">
        <v>0</v>
      </c>
      <c r="BK57">
        <v>0</v>
      </c>
      <c r="BL57" s="2">
        <v>24.82</v>
      </c>
      <c r="BM57" s="2">
        <v>42005.095138888886</v>
      </c>
      <c r="BN57" s="2">
        <v>5.4</v>
      </c>
      <c r="BO57" s="2">
        <v>42005.092361111114</v>
      </c>
      <c r="BP57" s="2">
        <v>6.92</v>
      </c>
      <c r="BQ57" s="2">
        <v>42005.092361111114</v>
      </c>
      <c r="BR57" s="2">
        <v>11.07</v>
      </c>
      <c r="BS57" s="2">
        <v>42005.092361111114</v>
      </c>
      <c r="BT57">
        <v>0</v>
      </c>
      <c r="BU57">
        <v>0</v>
      </c>
      <c r="BV57" t="s">
        <v>135</v>
      </c>
      <c r="BW57">
        <v>0</v>
      </c>
      <c r="BX57">
        <v>0</v>
      </c>
      <c r="BY57" t="s">
        <v>135</v>
      </c>
      <c r="BZ57">
        <v>0</v>
      </c>
      <c r="CA57">
        <v>0</v>
      </c>
      <c r="CB57" t="s">
        <v>135</v>
      </c>
      <c r="CH57" s="2"/>
      <c r="CJ57" s="2"/>
      <c r="CL57" s="2"/>
      <c r="CN57" s="2"/>
      <c r="CQ57" s="2"/>
      <c r="CT57" s="2"/>
      <c r="CW57" s="2"/>
    </row>
    <row r="58" spans="1:101" x14ac:dyDescent="0.25">
      <c r="A58" s="1" t="s">
        <v>163</v>
      </c>
      <c r="B58" s="75" t="s">
        <v>164</v>
      </c>
      <c r="C58">
        <v>0</v>
      </c>
      <c r="D58">
        <v>0</v>
      </c>
      <c r="E58">
        <v>0</v>
      </c>
      <c r="F58">
        <v>604324.56000000006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3.91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7490</v>
      </c>
      <c r="AW58">
        <v>3350</v>
      </c>
      <c r="AX58">
        <v>1219</v>
      </c>
      <c r="AY58">
        <v>12059</v>
      </c>
      <c r="AZ58">
        <v>4202</v>
      </c>
      <c r="BA58">
        <v>7438</v>
      </c>
      <c r="BB58">
        <v>1432</v>
      </c>
      <c r="BC58">
        <v>13072</v>
      </c>
      <c r="BD58">
        <v>9486</v>
      </c>
      <c r="BE58">
        <v>9222</v>
      </c>
      <c r="BF58">
        <v>1768</v>
      </c>
      <c r="BG58">
        <v>20476</v>
      </c>
      <c r="BH58">
        <v>0</v>
      </c>
      <c r="BI58">
        <v>0</v>
      </c>
      <c r="BJ58">
        <v>0</v>
      </c>
      <c r="BK58">
        <v>0</v>
      </c>
      <c r="BL58" s="2">
        <v>24.82</v>
      </c>
      <c r="BM58" s="2">
        <v>42005.095138888886</v>
      </c>
      <c r="BN58" s="2">
        <v>5.4</v>
      </c>
      <c r="BO58" s="2">
        <v>42005.092361111114</v>
      </c>
      <c r="BP58" s="2">
        <v>6.92</v>
      </c>
      <c r="BQ58" s="2">
        <v>42005.092361111114</v>
      </c>
      <c r="BR58" s="2">
        <v>11.07</v>
      </c>
      <c r="BS58" s="2">
        <v>42005.092361111114</v>
      </c>
      <c r="BT58">
        <v>0</v>
      </c>
      <c r="BU58">
        <v>0</v>
      </c>
      <c r="BV58" t="s">
        <v>135</v>
      </c>
      <c r="BW58">
        <v>0</v>
      </c>
      <c r="BX58">
        <v>0</v>
      </c>
      <c r="BY58" t="s">
        <v>135</v>
      </c>
      <c r="BZ58">
        <v>0</v>
      </c>
      <c r="CA58">
        <v>0</v>
      </c>
      <c r="CB58" t="s">
        <v>135</v>
      </c>
      <c r="CH58" s="2"/>
      <c r="CJ58" s="2"/>
      <c r="CL58" s="2"/>
      <c r="CN58" s="2"/>
      <c r="CQ58" s="2"/>
      <c r="CT58" s="2"/>
      <c r="CW58" s="2"/>
    </row>
    <row r="59" spans="1:101" x14ac:dyDescent="0.25">
      <c r="A59" s="1" t="s">
        <v>163</v>
      </c>
      <c r="B59" s="75" t="s">
        <v>164</v>
      </c>
      <c r="C59">
        <v>0</v>
      </c>
      <c r="D59">
        <v>0</v>
      </c>
      <c r="E59">
        <v>0</v>
      </c>
      <c r="F59">
        <v>604324.56000000006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3.91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7490</v>
      </c>
      <c r="AW59">
        <v>3350</v>
      </c>
      <c r="AX59">
        <v>1219</v>
      </c>
      <c r="AY59">
        <v>12059</v>
      </c>
      <c r="AZ59">
        <v>4202</v>
      </c>
      <c r="BA59">
        <v>7438</v>
      </c>
      <c r="BB59">
        <v>1432</v>
      </c>
      <c r="BC59">
        <v>13072</v>
      </c>
      <c r="BD59">
        <v>9486</v>
      </c>
      <c r="BE59">
        <v>9222</v>
      </c>
      <c r="BF59">
        <v>1768</v>
      </c>
      <c r="BG59">
        <v>20476</v>
      </c>
      <c r="BH59">
        <v>0</v>
      </c>
      <c r="BI59">
        <v>0</v>
      </c>
      <c r="BJ59">
        <v>0</v>
      </c>
      <c r="BK59">
        <v>0</v>
      </c>
      <c r="BL59" s="2">
        <v>24.82</v>
      </c>
      <c r="BM59" s="2">
        <v>42005.095138888886</v>
      </c>
      <c r="BN59" s="2">
        <v>5.4</v>
      </c>
      <c r="BO59" s="2">
        <v>42005.092361111114</v>
      </c>
      <c r="BP59" s="2">
        <v>6.92</v>
      </c>
      <c r="BQ59" s="2">
        <v>42005.092361111114</v>
      </c>
      <c r="BR59" s="2">
        <v>11.07</v>
      </c>
      <c r="BS59" s="2">
        <v>42005.092361111114</v>
      </c>
      <c r="BT59">
        <v>0</v>
      </c>
      <c r="BU59">
        <v>0</v>
      </c>
      <c r="BV59" t="s">
        <v>135</v>
      </c>
      <c r="BW59">
        <v>0</v>
      </c>
      <c r="BX59">
        <v>0</v>
      </c>
      <c r="BY59" t="s">
        <v>135</v>
      </c>
      <c r="BZ59">
        <v>0</v>
      </c>
      <c r="CA59">
        <v>0</v>
      </c>
      <c r="CB59" t="s">
        <v>135</v>
      </c>
      <c r="CH59" s="2"/>
      <c r="CJ59" s="2"/>
      <c r="CL59" s="2"/>
      <c r="CN59" s="2"/>
      <c r="CQ59" s="2"/>
      <c r="CT59" s="2"/>
      <c r="CW59" s="2"/>
    </row>
    <row r="60" spans="1:101" x14ac:dyDescent="0.25">
      <c r="A60" s="1" t="s">
        <v>163</v>
      </c>
      <c r="B60" s="75" t="s">
        <v>164</v>
      </c>
      <c r="C60">
        <v>0</v>
      </c>
      <c r="D60">
        <v>0</v>
      </c>
      <c r="E60">
        <v>0</v>
      </c>
      <c r="F60">
        <v>604324.56000000006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3.91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7490</v>
      </c>
      <c r="AW60">
        <v>3350</v>
      </c>
      <c r="AX60">
        <v>1219</v>
      </c>
      <c r="AY60">
        <v>12059</v>
      </c>
      <c r="AZ60">
        <v>4202</v>
      </c>
      <c r="BA60">
        <v>7438</v>
      </c>
      <c r="BB60">
        <v>1432</v>
      </c>
      <c r="BC60">
        <v>13072</v>
      </c>
      <c r="BD60">
        <v>9486</v>
      </c>
      <c r="BE60">
        <v>9222</v>
      </c>
      <c r="BF60">
        <v>1768</v>
      </c>
      <c r="BG60">
        <v>20476</v>
      </c>
      <c r="BH60">
        <v>0</v>
      </c>
      <c r="BI60">
        <v>0</v>
      </c>
      <c r="BJ60">
        <v>0</v>
      </c>
      <c r="BK60">
        <v>0</v>
      </c>
      <c r="BL60" s="2">
        <v>24.82</v>
      </c>
      <c r="BM60" s="2">
        <v>42005.095138888886</v>
      </c>
      <c r="BN60" s="2">
        <v>5.4</v>
      </c>
      <c r="BO60" s="2">
        <v>42005.092361111114</v>
      </c>
      <c r="BP60" s="2">
        <v>6.92</v>
      </c>
      <c r="BQ60" s="2">
        <v>42005.092361111114</v>
      </c>
      <c r="BR60" s="2">
        <v>11.07</v>
      </c>
      <c r="BS60" s="2">
        <v>42005.092361111114</v>
      </c>
      <c r="BT60">
        <v>0</v>
      </c>
      <c r="BU60">
        <v>0</v>
      </c>
      <c r="BV60" t="s">
        <v>135</v>
      </c>
      <c r="BW60">
        <v>0</v>
      </c>
      <c r="BX60">
        <v>0</v>
      </c>
      <c r="BY60" t="s">
        <v>135</v>
      </c>
      <c r="BZ60">
        <v>0</v>
      </c>
      <c r="CA60">
        <v>0</v>
      </c>
      <c r="CB60" t="s">
        <v>135</v>
      </c>
      <c r="CH60" s="2"/>
      <c r="CJ60" s="2"/>
      <c r="CL60" s="2"/>
      <c r="CN60" s="2"/>
      <c r="CQ60" s="2"/>
      <c r="CT60" s="2"/>
      <c r="CW60" s="2"/>
    </row>
    <row r="61" spans="1:101" x14ac:dyDescent="0.25">
      <c r="A61" s="1" t="s">
        <v>163</v>
      </c>
      <c r="B61" s="75" t="s">
        <v>164</v>
      </c>
      <c r="C61">
        <v>0</v>
      </c>
      <c r="D61">
        <v>0</v>
      </c>
      <c r="E61">
        <v>0</v>
      </c>
      <c r="F61">
        <v>604324.56000000006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3.91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7490</v>
      </c>
      <c r="AW61">
        <v>3350</v>
      </c>
      <c r="AX61">
        <v>1219</v>
      </c>
      <c r="AY61">
        <v>12059</v>
      </c>
      <c r="AZ61">
        <v>4202</v>
      </c>
      <c r="BA61">
        <v>7438</v>
      </c>
      <c r="BB61">
        <v>1432</v>
      </c>
      <c r="BC61">
        <v>13072</v>
      </c>
      <c r="BD61">
        <v>9486</v>
      </c>
      <c r="BE61">
        <v>9222</v>
      </c>
      <c r="BF61">
        <v>1768</v>
      </c>
      <c r="BG61">
        <v>20476</v>
      </c>
      <c r="BH61">
        <v>0</v>
      </c>
      <c r="BI61">
        <v>0</v>
      </c>
      <c r="BJ61">
        <v>0</v>
      </c>
      <c r="BK61">
        <v>0</v>
      </c>
      <c r="BL61" s="2">
        <v>24.82</v>
      </c>
      <c r="BM61" s="2">
        <v>42005.095138888886</v>
      </c>
      <c r="BN61" s="2">
        <v>5.4</v>
      </c>
      <c r="BO61" s="2">
        <v>42005.092361111114</v>
      </c>
      <c r="BP61" s="2">
        <v>6.92</v>
      </c>
      <c r="BQ61" s="2">
        <v>42005.092361111114</v>
      </c>
      <c r="BR61" s="2">
        <v>11.07</v>
      </c>
      <c r="BS61" s="2">
        <v>42005.092361111114</v>
      </c>
      <c r="BT61">
        <v>0</v>
      </c>
      <c r="BU61">
        <v>0</v>
      </c>
      <c r="BV61" t="s">
        <v>135</v>
      </c>
      <c r="BW61">
        <v>0</v>
      </c>
      <c r="BX61">
        <v>0</v>
      </c>
      <c r="BY61" t="s">
        <v>135</v>
      </c>
      <c r="BZ61">
        <v>0</v>
      </c>
      <c r="CA61">
        <v>0</v>
      </c>
      <c r="CB61" t="s">
        <v>135</v>
      </c>
      <c r="CH61" s="2"/>
      <c r="CJ61" s="2"/>
      <c r="CL61" s="2"/>
      <c r="CN61" s="2"/>
      <c r="CQ61" s="2"/>
      <c r="CT61" s="2"/>
      <c r="CW61" s="2"/>
    </row>
    <row r="62" spans="1:101" x14ac:dyDescent="0.25">
      <c r="A62" s="1" t="s">
        <v>163</v>
      </c>
      <c r="B62" s="75" t="s">
        <v>164</v>
      </c>
      <c r="C62">
        <v>0</v>
      </c>
      <c r="D62">
        <v>0</v>
      </c>
      <c r="E62">
        <v>0</v>
      </c>
      <c r="F62">
        <v>604324.56000000006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3.91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7490</v>
      </c>
      <c r="AW62">
        <v>3350</v>
      </c>
      <c r="AX62">
        <v>1219</v>
      </c>
      <c r="AY62">
        <v>12059</v>
      </c>
      <c r="AZ62">
        <v>4202</v>
      </c>
      <c r="BA62">
        <v>7438</v>
      </c>
      <c r="BB62">
        <v>1432</v>
      </c>
      <c r="BC62">
        <v>13072</v>
      </c>
      <c r="BD62">
        <v>9486</v>
      </c>
      <c r="BE62">
        <v>9222</v>
      </c>
      <c r="BF62">
        <v>1768</v>
      </c>
      <c r="BG62">
        <v>20476</v>
      </c>
      <c r="BH62">
        <v>0</v>
      </c>
      <c r="BI62">
        <v>0</v>
      </c>
      <c r="BJ62">
        <v>0</v>
      </c>
      <c r="BK62">
        <v>0</v>
      </c>
      <c r="BL62" s="2">
        <v>24.82</v>
      </c>
      <c r="BM62" s="2">
        <v>42005.095138888886</v>
      </c>
      <c r="BN62" s="2">
        <v>5.4</v>
      </c>
      <c r="BO62" s="2">
        <v>42005.092361111114</v>
      </c>
      <c r="BP62" s="2">
        <v>6.92</v>
      </c>
      <c r="BQ62" s="2">
        <v>42005.092361111114</v>
      </c>
      <c r="BR62" s="2">
        <v>11.07</v>
      </c>
      <c r="BS62" s="2">
        <v>42005.092361111114</v>
      </c>
      <c r="BT62">
        <v>0</v>
      </c>
      <c r="BU62">
        <v>0</v>
      </c>
      <c r="BV62" t="s">
        <v>135</v>
      </c>
      <c r="BW62">
        <v>0</v>
      </c>
      <c r="BX62">
        <v>0</v>
      </c>
      <c r="BY62" t="s">
        <v>135</v>
      </c>
      <c r="BZ62">
        <v>0</v>
      </c>
      <c r="CA62">
        <v>0</v>
      </c>
      <c r="CB62" t="s">
        <v>135</v>
      </c>
      <c r="CH62" s="2"/>
      <c r="CJ62" s="2"/>
      <c r="CL62" s="2"/>
      <c r="CN62" s="2"/>
      <c r="CQ62" s="2"/>
      <c r="CT62" s="2"/>
      <c r="CW62" s="2"/>
    </row>
    <row r="63" spans="1:101" x14ac:dyDescent="0.25">
      <c r="A63" s="1" t="s">
        <v>163</v>
      </c>
      <c r="B63" s="75" t="s">
        <v>164</v>
      </c>
      <c r="C63">
        <v>0</v>
      </c>
      <c r="D63">
        <v>0</v>
      </c>
      <c r="E63">
        <v>0</v>
      </c>
      <c r="F63">
        <v>604324.56000000006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3.91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7490</v>
      </c>
      <c r="AW63">
        <v>3350</v>
      </c>
      <c r="AX63">
        <v>1219</v>
      </c>
      <c r="AY63">
        <v>12059</v>
      </c>
      <c r="AZ63">
        <v>4202</v>
      </c>
      <c r="BA63">
        <v>7438</v>
      </c>
      <c r="BB63">
        <v>1432</v>
      </c>
      <c r="BC63">
        <v>13072</v>
      </c>
      <c r="BD63">
        <v>9486</v>
      </c>
      <c r="BE63">
        <v>9222</v>
      </c>
      <c r="BF63">
        <v>1768</v>
      </c>
      <c r="BG63">
        <v>20476</v>
      </c>
      <c r="BH63">
        <v>0</v>
      </c>
      <c r="BI63">
        <v>0</v>
      </c>
      <c r="BJ63">
        <v>0</v>
      </c>
      <c r="BK63">
        <v>0</v>
      </c>
      <c r="BL63" s="2">
        <v>24.82</v>
      </c>
      <c r="BM63" s="2">
        <v>42005.095138888886</v>
      </c>
      <c r="BN63" s="2">
        <v>5.4</v>
      </c>
      <c r="BO63" s="2">
        <v>42005.092361111114</v>
      </c>
      <c r="BP63" s="2">
        <v>6.92</v>
      </c>
      <c r="BQ63" s="2">
        <v>42005.092361111114</v>
      </c>
      <c r="BR63" s="2">
        <v>11.07</v>
      </c>
      <c r="BS63" s="2">
        <v>42005.092361111114</v>
      </c>
      <c r="BT63">
        <v>0</v>
      </c>
      <c r="BU63">
        <v>0</v>
      </c>
      <c r="BV63" t="s">
        <v>135</v>
      </c>
      <c r="BW63">
        <v>0</v>
      </c>
      <c r="BX63">
        <v>0</v>
      </c>
      <c r="BY63" t="s">
        <v>135</v>
      </c>
      <c r="BZ63">
        <v>0</v>
      </c>
      <c r="CA63">
        <v>0</v>
      </c>
      <c r="CB63" t="s">
        <v>135</v>
      </c>
      <c r="CH63" s="2"/>
      <c r="CJ63" s="2"/>
      <c r="CL63" s="2"/>
      <c r="CN63" s="2"/>
      <c r="CQ63" s="2"/>
      <c r="CT63" s="2"/>
      <c r="CW63" s="2"/>
    </row>
    <row r="64" spans="1:101" x14ac:dyDescent="0.25">
      <c r="A64" s="1" t="s">
        <v>163</v>
      </c>
      <c r="B64" s="75" t="s">
        <v>164</v>
      </c>
      <c r="C64">
        <v>0</v>
      </c>
      <c r="D64">
        <v>0</v>
      </c>
      <c r="E64">
        <v>0</v>
      </c>
      <c r="F64">
        <v>604324.56000000006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3.91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7490</v>
      </c>
      <c r="AW64">
        <v>3350</v>
      </c>
      <c r="AX64">
        <v>1219</v>
      </c>
      <c r="AY64">
        <v>12059</v>
      </c>
      <c r="AZ64">
        <v>4202</v>
      </c>
      <c r="BA64">
        <v>7438</v>
      </c>
      <c r="BB64">
        <v>1432</v>
      </c>
      <c r="BC64">
        <v>13072</v>
      </c>
      <c r="BD64">
        <v>9486</v>
      </c>
      <c r="BE64">
        <v>9222</v>
      </c>
      <c r="BF64">
        <v>1768</v>
      </c>
      <c r="BG64">
        <v>20476</v>
      </c>
      <c r="BH64">
        <v>0</v>
      </c>
      <c r="BI64">
        <v>0</v>
      </c>
      <c r="BJ64">
        <v>0</v>
      </c>
      <c r="BK64">
        <v>0</v>
      </c>
      <c r="BL64" s="2">
        <v>24.82</v>
      </c>
      <c r="BM64" s="2">
        <v>42005.095138888886</v>
      </c>
      <c r="BN64" s="2">
        <v>5.4</v>
      </c>
      <c r="BO64" s="2">
        <v>42005.092361111114</v>
      </c>
      <c r="BP64" s="2">
        <v>6.92</v>
      </c>
      <c r="BQ64" s="2">
        <v>42005.092361111114</v>
      </c>
      <c r="BR64" s="2">
        <v>11.07</v>
      </c>
      <c r="BS64" s="2">
        <v>42005.092361111114</v>
      </c>
      <c r="BT64">
        <v>0</v>
      </c>
      <c r="BU64">
        <v>0</v>
      </c>
      <c r="BV64" t="s">
        <v>135</v>
      </c>
      <c r="BW64">
        <v>0</v>
      </c>
      <c r="BX64">
        <v>0</v>
      </c>
      <c r="BY64" t="s">
        <v>135</v>
      </c>
      <c r="BZ64">
        <v>0</v>
      </c>
      <c r="CA64">
        <v>0</v>
      </c>
      <c r="CB64" t="s">
        <v>135</v>
      </c>
      <c r="CH64" s="2"/>
      <c r="CJ64" s="2"/>
      <c r="CL64" s="2"/>
      <c r="CN64" s="2"/>
      <c r="CQ64" s="2"/>
      <c r="CT64" s="2"/>
      <c r="CW64" s="2"/>
    </row>
    <row r="65" spans="1:101" x14ac:dyDescent="0.25">
      <c r="A65" s="1" t="s">
        <v>163</v>
      </c>
      <c r="B65" s="75" t="s">
        <v>164</v>
      </c>
      <c r="C65">
        <v>0</v>
      </c>
      <c r="D65">
        <v>0</v>
      </c>
      <c r="E65">
        <v>0</v>
      </c>
      <c r="F65">
        <v>604324.56000000006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3.91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7490</v>
      </c>
      <c r="AW65">
        <v>3350</v>
      </c>
      <c r="AX65">
        <v>1219</v>
      </c>
      <c r="AY65">
        <v>12059</v>
      </c>
      <c r="AZ65">
        <v>4202</v>
      </c>
      <c r="BA65">
        <v>7438</v>
      </c>
      <c r="BB65">
        <v>1432</v>
      </c>
      <c r="BC65">
        <v>13072</v>
      </c>
      <c r="BD65">
        <v>9486</v>
      </c>
      <c r="BE65">
        <v>9222</v>
      </c>
      <c r="BF65">
        <v>1768</v>
      </c>
      <c r="BG65">
        <v>20476</v>
      </c>
      <c r="BH65">
        <v>0</v>
      </c>
      <c r="BI65">
        <v>0</v>
      </c>
      <c r="BJ65">
        <v>0</v>
      </c>
      <c r="BK65">
        <v>0</v>
      </c>
      <c r="BL65" s="2">
        <v>24.82</v>
      </c>
      <c r="BM65" s="2">
        <v>42005.095138888886</v>
      </c>
      <c r="BN65" s="2">
        <v>5.4</v>
      </c>
      <c r="BO65" s="2">
        <v>42005.092361111114</v>
      </c>
      <c r="BP65" s="2">
        <v>6.92</v>
      </c>
      <c r="BQ65" s="2">
        <v>42005.092361111114</v>
      </c>
      <c r="BR65" s="2">
        <v>11.07</v>
      </c>
      <c r="BS65" s="2">
        <v>42005.092361111114</v>
      </c>
      <c r="BT65">
        <v>0</v>
      </c>
      <c r="BU65">
        <v>0</v>
      </c>
      <c r="BV65" t="s">
        <v>135</v>
      </c>
      <c r="BW65">
        <v>0</v>
      </c>
      <c r="BX65">
        <v>0</v>
      </c>
      <c r="BY65" t="s">
        <v>135</v>
      </c>
      <c r="BZ65">
        <v>0</v>
      </c>
      <c r="CA65">
        <v>0</v>
      </c>
      <c r="CB65" t="s">
        <v>135</v>
      </c>
      <c r="CH65" s="2"/>
      <c r="CJ65" s="2"/>
      <c r="CL65" s="2"/>
      <c r="CN65" s="2"/>
      <c r="CQ65" s="2"/>
      <c r="CT65" s="2"/>
      <c r="CW65" s="2"/>
    </row>
    <row r="66" spans="1:101" x14ac:dyDescent="0.25">
      <c r="A66" s="1" t="s">
        <v>163</v>
      </c>
      <c r="B66" s="75" t="s">
        <v>164</v>
      </c>
      <c r="C66">
        <v>0</v>
      </c>
      <c r="D66">
        <v>0</v>
      </c>
      <c r="E66">
        <v>0</v>
      </c>
      <c r="F66">
        <v>604324.56000000006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3.91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7490</v>
      </c>
      <c r="AW66">
        <v>3350</v>
      </c>
      <c r="AX66">
        <v>1219</v>
      </c>
      <c r="AY66">
        <v>12059</v>
      </c>
      <c r="AZ66">
        <v>4202</v>
      </c>
      <c r="BA66">
        <v>7438</v>
      </c>
      <c r="BB66">
        <v>1432</v>
      </c>
      <c r="BC66">
        <v>13072</v>
      </c>
      <c r="BD66">
        <v>9486</v>
      </c>
      <c r="BE66">
        <v>9222</v>
      </c>
      <c r="BF66">
        <v>1768</v>
      </c>
      <c r="BG66">
        <v>20476</v>
      </c>
      <c r="BH66">
        <v>0</v>
      </c>
      <c r="BI66">
        <v>0</v>
      </c>
      <c r="BJ66">
        <v>0</v>
      </c>
      <c r="BK66">
        <v>0</v>
      </c>
      <c r="BL66" s="2">
        <v>24.82</v>
      </c>
      <c r="BM66" s="2">
        <v>42005.095138888886</v>
      </c>
      <c r="BN66" s="2">
        <v>5.4</v>
      </c>
      <c r="BO66" s="2">
        <v>42005.092361111114</v>
      </c>
      <c r="BP66" s="2">
        <v>6.92</v>
      </c>
      <c r="BQ66" s="2">
        <v>42005.092361111114</v>
      </c>
      <c r="BR66" s="2">
        <v>11.07</v>
      </c>
      <c r="BS66" s="2">
        <v>42005.092361111114</v>
      </c>
      <c r="BT66">
        <v>0</v>
      </c>
      <c r="BU66">
        <v>0</v>
      </c>
      <c r="BV66" t="s">
        <v>135</v>
      </c>
      <c r="BW66">
        <v>0</v>
      </c>
      <c r="BX66">
        <v>0</v>
      </c>
      <c r="BY66" t="s">
        <v>135</v>
      </c>
      <c r="BZ66">
        <v>0</v>
      </c>
      <c r="CA66">
        <v>0</v>
      </c>
      <c r="CB66" t="s">
        <v>135</v>
      </c>
      <c r="CH66" s="2"/>
      <c r="CJ66" s="2"/>
      <c r="CL66" s="2"/>
      <c r="CN66" s="2"/>
      <c r="CQ66" s="2"/>
      <c r="CT66" s="2"/>
      <c r="CW66" s="2"/>
    </row>
    <row r="67" spans="1:101" x14ac:dyDescent="0.25">
      <c r="A67" s="1" t="s">
        <v>163</v>
      </c>
      <c r="B67" s="75" t="s">
        <v>164</v>
      </c>
      <c r="C67">
        <v>0</v>
      </c>
      <c r="D67">
        <v>0</v>
      </c>
      <c r="E67">
        <v>0</v>
      </c>
      <c r="F67">
        <v>604324.56000000006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3.91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7490</v>
      </c>
      <c r="AW67">
        <v>3350</v>
      </c>
      <c r="AX67">
        <v>1219</v>
      </c>
      <c r="AY67">
        <v>12059</v>
      </c>
      <c r="AZ67">
        <v>4202</v>
      </c>
      <c r="BA67">
        <v>7438</v>
      </c>
      <c r="BB67">
        <v>1432</v>
      </c>
      <c r="BC67">
        <v>13072</v>
      </c>
      <c r="BD67">
        <v>9486</v>
      </c>
      <c r="BE67">
        <v>9222</v>
      </c>
      <c r="BF67">
        <v>1768</v>
      </c>
      <c r="BG67">
        <v>20476</v>
      </c>
      <c r="BH67">
        <v>0</v>
      </c>
      <c r="BI67">
        <v>0</v>
      </c>
      <c r="BJ67">
        <v>0</v>
      </c>
      <c r="BK67">
        <v>0</v>
      </c>
      <c r="BL67" s="2">
        <v>24.82</v>
      </c>
      <c r="BM67" s="2">
        <v>42005.095138888886</v>
      </c>
      <c r="BN67" s="2">
        <v>5.4</v>
      </c>
      <c r="BO67" s="2">
        <v>42005.092361111114</v>
      </c>
      <c r="BP67" s="2">
        <v>6.92</v>
      </c>
      <c r="BQ67" s="2">
        <v>42005.092361111114</v>
      </c>
      <c r="BR67" s="2">
        <v>11.07</v>
      </c>
      <c r="BS67" s="2">
        <v>42005.092361111114</v>
      </c>
      <c r="BT67">
        <v>0</v>
      </c>
      <c r="BU67">
        <v>0</v>
      </c>
      <c r="BV67" t="s">
        <v>135</v>
      </c>
      <c r="BW67">
        <v>0</v>
      </c>
      <c r="BX67">
        <v>0</v>
      </c>
      <c r="BY67" t="s">
        <v>135</v>
      </c>
      <c r="BZ67">
        <v>0</v>
      </c>
      <c r="CA67">
        <v>0</v>
      </c>
      <c r="CB67" t="s">
        <v>135</v>
      </c>
      <c r="CH67" s="2"/>
      <c r="CJ67" s="2"/>
      <c r="CL67" s="2"/>
      <c r="CN67" s="2"/>
      <c r="CQ67" s="2"/>
      <c r="CT67" s="2"/>
      <c r="CW67" s="2"/>
    </row>
    <row r="68" spans="1:101" x14ac:dyDescent="0.25">
      <c r="A68" s="1" t="s">
        <v>163</v>
      </c>
      <c r="B68" s="75" t="s">
        <v>164</v>
      </c>
      <c r="C68">
        <v>0</v>
      </c>
      <c r="D68">
        <v>0</v>
      </c>
      <c r="E68">
        <v>0</v>
      </c>
      <c r="F68">
        <v>604324.56000000006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3.91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7490</v>
      </c>
      <c r="AW68">
        <v>3350</v>
      </c>
      <c r="AX68">
        <v>1219</v>
      </c>
      <c r="AY68">
        <v>12059</v>
      </c>
      <c r="AZ68">
        <v>4202</v>
      </c>
      <c r="BA68">
        <v>7438</v>
      </c>
      <c r="BB68">
        <v>1432</v>
      </c>
      <c r="BC68">
        <v>13072</v>
      </c>
      <c r="BD68">
        <v>9486</v>
      </c>
      <c r="BE68">
        <v>9222</v>
      </c>
      <c r="BF68">
        <v>1768</v>
      </c>
      <c r="BG68">
        <v>20476</v>
      </c>
      <c r="BH68">
        <v>0</v>
      </c>
      <c r="BI68">
        <v>0</v>
      </c>
      <c r="BJ68">
        <v>0</v>
      </c>
      <c r="BK68">
        <v>0</v>
      </c>
      <c r="BL68" s="2">
        <v>24.82</v>
      </c>
      <c r="BM68" s="2">
        <v>42005.095138888886</v>
      </c>
      <c r="BN68" s="2">
        <v>5.4</v>
      </c>
      <c r="BO68" s="2">
        <v>42005.092361111114</v>
      </c>
      <c r="BP68" s="2">
        <v>6.92</v>
      </c>
      <c r="BQ68" s="2">
        <v>42005.092361111114</v>
      </c>
      <c r="BR68" s="2">
        <v>11.07</v>
      </c>
      <c r="BS68" s="2">
        <v>42005.092361111114</v>
      </c>
      <c r="BT68">
        <v>0</v>
      </c>
      <c r="BU68">
        <v>0</v>
      </c>
      <c r="BV68" t="s">
        <v>135</v>
      </c>
      <c r="BW68">
        <v>0</v>
      </c>
      <c r="BX68">
        <v>0</v>
      </c>
      <c r="BY68" t="s">
        <v>135</v>
      </c>
      <c r="BZ68">
        <v>0</v>
      </c>
      <c r="CA68">
        <v>0</v>
      </c>
      <c r="CB68" t="s">
        <v>135</v>
      </c>
      <c r="CH68" s="2"/>
      <c r="CJ68" s="2"/>
      <c r="CL68" s="2"/>
      <c r="CN68" s="2"/>
      <c r="CQ68" s="2"/>
      <c r="CT68" s="2"/>
      <c r="CW68" s="2"/>
    </row>
    <row r="69" spans="1:101" x14ac:dyDescent="0.25">
      <c r="A69" s="1" t="s">
        <v>163</v>
      </c>
      <c r="B69" s="75" t="s">
        <v>164</v>
      </c>
      <c r="C69">
        <v>0</v>
      </c>
      <c r="D69">
        <v>0</v>
      </c>
      <c r="E69">
        <v>0</v>
      </c>
      <c r="F69">
        <v>604324.56000000006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3.91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7490</v>
      </c>
      <c r="AW69">
        <v>3350</v>
      </c>
      <c r="AX69">
        <v>1219</v>
      </c>
      <c r="AY69">
        <v>12059</v>
      </c>
      <c r="AZ69">
        <v>4202</v>
      </c>
      <c r="BA69">
        <v>7438</v>
      </c>
      <c r="BB69">
        <v>1432</v>
      </c>
      <c r="BC69">
        <v>13072</v>
      </c>
      <c r="BD69">
        <v>9486</v>
      </c>
      <c r="BE69">
        <v>9222</v>
      </c>
      <c r="BF69">
        <v>1768</v>
      </c>
      <c r="BG69">
        <v>20476</v>
      </c>
      <c r="BH69">
        <v>0</v>
      </c>
      <c r="BI69">
        <v>0</v>
      </c>
      <c r="BJ69">
        <v>0</v>
      </c>
      <c r="BK69">
        <v>0</v>
      </c>
      <c r="BL69" s="2">
        <v>24.82</v>
      </c>
      <c r="BM69" s="2">
        <v>42005.095138888886</v>
      </c>
      <c r="BN69" s="2">
        <v>5.4</v>
      </c>
      <c r="BO69" s="2">
        <v>42005.092361111114</v>
      </c>
      <c r="BP69" s="2">
        <v>6.92</v>
      </c>
      <c r="BQ69" s="2">
        <v>42005.092361111114</v>
      </c>
      <c r="BR69" s="2">
        <v>11.07</v>
      </c>
      <c r="BS69" s="2">
        <v>42005.092361111114</v>
      </c>
      <c r="BT69">
        <v>0</v>
      </c>
      <c r="BU69">
        <v>0</v>
      </c>
      <c r="BV69" t="s">
        <v>135</v>
      </c>
      <c r="BW69">
        <v>0</v>
      </c>
      <c r="BX69">
        <v>0</v>
      </c>
      <c r="BY69" t="s">
        <v>135</v>
      </c>
      <c r="BZ69">
        <v>0</v>
      </c>
      <c r="CA69">
        <v>0</v>
      </c>
      <c r="CB69" t="s">
        <v>135</v>
      </c>
      <c r="CH69" s="2"/>
      <c r="CJ69" s="2"/>
      <c r="CL69" s="2"/>
      <c r="CN69" s="2"/>
      <c r="CQ69" s="2"/>
      <c r="CT69" s="2"/>
      <c r="CW69" s="2"/>
    </row>
    <row r="70" spans="1:101" x14ac:dyDescent="0.25">
      <c r="A70" s="1" t="s">
        <v>163</v>
      </c>
      <c r="B70" s="75" t="s">
        <v>164</v>
      </c>
      <c r="C70">
        <v>0</v>
      </c>
      <c r="D70">
        <v>0</v>
      </c>
      <c r="E70">
        <v>0</v>
      </c>
      <c r="F70">
        <v>604324.56000000006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3.91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7490</v>
      </c>
      <c r="AW70">
        <v>3350</v>
      </c>
      <c r="AX70">
        <v>1219</v>
      </c>
      <c r="AY70">
        <v>12059</v>
      </c>
      <c r="AZ70">
        <v>4202</v>
      </c>
      <c r="BA70">
        <v>7438</v>
      </c>
      <c r="BB70">
        <v>1432</v>
      </c>
      <c r="BC70">
        <v>13072</v>
      </c>
      <c r="BD70">
        <v>9486</v>
      </c>
      <c r="BE70">
        <v>9222</v>
      </c>
      <c r="BF70">
        <v>1768</v>
      </c>
      <c r="BG70">
        <v>20476</v>
      </c>
      <c r="BH70">
        <v>0</v>
      </c>
      <c r="BI70">
        <v>0</v>
      </c>
      <c r="BJ70">
        <v>0</v>
      </c>
      <c r="BK70">
        <v>0</v>
      </c>
      <c r="BL70" s="2">
        <v>24.82</v>
      </c>
      <c r="BM70" s="2">
        <v>42005.095138888886</v>
      </c>
      <c r="BN70" s="2">
        <v>5.4</v>
      </c>
      <c r="BO70" s="2">
        <v>42005.092361111114</v>
      </c>
      <c r="BP70" s="2">
        <v>6.92</v>
      </c>
      <c r="BQ70" s="2">
        <v>42005.092361111114</v>
      </c>
      <c r="BR70" s="2">
        <v>11.07</v>
      </c>
      <c r="BS70" s="2">
        <v>42005.092361111114</v>
      </c>
      <c r="BT70">
        <v>0</v>
      </c>
      <c r="BU70">
        <v>0</v>
      </c>
      <c r="BV70" t="s">
        <v>135</v>
      </c>
      <c r="BW70">
        <v>0</v>
      </c>
      <c r="BX70">
        <v>0</v>
      </c>
      <c r="BY70" t="s">
        <v>135</v>
      </c>
      <c r="BZ70">
        <v>0</v>
      </c>
      <c r="CA70">
        <v>0</v>
      </c>
      <c r="CB70" t="s">
        <v>135</v>
      </c>
      <c r="CH70" s="2"/>
      <c r="CJ70" s="2"/>
      <c r="CL70" s="2"/>
      <c r="CN70" s="2"/>
      <c r="CQ70" s="2"/>
      <c r="CT70" s="2"/>
      <c r="CW70" s="2"/>
    </row>
    <row r="71" spans="1:101" x14ac:dyDescent="0.25">
      <c r="A71" s="1" t="s">
        <v>163</v>
      </c>
      <c r="B71" s="75" t="s">
        <v>164</v>
      </c>
      <c r="C71">
        <v>0</v>
      </c>
      <c r="D71">
        <v>0</v>
      </c>
      <c r="E71">
        <v>0</v>
      </c>
      <c r="F71">
        <v>604324.56000000006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3.91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7490</v>
      </c>
      <c r="AW71">
        <v>3350</v>
      </c>
      <c r="AX71">
        <v>1219</v>
      </c>
      <c r="AY71">
        <v>12059</v>
      </c>
      <c r="AZ71">
        <v>4202</v>
      </c>
      <c r="BA71">
        <v>7438</v>
      </c>
      <c r="BB71">
        <v>1432</v>
      </c>
      <c r="BC71">
        <v>13072</v>
      </c>
      <c r="BD71">
        <v>9486</v>
      </c>
      <c r="BE71">
        <v>9222</v>
      </c>
      <c r="BF71">
        <v>1768</v>
      </c>
      <c r="BG71">
        <v>20476</v>
      </c>
      <c r="BH71">
        <v>0</v>
      </c>
      <c r="BI71">
        <v>0</v>
      </c>
      <c r="BJ71">
        <v>0</v>
      </c>
      <c r="BK71">
        <v>0</v>
      </c>
      <c r="BL71" s="2">
        <v>24.82</v>
      </c>
      <c r="BM71" s="2">
        <v>42005.095138888886</v>
      </c>
      <c r="BN71" s="2">
        <v>5.4</v>
      </c>
      <c r="BO71" s="2">
        <v>42005.092361111114</v>
      </c>
      <c r="BP71" s="2">
        <v>6.92</v>
      </c>
      <c r="BQ71" s="2">
        <v>42005.092361111114</v>
      </c>
      <c r="BR71" s="2">
        <v>11.07</v>
      </c>
      <c r="BS71" s="2">
        <v>42005.092361111114</v>
      </c>
      <c r="BT71">
        <v>0</v>
      </c>
      <c r="BU71">
        <v>0</v>
      </c>
      <c r="BV71" t="s">
        <v>135</v>
      </c>
      <c r="BW71">
        <v>0</v>
      </c>
      <c r="BX71">
        <v>0</v>
      </c>
      <c r="BY71" t="s">
        <v>135</v>
      </c>
      <c r="BZ71">
        <v>0</v>
      </c>
      <c r="CA71">
        <v>0</v>
      </c>
      <c r="CB71" t="s">
        <v>135</v>
      </c>
      <c r="CH71" s="2"/>
      <c r="CJ71" s="2"/>
      <c r="CL71" s="2"/>
      <c r="CN71" s="2"/>
      <c r="CQ71" s="2"/>
      <c r="CT71" s="2"/>
      <c r="CW71" s="2"/>
    </row>
    <row r="72" spans="1:101" x14ac:dyDescent="0.25">
      <c r="A72" s="1" t="s">
        <v>163</v>
      </c>
      <c r="B72" s="75" t="s">
        <v>164</v>
      </c>
      <c r="C72">
        <v>0</v>
      </c>
      <c r="D72">
        <v>0</v>
      </c>
      <c r="E72">
        <v>0</v>
      </c>
      <c r="F72">
        <v>604324.56000000006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3.91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7490</v>
      </c>
      <c r="AW72">
        <v>3350</v>
      </c>
      <c r="AX72">
        <v>1219</v>
      </c>
      <c r="AY72">
        <v>12059</v>
      </c>
      <c r="AZ72">
        <v>4202</v>
      </c>
      <c r="BA72">
        <v>7438</v>
      </c>
      <c r="BB72">
        <v>1432</v>
      </c>
      <c r="BC72">
        <v>13072</v>
      </c>
      <c r="BD72">
        <v>9486</v>
      </c>
      <c r="BE72">
        <v>9222</v>
      </c>
      <c r="BF72">
        <v>1768</v>
      </c>
      <c r="BG72">
        <v>20476</v>
      </c>
      <c r="BH72">
        <v>0</v>
      </c>
      <c r="BI72">
        <v>0</v>
      </c>
      <c r="BJ72">
        <v>0</v>
      </c>
      <c r="BK72">
        <v>0</v>
      </c>
      <c r="BL72" s="2">
        <v>24.82</v>
      </c>
      <c r="BM72" s="2">
        <v>42005.095138888886</v>
      </c>
      <c r="BN72" s="2">
        <v>5.4</v>
      </c>
      <c r="BO72" s="2">
        <v>42005.092361111114</v>
      </c>
      <c r="BP72" s="2">
        <v>6.92</v>
      </c>
      <c r="BQ72" s="2">
        <v>42005.092361111114</v>
      </c>
      <c r="BR72" s="2">
        <v>11.07</v>
      </c>
      <c r="BS72" s="2">
        <v>42005.092361111114</v>
      </c>
      <c r="BT72">
        <v>0</v>
      </c>
      <c r="BU72">
        <v>0</v>
      </c>
      <c r="BV72" t="s">
        <v>135</v>
      </c>
      <c r="BW72">
        <v>0</v>
      </c>
      <c r="BX72">
        <v>0</v>
      </c>
      <c r="BY72" t="s">
        <v>135</v>
      </c>
      <c r="BZ72">
        <v>0</v>
      </c>
      <c r="CA72">
        <v>0</v>
      </c>
      <c r="CB72" t="s">
        <v>135</v>
      </c>
      <c r="CH72" s="2"/>
      <c r="CJ72" s="2"/>
      <c r="CL72" s="2"/>
      <c r="CN72" s="2"/>
      <c r="CQ72" s="2"/>
      <c r="CT72" s="2"/>
      <c r="CW72" s="2"/>
    </row>
    <row r="73" spans="1:101" x14ac:dyDescent="0.25">
      <c r="A73" s="1" t="s">
        <v>163</v>
      </c>
      <c r="B73" s="75" t="s">
        <v>164</v>
      </c>
      <c r="C73">
        <v>0</v>
      </c>
      <c r="D73">
        <v>0</v>
      </c>
      <c r="E73">
        <v>0</v>
      </c>
      <c r="F73">
        <v>604324.56000000006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3.91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7490</v>
      </c>
      <c r="AW73">
        <v>3350</v>
      </c>
      <c r="AX73">
        <v>1219</v>
      </c>
      <c r="AY73">
        <v>12059</v>
      </c>
      <c r="AZ73">
        <v>4202</v>
      </c>
      <c r="BA73">
        <v>7438</v>
      </c>
      <c r="BB73">
        <v>1432</v>
      </c>
      <c r="BC73">
        <v>13072</v>
      </c>
      <c r="BD73">
        <v>9486</v>
      </c>
      <c r="BE73">
        <v>9222</v>
      </c>
      <c r="BF73">
        <v>1768</v>
      </c>
      <c r="BG73">
        <v>20476</v>
      </c>
      <c r="BH73">
        <v>0</v>
      </c>
      <c r="BI73">
        <v>0</v>
      </c>
      <c r="BJ73">
        <v>0</v>
      </c>
      <c r="BK73">
        <v>0</v>
      </c>
      <c r="BL73" s="2">
        <v>24.82</v>
      </c>
      <c r="BM73" s="2">
        <v>42005.095138888886</v>
      </c>
      <c r="BN73" s="2">
        <v>5.4</v>
      </c>
      <c r="BO73" s="2">
        <v>42005.092361111114</v>
      </c>
      <c r="BP73" s="2">
        <v>6.92</v>
      </c>
      <c r="BQ73" s="2">
        <v>42005.092361111114</v>
      </c>
      <c r="BR73" s="2">
        <v>11.07</v>
      </c>
      <c r="BS73" s="2">
        <v>42005.092361111114</v>
      </c>
      <c r="BT73">
        <v>0</v>
      </c>
      <c r="BU73">
        <v>0</v>
      </c>
      <c r="BV73" t="s">
        <v>135</v>
      </c>
      <c r="BW73">
        <v>0</v>
      </c>
      <c r="BX73">
        <v>0</v>
      </c>
      <c r="BY73" t="s">
        <v>135</v>
      </c>
      <c r="BZ73">
        <v>0</v>
      </c>
      <c r="CA73">
        <v>0</v>
      </c>
      <c r="CB73" t="s">
        <v>135</v>
      </c>
      <c r="CH73" s="2"/>
      <c r="CJ73" s="2"/>
      <c r="CL73" s="2"/>
      <c r="CN73" s="2"/>
      <c r="CQ73" s="2"/>
      <c r="CT73" s="2"/>
      <c r="CW73" s="2"/>
    </row>
    <row r="74" spans="1:101" x14ac:dyDescent="0.25">
      <c r="A74" s="1" t="s">
        <v>163</v>
      </c>
      <c r="B74" s="75" t="s">
        <v>164</v>
      </c>
      <c r="C74">
        <v>0</v>
      </c>
      <c r="D74">
        <v>0</v>
      </c>
      <c r="E74">
        <v>0</v>
      </c>
      <c r="F74">
        <v>604324.56000000006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3.91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7490</v>
      </c>
      <c r="AW74">
        <v>3350</v>
      </c>
      <c r="AX74">
        <v>1219</v>
      </c>
      <c r="AY74">
        <v>12059</v>
      </c>
      <c r="AZ74">
        <v>4202</v>
      </c>
      <c r="BA74">
        <v>7438</v>
      </c>
      <c r="BB74">
        <v>1432</v>
      </c>
      <c r="BC74">
        <v>13072</v>
      </c>
      <c r="BD74">
        <v>9486</v>
      </c>
      <c r="BE74">
        <v>9222</v>
      </c>
      <c r="BF74">
        <v>1768</v>
      </c>
      <c r="BG74">
        <v>20476</v>
      </c>
      <c r="BH74">
        <v>0</v>
      </c>
      <c r="BI74">
        <v>0</v>
      </c>
      <c r="BJ74">
        <v>0</v>
      </c>
      <c r="BK74">
        <v>0</v>
      </c>
      <c r="BL74" s="2">
        <v>24.82</v>
      </c>
      <c r="BM74" s="2">
        <v>42005.095138888886</v>
      </c>
      <c r="BN74" s="2">
        <v>5.4</v>
      </c>
      <c r="BO74" s="2">
        <v>42005.092361111114</v>
      </c>
      <c r="BP74" s="2">
        <v>6.92</v>
      </c>
      <c r="BQ74" s="2">
        <v>42005.092361111114</v>
      </c>
      <c r="BR74" s="2">
        <v>11.07</v>
      </c>
      <c r="BS74" s="2">
        <v>42005.092361111114</v>
      </c>
      <c r="BT74">
        <v>0</v>
      </c>
      <c r="BU74">
        <v>0</v>
      </c>
      <c r="BV74" t="s">
        <v>135</v>
      </c>
      <c r="BW74">
        <v>0</v>
      </c>
      <c r="BX74">
        <v>0</v>
      </c>
      <c r="BY74" t="s">
        <v>135</v>
      </c>
      <c r="BZ74">
        <v>0</v>
      </c>
      <c r="CA74">
        <v>0</v>
      </c>
      <c r="CB74" t="s">
        <v>135</v>
      </c>
      <c r="CH74" s="2"/>
      <c r="CJ74" s="2"/>
      <c r="CL74" s="2"/>
      <c r="CN74" s="2"/>
      <c r="CQ74" s="2"/>
      <c r="CT74" s="2"/>
      <c r="CW74" s="2"/>
    </row>
    <row r="75" spans="1:101" x14ac:dyDescent="0.25">
      <c r="A75" s="1" t="s">
        <v>163</v>
      </c>
      <c r="B75" s="75" t="s">
        <v>164</v>
      </c>
      <c r="C75">
        <v>0</v>
      </c>
      <c r="D75">
        <v>0</v>
      </c>
      <c r="E75">
        <v>0</v>
      </c>
      <c r="F75">
        <v>604324.56000000006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3.91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7490</v>
      </c>
      <c r="AW75">
        <v>3350</v>
      </c>
      <c r="AX75">
        <v>1219</v>
      </c>
      <c r="AY75">
        <v>12059</v>
      </c>
      <c r="AZ75">
        <v>4202</v>
      </c>
      <c r="BA75">
        <v>7438</v>
      </c>
      <c r="BB75">
        <v>1432</v>
      </c>
      <c r="BC75">
        <v>13072</v>
      </c>
      <c r="BD75">
        <v>9486</v>
      </c>
      <c r="BE75">
        <v>9222</v>
      </c>
      <c r="BF75">
        <v>1768</v>
      </c>
      <c r="BG75">
        <v>20476</v>
      </c>
      <c r="BH75">
        <v>0</v>
      </c>
      <c r="BI75">
        <v>0</v>
      </c>
      <c r="BJ75">
        <v>0</v>
      </c>
      <c r="BK75">
        <v>0</v>
      </c>
      <c r="BL75" s="2">
        <v>24.82</v>
      </c>
      <c r="BM75" s="2">
        <v>42005.095138888886</v>
      </c>
      <c r="BN75" s="2">
        <v>5.4</v>
      </c>
      <c r="BO75" s="2">
        <v>42005.092361111114</v>
      </c>
      <c r="BP75" s="2">
        <v>6.92</v>
      </c>
      <c r="BQ75" s="2">
        <v>42005.092361111114</v>
      </c>
      <c r="BR75" s="2">
        <v>11.07</v>
      </c>
      <c r="BS75" s="2">
        <v>42005.092361111114</v>
      </c>
      <c r="BT75">
        <v>0</v>
      </c>
      <c r="BU75">
        <v>0</v>
      </c>
      <c r="BV75" t="s">
        <v>135</v>
      </c>
      <c r="BW75">
        <v>0</v>
      </c>
      <c r="BX75">
        <v>0</v>
      </c>
      <c r="BY75" t="s">
        <v>135</v>
      </c>
      <c r="BZ75">
        <v>0</v>
      </c>
      <c r="CA75">
        <v>0</v>
      </c>
      <c r="CB75" t="s">
        <v>135</v>
      </c>
      <c r="CH75" s="2"/>
      <c r="CJ75" s="2"/>
      <c r="CL75" s="2"/>
      <c r="CN75" s="2"/>
      <c r="CQ75" s="2"/>
      <c r="CT75" s="2"/>
      <c r="CW75" s="2"/>
    </row>
    <row r="76" spans="1:101" x14ac:dyDescent="0.25">
      <c r="A76" s="1" t="s">
        <v>163</v>
      </c>
      <c r="B76" s="75" t="s">
        <v>164</v>
      </c>
      <c r="C76">
        <v>0</v>
      </c>
      <c r="D76">
        <v>0</v>
      </c>
      <c r="E76">
        <v>0</v>
      </c>
      <c r="F76">
        <v>604324.56000000006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3.91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7490</v>
      </c>
      <c r="AW76">
        <v>3350</v>
      </c>
      <c r="AX76">
        <v>1219</v>
      </c>
      <c r="AY76">
        <v>12059</v>
      </c>
      <c r="AZ76">
        <v>4202</v>
      </c>
      <c r="BA76">
        <v>7438</v>
      </c>
      <c r="BB76">
        <v>1432</v>
      </c>
      <c r="BC76">
        <v>13072</v>
      </c>
      <c r="BD76">
        <v>9486</v>
      </c>
      <c r="BE76">
        <v>9222</v>
      </c>
      <c r="BF76">
        <v>1768</v>
      </c>
      <c r="BG76">
        <v>20476</v>
      </c>
      <c r="BH76">
        <v>0</v>
      </c>
      <c r="BI76">
        <v>0</v>
      </c>
      <c r="BJ76">
        <v>0</v>
      </c>
      <c r="BK76">
        <v>0</v>
      </c>
      <c r="BL76" s="2">
        <v>24.82</v>
      </c>
      <c r="BM76" s="2">
        <v>42005.095138888886</v>
      </c>
      <c r="BN76" s="2">
        <v>5.4</v>
      </c>
      <c r="BO76" s="2">
        <v>42005.092361111114</v>
      </c>
      <c r="BP76" s="2">
        <v>6.92</v>
      </c>
      <c r="BQ76" s="2">
        <v>42005.092361111114</v>
      </c>
      <c r="BR76" s="2">
        <v>11.07</v>
      </c>
      <c r="BS76" s="2">
        <v>42005.092361111114</v>
      </c>
      <c r="BT76">
        <v>0</v>
      </c>
      <c r="BU76">
        <v>0</v>
      </c>
      <c r="BV76" t="s">
        <v>135</v>
      </c>
      <c r="BW76">
        <v>0</v>
      </c>
      <c r="BX76">
        <v>0</v>
      </c>
      <c r="BY76" t="s">
        <v>135</v>
      </c>
      <c r="BZ76">
        <v>0</v>
      </c>
      <c r="CA76">
        <v>0</v>
      </c>
      <c r="CB76" t="s">
        <v>135</v>
      </c>
      <c r="CH76" s="2"/>
      <c r="CJ76" s="2"/>
      <c r="CL76" s="2"/>
      <c r="CN76" s="2"/>
      <c r="CQ76" s="2"/>
      <c r="CT76" s="2"/>
      <c r="CW76" s="2"/>
    </row>
    <row r="77" spans="1:101" x14ac:dyDescent="0.25">
      <c r="A77" s="1" t="s">
        <v>163</v>
      </c>
      <c r="B77" s="75" t="s">
        <v>164</v>
      </c>
      <c r="C77">
        <v>0</v>
      </c>
      <c r="D77">
        <v>0</v>
      </c>
      <c r="E77">
        <v>0</v>
      </c>
      <c r="F77">
        <v>604324.56000000006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3.91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7490</v>
      </c>
      <c r="AW77">
        <v>3350</v>
      </c>
      <c r="AX77">
        <v>1219</v>
      </c>
      <c r="AY77">
        <v>12059</v>
      </c>
      <c r="AZ77">
        <v>4202</v>
      </c>
      <c r="BA77">
        <v>7438</v>
      </c>
      <c r="BB77">
        <v>1432</v>
      </c>
      <c r="BC77">
        <v>13072</v>
      </c>
      <c r="BD77">
        <v>9486</v>
      </c>
      <c r="BE77">
        <v>9222</v>
      </c>
      <c r="BF77">
        <v>1768</v>
      </c>
      <c r="BG77">
        <v>20476</v>
      </c>
      <c r="BH77">
        <v>0</v>
      </c>
      <c r="BI77">
        <v>0</v>
      </c>
      <c r="BJ77">
        <v>0</v>
      </c>
      <c r="BK77">
        <v>0</v>
      </c>
      <c r="BL77" s="2">
        <v>24.82</v>
      </c>
      <c r="BM77" s="2">
        <v>42005.095138888886</v>
      </c>
      <c r="BN77" s="2">
        <v>5.4</v>
      </c>
      <c r="BO77" s="2">
        <v>42005.092361111114</v>
      </c>
      <c r="BP77" s="2">
        <v>6.92</v>
      </c>
      <c r="BQ77" s="2">
        <v>42005.092361111114</v>
      </c>
      <c r="BR77" s="2">
        <v>11.07</v>
      </c>
      <c r="BS77" s="2">
        <v>42005.092361111114</v>
      </c>
      <c r="BT77">
        <v>0</v>
      </c>
      <c r="BU77">
        <v>0</v>
      </c>
      <c r="BV77" t="s">
        <v>135</v>
      </c>
      <c r="BW77">
        <v>0</v>
      </c>
      <c r="BX77">
        <v>0</v>
      </c>
      <c r="BY77" t="s">
        <v>135</v>
      </c>
      <c r="BZ77">
        <v>0</v>
      </c>
      <c r="CA77">
        <v>0</v>
      </c>
      <c r="CB77" t="s">
        <v>135</v>
      </c>
      <c r="CH77" s="2"/>
      <c r="CJ77" s="2"/>
      <c r="CL77" s="2"/>
      <c r="CN77" s="2"/>
      <c r="CQ77" s="2"/>
      <c r="CT77" s="2"/>
      <c r="CW77" s="2"/>
    </row>
    <row r="78" spans="1:101" x14ac:dyDescent="0.25">
      <c r="A78" s="1" t="s">
        <v>163</v>
      </c>
      <c r="B78" s="75" t="s">
        <v>164</v>
      </c>
      <c r="C78">
        <v>0</v>
      </c>
      <c r="D78">
        <v>0</v>
      </c>
      <c r="E78">
        <v>0</v>
      </c>
      <c r="F78">
        <v>604324.56000000006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3.91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7490</v>
      </c>
      <c r="AW78">
        <v>3350</v>
      </c>
      <c r="AX78">
        <v>1219</v>
      </c>
      <c r="AY78">
        <v>12059</v>
      </c>
      <c r="AZ78">
        <v>4202</v>
      </c>
      <c r="BA78">
        <v>7438</v>
      </c>
      <c r="BB78">
        <v>1432</v>
      </c>
      <c r="BC78">
        <v>13072</v>
      </c>
      <c r="BD78">
        <v>9486</v>
      </c>
      <c r="BE78">
        <v>9222</v>
      </c>
      <c r="BF78">
        <v>1768</v>
      </c>
      <c r="BG78">
        <v>20476</v>
      </c>
      <c r="BH78">
        <v>0</v>
      </c>
      <c r="BI78">
        <v>0</v>
      </c>
      <c r="BJ78">
        <v>0</v>
      </c>
      <c r="BK78">
        <v>0</v>
      </c>
      <c r="BL78" s="2">
        <v>24.82</v>
      </c>
      <c r="BM78" s="2">
        <v>42005.095138888886</v>
      </c>
      <c r="BN78" s="2">
        <v>5.4</v>
      </c>
      <c r="BO78" s="2">
        <v>42005.092361111114</v>
      </c>
      <c r="BP78" s="2">
        <v>6.92</v>
      </c>
      <c r="BQ78" s="2">
        <v>42005.092361111114</v>
      </c>
      <c r="BR78" s="2">
        <v>11.07</v>
      </c>
      <c r="BS78" s="2">
        <v>42005.092361111114</v>
      </c>
      <c r="BT78">
        <v>0</v>
      </c>
      <c r="BU78">
        <v>0</v>
      </c>
      <c r="BV78" t="s">
        <v>135</v>
      </c>
      <c r="BW78">
        <v>0</v>
      </c>
      <c r="BX78">
        <v>0</v>
      </c>
      <c r="BY78" t="s">
        <v>135</v>
      </c>
      <c r="BZ78">
        <v>0</v>
      </c>
      <c r="CA78">
        <v>0</v>
      </c>
      <c r="CB78" t="s">
        <v>135</v>
      </c>
      <c r="CH78" s="2"/>
      <c r="CJ78" s="2"/>
      <c r="CL78" s="2"/>
      <c r="CN78" s="2"/>
      <c r="CQ78" s="2"/>
      <c r="CT78" s="2"/>
      <c r="CW78" s="2"/>
    </row>
    <row r="79" spans="1:101" x14ac:dyDescent="0.25">
      <c r="A79" s="1" t="s">
        <v>163</v>
      </c>
      <c r="B79" s="75" t="s">
        <v>164</v>
      </c>
      <c r="C79">
        <v>0</v>
      </c>
      <c r="D79">
        <v>0</v>
      </c>
      <c r="E79">
        <v>0</v>
      </c>
      <c r="F79">
        <v>604324.56000000006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3.91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7490</v>
      </c>
      <c r="AW79">
        <v>3350</v>
      </c>
      <c r="AX79">
        <v>1219</v>
      </c>
      <c r="AY79">
        <v>12059</v>
      </c>
      <c r="AZ79">
        <v>4202</v>
      </c>
      <c r="BA79">
        <v>7438</v>
      </c>
      <c r="BB79">
        <v>1432</v>
      </c>
      <c r="BC79">
        <v>13072</v>
      </c>
      <c r="BD79">
        <v>9486</v>
      </c>
      <c r="BE79">
        <v>9222</v>
      </c>
      <c r="BF79">
        <v>1768</v>
      </c>
      <c r="BG79">
        <v>20476</v>
      </c>
      <c r="BH79">
        <v>0</v>
      </c>
      <c r="BI79">
        <v>0</v>
      </c>
      <c r="BJ79">
        <v>0</v>
      </c>
      <c r="BK79">
        <v>0</v>
      </c>
      <c r="BL79" s="2">
        <v>24.82</v>
      </c>
      <c r="BM79" s="2">
        <v>42005.095138888886</v>
      </c>
      <c r="BN79" s="2">
        <v>5.4</v>
      </c>
      <c r="BO79" s="2">
        <v>42005.092361111114</v>
      </c>
      <c r="BP79" s="2">
        <v>6.92</v>
      </c>
      <c r="BQ79" s="2">
        <v>42005.092361111114</v>
      </c>
      <c r="BR79" s="2">
        <v>11.07</v>
      </c>
      <c r="BS79" s="2">
        <v>42005.092361111114</v>
      </c>
      <c r="BT79">
        <v>0</v>
      </c>
      <c r="BU79">
        <v>0</v>
      </c>
      <c r="BV79" t="s">
        <v>135</v>
      </c>
      <c r="BW79">
        <v>0</v>
      </c>
      <c r="BX79">
        <v>0</v>
      </c>
      <c r="BY79" t="s">
        <v>135</v>
      </c>
      <c r="BZ79">
        <v>0</v>
      </c>
      <c r="CA79">
        <v>0</v>
      </c>
      <c r="CB79" t="s">
        <v>135</v>
      </c>
      <c r="CH79" s="2"/>
      <c r="CJ79" s="2"/>
      <c r="CL79" s="2"/>
      <c r="CN79" s="2"/>
      <c r="CQ79" s="2"/>
      <c r="CT79" s="2"/>
      <c r="CW79" s="2"/>
    </row>
    <row r="80" spans="1:101" x14ac:dyDescent="0.25">
      <c r="A80" s="1" t="s">
        <v>163</v>
      </c>
      <c r="B80" s="75" t="s">
        <v>164</v>
      </c>
      <c r="C80">
        <v>0</v>
      </c>
      <c r="D80">
        <v>0</v>
      </c>
      <c r="E80">
        <v>0</v>
      </c>
      <c r="F80">
        <v>604324.56000000006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3.91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7490</v>
      </c>
      <c r="AW80">
        <v>3350</v>
      </c>
      <c r="AX80">
        <v>1219</v>
      </c>
      <c r="AY80">
        <v>12059</v>
      </c>
      <c r="AZ80">
        <v>4202</v>
      </c>
      <c r="BA80">
        <v>7438</v>
      </c>
      <c r="BB80">
        <v>1432</v>
      </c>
      <c r="BC80">
        <v>13072</v>
      </c>
      <c r="BD80">
        <v>9486</v>
      </c>
      <c r="BE80">
        <v>9222</v>
      </c>
      <c r="BF80">
        <v>1768</v>
      </c>
      <c r="BG80">
        <v>20476</v>
      </c>
      <c r="BH80">
        <v>0</v>
      </c>
      <c r="BI80">
        <v>0</v>
      </c>
      <c r="BJ80">
        <v>0</v>
      </c>
      <c r="BK80">
        <v>0</v>
      </c>
      <c r="BL80" s="2">
        <v>24.82</v>
      </c>
      <c r="BM80" s="2">
        <v>42005.095138888886</v>
      </c>
      <c r="BN80" s="2">
        <v>5.4</v>
      </c>
      <c r="BO80" s="2">
        <v>42005.092361111114</v>
      </c>
      <c r="BP80" s="2">
        <v>6.92</v>
      </c>
      <c r="BQ80" s="2">
        <v>42005.092361111114</v>
      </c>
      <c r="BR80" s="2">
        <v>11.07</v>
      </c>
      <c r="BS80" s="2">
        <v>42005.092361111114</v>
      </c>
      <c r="BT80">
        <v>0</v>
      </c>
      <c r="BU80">
        <v>0</v>
      </c>
      <c r="BV80" t="s">
        <v>135</v>
      </c>
      <c r="BW80">
        <v>0</v>
      </c>
      <c r="BX80">
        <v>0</v>
      </c>
      <c r="BY80" t="s">
        <v>135</v>
      </c>
      <c r="BZ80">
        <v>0</v>
      </c>
      <c r="CA80">
        <v>0</v>
      </c>
      <c r="CB80" t="s">
        <v>135</v>
      </c>
      <c r="CH80" s="2"/>
      <c r="CJ80" s="2"/>
      <c r="CL80" s="2"/>
      <c r="CN80" s="2"/>
      <c r="CQ80" s="2"/>
      <c r="CT80" s="2"/>
      <c r="CW80" s="2"/>
    </row>
    <row r="81" spans="1:101" x14ac:dyDescent="0.25">
      <c r="A81" s="1" t="s">
        <v>163</v>
      </c>
      <c r="B81" s="75" t="s">
        <v>164</v>
      </c>
      <c r="C81">
        <v>0</v>
      </c>
      <c r="D81">
        <v>0</v>
      </c>
      <c r="E81">
        <v>0</v>
      </c>
      <c r="F81">
        <v>604324.56000000006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3.91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7490</v>
      </c>
      <c r="AW81">
        <v>3350</v>
      </c>
      <c r="AX81">
        <v>1219</v>
      </c>
      <c r="AY81">
        <v>12059</v>
      </c>
      <c r="AZ81">
        <v>4202</v>
      </c>
      <c r="BA81">
        <v>7438</v>
      </c>
      <c r="BB81">
        <v>1432</v>
      </c>
      <c r="BC81">
        <v>13072</v>
      </c>
      <c r="BD81">
        <v>9486</v>
      </c>
      <c r="BE81">
        <v>9222</v>
      </c>
      <c r="BF81">
        <v>1768</v>
      </c>
      <c r="BG81">
        <v>20476</v>
      </c>
      <c r="BH81">
        <v>0</v>
      </c>
      <c r="BI81">
        <v>0</v>
      </c>
      <c r="BJ81">
        <v>0</v>
      </c>
      <c r="BK81">
        <v>0</v>
      </c>
      <c r="BL81" s="2">
        <v>24.82</v>
      </c>
      <c r="BM81" s="2">
        <v>42005.095138888886</v>
      </c>
      <c r="BN81" s="2">
        <v>5.4</v>
      </c>
      <c r="BO81" s="2">
        <v>42005.092361111114</v>
      </c>
      <c r="BP81" s="2">
        <v>6.92</v>
      </c>
      <c r="BQ81" s="2">
        <v>42005.092361111114</v>
      </c>
      <c r="BR81" s="2">
        <v>11.07</v>
      </c>
      <c r="BS81" s="2">
        <v>42005.092361111114</v>
      </c>
      <c r="BT81">
        <v>0</v>
      </c>
      <c r="BU81">
        <v>0</v>
      </c>
      <c r="BV81" t="s">
        <v>135</v>
      </c>
      <c r="BW81">
        <v>0</v>
      </c>
      <c r="BX81">
        <v>0</v>
      </c>
      <c r="BY81" t="s">
        <v>135</v>
      </c>
      <c r="BZ81">
        <v>0</v>
      </c>
      <c r="CA81">
        <v>0</v>
      </c>
      <c r="CB81" t="s">
        <v>135</v>
      </c>
      <c r="CH81" s="2"/>
      <c r="CJ81" s="2"/>
      <c r="CL81" s="2"/>
      <c r="CN81" s="2"/>
      <c r="CQ81" s="2"/>
      <c r="CT81" s="2"/>
      <c r="CW81" s="2"/>
    </row>
    <row r="82" spans="1:101" x14ac:dyDescent="0.25">
      <c r="A82" s="1" t="s">
        <v>163</v>
      </c>
      <c r="B82" s="75" t="s">
        <v>164</v>
      </c>
      <c r="C82">
        <v>0</v>
      </c>
      <c r="D82">
        <v>0</v>
      </c>
      <c r="E82">
        <v>0</v>
      </c>
      <c r="F82">
        <v>604324.56000000006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3.91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7490</v>
      </c>
      <c r="AW82">
        <v>3350</v>
      </c>
      <c r="AX82">
        <v>1219</v>
      </c>
      <c r="AY82">
        <v>12059</v>
      </c>
      <c r="AZ82">
        <v>4202</v>
      </c>
      <c r="BA82">
        <v>7438</v>
      </c>
      <c r="BB82">
        <v>1432</v>
      </c>
      <c r="BC82">
        <v>13072</v>
      </c>
      <c r="BD82">
        <v>9486</v>
      </c>
      <c r="BE82">
        <v>9222</v>
      </c>
      <c r="BF82">
        <v>1768</v>
      </c>
      <c r="BG82">
        <v>20476</v>
      </c>
      <c r="BH82">
        <v>0</v>
      </c>
      <c r="BI82">
        <v>0</v>
      </c>
      <c r="BJ82">
        <v>0</v>
      </c>
      <c r="BK82">
        <v>0</v>
      </c>
      <c r="BL82" s="2">
        <v>24.82</v>
      </c>
      <c r="BM82" s="2">
        <v>42005.095138888886</v>
      </c>
      <c r="BN82" s="2">
        <v>5.4</v>
      </c>
      <c r="BO82" s="2">
        <v>42005.092361111114</v>
      </c>
      <c r="BP82" s="2">
        <v>6.92</v>
      </c>
      <c r="BQ82" s="2">
        <v>42005.092361111114</v>
      </c>
      <c r="BR82" s="2">
        <v>11.07</v>
      </c>
      <c r="BS82" s="2">
        <v>42005.092361111114</v>
      </c>
      <c r="BT82">
        <v>0</v>
      </c>
      <c r="BU82">
        <v>0</v>
      </c>
      <c r="BV82" t="s">
        <v>135</v>
      </c>
      <c r="BW82">
        <v>0</v>
      </c>
      <c r="BX82">
        <v>0</v>
      </c>
      <c r="BY82" t="s">
        <v>135</v>
      </c>
      <c r="BZ82">
        <v>0</v>
      </c>
      <c r="CA82">
        <v>0</v>
      </c>
      <c r="CB82" t="s">
        <v>135</v>
      </c>
      <c r="CH82" s="2"/>
      <c r="CJ82" s="2"/>
      <c r="CL82" s="2"/>
      <c r="CN82" s="2"/>
      <c r="CQ82" s="2"/>
      <c r="CT82" s="2"/>
      <c r="CW82" s="2"/>
    </row>
    <row r="83" spans="1:101" x14ac:dyDescent="0.25">
      <c r="A83" s="1" t="s">
        <v>163</v>
      </c>
      <c r="B83" s="75" t="s">
        <v>164</v>
      </c>
      <c r="C83">
        <v>0</v>
      </c>
      <c r="D83">
        <v>0</v>
      </c>
      <c r="E83">
        <v>0</v>
      </c>
      <c r="F83">
        <v>604324.56000000006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3.91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7490</v>
      </c>
      <c r="AW83">
        <v>3350</v>
      </c>
      <c r="AX83">
        <v>1219</v>
      </c>
      <c r="AY83">
        <v>12059</v>
      </c>
      <c r="AZ83">
        <v>4202</v>
      </c>
      <c r="BA83">
        <v>7438</v>
      </c>
      <c r="BB83">
        <v>1432</v>
      </c>
      <c r="BC83">
        <v>13072</v>
      </c>
      <c r="BD83">
        <v>9486</v>
      </c>
      <c r="BE83">
        <v>9222</v>
      </c>
      <c r="BF83">
        <v>1768</v>
      </c>
      <c r="BG83">
        <v>20476</v>
      </c>
      <c r="BH83">
        <v>0</v>
      </c>
      <c r="BI83">
        <v>0</v>
      </c>
      <c r="BJ83">
        <v>0</v>
      </c>
      <c r="BK83">
        <v>0</v>
      </c>
      <c r="BL83" s="2">
        <v>24.82</v>
      </c>
      <c r="BM83" s="2">
        <v>42005.095138888886</v>
      </c>
      <c r="BN83" s="2">
        <v>5.4</v>
      </c>
      <c r="BO83" s="2">
        <v>42005.092361111114</v>
      </c>
      <c r="BP83" s="2">
        <v>6.92</v>
      </c>
      <c r="BQ83" s="2">
        <v>42005.092361111114</v>
      </c>
      <c r="BR83" s="2">
        <v>11.07</v>
      </c>
      <c r="BS83" s="2">
        <v>42005.092361111114</v>
      </c>
      <c r="BT83">
        <v>0</v>
      </c>
      <c r="BU83">
        <v>0</v>
      </c>
      <c r="BV83" t="s">
        <v>135</v>
      </c>
      <c r="BW83">
        <v>0</v>
      </c>
      <c r="BX83">
        <v>0</v>
      </c>
      <c r="BY83" t="s">
        <v>135</v>
      </c>
      <c r="BZ83">
        <v>0</v>
      </c>
      <c r="CA83">
        <v>0</v>
      </c>
      <c r="CB83" t="s">
        <v>135</v>
      </c>
      <c r="CH83" s="2"/>
      <c r="CJ83" s="2"/>
      <c r="CL83" s="2"/>
      <c r="CN83" s="2"/>
      <c r="CQ83" s="2"/>
      <c r="CT83" s="2"/>
      <c r="CW83" s="2"/>
    </row>
    <row r="84" spans="1:101" x14ac:dyDescent="0.25">
      <c r="A84" s="1" t="s">
        <v>163</v>
      </c>
      <c r="B84" s="75" t="s">
        <v>164</v>
      </c>
      <c r="C84">
        <v>0</v>
      </c>
      <c r="D84">
        <v>0</v>
      </c>
      <c r="E84">
        <v>0</v>
      </c>
      <c r="F84">
        <v>604324.56000000006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3.91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7490</v>
      </c>
      <c r="AW84">
        <v>3350</v>
      </c>
      <c r="AX84">
        <v>1219</v>
      </c>
      <c r="AY84">
        <v>12059</v>
      </c>
      <c r="AZ84">
        <v>4202</v>
      </c>
      <c r="BA84">
        <v>7438</v>
      </c>
      <c r="BB84">
        <v>1432</v>
      </c>
      <c r="BC84">
        <v>13072</v>
      </c>
      <c r="BD84">
        <v>9486</v>
      </c>
      <c r="BE84">
        <v>9222</v>
      </c>
      <c r="BF84">
        <v>1768</v>
      </c>
      <c r="BG84">
        <v>20476</v>
      </c>
      <c r="BH84">
        <v>0</v>
      </c>
      <c r="BI84">
        <v>0</v>
      </c>
      <c r="BJ84">
        <v>0</v>
      </c>
      <c r="BK84">
        <v>0</v>
      </c>
      <c r="BL84" s="2">
        <v>24.82</v>
      </c>
      <c r="BM84" s="2">
        <v>42005.095138888886</v>
      </c>
      <c r="BN84" s="2">
        <v>5.4</v>
      </c>
      <c r="BO84" s="2">
        <v>42005.092361111114</v>
      </c>
      <c r="BP84" s="2">
        <v>6.92</v>
      </c>
      <c r="BQ84" s="2">
        <v>42005.092361111114</v>
      </c>
      <c r="BR84" s="2">
        <v>11.07</v>
      </c>
      <c r="BS84" s="2">
        <v>42005.092361111114</v>
      </c>
      <c r="BT84">
        <v>0</v>
      </c>
      <c r="BU84">
        <v>0</v>
      </c>
      <c r="BV84" t="s">
        <v>135</v>
      </c>
      <c r="BW84">
        <v>0</v>
      </c>
      <c r="BX84">
        <v>0</v>
      </c>
      <c r="BY84" t="s">
        <v>135</v>
      </c>
      <c r="BZ84">
        <v>0</v>
      </c>
      <c r="CA84">
        <v>0</v>
      </c>
      <c r="CB84" t="s">
        <v>135</v>
      </c>
      <c r="CH84" s="2"/>
      <c r="CJ84" s="2"/>
      <c r="CL84" s="2"/>
      <c r="CN84" s="2"/>
      <c r="CQ84" s="2"/>
      <c r="CT84" s="2"/>
      <c r="CW84" s="2"/>
    </row>
    <row r="85" spans="1:101" x14ac:dyDescent="0.25">
      <c r="A85" s="1" t="s">
        <v>163</v>
      </c>
      <c r="B85" s="75" t="s">
        <v>164</v>
      </c>
      <c r="C85">
        <v>0</v>
      </c>
      <c r="D85">
        <v>0</v>
      </c>
      <c r="E85">
        <v>0</v>
      </c>
      <c r="F85">
        <v>604324.56000000006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3.91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7490</v>
      </c>
      <c r="AW85">
        <v>3350</v>
      </c>
      <c r="AX85">
        <v>1219</v>
      </c>
      <c r="AY85">
        <v>12059</v>
      </c>
      <c r="AZ85">
        <v>4202</v>
      </c>
      <c r="BA85">
        <v>7438</v>
      </c>
      <c r="BB85">
        <v>1432</v>
      </c>
      <c r="BC85">
        <v>13072</v>
      </c>
      <c r="BD85">
        <v>9486</v>
      </c>
      <c r="BE85">
        <v>9222</v>
      </c>
      <c r="BF85">
        <v>1768</v>
      </c>
      <c r="BG85">
        <v>20476</v>
      </c>
      <c r="BH85">
        <v>0</v>
      </c>
      <c r="BI85">
        <v>0</v>
      </c>
      <c r="BJ85">
        <v>0</v>
      </c>
      <c r="BK85">
        <v>0</v>
      </c>
      <c r="BL85" s="2">
        <v>24.82</v>
      </c>
      <c r="BM85" s="2">
        <v>42005.095138888886</v>
      </c>
      <c r="BN85" s="2">
        <v>5.4</v>
      </c>
      <c r="BO85" s="2">
        <v>42005.092361111114</v>
      </c>
      <c r="BP85" s="2">
        <v>6.92</v>
      </c>
      <c r="BQ85" s="2">
        <v>42005.092361111114</v>
      </c>
      <c r="BR85" s="2">
        <v>11.07</v>
      </c>
      <c r="BS85" s="2">
        <v>42005.092361111114</v>
      </c>
      <c r="BT85">
        <v>0</v>
      </c>
      <c r="BU85">
        <v>0</v>
      </c>
      <c r="BV85" t="s">
        <v>135</v>
      </c>
      <c r="BW85">
        <v>0</v>
      </c>
      <c r="BX85">
        <v>0</v>
      </c>
      <c r="BY85" t="s">
        <v>135</v>
      </c>
      <c r="BZ85">
        <v>0</v>
      </c>
      <c r="CA85">
        <v>0</v>
      </c>
      <c r="CB85" t="s">
        <v>135</v>
      </c>
      <c r="CH85" s="2"/>
      <c r="CJ85" s="2"/>
      <c r="CL85" s="2"/>
      <c r="CN85" s="2"/>
      <c r="CQ85" s="2"/>
      <c r="CT85" s="2"/>
      <c r="CW85" s="2"/>
    </row>
    <row r="86" spans="1:101" x14ac:dyDescent="0.25">
      <c r="A86" s="1" t="s">
        <v>163</v>
      </c>
      <c r="B86" s="75" t="s">
        <v>164</v>
      </c>
      <c r="C86">
        <v>0</v>
      </c>
      <c r="D86">
        <v>0</v>
      </c>
      <c r="E86">
        <v>0</v>
      </c>
      <c r="F86">
        <v>604324.56000000006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3.91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7490</v>
      </c>
      <c r="AW86">
        <v>3350</v>
      </c>
      <c r="AX86">
        <v>1219</v>
      </c>
      <c r="AY86">
        <v>12059</v>
      </c>
      <c r="AZ86">
        <v>4202</v>
      </c>
      <c r="BA86">
        <v>7438</v>
      </c>
      <c r="BB86">
        <v>1432</v>
      </c>
      <c r="BC86">
        <v>13072</v>
      </c>
      <c r="BD86">
        <v>9486</v>
      </c>
      <c r="BE86">
        <v>9222</v>
      </c>
      <c r="BF86">
        <v>1768</v>
      </c>
      <c r="BG86">
        <v>20476</v>
      </c>
      <c r="BH86">
        <v>0</v>
      </c>
      <c r="BI86">
        <v>0</v>
      </c>
      <c r="BJ86">
        <v>0</v>
      </c>
      <c r="BK86">
        <v>0</v>
      </c>
      <c r="BL86" s="2">
        <v>24.82</v>
      </c>
      <c r="BM86" s="2">
        <v>42005.095138888886</v>
      </c>
      <c r="BN86" s="2">
        <v>5.4</v>
      </c>
      <c r="BO86" s="2">
        <v>42005.092361111114</v>
      </c>
      <c r="BP86" s="2">
        <v>6.92</v>
      </c>
      <c r="BQ86" s="2">
        <v>42005.092361111114</v>
      </c>
      <c r="BR86" s="2">
        <v>11.07</v>
      </c>
      <c r="BS86" s="2">
        <v>42005.092361111114</v>
      </c>
      <c r="BT86">
        <v>0</v>
      </c>
      <c r="BU86">
        <v>0</v>
      </c>
      <c r="BV86" t="s">
        <v>135</v>
      </c>
      <c r="BW86">
        <v>0</v>
      </c>
      <c r="BX86">
        <v>0</v>
      </c>
      <c r="BY86" t="s">
        <v>135</v>
      </c>
      <c r="BZ86">
        <v>0</v>
      </c>
      <c r="CA86">
        <v>0</v>
      </c>
      <c r="CB86" t="s">
        <v>135</v>
      </c>
      <c r="CH86" s="2"/>
      <c r="CJ86" s="2"/>
      <c r="CL86" s="2"/>
      <c r="CN86" s="2"/>
      <c r="CQ86" s="2"/>
      <c r="CT86" s="2"/>
      <c r="CW86" s="2"/>
    </row>
    <row r="87" spans="1:101" x14ac:dyDescent="0.25">
      <c r="A87" s="1" t="s">
        <v>163</v>
      </c>
      <c r="B87" s="75" t="s">
        <v>164</v>
      </c>
      <c r="C87">
        <v>0</v>
      </c>
      <c r="D87">
        <v>0</v>
      </c>
      <c r="E87">
        <v>0</v>
      </c>
      <c r="F87">
        <v>604324.56000000006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3.91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7490</v>
      </c>
      <c r="AW87">
        <v>3350</v>
      </c>
      <c r="AX87">
        <v>1219</v>
      </c>
      <c r="AY87">
        <v>12059</v>
      </c>
      <c r="AZ87">
        <v>4202</v>
      </c>
      <c r="BA87">
        <v>7438</v>
      </c>
      <c r="BB87">
        <v>1432</v>
      </c>
      <c r="BC87">
        <v>13072</v>
      </c>
      <c r="BD87">
        <v>9486</v>
      </c>
      <c r="BE87">
        <v>9222</v>
      </c>
      <c r="BF87">
        <v>1768</v>
      </c>
      <c r="BG87">
        <v>20476</v>
      </c>
      <c r="BH87">
        <v>0</v>
      </c>
      <c r="BI87">
        <v>0</v>
      </c>
      <c r="BJ87">
        <v>0</v>
      </c>
      <c r="BK87">
        <v>0</v>
      </c>
      <c r="BL87" s="2">
        <v>24.82</v>
      </c>
      <c r="BM87" s="2">
        <v>42005.095138888886</v>
      </c>
      <c r="BN87" s="2">
        <v>5.4</v>
      </c>
      <c r="BO87" s="2">
        <v>42005.092361111114</v>
      </c>
      <c r="BP87" s="2">
        <v>6.92</v>
      </c>
      <c r="BQ87" s="2">
        <v>42005.092361111114</v>
      </c>
      <c r="BR87" s="2">
        <v>11.07</v>
      </c>
      <c r="BS87" s="2">
        <v>42005.092361111114</v>
      </c>
      <c r="BT87">
        <v>0</v>
      </c>
      <c r="BU87">
        <v>0</v>
      </c>
      <c r="BV87" t="s">
        <v>135</v>
      </c>
      <c r="BW87">
        <v>0</v>
      </c>
      <c r="BX87">
        <v>0</v>
      </c>
      <c r="BY87" t="s">
        <v>135</v>
      </c>
      <c r="BZ87">
        <v>0</v>
      </c>
      <c r="CA87">
        <v>0</v>
      </c>
      <c r="CB87" t="s">
        <v>135</v>
      </c>
      <c r="CH87" s="2"/>
      <c r="CJ87" s="2"/>
      <c r="CL87" s="2"/>
      <c r="CN87" s="2"/>
      <c r="CQ87" s="2"/>
      <c r="CT87" s="2"/>
      <c r="CW87" s="2"/>
    </row>
    <row r="88" spans="1:101" x14ac:dyDescent="0.25">
      <c r="A88" s="1" t="s">
        <v>163</v>
      </c>
      <c r="B88" s="75" t="s">
        <v>164</v>
      </c>
      <c r="C88">
        <v>0</v>
      </c>
      <c r="D88">
        <v>0</v>
      </c>
      <c r="E88">
        <v>0</v>
      </c>
      <c r="F88">
        <v>604324.56000000006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3.91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7490</v>
      </c>
      <c r="AW88">
        <v>3350</v>
      </c>
      <c r="AX88">
        <v>1219</v>
      </c>
      <c r="AY88">
        <v>12059</v>
      </c>
      <c r="AZ88">
        <v>4202</v>
      </c>
      <c r="BA88">
        <v>7438</v>
      </c>
      <c r="BB88">
        <v>1432</v>
      </c>
      <c r="BC88">
        <v>13072</v>
      </c>
      <c r="BD88">
        <v>9486</v>
      </c>
      <c r="BE88">
        <v>9222</v>
      </c>
      <c r="BF88">
        <v>1768</v>
      </c>
      <c r="BG88">
        <v>20476</v>
      </c>
      <c r="BH88">
        <v>0</v>
      </c>
      <c r="BI88">
        <v>0</v>
      </c>
      <c r="BJ88">
        <v>0</v>
      </c>
      <c r="BK88">
        <v>0</v>
      </c>
      <c r="BL88" s="2">
        <v>24.82</v>
      </c>
      <c r="BM88" s="2">
        <v>42005.095138888886</v>
      </c>
      <c r="BN88" s="2">
        <v>5.4</v>
      </c>
      <c r="BO88" s="2">
        <v>42005.092361111114</v>
      </c>
      <c r="BP88" s="2">
        <v>6.92</v>
      </c>
      <c r="BQ88" s="2">
        <v>42005.092361111114</v>
      </c>
      <c r="BR88" s="2">
        <v>11.07</v>
      </c>
      <c r="BS88" s="2">
        <v>42005.092361111114</v>
      </c>
      <c r="BT88">
        <v>0</v>
      </c>
      <c r="BU88">
        <v>0</v>
      </c>
      <c r="BV88" t="s">
        <v>135</v>
      </c>
      <c r="BW88">
        <v>0</v>
      </c>
      <c r="BX88">
        <v>0</v>
      </c>
      <c r="BY88" t="s">
        <v>135</v>
      </c>
      <c r="BZ88">
        <v>0</v>
      </c>
      <c r="CA88">
        <v>0</v>
      </c>
      <c r="CB88" t="s">
        <v>135</v>
      </c>
      <c r="CH88" s="2"/>
      <c r="CJ88" s="2"/>
      <c r="CL88" s="2"/>
      <c r="CN88" s="2"/>
      <c r="CQ88" s="2"/>
      <c r="CT88" s="2"/>
      <c r="CW88" s="2"/>
    </row>
    <row r="89" spans="1:101" x14ac:dyDescent="0.25">
      <c r="A89" s="1" t="s">
        <v>163</v>
      </c>
      <c r="B89" s="75" t="s">
        <v>164</v>
      </c>
      <c r="C89">
        <v>0</v>
      </c>
      <c r="D89">
        <v>0</v>
      </c>
      <c r="E89">
        <v>0</v>
      </c>
      <c r="F89">
        <v>604324.56000000006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3.91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7490</v>
      </c>
      <c r="AW89">
        <v>3350</v>
      </c>
      <c r="AX89">
        <v>1219</v>
      </c>
      <c r="AY89">
        <v>12059</v>
      </c>
      <c r="AZ89">
        <v>4202</v>
      </c>
      <c r="BA89">
        <v>7438</v>
      </c>
      <c r="BB89">
        <v>1432</v>
      </c>
      <c r="BC89">
        <v>13072</v>
      </c>
      <c r="BD89">
        <v>9486</v>
      </c>
      <c r="BE89">
        <v>9222</v>
      </c>
      <c r="BF89">
        <v>1768</v>
      </c>
      <c r="BG89">
        <v>20476</v>
      </c>
      <c r="BH89">
        <v>0</v>
      </c>
      <c r="BI89">
        <v>0</v>
      </c>
      <c r="BJ89">
        <v>0</v>
      </c>
      <c r="BK89">
        <v>0</v>
      </c>
      <c r="BL89" s="2">
        <v>24.82</v>
      </c>
      <c r="BM89" s="2">
        <v>42005.095138888886</v>
      </c>
      <c r="BN89" s="2">
        <v>5.4</v>
      </c>
      <c r="BO89" s="2">
        <v>42005.092361111114</v>
      </c>
      <c r="BP89" s="2">
        <v>6.92</v>
      </c>
      <c r="BQ89" s="2">
        <v>42005.092361111114</v>
      </c>
      <c r="BR89" s="2">
        <v>11.07</v>
      </c>
      <c r="BS89" s="2">
        <v>42005.092361111114</v>
      </c>
      <c r="BT89">
        <v>0</v>
      </c>
      <c r="BU89">
        <v>0</v>
      </c>
      <c r="BV89" t="s">
        <v>135</v>
      </c>
      <c r="BW89">
        <v>0</v>
      </c>
      <c r="BX89">
        <v>0</v>
      </c>
      <c r="BY89" t="s">
        <v>135</v>
      </c>
      <c r="BZ89">
        <v>0</v>
      </c>
      <c r="CA89">
        <v>0</v>
      </c>
      <c r="CB89" t="s">
        <v>135</v>
      </c>
      <c r="CH89" s="2"/>
      <c r="CJ89" s="2"/>
      <c r="CL89" s="2"/>
      <c r="CN89" s="2"/>
      <c r="CQ89" s="2"/>
      <c r="CT89" s="2"/>
      <c r="CW89" s="2"/>
    </row>
    <row r="90" spans="1:101" x14ac:dyDescent="0.25">
      <c r="A90" s="1" t="s">
        <v>163</v>
      </c>
      <c r="B90" s="75" t="s">
        <v>164</v>
      </c>
      <c r="C90">
        <v>0</v>
      </c>
      <c r="D90">
        <v>0</v>
      </c>
      <c r="E90">
        <v>0</v>
      </c>
      <c r="F90">
        <v>604324.56000000006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3.91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7490</v>
      </c>
      <c r="AW90">
        <v>3350</v>
      </c>
      <c r="AX90">
        <v>1219</v>
      </c>
      <c r="AY90">
        <v>12059</v>
      </c>
      <c r="AZ90">
        <v>4202</v>
      </c>
      <c r="BA90">
        <v>7438</v>
      </c>
      <c r="BB90">
        <v>1432</v>
      </c>
      <c r="BC90">
        <v>13072</v>
      </c>
      <c r="BD90">
        <v>9486</v>
      </c>
      <c r="BE90">
        <v>9222</v>
      </c>
      <c r="BF90">
        <v>1768</v>
      </c>
      <c r="BG90">
        <v>20476</v>
      </c>
      <c r="BH90">
        <v>0</v>
      </c>
      <c r="BI90">
        <v>0</v>
      </c>
      <c r="BJ90">
        <v>0</v>
      </c>
      <c r="BK90">
        <v>0</v>
      </c>
      <c r="BL90" s="2">
        <v>24.82</v>
      </c>
      <c r="BM90" s="2">
        <v>42005.095138888886</v>
      </c>
      <c r="BN90" s="2">
        <v>5.4</v>
      </c>
      <c r="BO90" s="2">
        <v>42005.092361111114</v>
      </c>
      <c r="BP90" s="2">
        <v>6.92</v>
      </c>
      <c r="BQ90" s="2">
        <v>42005.092361111114</v>
      </c>
      <c r="BR90" s="2">
        <v>11.07</v>
      </c>
      <c r="BS90" s="2">
        <v>42005.092361111114</v>
      </c>
      <c r="BT90">
        <v>0</v>
      </c>
      <c r="BU90">
        <v>0</v>
      </c>
      <c r="BV90" t="s">
        <v>135</v>
      </c>
      <c r="BW90">
        <v>0</v>
      </c>
      <c r="BX90">
        <v>0</v>
      </c>
      <c r="BY90" t="s">
        <v>135</v>
      </c>
      <c r="BZ90">
        <v>0</v>
      </c>
      <c r="CA90">
        <v>0</v>
      </c>
      <c r="CB90" t="s">
        <v>135</v>
      </c>
      <c r="CH90" s="2"/>
      <c r="CJ90" s="2"/>
      <c r="CL90" s="2"/>
      <c r="CN90" s="2"/>
      <c r="CQ90" s="2"/>
      <c r="CT90" s="2"/>
      <c r="CW90" s="2"/>
    </row>
    <row r="91" spans="1:101" x14ac:dyDescent="0.25">
      <c r="A91" s="1" t="s">
        <v>163</v>
      </c>
      <c r="B91" s="75" t="s">
        <v>164</v>
      </c>
      <c r="C91">
        <v>0</v>
      </c>
      <c r="D91">
        <v>0</v>
      </c>
      <c r="E91">
        <v>0</v>
      </c>
      <c r="F91">
        <v>604324.56000000006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3.91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7490</v>
      </c>
      <c r="AW91">
        <v>3350</v>
      </c>
      <c r="AX91">
        <v>1219</v>
      </c>
      <c r="AY91">
        <v>12059</v>
      </c>
      <c r="AZ91">
        <v>4202</v>
      </c>
      <c r="BA91">
        <v>7438</v>
      </c>
      <c r="BB91">
        <v>1432</v>
      </c>
      <c r="BC91">
        <v>13072</v>
      </c>
      <c r="BD91">
        <v>9486</v>
      </c>
      <c r="BE91">
        <v>9222</v>
      </c>
      <c r="BF91">
        <v>1768</v>
      </c>
      <c r="BG91">
        <v>20476</v>
      </c>
      <c r="BH91">
        <v>0</v>
      </c>
      <c r="BI91">
        <v>0</v>
      </c>
      <c r="BJ91">
        <v>0</v>
      </c>
      <c r="BK91">
        <v>0</v>
      </c>
      <c r="BL91" s="2">
        <v>24.82</v>
      </c>
      <c r="BM91" s="2">
        <v>42005.095138888886</v>
      </c>
      <c r="BN91" s="2">
        <v>5.4</v>
      </c>
      <c r="BO91" s="2">
        <v>42005.092361111114</v>
      </c>
      <c r="BP91" s="2">
        <v>6.92</v>
      </c>
      <c r="BQ91" s="2">
        <v>42005.092361111114</v>
      </c>
      <c r="BR91" s="2">
        <v>11.07</v>
      </c>
      <c r="BS91" s="2">
        <v>42005.092361111114</v>
      </c>
      <c r="BT91">
        <v>0</v>
      </c>
      <c r="BU91">
        <v>0</v>
      </c>
      <c r="BV91" t="s">
        <v>135</v>
      </c>
      <c r="BW91">
        <v>0</v>
      </c>
      <c r="BX91">
        <v>0</v>
      </c>
      <c r="BY91" t="s">
        <v>135</v>
      </c>
      <c r="BZ91">
        <v>0</v>
      </c>
      <c r="CA91">
        <v>0</v>
      </c>
      <c r="CB91" t="s">
        <v>135</v>
      </c>
      <c r="CH91" s="2"/>
      <c r="CJ91" s="2"/>
      <c r="CL91" s="2"/>
      <c r="CN91" s="2"/>
      <c r="CQ91" s="2"/>
      <c r="CT91" s="2"/>
      <c r="CW91" s="2"/>
    </row>
    <row r="92" spans="1:101" x14ac:dyDescent="0.25">
      <c r="A92" s="1" t="s">
        <v>163</v>
      </c>
      <c r="B92" s="75" t="s">
        <v>164</v>
      </c>
      <c r="C92">
        <v>0</v>
      </c>
      <c r="D92">
        <v>0</v>
      </c>
      <c r="E92">
        <v>0</v>
      </c>
      <c r="F92">
        <v>604324.56000000006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3.91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7490</v>
      </c>
      <c r="AW92">
        <v>3350</v>
      </c>
      <c r="AX92">
        <v>1219</v>
      </c>
      <c r="AY92">
        <v>12059</v>
      </c>
      <c r="AZ92">
        <v>4202</v>
      </c>
      <c r="BA92">
        <v>7438</v>
      </c>
      <c r="BB92">
        <v>1432</v>
      </c>
      <c r="BC92">
        <v>13072</v>
      </c>
      <c r="BD92">
        <v>9486</v>
      </c>
      <c r="BE92">
        <v>9222</v>
      </c>
      <c r="BF92">
        <v>1768</v>
      </c>
      <c r="BG92">
        <v>20476</v>
      </c>
      <c r="BH92">
        <v>0</v>
      </c>
      <c r="BI92">
        <v>0</v>
      </c>
      <c r="BJ92">
        <v>0</v>
      </c>
      <c r="BK92">
        <v>0</v>
      </c>
      <c r="BL92" s="2">
        <v>24.82</v>
      </c>
      <c r="BM92" s="2">
        <v>42005.095138888886</v>
      </c>
      <c r="BN92" s="2">
        <v>5.4</v>
      </c>
      <c r="BO92" s="2">
        <v>42005.092361111114</v>
      </c>
      <c r="BP92" s="2">
        <v>6.92</v>
      </c>
      <c r="BQ92" s="2">
        <v>42005.092361111114</v>
      </c>
      <c r="BR92" s="2">
        <v>11.07</v>
      </c>
      <c r="BS92" s="2">
        <v>42005.092361111114</v>
      </c>
      <c r="BT92">
        <v>0</v>
      </c>
      <c r="BU92">
        <v>0</v>
      </c>
      <c r="BV92" t="s">
        <v>135</v>
      </c>
      <c r="BW92">
        <v>0</v>
      </c>
      <c r="BX92">
        <v>0</v>
      </c>
      <c r="BY92" t="s">
        <v>135</v>
      </c>
      <c r="BZ92">
        <v>0</v>
      </c>
      <c r="CA92">
        <v>0</v>
      </c>
      <c r="CB92" t="s">
        <v>135</v>
      </c>
      <c r="CH92" s="2"/>
      <c r="CJ92" s="2"/>
      <c r="CL92" s="2"/>
      <c r="CN92" s="2"/>
      <c r="CQ92" s="2"/>
      <c r="CT92" s="2"/>
      <c r="CW92" s="2"/>
    </row>
    <row r="93" spans="1:101" x14ac:dyDescent="0.25">
      <c r="A93" s="1" t="s">
        <v>163</v>
      </c>
      <c r="B93" s="75" t="s">
        <v>164</v>
      </c>
      <c r="C93">
        <v>0</v>
      </c>
      <c r="D93">
        <v>0</v>
      </c>
      <c r="E93">
        <v>0</v>
      </c>
      <c r="F93">
        <v>604324.56000000006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3.91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7490</v>
      </c>
      <c r="AW93">
        <v>3350</v>
      </c>
      <c r="AX93">
        <v>1219</v>
      </c>
      <c r="AY93">
        <v>12059</v>
      </c>
      <c r="AZ93">
        <v>4202</v>
      </c>
      <c r="BA93">
        <v>7438</v>
      </c>
      <c r="BB93">
        <v>1432</v>
      </c>
      <c r="BC93">
        <v>13072</v>
      </c>
      <c r="BD93">
        <v>9486</v>
      </c>
      <c r="BE93">
        <v>9222</v>
      </c>
      <c r="BF93">
        <v>1768</v>
      </c>
      <c r="BG93">
        <v>20476</v>
      </c>
      <c r="BH93">
        <v>0</v>
      </c>
      <c r="BI93">
        <v>0</v>
      </c>
      <c r="BJ93">
        <v>0</v>
      </c>
      <c r="BK93">
        <v>0</v>
      </c>
      <c r="BL93" s="2">
        <v>24.82</v>
      </c>
      <c r="BM93" s="2">
        <v>42005.095138888886</v>
      </c>
      <c r="BN93" s="2">
        <v>5.4</v>
      </c>
      <c r="BO93" s="2">
        <v>42005.092361111114</v>
      </c>
      <c r="BP93" s="2">
        <v>6.92</v>
      </c>
      <c r="BQ93" s="2">
        <v>42005.092361111114</v>
      </c>
      <c r="BR93" s="2">
        <v>11.07</v>
      </c>
      <c r="BS93" s="2">
        <v>42005.092361111114</v>
      </c>
      <c r="BT93">
        <v>0</v>
      </c>
      <c r="BU93">
        <v>0</v>
      </c>
      <c r="BV93" t="s">
        <v>135</v>
      </c>
      <c r="BW93">
        <v>0</v>
      </c>
      <c r="BX93">
        <v>0</v>
      </c>
      <c r="BY93" t="s">
        <v>135</v>
      </c>
      <c r="BZ93">
        <v>0</v>
      </c>
      <c r="CA93">
        <v>0</v>
      </c>
      <c r="CB93" t="s">
        <v>135</v>
      </c>
      <c r="CH93" s="2"/>
      <c r="CJ93" s="2"/>
      <c r="CL93" s="2"/>
      <c r="CN93" s="2"/>
      <c r="CQ93" s="2"/>
      <c r="CT93" s="2"/>
      <c r="CW93" s="2"/>
    </row>
    <row r="94" spans="1:101" x14ac:dyDescent="0.25">
      <c r="A94" s="1" t="s">
        <v>163</v>
      </c>
      <c r="B94" s="75" t="s">
        <v>164</v>
      </c>
      <c r="C94">
        <v>0</v>
      </c>
      <c r="D94">
        <v>0</v>
      </c>
      <c r="E94">
        <v>0</v>
      </c>
      <c r="F94">
        <v>604324.56000000006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3.91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7490</v>
      </c>
      <c r="AW94">
        <v>3350</v>
      </c>
      <c r="AX94">
        <v>1219</v>
      </c>
      <c r="AY94">
        <v>12059</v>
      </c>
      <c r="AZ94">
        <v>4202</v>
      </c>
      <c r="BA94">
        <v>7438</v>
      </c>
      <c r="BB94">
        <v>1432</v>
      </c>
      <c r="BC94">
        <v>13072</v>
      </c>
      <c r="BD94">
        <v>9486</v>
      </c>
      <c r="BE94">
        <v>9222</v>
      </c>
      <c r="BF94">
        <v>1768</v>
      </c>
      <c r="BG94">
        <v>20476</v>
      </c>
      <c r="BH94">
        <v>0</v>
      </c>
      <c r="BI94">
        <v>0</v>
      </c>
      <c r="BJ94">
        <v>0</v>
      </c>
      <c r="BK94">
        <v>0</v>
      </c>
      <c r="BL94" s="2">
        <v>24.82</v>
      </c>
      <c r="BM94" s="2">
        <v>42005.095138888886</v>
      </c>
      <c r="BN94" s="2">
        <v>5.4</v>
      </c>
      <c r="BO94" s="2">
        <v>42005.092361111114</v>
      </c>
      <c r="BP94" s="2">
        <v>6.92</v>
      </c>
      <c r="BQ94" s="2">
        <v>42005.092361111114</v>
      </c>
      <c r="BR94" s="2">
        <v>11.07</v>
      </c>
      <c r="BS94" s="2">
        <v>42005.092361111114</v>
      </c>
      <c r="BT94">
        <v>0</v>
      </c>
      <c r="BU94">
        <v>0</v>
      </c>
      <c r="BV94" t="s">
        <v>135</v>
      </c>
      <c r="BW94">
        <v>0</v>
      </c>
      <c r="BX94">
        <v>0</v>
      </c>
      <c r="BY94" t="s">
        <v>135</v>
      </c>
      <c r="BZ94">
        <v>0</v>
      </c>
      <c r="CA94">
        <v>0</v>
      </c>
      <c r="CB94" t="s">
        <v>135</v>
      </c>
      <c r="CH94" s="2"/>
      <c r="CJ94" s="2"/>
      <c r="CL94" s="2"/>
      <c r="CN94" s="2"/>
      <c r="CQ94" s="2"/>
      <c r="CT94" s="2"/>
      <c r="CW94" s="2"/>
    </row>
    <row r="95" spans="1:101" x14ac:dyDescent="0.25">
      <c r="A95" s="1" t="s">
        <v>163</v>
      </c>
      <c r="B95" s="75" t="s">
        <v>164</v>
      </c>
      <c r="C95">
        <v>0</v>
      </c>
      <c r="D95">
        <v>0</v>
      </c>
      <c r="E95">
        <v>0</v>
      </c>
      <c r="F95">
        <v>604324.56000000006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3.91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7490</v>
      </c>
      <c r="AW95">
        <v>3350</v>
      </c>
      <c r="AX95">
        <v>1219</v>
      </c>
      <c r="AY95">
        <v>12059</v>
      </c>
      <c r="AZ95">
        <v>4202</v>
      </c>
      <c r="BA95">
        <v>7438</v>
      </c>
      <c r="BB95">
        <v>1432</v>
      </c>
      <c r="BC95">
        <v>13072</v>
      </c>
      <c r="BD95">
        <v>9486</v>
      </c>
      <c r="BE95">
        <v>9222</v>
      </c>
      <c r="BF95">
        <v>1768</v>
      </c>
      <c r="BG95">
        <v>20476</v>
      </c>
      <c r="BH95">
        <v>0</v>
      </c>
      <c r="BI95">
        <v>0</v>
      </c>
      <c r="BJ95">
        <v>0</v>
      </c>
      <c r="BK95">
        <v>0</v>
      </c>
      <c r="BL95" s="2">
        <v>24.82</v>
      </c>
      <c r="BM95" s="2">
        <v>42005.095138888886</v>
      </c>
      <c r="BN95" s="2">
        <v>5.4</v>
      </c>
      <c r="BO95" s="2">
        <v>42005.092361111114</v>
      </c>
      <c r="BP95" s="2">
        <v>6.92</v>
      </c>
      <c r="BQ95" s="2">
        <v>42005.092361111114</v>
      </c>
      <c r="BR95" s="2">
        <v>11.07</v>
      </c>
      <c r="BS95" s="2">
        <v>42005.092361111114</v>
      </c>
      <c r="BT95">
        <v>0</v>
      </c>
      <c r="BU95">
        <v>0</v>
      </c>
      <c r="BV95" t="s">
        <v>135</v>
      </c>
      <c r="BW95">
        <v>0</v>
      </c>
      <c r="BX95">
        <v>0</v>
      </c>
      <c r="BY95" t="s">
        <v>135</v>
      </c>
      <c r="BZ95">
        <v>0</v>
      </c>
      <c r="CA95">
        <v>0</v>
      </c>
      <c r="CB95" t="s">
        <v>135</v>
      </c>
      <c r="CH95" s="2"/>
      <c r="CJ95" s="2"/>
      <c r="CL95" s="2"/>
      <c r="CN95" s="2"/>
      <c r="CQ95" s="2"/>
      <c r="CT95" s="2"/>
      <c r="CW95" s="2"/>
    </row>
    <row r="96" spans="1:101" x14ac:dyDescent="0.25">
      <c r="A96" s="1" t="s">
        <v>163</v>
      </c>
      <c r="B96" s="75" t="s">
        <v>164</v>
      </c>
      <c r="C96">
        <v>0</v>
      </c>
      <c r="D96">
        <v>0</v>
      </c>
      <c r="E96">
        <v>0</v>
      </c>
      <c r="F96">
        <v>604324.56000000006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3.91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7490</v>
      </c>
      <c r="AW96">
        <v>3350</v>
      </c>
      <c r="AX96">
        <v>1219</v>
      </c>
      <c r="AY96">
        <v>12059</v>
      </c>
      <c r="AZ96">
        <v>4202</v>
      </c>
      <c r="BA96">
        <v>7438</v>
      </c>
      <c r="BB96">
        <v>1432</v>
      </c>
      <c r="BC96">
        <v>13072</v>
      </c>
      <c r="BD96">
        <v>9486</v>
      </c>
      <c r="BE96">
        <v>9222</v>
      </c>
      <c r="BF96">
        <v>1768</v>
      </c>
      <c r="BG96">
        <v>20476</v>
      </c>
      <c r="BH96">
        <v>0</v>
      </c>
      <c r="BI96">
        <v>0</v>
      </c>
      <c r="BJ96">
        <v>0</v>
      </c>
      <c r="BK96">
        <v>0</v>
      </c>
      <c r="BL96" s="2">
        <v>24.82</v>
      </c>
      <c r="BM96" s="2">
        <v>42005.095138888886</v>
      </c>
      <c r="BN96" s="2">
        <v>5.4</v>
      </c>
      <c r="BO96" s="2">
        <v>42005.092361111114</v>
      </c>
      <c r="BP96" s="2">
        <v>6.92</v>
      </c>
      <c r="BQ96" s="2">
        <v>42005.092361111114</v>
      </c>
      <c r="BR96" s="2">
        <v>11.07</v>
      </c>
      <c r="BS96" s="2">
        <v>42005.092361111114</v>
      </c>
      <c r="BT96">
        <v>0</v>
      </c>
      <c r="BU96">
        <v>0</v>
      </c>
      <c r="BV96" t="s">
        <v>135</v>
      </c>
      <c r="BW96">
        <v>0</v>
      </c>
      <c r="BX96">
        <v>0</v>
      </c>
      <c r="BY96" t="s">
        <v>135</v>
      </c>
      <c r="BZ96">
        <v>0</v>
      </c>
      <c r="CA96">
        <v>0</v>
      </c>
      <c r="CB96" t="s">
        <v>135</v>
      </c>
      <c r="CH96" s="2"/>
      <c r="CJ96" s="2"/>
      <c r="CL96" s="2"/>
      <c r="CN96" s="2"/>
      <c r="CQ96" s="2"/>
      <c r="CT96" s="2"/>
      <c r="CW96" s="2"/>
    </row>
    <row r="97" spans="1:101" x14ac:dyDescent="0.25">
      <c r="A97" s="1" t="s">
        <v>163</v>
      </c>
      <c r="B97" s="75" t="s">
        <v>164</v>
      </c>
      <c r="C97">
        <v>0</v>
      </c>
      <c r="D97">
        <v>0</v>
      </c>
      <c r="E97">
        <v>0</v>
      </c>
      <c r="F97">
        <v>604324.56000000006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3.91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7490</v>
      </c>
      <c r="AW97">
        <v>3350</v>
      </c>
      <c r="AX97">
        <v>1219</v>
      </c>
      <c r="AY97">
        <v>12059</v>
      </c>
      <c r="AZ97">
        <v>4202</v>
      </c>
      <c r="BA97">
        <v>7438</v>
      </c>
      <c r="BB97">
        <v>1432</v>
      </c>
      <c r="BC97">
        <v>13072</v>
      </c>
      <c r="BD97">
        <v>9486</v>
      </c>
      <c r="BE97">
        <v>9222</v>
      </c>
      <c r="BF97">
        <v>1768</v>
      </c>
      <c r="BG97">
        <v>20476</v>
      </c>
      <c r="BH97">
        <v>0</v>
      </c>
      <c r="BI97">
        <v>0</v>
      </c>
      <c r="BJ97">
        <v>0</v>
      </c>
      <c r="BK97">
        <v>0</v>
      </c>
      <c r="BL97" s="2">
        <v>24.82</v>
      </c>
      <c r="BM97" s="2">
        <v>42005.095138888886</v>
      </c>
      <c r="BN97" s="2">
        <v>5.4</v>
      </c>
      <c r="BO97" s="2">
        <v>42005.092361111114</v>
      </c>
      <c r="BP97" s="2">
        <v>6.92</v>
      </c>
      <c r="BQ97" s="2">
        <v>42005.092361111114</v>
      </c>
      <c r="BR97" s="2">
        <v>11.07</v>
      </c>
      <c r="BS97" s="2">
        <v>42005.092361111114</v>
      </c>
      <c r="BT97">
        <v>0</v>
      </c>
      <c r="BU97">
        <v>0</v>
      </c>
      <c r="BV97" t="s">
        <v>135</v>
      </c>
      <c r="BW97">
        <v>0</v>
      </c>
      <c r="BX97">
        <v>0</v>
      </c>
      <c r="BY97" t="s">
        <v>135</v>
      </c>
      <c r="BZ97">
        <v>0</v>
      </c>
      <c r="CA97">
        <v>0</v>
      </c>
      <c r="CB97" t="s">
        <v>135</v>
      </c>
      <c r="CH97" s="2"/>
      <c r="CJ97" s="2"/>
      <c r="CL97" s="2"/>
      <c r="CN97" s="2"/>
      <c r="CQ97" s="2"/>
      <c r="CT97" s="2"/>
      <c r="CW97" s="2"/>
    </row>
    <row r="98" spans="1:101" x14ac:dyDescent="0.25">
      <c r="A98" s="1" t="s">
        <v>163</v>
      </c>
      <c r="B98" s="75" t="s">
        <v>164</v>
      </c>
      <c r="C98">
        <v>0</v>
      </c>
      <c r="D98">
        <v>0</v>
      </c>
      <c r="E98">
        <v>0</v>
      </c>
      <c r="F98">
        <v>604324.56000000006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3.91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7490</v>
      </c>
      <c r="AW98">
        <v>3350</v>
      </c>
      <c r="AX98">
        <v>1219</v>
      </c>
      <c r="AY98">
        <v>12059</v>
      </c>
      <c r="AZ98">
        <v>4202</v>
      </c>
      <c r="BA98">
        <v>7438</v>
      </c>
      <c r="BB98">
        <v>1432</v>
      </c>
      <c r="BC98">
        <v>13072</v>
      </c>
      <c r="BD98">
        <v>9486</v>
      </c>
      <c r="BE98">
        <v>9222</v>
      </c>
      <c r="BF98">
        <v>1768</v>
      </c>
      <c r="BG98">
        <v>20476</v>
      </c>
      <c r="BH98">
        <v>0</v>
      </c>
      <c r="BI98">
        <v>0</v>
      </c>
      <c r="BJ98">
        <v>0</v>
      </c>
      <c r="BK98">
        <v>0</v>
      </c>
      <c r="BL98" s="2">
        <v>24.82</v>
      </c>
      <c r="BM98" s="2">
        <v>42005.095138888886</v>
      </c>
      <c r="BN98" s="2">
        <v>5.4</v>
      </c>
      <c r="BO98" s="2">
        <v>42005.092361111114</v>
      </c>
      <c r="BP98" s="2">
        <v>6.92</v>
      </c>
      <c r="BQ98" s="2">
        <v>42005.092361111114</v>
      </c>
      <c r="BR98" s="2">
        <v>11.07</v>
      </c>
      <c r="BS98" s="2">
        <v>42005.092361111114</v>
      </c>
      <c r="BT98">
        <v>0</v>
      </c>
      <c r="BU98">
        <v>0</v>
      </c>
      <c r="BV98" t="s">
        <v>135</v>
      </c>
      <c r="BW98">
        <v>0</v>
      </c>
      <c r="BX98">
        <v>0</v>
      </c>
      <c r="BY98" t="s">
        <v>135</v>
      </c>
      <c r="BZ98">
        <v>0</v>
      </c>
      <c r="CA98">
        <v>0</v>
      </c>
      <c r="CB98" t="s">
        <v>135</v>
      </c>
      <c r="CH98" s="2"/>
      <c r="CJ98" s="2"/>
      <c r="CL98" s="2"/>
      <c r="CN98" s="2"/>
      <c r="CQ98" s="2"/>
      <c r="CT98" s="2"/>
      <c r="CW98" s="2"/>
    </row>
    <row r="99" spans="1:101" x14ac:dyDescent="0.25">
      <c r="A99" s="1" t="s">
        <v>163</v>
      </c>
      <c r="B99" s="75" t="s">
        <v>164</v>
      </c>
      <c r="C99">
        <v>0</v>
      </c>
      <c r="D99">
        <v>0</v>
      </c>
      <c r="E99">
        <v>0</v>
      </c>
      <c r="F99">
        <v>604324.56000000006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3.91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7490</v>
      </c>
      <c r="AW99">
        <v>3350</v>
      </c>
      <c r="AX99">
        <v>1219</v>
      </c>
      <c r="AY99">
        <v>12059</v>
      </c>
      <c r="AZ99">
        <v>4202</v>
      </c>
      <c r="BA99">
        <v>7438</v>
      </c>
      <c r="BB99">
        <v>1432</v>
      </c>
      <c r="BC99">
        <v>13072</v>
      </c>
      <c r="BD99">
        <v>9486</v>
      </c>
      <c r="BE99">
        <v>9222</v>
      </c>
      <c r="BF99">
        <v>1768</v>
      </c>
      <c r="BG99">
        <v>20476</v>
      </c>
      <c r="BH99">
        <v>0</v>
      </c>
      <c r="BI99">
        <v>0</v>
      </c>
      <c r="BJ99">
        <v>0</v>
      </c>
      <c r="BK99">
        <v>0</v>
      </c>
      <c r="BL99" s="2">
        <v>24.82</v>
      </c>
      <c r="BM99" s="2">
        <v>42005.095138888886</v>
      </c>
      <c r="BN99" s="2">
        <v>5.4</v>
      </c>
      <c r="BO99" s="2">
        <v>42005.092361111114</v>
      </c>
      <c r="BP99" s="2">
        <v>6.92</v>
      </c>
      <c r="BQ99" s="2">
        <v>42005.092361111114</v>
      </c>
      <c r="BR99" s="2">
        <v>11.07</v>
      </c>
      <c r="BS99" s="2">
        <v>42005.092361111114</v>
      </c>
      <c r="BT99">
        <v>0</v>
      </c>
      <c r="BU99">
        <v>0</v>
      </c>
      <c r="BV99" t="s">
        <v>135</v>
      </c>
      <c r="BW99">
        <v>0</v>
      </c>
      <c r="BX99">
        <v>0</v>
      </c>
      <c r="BY99" t="s">
        <v>135</v>
      </c>
      <c r="BZ99">
        <v>0</v>
      </c>
      <c r="CA99">
        <v>0</v>
      </c>
      <c r="CB99" t="s">
        <v>135</v>
      </c>
      <c r="CH99" s="2"/>
      <c r="CJ99" s="2"/>
      <c r="CL99" s="2"/>
      <c r="CN99" s="2"/>
      <c r="CQ99" s="2"/>
      <c r="CT99" s="2"/>
      <c r="CW99" s="2"/>
    </row>
    <row r="100" spans="1:101" x14ac:dyDescent="0.25">
      <c r="A100" s="1" t="s">
        <v>163</v>
      </c>
      <c r="B100" s="75" t="s">
        <v>164</v>
      </c>
      <c r="C100">
        <v>0</v>
      </c>
      <c r="D100">
        <v>0</v>
      </c>
      <c r="E100">
        <v>0</v>
      </c>
      <c r="F100">
        <v>604324.56000000006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3.91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7490</v>
      </c>
      <c r="AW100">
        <v>3350</v>
      </c>
      <c r="AX100">
        <v>1219</v>
      </c>
      <c r="AY100">
        <v>12059</v>
      </c>
      <c r="AZ100">
        <v>4202</v>
      </c>
      <c r="BA100">
        <v>7438</v>
      </c>
      <c r="BB100">
        <v>1432</v>
      </c>
      <c r="BC100">
        <v>13072</v>
      </c>
      <c r="BD100">
        <v>9486</v>
      </c>
      <c r="BE100">
        <v>9222</v>
      </c>
      <c r="BF100">
        <v>1768</v>
      </c>
      <c r="BG100">
        <v>20476</v>
      </c>
      <c r="BH100">
        <v>0</v>
      </c>
      <c r="BI100">
        <v>0</v>
      </c>
      <c r="BJ100">
        <v>0</v>
      </c>
      <c r="BK100">
        <v>0</v>
      </c>
      <c r="BL100" s="2">
        <v>24.82</v>
      </c>
      <c r="BM100" s="2">
        <v>42005.095138888886</v>
      </c>
      <c r="BN100" s="2">
        <v>5.4</v>
      </c>
      <c r="BO100" s="2">
        <v>42005.092361111114</v>
      </c>
      <c r="BP100" s="2">
        <v>6.92</v>
      </c>
      <c r="BQ100" s="2">
        <v>42005.092361111114</v>
      </c>
      <c r="BR100" s="2">
        <v>11.07</v>
      </c>
      <c r="BS100" s="2">
        <v>42005.092361111114</v>
      </c>
      <c r="BT100">
        <v>0</v>
      </c>
      <c r="BU100">
        <v>0</v>
      </c>
      <c r="BV100" t="s">
        <v>135</v>
      </c>
      <c r="BW100">
        <v>0</v>
      </c>
      <c r="BX100">
        <v>0</v>
      </c>
      <c r="BY100" t="s">
        <v>135</v>
      </c>
      <c r="BZ100">
        <v>0</v>
      </c>
      <c r="CA100">
        <v>0</v>
      </c>
      <c r="CB100" t="s">
        <v>135</v>
      </c>
      <c r="CH100" s="2"/>
      <c r="CJ100" s="2"/>
      <c r="CL100" s="2"/>
      <c r="CN100" s="2"/>
      <c r="CQ100" s="2"/>
      <c r="CT100" s="2"/>
      <c r="CW100" s="2"/>
    </row>
    <row r="101" spans="1:101" x14ac:dyDescent="0.25">
      <c r="A101" s="1" t="s">
        <v>163</v>
      </c>
      <c r="B101" s="75" t="s">
        <v>164</v>
      </c>
      <c r="C101">
        <v>0</v>
      </c>
      <c r="D101">
        <v>0</v>
      </c>
      <c r="E101">
        <v>0</v>
      </c>
      <c r="F101">
        <v>604324.56000000006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3.91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7490</v>
      </c>
      <c r="AW101">
        <v>3350</v>
      </c>
      <c r="AX101">
        <v>1219</v>
      </c>
      <c r="AY101">
        <v>12059</v>
      </c>
      <c r="AZ101">
        <v>4202</v>
      </c>
      <c r="BA101">
        <v>7438</v>
      </c>
      <c r="BB101">
        <v>1432</v>
      </c>
      <c r="BC101">
        <v>13072</v>
      </c>
      <c r="BD101">
        <v>9486</v>
      </c>
      <c r="BE101">
        <v>9222</v>
      </c>
      <c r="BF101">
        <v>1768</v>
      </c>
      <c r="BG101">
        <v>20476</v>
      </c>
      <c r="BH101">
        <v>0</v>
      </c>
      <c r="BI101">
        <v>0</v>
      </c>
      <c r="BJ101">
        <v>0</v>
      </c>
      <c r="BK101">
        <v>0</v>
      </c>
      <c r="BL101" s="2">
        <v>24.82</v>
      </c>
      <c r="BM101" s="2">
        <v>42005.095138888886</v>
      </c>
      <c r="BN101" s="2">
        <v>5.4</v>
      </c>
      <c r="BO101" s="2">
        <v>42005.092361111114</v>
      </c>
      <c r="BP101" s="2">
        <v>6.92</v>
      </c>
      <c r="BQ101" s="2">
        <v>42005.092361111114</v>
      </c>
      <c r="BR101" s="2">
        <v>11.07</v>
      </c>
      <c r="BS101" s="2">
        <v>42005.092361111114</v>
      </c>
      <c r="BT101">
        <v>0</v>
      </c>
      <c r="BU101">
        <v>0</v>
      </c>
      <c r="BV101" t="s">
        <v>135</v>
      </c>
      <c r="BW101">
        <v>0</v>
      </c>
      <c r="BX101">
        <v>0</v>
      </c>
      <c r="BY101" t="s">
        <v>135</v>
      </c>
      <c r="BZ101">
        <v>0</v>
      </c>
      <c r="CA101">
        <v>0</v>
      </c>
      <c r="CB101" t="s">
        <v>135</v>
      </c>
      <c r="CH101" s="2"/>
      <c r="CJ101" s="2"/>
      <c r="CL101" s="2"/>
      <c r="CN101" s="2"/>
      <c r="CQ101" s="2"/>
      <c r="CT101" s="2"/>
      <c r="CW101" s="2"/>
    </row>
    <row r="102" spans="1:101" x14ac:dyDescent="0.25">
      <c r="A102" s="1" t="s">
        <v>163</v>
      </c>
      <c r="B102" s="75" t="s">
        <v>164</v>
      </c>
      <c r="C102">
        <v>0</v>
      </c>
      <c r="D102">
        <v>0</v>
      </c>
      <c r="E102">
        <v>0</v>
      </c>
      <c r="F102">
        <v>604324.56000000006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3.91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7490</v>
      </c>
      <c r="AW102">
        <v>3350</v>
      </c>
      <c r="AX102">
        <v>1219</v>
      </c>
      <c r="AY102">
        <v>12059</v>
      </c>
      <c r="AZ102">
        <v>4202</v>
      </c>
      <c r="BA102">
        <v>7438</v>
      </c>
      <c r="BB102">
        <v>1432</v>
      </c>
      <c r="BC102">
        <v>13072</v>
      </c>
      <c r="BD102">
        <v>9486</v>
      </c>
      <c r="BE102">
        <v>9222</v>
      </c>
      <c r="BF102">
        <v>1768</v>
      </c>
      <c r="BG102">
        <v>20476</v>
      </c>
      <c r="BH102">
        <v>0</v>
      </c>
      <c r="BI102">
        <v>0</v>
      </c>
      <c r="BJ102">
        <v>0</v>
      </c>
      <c r="BK102">
        <v>0</v>
      </c>
      <c r="BL102" s="2">
        <v>24.82</v>
      </c>
      <c r="BM102" s="2">
        <v>42005.095138888886</v>
      </c>
      <c r="BN102" s="2">
        <v>5.4</v>
      </c>
      <c r="BO102" s="2">
        <v>42005.092361111114</v>
      </c>
      <c r="BP102" s="2">
        <v>6.92</v>
      </c>
      <c r="BQ102" s="2">
        <v>42005.092361111114</v>
      </c>
      <c r="BR102" s="2">
        <v>11.07</v>
      </c>
      <c r="BS102" s="2">
        <v>42005.092361111114</v>
      </c>
      <c r="BT102">
        <v>0</v>
      </c>
      <c r="BU102">
        <v>0</v>
      </c>
      <c r="BV102" t="s">
        <v>135</v>
      </c>
      <c r="BW102">
        <v>0</v>
      </c>
      <c r="BX102">
        <v>0</v>
      </c>
      <c r="BY102" t="s">
        <v>135</v>
      </c>
      <c r="BZ102">
        <v>0</v>
      </c>
      <c r="CA102">
        <v>0</v>
      </c>
      <c r="CB102" t="s">
        <v>135</v>
      </c>
      <c r="CH102" s="2"/>
      <c r="CJ102" s="2"/>
      <c r="CL102" s="2"/>
      <c r="CN102" s="2"/>
      <c r="CQ102" s="2"/>
      <c r="CT102" s="2"/>
      <c r="CW102" s="2"/>
    </row>
    <row r="103" spans="1:101" x14ac:dyDescent="0.25">
      <c r="A103" s="1" t="s">
        <v>163</v>
      </c>
      <c r="B103" s="75" t="s">
        <v>164</v>
      </c>
      <c r="C103">
        <v>0</v>
      </c>
      <c r="D103">
        <v>0</v>
      </c>
      <c r="E103">
        <v>0</v>
      </c>
      <c r="F103">
        <v>604324.56000000006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3.91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7490</v>
      </c>
      <c r="AW103">
        <v>3350</v>
      </c>
      <c r="AX103">
        <v>1219</v>
      </c>
      <c r="AY103">
        <v>12059</v>
      </c>
      <c r="AZ103">
        <v>4202</v>
      </c>
      <c r="BA103">
        <v>7438</v>
      </c>
      <c r="BB103">
        <v>1432</v>
      </c>
      <c r="BC103">
        <v>13072</v>
      </c>
      <c r="BD103">
        <v>9486</v>
      </c>
      <c r="BE103">
        <v>9222</v>
      </c>
      <c r="BF103">
        <v>1768</v>
      </c>
      <c r="BG103">
        <v>20476</v>
      </c>
      <c r="BH103">
        <v>0</v>
      </c>
      <c r="BI103">
        <v>0</v>
      </c>
      <c r="BJ103">
        <v>0</v>
      </c>
      <c r="BK103">
        <v>0</v>
      </c>
      <c r="BL103" s="2">
        <v>24.82</v>
      </c>
      <c r="BM103" s="2">
        <v>42005.095138888886</v>
      </c>
      <c r="BN103" s="2">
        <v>5.4</v>
      </c>
      <c r="BO103" s="2">
        <v>42005.092361111114</v>
      </c>
      <c r="BP103" s="2">
        <v>6.92</v>
      </c>
      <c r="BQ103" s="2">
        <v>42005.092361111114</v>
      </c>
      <c r="BR103" s="2">
        <v>11.07</v>
      </c>
      <c r="BS103" s="2">
        <v>42005.092361111114</v>
      </c>
      <c r="BT103">
        <v>0</v>
      </c>
      <c r="BU103">
        <v>0</v>
      </c>
      <c r="BV103" t="s">
        <v>135</v>
      </c>
      <c r="BW103">
        <v>0</v>
      </c>
      <c r="BX103">
        <v>0</v>
      </c>
      <c r="BY103" t="s">
        <v>135</v>
      </c>
      <c r="BZ103">
        <v>0</v>
      </c>
      <c r="CA103">
        <v>0</v>
      </c>
      <c r="CB103" t="s">
        <v>135</v>
      </c>
      <c r="CH103" s="2"/>
      <c r="CJ103" s="2"/>
      <c r="CL103" s="2"/>
      <c r="CN103" s="2"/>
      <c r="CQ103" s="2"/>
      <c r="CT103" s="2"/>
      <c r="CW103" s="2"/>
    </row>
    <row r="104" spans="1:101" x14ac:dyDescent="0.25">
      <c r="A104" s="1" t="s">
        <v>163</v>
      </c>
      <c r="B104" s="75" t="s">
        <v>164</v>
      </c>
      <c r="C104">
        <v>0</v>
      </c>
      <c r="D104">
        <v>0</v>
      </c>
      <c r="E104">
        <v>0</v>
      </c>
      <c r="F104">
        <v>604324.56000000006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3.91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7490</v>
      </c>
      <c r="AW104">
        <v>3350</v>
      </c>
      <c r="AX104">
        <v>1219</v>
      </c>
      <c r="AY104">
        <v>12059</v>
      </c>
      <c r="AZ104">
        <v>4202</v>
      </c>
      <c r="BA104">
        <v>7438</v>
      </c>
      <c r="BB104">
        <v>1432</v>
      </c>
      <c r="BC104">
        <v>13072</v>
      </c>
      <c r="BD104">
        <v>9486</v>
      </c>
      <c r="BE104">
        <v>9222</v>
      </c>
      <c r="BF104">
        <v>1768</v>
      </c>
      <c r="BG104">
        <v>20476</v>
      </c>
      <c r="BH104">
        <v>0</v>
      </c>
      <c r="BI104">
        <v>0</v>
      </c>
      <c r="BJ104">
        <v>0</v>
      </c>
      <c r="BK104">
        <v>0</v>
      </c>
      <c r="BL104" s="2">
        <v>24.82</v>
      </c>
      <c r="BM104" s="2">
        <v>42005.095138888886</v>
      </c>
      <c r="BN104" s="2">
        <v>5.4</v>
      </c>
      <c r="BO104" s="2">
        <v>42005.092361111114</v>
      </c>
      <c r="BP104" s="2">
        <v>6.92</v>
      </c>
      <c r="BQ104" s="2">
        <v>42005.092361111114</v>
      </c>
      <c r="BR104" s="2">
        <v>11.07</v>
      </c>
      <c r="BS104" s="2">
        <v>42005.092361111114</v>
      </c>
      <c r="BT104">
        <v>0</v>
      </c>
      <c r="BU104">
        <v>0</v>
      </c>
      <c r="BV104" t="s">
        <v>135</v>
      </c>
      <c r="BW104">
        <v>0</v>
      </c>
      <c r="BX104">
        <v>0</v>
      </c>
      <c r="BY104" t="s">
        <v>135</v>
      </c>
      <c r="BZ104">
        <v>0</v>
      </c>
      <c r="CA104">
        <v>0</v>
      </c>
      <c r="CB104" t="s">
        <v>135</v>
      </c>
      <c r="CH104" s="2"/>
      <c r="CJ104" s="2"/>
      <c r="CL104" s="2"/>
      <c r="CN104" s="2"/>
      <c r="CQ104" s="2"/>
      <c r="CT104" s="2"/>
      <c r="CW104" s="2"/>
    </row>
    <row r="105" spans="1:101" x14ac:dyDescent="0.25">
      <c r="A105" s="1" t="s">
        <v>163</v>
      </c>
      <c r="B105" s="75" t="s">
        <v>164</v>
      </c>
      <c r="C105">
        <v>0</v>
      </c>
      <c r="D105">
        <v>0</v>
      </c>
      <c r="E105">
        <v>0</v>
      </c>
      <c r="F105">
        <v>604324.56000000006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3.91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7490</v>
      </c>
      <c r="AW105">
        <v>3350</v>
      </c>
      <c r="AX105">
        <v>1219</v>
      </c>
      <c r="AY105">
        <v>12059</v>
      </c>
      <c r="AZ105">
        <v>4202</v>
      </c>
      <c r="BA105">
        <v>7438</v>
      </c>
      <c r="BB105">
        <v>1432</v>
      </c>
      <c r="BC105">
        <v>13072</v>
      </c>
      <c r="BD105">
        <v>9486</v>
      </c>
      <c r="BE105">
        <v>9222</v>
      </c>
      <c r="BF105">
        <v>1768</v>
      </c>
      <c r="BG105">
        <v>20476</v>
      </c>
      <c r="BH105">
        <v>0</v>
      </c>
      <c r="BI105">
        <v>0</v>
      </c>
      <c r="BJ105">
        <v>0</v>
      </c>
      <c r="BK105">
        <v>0</v>
      </c>
      <c r="BL105" s="2">
        <v>24.82</v>
      </c>
      <c r="BM105" s="2">
        <v>42005.095138888886</v>
      </c>
      <c r="BN105" s="2">
        <v>5.4</v>
      </c>
      <c r="BO105" s="2">
        <v>42005.092361111114</v>
      </c>
      <c r="BP105" s="2">
        <v>6.92</v>
      </c>
      <c r="BQ105" s="2">
        <v>42005.092361111114</v>
      </c>
      <c r="BR105" s="2">
        <v>11.07</v>
      </c>
      <c r="BS105" s="2">
        <v>42005.092361111114</v>
      </c>
      <c r="BT105">
        <v>0</v>
      </c>
      <c r="BU105">
        <v>0</v>
      </c>
      <c r="BV105" t="s">
        <v>135</v>
      </c>
      <c r="BW105">
        <v>0</v>
      </c>
      <c r="BX105">
        <v>0</v>
      </c>
      <c r="BY105" t="s">
        <v>135</v>
      </c>
      <c r="BZ105">
        <v>0</v>
      </c>
      <c r="CA105">
        <v>0</v>
      </c>
      <c r="CB105" t="s">
        <v>135</v>
      </c>
      <c r="CH105" s="2"/>
      <c r="CJ105" s="2"/>
      <c r="CL105" s="2"/>
      <c r="CN105" s="2"/>
      <c r="CQ105" s="2"/>
      <c r="CT105" s="2"/>
      <c r="CW105" s="2"/>
    </row>
    <row r="106" spans="1:101" x14ac:dyDescent="0.25">
      <c r="A106" s="1" t="s">
        <v>163</v>
      </c>
      <c r="B106" s="75" t="s">
        <v>164</v>
      </c>
      <c r="C106">
        <v>0</v>
      </c>
      <c r="D106">
        <v>0</v>
      </c>
      <c r="E106">
        <v>0</v>
      </c>
      <c r="F106">
        <v>604324.56000000006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3.91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7490</v>
      </c>
      <c r="AW106">
        <v>3350</v>
      </c>
      <c r="AX106">
        <v>1219</v>
      </c>
      <c r="AY106">
        <v>12059</v>
      </c>
      <c r="AZ106">
        <v>4202</v>
      </c>
      <c r="BA106">
        <v>7438</v>
      </c>
      <c r="BB106">
        <v>1432</v>
      </c>
      <c r="BC106">
        <v>13072</v>
      </c>
      <c r="BD106">
        <v>9486</v>
      </c>
      <c r="BE106">
        <v>9222</v>
      </c>
      <c r="BF106">
        <v>1768</v>
      </c>
      <c r="BG106">
        <v>20476</v>
      </c>
      <c r="BH106">
        <v>0</v>
      </c>
      <c r="BI106">
        <v>0</v>
      </c>
      <c r="BJ106">
        <v>0</v>
      </c>
      <c r="BK106">
        <v>0</v>
      </c>
      <c r="BL106" s="2">
        <v>24.82</v>
      </c>
      <c r="BM106" s="2">
        <v>42005.095138888886</v>
      </c>
      <c r="BN106" s="2">
        <v>5.4</v>
      </c>
      <c r="BO106" s="2">
        <v>42005.092361111114</v>
      </c>
      <c r="BP106" s="2">
        <v>6.92</v>
      </c>
      <c r="BQ106" s="2">
        <v>42005.092361111114</v>
      </c>
      <c r="BR106" s="2">
        <v>11.07</v>
      </c>
      <c r="BS106" s="2">
        <v>42005.092361111114</v>
      </c>
      <c r="BT106">
        <v>0</v>
      </c>
      <c r="BU106">
        <v>0</v>
      </c>
      <c r="BV106" t="s">
        <v>135</v>
      </c>
      <c r="BW106">
        <v>0</v>
      </c>
      <c r="BX106">
        <v>0</v>
      </c>
      <c r="BY106" t="s">
        <v>135</v>
      </c>
      <c r="BZ106">
        <v>0</v>
      </c>
      <c r="CA106">
        <v>0</v>
      </c>
      <c r="CB106" t="s">
        <v>135</v>
      </c>
      <c r="CH106" s="2"/>
      <c r="CJ106" s="2"/>
      <c r="CL106" s="2"/>
      <c r="CN106" s="2"/>
      <c r="CQ106" s="2"/>
      <c r="CT106" s="2"/>
      <c r="CW106" s="2"/>
    </row>
    <row r="107" spans="1:101" x14ac:dyDescent="0.25">
      <c r="A107" s="1" t="s">
        <v>163</v>
      </c>
      <c r="B107" s="75" t="s">
        <v>164</v>
      </c>
      <c r="C107">
        <v>0</v>
      </c>
      <c r="D107">
        <v>0</v>
      </c>
      <c r="E107">
        <v>0</v>
      </c>
      <c r="F107">
        <v>604324.56000000006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3.91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7490</v>
      </c>
      <c r="AW107">
        <v>3350</v>
      </c>
      <c r="AX107">
        <v>1219</v>
      </c>
      <c r="AY107">
        <v>12059</v>
      </c>
      <c r="AZ107">
        <v>4202</v>
      </c>
      <c r="BA107">
        <v>7438</v>
      </c>
      <c r="BB107">
        <v>1432</v>
      </c>
      <c r="BC107">
        <v>13072</v>
      </c>
      <c r="BD107">
        <v>9486</v>
      </c>
      <c r="BE107">
        <v>9222</v>
      </c>
      <c r="BF107">
        <v>1768</v>
      </c>
      <c r="BG107">
        <v>20476</v>
      </c>
      <c r="BH107">
        <v>0</v>
      </c>
      <c r="BI107">
        <v>0</v>
      </c>
      <c r="BJ107">
        <v>0</v>
      </c>
      <c r="BK107">
        <v>0</v>
      </c>
      <c r="BL107" s="2">
        <v>24.82</v>
      </c>
      <c r="BM107" s="2">
        <v>42005.095138888886</v>
      </c>
      <c r="BN107" s="2">
        <v>5.4</v>
      </c>
      <c r="BO107" s="2">
        <v>42005.092361111114</v>
      </c>
      <c r="BP107" s="2">
        <v>6.92</v>
      </c>
      <c r="BQ107" s="2">
        <v>42005.092361111114</v>
      </c>
      <c r="BR107" s="2">
        <v>11.07</v>
      </c>
      <c r="BS107" s="2">
        <v>42005.092361111114</v>
      </c>
      <c r="BT107">
        <v>0</v>
      </c>
      <c r="BU107">
        <v>0</v>
      </c>
      <c r="BV107" t="s">
        <v>135</v>
      </c>
      <c r="BW107">
        <v>0</v>
      </c>
      <c r="BX107">
        <v>0</v>
      </c>
      <c r="BY107" t="s">
        <v>135</v>
      </c>
      <c r="BZ107">
        <v>0</v>
      </c>
      <c r="CA107">
        <v>0</v>
      </c>
      <c r="CB107" t="s">
        <v>135</v>
      </c>
      <c r="CH107" s="2"/>
      <c r="CJ107" s="2"/>
      <c r="CL107" s="2"/>
      <c r="CN107" s="2"/>
      <c r="CQ107" s="2"/>
      <c r="CT107" s="2"/>
      <c r="CW107" s="2"/>
    </row>
    <row r="108" spans="1:101" x14ac:dyDescent="0.25">
      <c r="A108" s="1" t="s">
        <v>163</v>
      </c>
      <c r="B108" s="75" t="s">
        <v>164</v>
      </c>
      <c r="C108">
        <v>0</v>
      </c>
      <c r="D108">
        <v>0</v>
      </c>
      <c r="E108">
        <v>0</v>
      </c>
      <c r="F108">
        <v>604324.56000000006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3.91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7490</v>
      </c>
      <c r="AW108">
        <v>3350</v>
      </c>
      <c r="AX108">
        <v>1219</v>
      </c>
      <c r="AY108">
        <v>12059</v>
      </c>
      <c r="AZ108">
        <v>4202</v>
      </c>
      <c r="BA108">
        <v>7438</v>
      </c>
      <c r="BB108">
        <v>1432</v>
      </c>
      <c r="BC108">
        <v>13072</v>
      </c>
      <c r="BD108">
        <v>9486</v>
      </c>
      <c r="BE108">
        <v>9222</v>
      </c>
      <c r="BF108">
        <v>1768</v>
      </c>
      <c r="BG108">
        <v>20476</v>
      </c>
      <c r="BH108">
        <v>0</v>
      </c>
      <c r="BI108">
        <v>0</v>
      </c>
      <c r="BJ108">
        <v>0</v>
      </c>
      <c r="BK108">
        <v>0</v>
      </c>
      <c r="BL108" s="2">
        <v>24.82</v>
      </c>
      <c r="BM108" s="2">
        <v>42005.095138888886</v>
      </c>
      <c r="BN108" s="2">
        <v>5.4</v>
      </c>
      <c r="BO108" s="2">
        <v>42005.092361111114</v>
      </c>
      <c r="BP108" s="2">
        <v>6.92</v>
      </c>
      <c r="BQ108" s="2">
        <v>42005.092361111114</v>
      </c>
      <c r="BR108" s="2">
        <v>11.07</v>
      </c>
      <c r="BS108" s="2">
        <v>42005.092361111114</v>
      </c>
      <c r="BT108">
        <v>0</v>
      </c>
      <c r="BU108">
        <v>0</v>
      </c>
      <c r="BV108" t="s">
        <v>135</v>
      </c>
      <c r="BW108">
        <v>0</v>
      </c>
      <c r="BX108">
        <v>0</v>
      </c>
      <c r="BY108" t="s">
        <v>135</v>
      </c>
      <c r="BZ108">
        <v>0</v>
      </c>
      <c r="CA108">
        <v>0</v>
      </c>
      <c r="CB108" t="s">
        <v>135</v>
      </c>
      <c r="CH108" s="2"/>
      <c r="CJ108" s="2"/>
      <c r="CL108" s="2"/>
      <c r="CN108" s="2"/>
      <c r="CQ108" s="2"/>
      <c r="CT108" s="2"/>
      <c r="CW108" s="2"/>
    </row>
    <row r="109" spans="1:101" x14ac:dyDescent="0.25">
      <c r="A109" s="1" t="s">
        <v>163</v>
      </c>
      <c r="B109" s="75" t="s">
        <v>164</v>
      </c>
      <c r="C109">
        <v>0</v>
      </c>
      <c r="D109">
        <v>0</v>
      </c>
      <c r="E109">
        <v>0</v>
      </c>
      <c r="F109">
        <v>604324.56000000006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3.91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7490</v>
      </c>
      <c r="AW109">
        <v>3350</v>
      </c>
      <c r="AX109">
        <v>1219</v>
      </c>
      <c r="AY109">
        <v>12059</v>
      </c>
      <c r="AZ109">
        <v>4202</v>
      </c>
      <c r="BA109">
        <v>7438</v>
      </c>
      <c r="BB109">
        <v>1432</v>
      </c>
      <c r="BC109">
        <v>13072</v>
      </c>
      <c r="BD109">
        <v>9486</v>
      </c>
      <c r="BE109">
        <v>9222</v>
      </c>
      <c r="BF109">
        <v>1768</v>
      </c>
      <c r="BG109">
        <v>20476</v>
      </c>
      <c r="BH109">
        <v>0</v>
      </c>
      <c r="BI109">
        <v>0</v>
      </c>
      <c r="BJ109">
        <v>0</v>
      </c>
      <c r="BK109">
        <v>0</v>
      </c>
      <c r="BL109" s="2">
        <v>24.82</v>
      </c>
      <c r="BM109" s="2">
        <v>42005.095138888886</v>
      </c>
      <c r="BN109" s="2">
        <v>5.4</v>
      </c>
      <c r="BO109" s="2">
        <v>42005.092361111114</v>
      </c>
      <c r="BP109" s="2">
        <v>6.92</v>
      </c>
      <c r="BQ109" s="2">
        <v>42005.092361111114</v>
      </c>
      <c r="BR109" s="2">
        <v>11.07</v>
      </c>
      <c r="BS109" s="2">
        <v>42005.092361111114</v>
      </c>
      <c r="BT109">
        <v>0</v>
      </c>
      <c r="BU109">
        <v>0</v>
      </c>
      <c r="BV109" t="s">
        <v>135</v>
      </c>
      <c r="BW109">
        <v>0</v>
      </c>
      <c r="BX109">
        <v>0</v>
      </c>
      <c r="BY109" t="s">
        <v>135</v>
      </c>
      <c r="BZ109">
        <v>0</v>
      </c>
      <c r="CA109">
        <v>0</v>
      </c>
      <c r="CB109" t="s">
        <v>135</v>
      </c>
      <c r="CH109" s="2"/>
      <c r="CJ109" s="2"/>
      <c r="CL109" s="2"/>
      <c r="CN109" s="2"/>
      <c r="CQ109" s="2"/>
      <c r="CT109" s="2"/>
      <c r="CW109" s="2"/>
    </row>
    <row r="110" spans="1:101" x14ac:dyDescent="0.25">
      <c r="A110" s="1" t="s">
        <v>163</v>
      </c>
      <c r="B110" s="75" t="s">
        <v>164</v>
      </c>
      <c r="C110">
        <v>0</v>
      </c>
      <c r="D110">
        <v>0</v>
      </c>
      <c r="E110">
        <v>0</v>
      </c>
      <c r="F110">
        <v>604324.56000000006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3.91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7490</v>
      </c>
      <c r="AW110">
        <v>3350</v>
      </c>
      <c r="AX110">
        <v>1219</v>
      </c>
      <c r="AY110">
        <v>12059</v>
      </c>
      <c r="AZ110">
        <v>4202</v>
      </c>
      <c r="BA110">
        <v>7438</v>
      </c>
      <c r="BB110">
        <v>1432</v>
      </c>
      <c r="BC110">
        <v>13072</v>
      </c>
      <c r="BD110">
        <v>9486</v>
      </c>
      <c r="BE110">
        <v>9222</v>
      </c>
      <c r="BF110">
        <v>1768</v>
      </c>
      <c r="BG110">
        <v>20476</v>
      </c>
      <c r="BH110">
        <v>0</v>
      </c>
      <c r="BI110">
        <v>0</v>
      </c>
      <c r="BJ110">
        <v>0</v>
      </c>
      <c r="BK110">
        <v>0</v>
      </c>
      <c r="BL110" s="2">
        <v>24.82</v>
      </c>
      <c r="BM110" s="2">
        <v>42005.095138888886</v>
      </c>
      <c r="BN110" s="2">
        <v>5.4</v>
      </c>
      <c r="BO110" s="2">
        <v>42005.092361111114</v>
      </c>
      <c r="BP110" s="2">
        <v>6.92</v>
      </c>
      <c r="BQ110" s="2">
        <v>42005.092361111114</v>
      </c>
      <c r="BR110" s="2">
        <v>11.07</v>
      </c>
      <c r="BS110" s="2">
        <v>42005.092361111114</v>
      </c>
      <c r="BT110">
        <v>0</v>
      </c>
      <c r="BU110">
        <v>0</v>
      </c>
      <c r="BV110" t="s">
        <v>135</v>
      </c>
      <c r="BW110">
        <v>0</v>
      </c>
      <c r="BX110">
        <v>0</v>
      </c>
      <c r="BY110" t="s">
        <v>135</v>
      </c>
      <c r="BZ110">
        <v>0</v>
      </c>
      <c r="CA110">
        <v>0</v>
      </c>
      <c r="CB110" t="s">
        <v>135</v>
      </c>
      <c r="CH110" s="2"/>
      <c r="CJ110" s="2"/>
      <c r="CL110" s="2"/>
      <c r="CN110" s="2"/>
      <c r="CQ110" s="2"/>
      <c r="CT110" s="2"/>
      <c r="CW110" s="2"/>
    </row>
    <row r="111" spans="1:101" x14ac:dyDescent="0.25">
      <c r="A111" s="1" t="s">
        <v>163</v>
      </c>
      <c r="B111" s="75" t="s">
        <v>164</v>
      </c>
      <c r="C111">
        <v>0</v>
      </c>
      <c r="D111">
        <v>0</v>
      </c>
      <c r="E111">
        <v>0</v>
      </c>
      <c r="F111">
        <v>604324.56000000006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3.91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7490</v>
      </c>
      <c r="AW111">
        <v>3350</v>
      </c>
      <c r="AX111">
        <v>1219</v>
      </c>
      <c r="AY111">
        <v>12059</v>
      </c>
      <c r="AZ111">
        <v>4202</v>
      </c>
      <c r="BA111">
        <v>7438</v>
      </c>
      <c r="BB111">
        <v>1432</v>
      </c>
      <c r="BC111">
        <v>13072</v>
      </c>
      <c r="BD111">
        <v>9486</v>
      </c>
      <c r="BE111">
        <v>9222</v>
      </c>
      <c r="BF111">
        <v>1768</v>
      </c>
      <c r="BG111">
        <v>20476</v>
      </c>
      <c r="BH111">
        <v>0</v>
      </c>
      <c r="BI111">
        <v>0</v>
      </c>
      <c r="BJ111">
        <v>0</v>
      </c>
      <c r="BK111">
        <v>0</v>
      </c>
      <c r="BL111" s="2">
        <v>24.82</v>
      </c>
      <c r="BM111" s="2">
        <v>42005.095138888886</v>
      </c>
      <c r="BN111" s="2">
        <v>5.4</v>
      </c>
      <c r="BO111" s="2">
        <v>42005.092361111114</v>
      </c>
      <c r="BP111" s="2">
        <v>6.92</v>
      </c>
      <c r="BQ111" s="2">
        <v>42005.092361111114</v>
      </c>
      <c r="BR111" s="2">
        <v>11.07</v>
      </c>
      <c r="BS111" s="2">
        <v>42005.092361111114</v>
      </c>
      <c r="BT111">
        <v>0</v>
      </c>
      <c r="BU111">
        <v>0</v>
      </c>
      <c r="BV111" t="s">
        <v>135</v>
      </c>
      <c r="BW111">
        <v>0</v>
      </c>
      <c r="BX111">
        <v>0</v>
      </c>
      <c r="BY111" t="s">
        <v>135</v>
      </c>
      <c r="BZ111">
        <v>0</v>
      </c>
      <c r="CA111">
        <v>0</v>
      </c>
      <c r="CB111" t="s">
        <v>135</v>
      </c>
      <c r="CH111" s="2"/>
      <c r="CJ111" s="2"/>
      <c r="CL111" s="2"/>
      <c r="CN111" s="2"/>
      <c r="CQ111" s="2"/>
      <c r="CT111" s="2"/>
      <c r="CW111" s="2"/>
    </row>
    <row r="112" spans="1:101" x14ac:dyDescent="0.25">
      <c r="A112" s="1" t="s">
        <v>163</v>
      </c>
      <c r="B112" s="75" t="s">
        <v>164</v>
      </c>
      <c r="C112">
        <v>0</v>
      </c>
      <c r="D112">
        <v>0</v>
      </c>
      <c r="E112">
        <v>0</v>
      </c>
      <c r="F112">
        <v>604324.56000000006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3.91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7490</v>
      </c>
      <c r="AW112">
        <v>3350</v>
      </c>
      <c r="AX112">
        <v>1219</v>
      </c>
      <c r="AY112">
        <v>12059</v>
      </c>
      <c r="AZ112">
        <v>4202</v>
      </c>
      <c r="BA112">
        <v>7438</v>
      </c>
      <c r="BB112">
        <v>1432</v>
      </c>
      <c r="BC112">
        <v>13072</v>
      </c>
      <c r="BD112">
        <v>9486</v>
      </c>
      <c r="BE112">
        <v>9222</v>
      </c>
      <c r="BF112">
        <v>1768</v>
      </c>
      <c r="BG112">
        <v>20476</v>
      </c>
      <c r="BH112">
        <v>0</v>
      </c>
      <c r="BI112">
        <v>0</v>
      </c>
      <c r="BJ112">
        <v>0</v>
      </c>
      <c r="BK112">
        <v>0</v>
      </c>
      <c r="BL112" s="2">
        <v>24.82</v>
      </c>
      <c r="BM112" s="2">
        <v>42005.095138888886</v>
      </c>
      <c r="BN112" s="2">
        <v>5.4</v>
      </c>
      <c r="BO112" s="2">
        <v>42005.092361111114</v>
      </c>
      <c r="BP112" s="2">
        <v>6.92</v>
      </c>
      <c r="BQ112" s="2">
        <v>42005.092361111114</v>
      </c>
      <c r="BR112" s="2">
        <v>11.07</v>
      </c>
      <c r="BS112" s="2">
        <v>42005.092361111114</v>
      </c>
      <c r="BT112">
        <v>0</v>
      </c>
      <c r="BU112">
        <v>0</v>
      </c>
      <c r="BV112" t="s">
        <v>135</v>
      </c>
      <c r="BW112">
        <v>0</v>
      </c>
      <c r="BX112">
        <v>0</v>
      </c>
      <c r="BY112" t="s">
        <v>135</v>
      </c>
      <c r="BZ112">
        <v>0</v>
      </c>
      <c r="CA112">
        <v>0</v>
      </c>
      <c r="CB112" t="s">
        <v>135</v>
      </c>
      <c r="CH112" s="2"/>
      <c r="CJ112" s="2"/>
      <c r="CL112" s="2"/>
      <c r="CN112" s="2"/>
      <c r="CQ112" s="2"/>
      <c r="CT112" s="2"/>
      <c r="CW112" s="2"/>
    </row>
    <row r="113" spans="1:101" x14ac:dyDescent="0.25">
      <c r="A113" s="1" t="s">
        <v>163</v>
      </c>
      <c r="B113" s="75" t="s">
        <v>164</v>
      </c>
      <c r="C113">
        <v>0</v>
      </c>
      <c r="D113">
        <v>0</v>
      </c>
      <c r="E113">
        <v>0</v>
      </c>
      <c r="F113">
        <v>604324.56000000006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3.91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7490</v>
      </c>
      <c r="AW113">
        <v>3350</v>
      </c>
      <c r="AX113">
        <v>1219</v>
      </c>
      <c r="AY113">
        <v>12059</v>
      </c>
      <c r="AZ113">
        <v>4202</v>
      </c>
      <c r="BA113">
        <v>7438</v>
      </c>
      <c r="BB113">
        <v>1432</v>
      </c>
      <c r="BC113">
        <v>13072</v>
      </c>
      <c r="BD113">
        <v>9486</v>
      </c>
      <c r="BE113">
        <v>9222</v>
      </c>
      <c r="BF113">
        <v>1768</v>
      </c>
      <c r="BG113">
        <v>20476</v>
      </c>
      <c r="BH113">
        <v>0</v>
      </c>
      <c r="BI113">
        <v>0</v>
      </c>
      <c r="BJ113">
        <v>0</v>
      </c>
      <c r="BK113">
        <v>0</v>
      </c>
      <c r="BL113" s="2">
        <v>24.82</v>
      </c>
      <c r="BM113" s="2">
        <v>42005.095138888886</v>
      </c>
      <c r="BN113" s="2">
        <v>5.4</v>
      </c>
      <c r="BO113" s="2">
        <v>42005.092361111114</v>
      </c>
      <c r="BP113" s="2">
        <v>6.92</v>
      </c>
      <c r="BQ113" s="2">
        <v>42005.092361111114</v>
      </c>
      <c r="BR113" s="2">
        <v>11.07</v>
      </c>
      <c r="BS113" s="2">
        <v>42005.092361111114</v>
      </c>
      <c r="BT113">
        <v>0</v>
      </c>
      <c r="BU113">
        <v>0</v>
      </c>
      <c r="BV113" t="s">
        <v>135</v>
      </c>
      <c r="BW113">
        <v>0</v>
      </c>
      <c r="BX113">
        <v>0</v>
      </c>
      <c r="BY113" t="s">
        <v>135</v>
      </c>
      <c r="BZ113">
        <v>0</v>
      </c>
      <c r="CA113">
        <v>0</v>
      </c>
      <c r="CB113" t="s">
        <v>135</v>
      </c>
      <c r="CH113" s="2"/>
      <c r="CJ113" s="2"/>
      <c r="CL113" s="2"/>
      <c r="CN113" s="2"/>
      <c r="CQ113" s="2"/>
      <c r="CT113" s="2"/>
      <c r="CW113" s="2"/>
    </row>
    <row r="114" spans="1:101" x14ac:dyDescent="0.25">
      <c r="A114" s="1" t="s">
        <v>163</v>
      </c>
      <c r="B114" s="75" t="s">
        <v>164</v>
      </c>
      <c r="C114">
        <v>0</v>
      </c>
      <c r="D114">
        <v>0</v>
      </c>
      <c r="E114">
        <v>0</v>
      </c>
      <c r="F114">
        <v>604324.56000000006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3.91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7490</v>
      </c>
      <c r="AW114">
        <v>3350</v>
      </c>
      <c r="AX114">
        <v>1219</v>
      </c>
      <c r="AY114">
        <v>12059</v>
      </c>
      <c r="AZ114">
        <v>4202</v>
      </c>
      <c r="BA114">
        <v>7438</v>
      </c>
      <c r="BB114">
        <v>1432</v>
      </c>
      <c r="BC114">
        <v>13072</v>
      </c>
      <c r="BD114">
        <v>9486</v>
      </c>
      <c r="BE114">
        <v>9222</v>
      </c>
      <c r="BF114">
        <v>1768</v>
      </c>
      <c r="BG114">
        <v>20476</v>
      </c>
      <c r="BH114">
        <v>0</v>
      </c>
      <c r="BI114">
        <v>0</v>
      </c>
      <c r="BJ114">
        <v>0</v>
      </c>
      <c r="BK114">
        <v>0</v>
      </c>
      <c r="BL114" s="2">
        <v>24.82</v>
      </c>
      <c r="BM114" s="2">
        <v>42005.095138888886</v>
      </c>
      <c r="BN114" s="2">
        <v>5.4</v>
      </c>
      <c r="BO114" s="2">
        <v>42005.092361111114</v>
      </c>
      <c r="BP114" s="2">
        <v>6.92</v>
      </c>
      <c r="BQ114" s="2">
        <v>42005.092361111114</v>
      </c>
      <c r="BR114" s="2">
        <v>11.07</v>
      </c>
      <c r="BS114" s="2">
        <v>42005.092361111114</v>
      </c>
      <c r="BT114">
        <v>0</v>
      </c>
      <c r="BU114">
        <v>0</v>
      </c>
      <c r="BV114" t="s">
        <v>135</v>
      </c>
      <c r="BW114">
        <v>0</v>
      </c>
      <c r="BX114">
        <v>0</v>
      </c>
      <c r="BY114" t="s">
        <v>135</v>
      </c>
      <c r="BZ114">
        <v>0</v>
      </c>
      <c r="CA114">
        <v>0</v>
      </c>
      <c r="CB114" t="s">
        <v>135</v>
      </c>
      <c r="CH114" s="2"/>
      <c r="CJ114" s="2"/>
      <c r="CL114" s="2"/>
      <c r="CN114" s="2"/>
      <c r="CQ114" s="2"/>
      <c r="CT114" s="2"/>
      <c r="CW114" s="2"/>
    </row>
    <row r="115" spans="1:101" x14ac:dyDescent="0.25">
      <c r="A115" s="1" t="s">
        <v>163</v>
      </c>
      <c r="B115" s="75" t="s">
        <v>164</v>
      </c>
      <c r="C115">
        <v>0</v>
      </c>
      <c r="D115">
        <v>0</v>
      </c>
      <c r="E115">
        <v>0</v>
      </c>
      <c r="F115">
        <v>604324.56000000006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3.91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7490</v>
      </c>
      <c r="AW115">
        <v>3350</v>
      </c>
      <c r="AX115">
        <v>1219</v>
      </c>
      <c r="AY115">
        <v>12059</v>
      </c>
      <c r="AZ115">
        <v>4202</v>
      </c>
      <c r="BA115">
        <v>7438</v>
      </c>
      <c r="BB115">
        <v>1432</v>
      </c>
      <c r="BC115">
        <v>13072</v>
      </c>
      <c r="BD115">
        <v>9486</v>
      </c>
      <c r="BE115">
        <v>9222</v>
      </c>
      <c r="BF115">
        <v>1768</v>
      </c>
      <c r="BG115">
        <v>20476</v>
      </c>
      <c r="BH115">
        <v>0</v>
      </c>
      <c r="BI115">
        <v>0</v>
      </c>
      <c r="BJ115">
        <v>0</v>
      </c>
      <c r="BK115">
        <v>0</v>
      </c>
      <c r="BL115" s="2">
        <v>24.82</v>
      </c>
      <c r="BM115" s="2">
        <v>42005.095138888886</v>
      </c>
      <c r="BN115" s="2">
        <v>5.4</v>
      </c>
      <c r="BO115" s="2">
        <v>42005.092361111114</v>
      </c>
      <c r="BP115" s="2">
        <v>6.92</v>
      </c>
      <c r="BQ115" s="2">
        <v>42005.092361111114</v>
      </c>
      <c r="BR115" s="2">
        <v>11.07</v>
      </c>
      <c r="BS115" s="2">
        <v>42005.092361111114</v>
      </c>
      <c r="BT115">
        <v>0</v>
      </c>
      <c r="BU115">
        <v>0</v>
      </c>
      <c r="BV115" t="s">
        <v>135</v>
      </c>
      <c r="BW115">
        <v>0</v>
      </c>
      <c r="BX115">
        <v>0</v>
      </c>
      <c r="BY115" t="s">
        <v>135</v>
      </c>
      <c r="BZ115">
        <v>0</v>
      </c>
      <c r="CA115">
        <v>0</v>
      </c>
      <c r="CB115" t="s">
        <v>135</v>
      </c>
      <c r="CH115" s="2"/>
      <c r="CJ115" s="2"/>
      <c r="CL115" s="2"/>
      <c r="CN115" s="2"/>
      <c r="CQ115" s="2"/>
      <c r="CT115" s="2"/>
      <c r="CW115" s="2"/>
    </row>
    <row r="116" spans="1:101" x14ac:dyDescent="0.25">
      <c r="A116" s="1" t="s">
        <v>163</v>
      </c>
      <c r="B116" s="75" t="s">
        <v>164</v>
      </c>
      <c r="C116">
        <v>0</v>
      </c>
      <c r="D116">
        <v>0</v>
      </c>
      <c r="E116">
        <v>0</v>
      </c>
      <c r="F116">
        <v>604324.56000000006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3.91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7490</v>
      </c>
      <c r="AW116">
        <v>3350</v>
      </c>
      <c r="AX116">
        <v>1219</v>
      </c>
      <c r="AY116">
        <v>12059</v>
      </c>
      <c r="AZ116">
        <v>4202</v>
      </c>
      <c r="BA116">
        <v>7438</v>
      </c>
      <c r="BB116">
        <v>1432</v>
      </c>
      <c r="BC116">
        <v>13072</v>
      </c>
      <c r="BD116">
        <v>9486</v>
      </c>
      <c r="BE116">
        <v>9222</v>
      </c>
      <c r="BF116">
        <v>1768</v>
      </c>
      <c r="BG116">
        <v>20476</v>
      </c>
      <c r="BH116">
        <v>0</v>
      </c>
      <c r="BI116">
        <v>0</v>
      </c>
      <c r="BJ116">
        <v>0</v>
      </c>
      <c r="BK116">
        <v>0</v>
      </c>
      <c r="BL116" s="2">
        <v>24.82</v>
      </c>
      <c r="BM116" s="2">
        <v>42005.095138888886</v>
      </c>
      <c r="BN116" s="2">
        <v>5.4</v>
      </c>
      <c r="BO116" s="2">
        <v>42005.092361111114</v>
      </c>
      <c r="BP116" s="2">
        <v>6.92</v>
      </c>
      <c r="BQ116" s="2">
        <v>42005.092361111114</v>
      </c>
      <c r="BR116" s="2">
        <v>11.07</v>
      </c>
      <c r="BS116" s="2">
        <v>42005.092361111114</v>
      </c>
      <c r="BT116">
        <v>0</v>
      </c>
      <c r="BU116">
        <v>0</v>
      </c>
      <c r="BV116" t="s">
        <v>135</v>
      </c>
      <c r="BW116">
        <v>0</v>
      </c>
      <c r="BX116">
        <v>0</v>
      </c>
      <c r="BY116" t="s">
        <v>135</v>
      </c>
      <c r="BZ116">
        <v>0</v>
      </c>
      <c r="CA116">
        <v>0</v>
      </c>
      <c r="CB116" t="s">
        <v>135</v>
      </c>
      <c r="CH116" s="2"/>
      <c r="CJ116" s="2"/>
      <c r="CL116" s="2"/>
      <c r="CN116" s="2"/>
      <c r="CQ116" s="2"/>
      <c r="CT116" s="2"/>
      <c r="CW116" s="2"/>
    </row>
    <row r="117" spans="1:101" x14ac:dyDescent="0.25">
      <c r="A117" s="1" t="s">
        <v>163</v>
      </c>
      <c r="B117" s="75" t="s">
        <v>164</v>
      </c>
      <c r="C117">
        <v>0</v>
      </c>
      <c r="D117">
        <v>0</v>
      </c>
      <c r="E117">
        <v>0</v>
      </c>
      <c r="F117">
        <v>604324.56000000006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3.91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7490</v>
      </c>
      <c r="AW117">
        <v>3350</v>
      </c>
      <c r="AX117">
        <v>1219</v>
      </c>
      <c r="AY117">
        <v>12059</v>
      </c>
      <c r="AZ117">
        <v>4202</v>
      </c>
      <c r="BA117">
        <v>7438</v>
      </c>
      <c r="BB117">
        <v>1432</v>
      </c>
      <c r="BC117">
        <v>13072</v>
      </c>
      <c r="BD117">
        <v>9486</v>
      </c>
      <c r="BE117">
        <v>9222</v>
      </c>
      <c r="BF117">
        <v>1768</v>
      </c>
      <c r="BG117">
        <v>20476</v>
      </c>
      <c r="BH117">
        <v>0</v>
      </c>
      <c r="BI117">
        <v>0</v>
      </c>
      <c r="BJ117">
        <v>0</v>
      </c>
      <c r="BK117">
        <v>0</v>
      </c>
      <c r="BL117" s="2">
        <v>24.82</v>
      </c>
      <c r="BM117" s="2">
        <v>42005.095138888886</v>
      </c>
      <c r="BN117" s="2">
        <v>5.4</v>
      </c>
      <c r="BO117" s="2">
        <v>42005.092361111114</v>
      </c>
      <c r="BP117" s="2">
        <v>6.92</v>
      </c>
      <c r="BQ117" s="2">
        <v>42005.092361111114</v>
      </c>
      <c r="BR117" s="2">
        <v>11.07</v>
      </c>
      <c r="BS117" s="2">
        <v>42005.092361111114</v>
      </c>
      <c r="BT117">
        <v>0</v>
      </c>
      <c r="BU117">
        <v>0</v>
      </c>
      <c r="BV117" t="s">
        <v>135</v>
      </c>
      <c r="BW117">
        <v>0</v>
      </c>
      <c r="BX117">
        <v>0</v>
      </c>
      <c r="BY117" t="s">
        <v>135</v>
      </c>
      <c r="BZ117">
        <v>0</v>
      </c>
      <c r="CA117">
        <v>0</v>
      </c>
      <c r="CB117" t="s">
        <v>135</v>
      </c>
      <c r="CH117" s="2"/>
      <c r="CJ117" s="2"/>
      <c r="CL117" s="2"/>
      <c r="CN117" s="2"/>
      <c r="CQ117" s="2"/>
      <c r="CT117" s="2"/>
      <c r="CW117" s="2"/>
    </row>
    <row r="118" spans="1:101" x14ac:dyDescent="0.25">
      <c r="A118" s="1" t="s">
        <v>163</v>
      </c>
      <c r="B118" s="75" t="s">
        <v>164</v>
      </c>
      <c r="C118">
        <v>0</v>
      </c>
      <c r="D118">
        <v>0</v>
      </c>
      <c r="E118">
        <v>0</v>
      </c>
      <c r="F118">
        <v>604324.56000000006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3.91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7490</v>
      </c>
      <c r="AW118">
        <v>3350</v>
      </c>
      <c r="AX118">
        <v>1219</v>
      </c>
      <c r="AY118">
        <v>12059</v>
      </c>
      <c r="AZ118">
        <v>4202</v>
      </c>
      <c r="BA118">
        <v>7438</v>
      </c>
      <c r="BB118">
        <v>1432</v>
      </c>
      <c r="BC118">
        <v>13072</v>
      </c>
      <c r="BD118">
        <v>9486</v>
      </c>
      <c r="BE118">
        <v>9222</v>
      </c>
      <c r="BF118">
        <v>1768</v>
      </c>
      <c r="BG118">
        <v>20476</v>
      </c>
      <c r="BH118">
        <v>0</v>
      </c>
      <c r="BI118">
        <v>0</v>
      </c>
      <c r="BJ118">
        <v>0</v>
      </c>
      <c r="BK118">
        <v>0</v>
      </c>
      <c r="BL118" s="2">
        <v>24.82</v>
      </c>
      <c r="BM118" s="2">
        <v>42005.095138888886</v>
      </c>
      <c r="BN118" s="2">
        <v>5.4</v>
      </c>
      <c r="BO118" s="2">
        <v>42005.092361111114</v>
      </c>
      <c r="BP118" s="2">
        <v>6.92</v>
      </c>
      <c r="BQ118" s="2">
        <v>42005.092361111114</v>
      </c>
      <c r="BR118" s="2">
        <v>11.07</v>
      </c>
      <c r="BS118" s="2">
        <v>42005.092361111114</v>
      </c>
      <c r="BT118">
        <v>0</v>
      </c>
      <c r="BU118">
        <v>0</v>
      </c>
      <c r="BV118" t="s">
        <v>135</v>
      </c>
      <c r="BW118">
        <v>0</v>
      </c>
      <c r="BX118">
        <v>0</v>
      </c>
      <c r="BY118" t="s">
        <v>135</v>
      </c>
      <c r="BZ118">
        <v>0</v>
      </c>
      <c r="CA118">
        <v>0</v>
      </c>
      <c r="CB118" t="s">
        <v>135</v>
      </c>
      <c r="CH118" s="2"/>
      <c r="CJ118" s="2"/>
      <c r="CL118" s="2"/>
      <c r="CN118" s="2"/>
      <c r="CQ118" s="2"/>
      <c r="CT118" s="2"/>
      <c r="CW118" s="2"/>
    </row>
    <row r="119" spans="1:101" x14ac:dyDescent="0.25">
      <c r="A119" s="1" t="s">
        <v>163</v>
      </c>
      <c r="B119" s="75" t="s">
        <v>164</v>
      </c>
      <c r="C119">
        <v>0</v>
      </c>
      <c r="D119">
        <v>0</v>
      </c>
      <c r="E119">
        <v>0</v>
      </c>
      <c r="F119">
        <v>604324.56000000006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3.91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7490</v>
      </c>
      <c r="AW119">
        <v>3350</v>
      </c>
      <c r="AX119">
        <v>1219</v>
      </c>
      <c r="AY119">
        <v>12059</v>
      </c>
      <c r="AZ119">
        <v>4202</v>
      </c>
      <c r="BA119">
        <v>7438</v>
      </c>
      <c r="BB119">
        <v>1432</v>
      </c>
      <c r="BC119">
        <v>13072</v>
      </c>
      <c r="BD119">
        <v>9486</v>
      </c>
      <c r="BE119">
        <v>9222</v>
      </c>
      <c r="BF119">
        <v>1768</v>
      </c>
      <c r="BG119">
        <v>20476</v>
      </c>
      <c r="BH119">
        <v>0</v>
      </c>
      <c r="BI119">
        <v>0</v>
      </c>
      <c r="BJ119">
        <v>0</v>
      </c>
      <c r="BK119">
        <v>0</v>
      </c>
      <c r="BL119" s="2">
        <v>24.82</v>
      </c>
      <c r="BM119" s="2">
        <v>42005.095138888886</v>
      </c>
      <c r="BN119" s="2">
        <v>5.4</v>
      </c>
      <c r="BO119" s="2">
        <v>42005.092361111114</v>
      </c>
      <c r="BP119" s="2">
        <v>6.92</v>
      </c>
      <c r="BQ119" s="2">
        <v>42005.092361111114</v>
      </c>
      <c r="BR119" s="2">
        <v>11.07</v>
      </c>
      <c r="BS119" s="2">
        <v>42005.092361111114</v>
      </c>
      <c r="BT119">
        <v>0</v>
      </c>
      <c r="BU119">
        <v>0</v>
      </c>
      <c r="BV119" t="s">
        <v>135</v>
      </c>
      <c r="BW119">
        <v>0</v>
      </c>
      <c r="BX119">
        <v>0</v>
      </c>
      <c r="BY119" t="s">
        <v>135</v>
      </c>
      <c r="BZ119">
        <v>0</v>
      </c>
      <c r="CA119">
        <v>0</v>
      </c>
      <c r="CB119" t="s">
        <v>135</v>
      </c>
      <c r="CH119" s="2"/>
      <c r="CJ119" s="2"/>
      <c r="CL119" s="2"/>
      <c r="CN119" s="2"/>
      <c r="CQ119" s="2"/>
      <c r="CT119" s="2"/>
      <c r="CW119" s="2"/>
    </row>
    <row r="120" spans="1:101" x14ac:dyDescent="0.25">
      <c r="A120" s="1" t="s">
        <v>163</v>
      </c>
      <c r="B120" s="75" t="s">
        <v>164</v>
      </c>
      <c r="C120">
        <v>0</v>
      </c>
      <c r="D120">
        <v>0</v>
      </c>
      <c r="E120">
        <v>0</v>
      </c>
      <c r="F120">
        <v>604324.56000000006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3.91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7490</v>
      </c>
      <c r="AW120">
        <v>3350</v>
      </c>
      <c r="AX120">
        <v>1219</v>
      </c>
      <c r="AY120">
        <v>12059</v>
      </c>
      <c r="AZ120">
        <v>4202</v>
      </c>
      <c r="BA120">
        <v>7438</v>
      </c>
      <c r="BB120">
        <v>1432</v>
      </c>
      <c r="BC120">
        <v>13072</v>
      </c>
      <c r="BD120">
        <v>9486</v>
      </c>
      <c r="BE120">
        <v>9222</v>
      </c>
      <c r="BF120">
        <v>1768</v>
      </c>
      <c r="BG120">
        <v>20476</v>
      </c>
      <c r="BH120">
        <v>0</v>
      </c>
      <c r="BI120">
        <v>0</v>
      </c>
      <c r="BJ120">
        <v>0</v>
      </c>
      <c r="BK120">
        <v>0</v>
      </c>
      <c r="BL120" s="2">
        <v>24.82</v>
      </c>
      <c r="BM120" s="2">
        <v>42005.095138888886</v>
      </c>
      <c r="BN120" s="2">
        <v>5.4</v>
      </c>
      <c r="BO120" s="2">
        <v>42005.092361111114</v>
      </c>
      <c r="BP120" s="2">
        <v>6.92</v>
      </c>
      <c r="BQ120" s="2">
        <v>42005.092361111114</v>
      </c>
      <c r="BR120" s="2">
        <v>11.07</v>
      </c>
      <c r="BS120" s="2">
        <v>42005.092361111114</v>
      </c>
      <c r="BT120">
        <v>0</v>
      </c>
      <c r="BU120">
        <v>0</v>
      </c>
      <c r="BV120" t="s">
        <v>135</v>
      </c>
      <c r="BW120">
        <v>0</v>
      </c>
      <c r="BX120">
        <v>0</v>
      </c>
      <c r="BY120" t="s">
        <v>135</v>
      </c>
      <c r="BZ120">
        <v>0</v>
      </c>
      <c r="CA120">
        <v>0</v>
      </c>
      <c r="CB120" t="s">
        <v>135</v>
      </c>
      <c r="CH120" s="2"/>
      <c r="CJ120" s="2"/>
      <c r="CL120" s="2"/>
      <c r="CN120" s="2"/>
      <c r="CQ120" s="2"/>
      <c r="CT120" s="2"/>
      <c r="CW120" s="2"/>
    </row>
    <row r="121" spans="1:101" x14ac:dyDescent="0.25">
      <c r="A121" s="1" t="s">
        <v>163</v>
      </c>
      <c r="B121" s="75" t="s">
        <v>164</v>
      </c>
      <c r="C121">
        <v>0</v>
      </c>
      <c r="D121">
        <v>0</v>
      </c>
      <c r="E121">
        <v>0</v>
      </c>
      <c r="F121">
        <v>604324.56000000006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3.91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7490</v>
      </c>
      <c r="AW121">
        <v>3350</v>
      </c>
      <c r="AX121">
        <v>1219</v>
      </c>
      <c r="AY121">
        <v>12059</v>
      </c>
      <c r="AZ121">
        <v>4202</v>
      </c>
      <c r="BA121">
        <v>7438</v>
      </c>
      <c r="BB121">
        <v>1432</v>
      </c>
      <c r="BC121">
        <v>13072</v>
      </c>
      <c r="BD121">
        <v>9486</v>
      </c>
      <c r="BE121">
        <v>9222</v>
      </c>
      <c r="BF121">
        <v>1768</v>
      </c>
      <c r="BG121">
        <v>20476</v>
      </c>
      <c r="BH121">
        <v>0</v>
      </c>
      <c r="BI121">
        <v>0</v>
      </c>
      <c r="BJ121">
        <v>0</v>
      </c>
      <c r="BK121">
        <v>0</v>
      </c>
      <c r="BL121" s="2">
        <v>24.82</v>
      </c>
      <c r="BM121" s="2">
        <v>42005.095138888886</v>
      </c>
      <c r="BN121" s="2">
        <v>5.4</v>
      </c>
      <c r="BO121" s="2">
        <v>42005.092361111114</v>
      </c>
      <c r="BP121" s="2">
        <v>6.92</v>
      </c>
      <c r="BQ121" s="2">
        <v>42005.092361111114</v>
      </c>
      <c r="BR121" s="2">
        <v>11.07</v>
      </c>
      <c r="BS121" s="2">
        <v>42005.092361111114</v>
      </c>
      <c r="BT121">
        <v>0</v>
      </c>
      <c r="BU121">
        <v>0</v>
      </c>
      <c r="BV121" t="s">
        <v>135</v>
      </c>
      <c r="BW121">
        <v>0</v>
      </c>
      <c r="BX121">
        <v>0</v>
      </c>
      <c r="BY121" t="s">
        <v>135</v>
      </c>
      <c r="BZ121">
        <v>0</v>
      </c>
      <c r="CA121">
        <v>0</v>
      </c>
      <c r="CB121" t="s">
        <v>135</v>
      </c>
      <c r="CH121" s="2"/>
      <c r="CJ121" s="2"/>
      <c r="CL121" s="2"/>
      <c r="CN121" s="2"/>
      <c r="CQ121" s="2"/>
      <c r="CT121" s="2"/>
      <c r="CW121" s="2"/>
    </row>
    <row r="122" spans="1:101" x14ac:dyDescent="0.25">
      <c r="A122" s="1" t="s">
        <v>163</v>
      </c>
      <c r="B122" s="75" t="s">
        <v>164</v>
      </c>
      <c r="C122">
        <v>0</v>
      </c>
      <c r="D122">
        <v>0</v>
      </c>
      <c r="E122">
        <v>0</v>
      </c>
      <c r="F122">
        <v>604324.56000000006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3.91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7490</v>
      </c>
      <c r="AW122">
        <v>3350</v>
      </c>
      <c r="AX122">
        <v>1219</v>
      </c>
      <c r="AY122">
        <v>12059</v>
      </c>
      <c r="AZ122">
        <v>4202</v>
      </c>
      <c r="BA122">
        <v>7438</v>
      </c>
      <c r="BB122">
        <v>1432</v>
      </c>
      <c r="BC122">
        <v>13072</v>
      </c>
      <c r="BD122">
        <v>9486</v>
      </c>
      <c r="BE122">
        <v>9222</v>
      </c>
      <c r="BF122">
        <v>1768</v>
      </c>
      <c r="BG122">
        <v>20476</v>
      </c>
      <c r="BH122">
        <v>0</v>
      </c>
      <c r="BI122">
        <v>0</v>
      </c>
      <c r="BJ122">
        <v>0</v>
      </c>
      <c r="BK122">
        <v>0</v>
      </c>
      <c r="BL122" s="2">
        <v>24.82</v>
      </c>
      <c r="BM122" s="2">
        <v>42005.095138888886</v>
      </c>
      <c r="BN122" s="2">
        <v>5.4</v>
      </c>
      <c r="BO122" s="2">
        <v>42005.092361111114</v>
      </c>
      <c r="BP122" s="2">
        <v>6.92</v>
      </c>
      <c r="BQ122" s="2">
        <v>42005.092361111114</v>
      </c>
      <c r="BR122" s="2">
        <v>11.07</v>
      </c>
      <c r="BS122" s="2">
        <v>42005.092361111114</v>
      </c>
      <c r="BT122">
        <v>0</v>
      </c>
      <c r="BU122">
        <v>0</v>
      </c>
      <c r="BV122" t="s">
        <v>135</v>
      </c>
      <c r="BW122">
        <v>0</v>
      </c>
      <c r="BX122">
        <v>0</v>
      </c>
      <c r="BY122" t="s">
        <v>135</v>
      </c>
      <c r="BZ122">
        <v>0</v>
      </c>
      <c r="CA122">
        <v>0</v>
      </c>
      <c r="CB122" t="s">
        <v>135</v>
      </c>
      <c r="CH122" s="2"/>
      <c r="CJ122" s="2"/>
      <c r="CL122" s="2"/>
      <c r="CN122" s="2"/>
      <c r="CQ122" s="2"/>
      <c r="CT122" s="2"/>
      <c r="CW122" s="2"/>
    </row>
    <row r="123" spans="1:101" x14ac:dyDescent="0.25">
      <c r="A123" s="1" t="s">
        <v>163</v>
      </c>
      <c r="B123" s="75" t="s">
        <v>164</v>
      </c>
      <c r="C123">
        <v>0</v>
      </c>
      <c r="D123">
        <v>0</v>
      </c>
      <c r="E123">
        <v>0</v>
      </c>
      <c r="F123">
        <v>604324.56000000006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3.91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7490</v>
      </c>
      <c r="AW123">
        <v>3350</v>
      </c>
      <c r="AX123">
        <v>1219</v>
      </c>
      <c r="AY123">
        <v>12059</v>
      </c>
      <c r="AZ123">
        <v>4202</v>
      </c>
      <c r="BA123">
        <v>7438</v>
      </c>
      <c r="BB123">
        <v>1432</v>
      </c>
      <c r="BC123">
        <v>13072</v>
      </c>
      <c r="BD123">
        <v>9486</v>
      </c>
      <c r="BE123">
        <v>9222</v>
      </c>
      <c r="BF123">
        <v>1768</v>
      </c>
      <c r="BG123">
        <v>20476</v>
      </c>
      <c r="BH123">
        <v>0</v>
      </c>
      <c r="BI123">
        <v>0</v>
      </c>
      <c r="BJ123">
        <v>0</v>
      </c>
      <c r="BK123">
        <v>0</v>
      </c>
      <c r="BL123" s="2">
        <v>24.82</v>
      </c>
      <c r="BM123" s="2">
        <v>42005.095138888886</v>
      </c>
      <c r="BN123" s="2">
        <v>5.4</v>
      </c>
      <c r="BO123" s="2">
        <v>42005.092361111114</v>
      </c>
      <c r="BP123" s="2">
        <v>6.92</v>
      </c>
      <c r="BQ123" s="2">
        <v>42005.092361111114</v>
      </c>
      <c r="BR123" s="2">
        <v>11.07</v>
      </c>
      <c r="BS123" s="2">
        <v>42005.092361111114</v>
      </c>
      <c r="BT123">
        <v>0</v>
      </c>
      <c r="BU123">
        <v>0</v>
      </c>
      <c r="BV123" t="s">
        <v>135</v>
      </c>
      <c r="BW123">
        <v>0</v>
      </c>
      <c r="BX123">
        <v>0</v>
      </c>
      <c r="BY123" t="s">
        <v>135</v>
      </c>
      <c r="BZ123">
        <v>0</v>
      </c>
      <c r="CA123">
        <v>0</v>
      </c>
      <c r="CB123" t="s">
        <v>135</v>
      </c>
      <c r="CH123" s="2"/>
      <c r="CJ123" s="2"/>
      <c r="CL123" s="2"/>
      <c r="CN123" s="2"/>
      <c r="CQ123" s="2"/>
      <c r="CT123" s="2"/>
      <c r="CW123" s="2"/>
    </row>
    <row r="124" spans="1:101" x14ac:dyDescent="0.25">
      <c r="A124" s="1" t="s">
        <v>163</v>
      </c>
      <c r="B124" s="75" t="s">
        <v>164</v>
      </c>
      <c r="C124">
        <v>0</v>
      </c>
      <c r="D124">
        <v>0</v>
      </c>
      <c r="E124">
        <v>0</v>
      </c>
      <c r="F124">
        <v>604324.56000000006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3.91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7490</v>
      </c>
      <c r="AW124">
        <v>3350</v>
      </c>
      <c r="AX124">
        <v>1219</v>
      </c>
      <c r="AY124">
        <v>12059</v>
      </c>
      <c r="AZ124">
        <v>4202</v>
      </c>
      <c r="BA124">
        <v>7438</v>
      </c>
      <c r="BB124">
        <v>1432</v>
      </c>
      <c r="BC124">
        <v>13072</v>
      </c>
      <c r="BD124">
        <v>9486</v>
      </c>
      <c r="BE124">
        <v>9222</v>
      </c>
      <c r="BF124">
        <v>1768</v>
      </c>
      <c r="BG124">
        <v>20476</v>
      </c>
      <c r="BH124">
        <v>0</v>
      </c>
      <c r="BI124">
        <v>0</v>
      </c>
      <c r="BJ124">
        <v>0</v>
      </c>
      <c r="BK124">
        <v>0</v>
      </c>
      <c r="BL124" s="2">
        <v>24.82</v>
      </c>
      <c r="BM124" s="2">
        <v>42005.095138888886</v>
      </c>
      <c r="BN124" s="2">
        <v>5.4</v>
      </c>
      <c r="BO124" s="2">
        <v>42005.092361111114</v>
      </c>
      <c r="BP124" s="2">
        <v>6.92</v>
      </c>
      <c r="BQ124" s="2">
        <v>42005.092361111114</v>
      </c>
      <c r="BR124" s="2">
        <v>11.07</v>
      </c>
      <c r="BS124" s="2">
        <v>42005.092361111114</v>
      </c>
      <c r="BT124">
        <v>0</v>
      </c>
      <c r="BU124">
        <v>0</v>
      </c>
      <c r="BV124" t="s">
        <v>135</v>
      </c>
      <c r="BW124">
        <v>0</v>
      </c>
      <c r="BX124">
        <v>0</v>
      </c>
      <c r="BY124" t="s">
        <v>135</v>
      </c>
      <c r="BZ124">
        <v>0</v>
      </c>
      <c r="CA124">
        <v>0</v>
      </c>
      <c r="CB124" t="s">
        <v>135</v>
      </c>
      <c r="CH124" s="2"/>
      <c r="CJ124" s="2"/>
      <c r="CL124" s="2"/>
      <c r="CN124" s="2"/>
      <c r="CQ124" s="2"/>
      <c r="CT124" s="2"/>
      <c r="CW124" s="2"/>
    </row>
    <row r="125" spans="1:101" x14ac:dyDescent="0.25">
      <c r="A125" s="1" t="s">
        <v>163</v>
      </c>
      <c r="B125" s="75" t="s">
        <v>164</v>
      </c>
      <c r="C125">
        <v>0</v>
      </c>
      <c r="D125">
        <v>0</v>
      </c>
      <c r="E125">
        <v>0</v>
      </c>
      <c r="F125">
        <v>604324.56000000006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3.91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7490</v>
      </c>
      <c r="AW125">
        <v>3350</v>
      </c>
      <c r="AX125">
        <v>1219</v>
      </c>
      <c r="AY125">
        <v>12059</v>
      </c>
      <c r="AZ125">
        <v>4202</v>
      </c>
      <c r="BA125">
        <v>7438</v>
      </c>
      <c r="BB125">
        <v>1432</v>
      </c>
      <c r="BC125">
        <v>13072</v>
      </c>
      <c r="BD125">
        <v>9486</v>
      </c>
      <c r="BE125">
        <v>9222</v>
      </c>
      <c r="BF125">
        <v>1768</v>
      </c>
      <c r="BG125">
        <v>20476</v>
      </c>
      <c r="BH125">
        <v>0</v>
      </c>
      <c r="BI125">
        <v>0</v>
      </c>
      <c r="BJ125">
        <v>0</v>
      </c>
      <c r="BK125">
        <v>0</v>
      </c>
      <c r="BL125" s="2">
        <v>24.82</v>
      </c>
      <c r="BM125" s="2">
        <v>42005.095138888886</v>
      </c>
      <c r="BN125" s="2">
        <v>5.4</v>
      </c>
      <c r="BO125" s="2">
        <v>42005.092361111114</v>
      </c>
      <c r="BP125" s="2">
        <v>6.92</v>
      </c>
      <c r="BQ125" s="2">
        <v>42005.092361111114</v>
      </c>
      <c r="BR125" s="2">
        <v>11.07</v>
      </c>
      <c r="BS125" s="2">
        <v>42005.092361111114</v>
      </c>
      <c r="BT125">
        <v>0</v>
      </c>
      <c r="BU125">
        <v>0</v>
      </c>
      <c r="BV125" t="s">
        <v>135</v>
      </c>
      <c r="BW125">
        <v>0</v>
      </c>
      <c r="BX125">
        <v>0</v>
      </c>
      <c r="BY125" t="s">
        <v>135</v>
      </c>
      <c r="BZ125">
        <v>0</v>
      </c>
      <c r="CA125">
        <v>0</v>
      </c>
      <c r="CB125" t="s">
        <v>135</v>
      </c>
      <c r="CH125" s="2"/>
      <c r="CJ125" s="2"/>
      <c r="CL125" s="2"/>
      <c r="CN125" s="2"/>
      <c r="CQ125" s="2"/>
      <c r="CT125" s="2"/>
      <c r="CW125" s="2"/>
    </row>
    <row r="126" spans="1:101" x14ac:dyDescent="0.25">
      <c r="A126" s="1" t="s">
        <v>163</v>
      </c>
      <c r="B126" s="75" t="s">
        <v>164</v>
      </c>
      <c r="C126">
        <v>0</v>
      </c>
      <c r="D126">
        <v>0</v>
      </c>
      <c r="E126">
        <v>0</v>
      </c>
      <c r="F126">
        <v>604324.56000000006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3.91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7490</v>
      </c>
      <c r="AW126">
        <v>3350</v>
      </c>
      <c r="AX126">
        <v>1219</v>
      </c>
      <c r="AY126">
        <v>12059</v>
      </c>
      <c r="AZ126">
        <v>4202</v>
      </c>
      <c r="BA126">
        <v>7438</v>
      </c>
      <c r="BB126">
        <v>1432</v>
      </c>
      <c r="BC126">
        <v>13072</v>
      </c>
      <c r="BD126">
        <v>9486</v>
      </c>
      <c r="BE126">
        <v>9222</v>
      </c>
      <c r="BF126">
        <v>1768</v>
      </c>
      <c r="BG126">
        <v>20476</v>
      </c>
      <c r="BH126">
        <v>0</v>
      </c>
      <c r="BI126">
        <v>0</v>
      </c>
      <c r="BJ126">
        <v>0</v>
      </c>
      <c r="BK126">
        <v>0</v>
      </c>
      <c r="BL126" s="2">
        <v>24.82</v>
      </c>
      <c r="BM126" s="2">
        <v>42005.095138888886</v>
      </c>
      <c r="BN126" s="2">
        <v>5.4</v>
      </c>
      <c r="BO126" s="2">
        <v>42005.092361111114</v>
      </c>
      <c r="BP126" s="2">
        <v>6.92</v>
      </c>
      <c r="BQ126" s="2">
        <v>42005.092361111114</v>
      </c>
      <c r="BR126" s="2">
        <v>11.07</v>
      </c>
      <c r="BS126" s="2">
        <v>42005.092361111114</v>
      </c>
      <c r="BT126">
        <v>0</v>
      </c>
      <c r="BU126">
        <v>0</v>
      </c>
      <c r="BV126" t="s">
        <v>135</v>
      </c>
      <c r="BW126">
        <v>0</v>
      </c>
      <c r="BX126">
        <v>0</v>
      </c>
      <c r="BY126" t="s">
        <v>135</v>
      </c>
      <c r="BZ126">
        <v>0</v>
      </c>
      <c r="CA126">
        <v>0</v>
      </c>
      <c r="CB126" t="s">
        <v>135</v>
      </c>
      <c r="CH126" s="2"/>
      <c r="CJ126" s="2"/>
      <c r="CL126" s="2"/>
      <c r="CN126" s="2"/>
      <c r="CQ126" s="2"/>
      <c r="CT126" s="2"/>
      <c r="CW126" s="2"/>
    </row>
    <row r="127" spans="1:101" x14ac:dyDescent="0.25">
      <c r="A127" s="1" t="s">
        <v>163</v>
      </c>
      <c r="B127" s="75" t="s">
        <v>164</v>
      </c>
      <c r="C127">
        <v>0</v>
      </c>
      <c r="D127">
        <v>0</v>
      </c>
      <c r="E127">
        <v>0</v>
      </c>
      <c r="F127">
        <v>604324.56000000006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3.91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7490</v>
      </c>
      <c r="AW127">
        <v>3350</v>
      </c>
      <c r="AX127">
        <v>1219</v>
      </c>
      <c r="AY127">
        <v>12059</v>
      </c>
      <c r="AZ127">
        <v>4202</v>
      </c>
      <c r="BA127">
        <v>7438</v>
      </c>
      <c r="BB127">
        <v>1432</v>
      </c>
      <c r="BC127">
        <v>13072</v>
      </c>
      <c r="BD127">
        <v>9486</v>
      </c>
      <c r="BE127">
        <v>9222</v>
      </c>
      <c r="BF127">
        <v>1768</v>
      </c>
      <c r="BG127">
        <v>20476</v>
      </c>
      <c r="BH127">
        <v>0</v>
      </c>
      <c r="BI127">
        <v>0</v>
      </c>
      <c r="BJ127">
        <v>0</v>
      </c>
      <c r="BK127">
        <v>0</v>
      </c>
      <c r="BL127" s="2">
        <v>24.82</v>
      </c>
      <c r="BM127" s="2">
        <v>42005.095138888886</v>
      </c>
      <c r="BN127" s="2">
        <v>5.4</v>
      </c>
      <c r="BO127" s="2">
        <v>42005.092361111114</v>
      </c>
      <c r="BP127" s="2">
        <v>6.92</v>
      </c>
      <c r="BQ127" s="2">
        <v>42005.092361111114</v>
      </c>
      <c r="BR127" s="2">
        <v>11.07</v>
      </c>
      <c r="BS127" s="2">
        <v>42005.092361111114</v>
      </c>
      <c r="BT127">
        <v>0</v>
      </c>
      <c r="BU127">
        <v>0</v>
      </c>
      <c r="BV127" t="s">
        <v>135</v>
      </c>
      <c r="BW127">
        <v>0</v>
      </c>
      <c r="BX127">
        <v>0</v>
      </c>
      <c r="BY127" t="s">
        <v>135</v>
      </c>
      <c r="BZ127">
        <v>0</v>
      </c>
      <c r="CA127">
        <v>0</v>
      </c>
      <c r="CB127" t="s">
        <v>135</v>
      </c>
      <c r="CH127" s="2"/>
      <c r="CJ127" s="2"/>
      <c r="CL127" s="2"/>
      <c r="CN127" s="2"/>
      <c r="CQ127" s="2"/>
      <c r="CT127" s="2"/>
      <c r="CW127" s="2"/>
    </row>
    <row r="128" spans="1:101" x14ac:dyDescent="0.25">
      <c r="A128" s="1" t="s">
        <v>163</v>
      </c>
      <c r="B128" s="75" t="s">
        <v>164</v>
      </c>
      <c r="C128">
        <v>0</v>
      </c>
      <c r="D128">
        <v>0</v>
      </c>
      <c r="E128">
        <v>0</v>
      </c>
      <c r="F128">
        <v>604324.56000000006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3.91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7490</v>
      </c>
      <c r="AW128">
        <v>3350</v>
      </c>
      <c r="AX128">
        <v>1219</v>
      </c>
      <c r="AY128">
        <v>12059</v>
      </c>
      <c r="AZ128">
        <v>4202</v>
      </c>
      <c r="BA128">
        <v>7438</v>
      </c>
      <c r="BB128">
        <v>1432</v>
      </c>
      <c r="BC128">
        <v>13072</v>
      </c>
      <c r="BD128">
        <v>9486</v>
      </c>
      <c r="BE128">
        <v>9222</v>
      </c>
      <c r="BF128">
        <v>1768</v>
      </c>
      <c r="BG128">
        <v>20476</v>
      </c>
      <c r="BH128">
        <v>0</v>
      </c>
      <c r="BI128">
        <v>0</v>
      </c>
      <c r="BJ128">
        <v>0</v>
      </c>
      <c r="BK128">
        <v>0</v>
      </c>
      <c r="BL128" s="2">
        <v>24.82</v>
      </c>
      <c r="BM128" s="2">
        <v>42005.095138888886</v>
      </c>
      <c r="BN128" s="2">
        <v>5.4</v>
      </c>
      <c r="BO128" s="2">
        <v>42005.092361111114</v>
      </c>
      <c r="BP128" s="2">
        <v>6.92</v>
      </c>
      <c r="BQ128" s="2">
        <v>42005.092361111114</v>
      </c>
      <c r="BR128" s="2">
        <v>11.07</v>
      </c>
      <c r="BS128" s="2">
        <v>42005.092361111114</v>
      </c>
      <c r="BT128">
        <v>0</v>
      </c>
      <c r="BU128">
        <v>0</v>
      </c>
      <c r="BV128" t="s">
        <v>135</v>
      </c>
      <c r="BW128">
        <v>0</v>
      </c>
      <c r="BX128">
        <v>0</v>
      </c>
      <c r="BY128" t="s">
        <v>135</v>
      </c>
      <c r="BZ128">
        <v>0</v>
      </c>
      <c r="CA128">
        <v>0</v>
      </c>
      <c r="CB128" t="s">
        <v>135</v>
      </c>
      <c r="CH128" s="2"/>
      <c r="CJ128" s="2"/>
      <c r="CL128" s="2"/>
      <c r="CN128" s="2"/>
      <c r="CQ128" s="2"/>
      <c r="CT128" s="2"/>
      <c r="CW128" s="2"/>
    </row>
    <row r="129" spans="1:101" x14ac:dyDescent="0.25">
      <c r="A129" s="1" t="s">
        <v>163</v>
      </c>
      <c r="B129" s="75" t="s">
        <v>164</v>
      </c>
      <c r="C129">
        <v>0</v>
      </c>
      <c r="D129">
        <v>0</v>
      </c>
      <c r="E129">
        <v>0</v>
      </c>
      <c r="F129">
        <v>604324.56000000006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3.91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7490</v>
      </c>
      <c r="AW129">
        <v>3350</v>
      </c>
      <c r="AX129">
        <v>1219</v>
      </c>
      <c r="AY129">
        <v>12059</v>
      </c>
      <c r="AZ129">
        <v>4202</v>
      </c>
      <c r="BA129">
        <v>7438</v>
      </c>
      <c r="BB129">
        <v>1432</v>
      </c>
      <c r="BC129">
        <v>13072</v>
      </c>
      <c r="BD129">
        <v>9486</v>
      </c>
      <c r="BE129">
        <v>9222</v>
      </c>
      <c r="BF129">
        <v>1768</v>
      </c>
      <c r="BG129">
        <v>20476</v>
      </c>
      <c r="BH129">
        <v>0</v>
      </c>
      <c r="BI129">
        <v>0</v>
      </c>
      <c r="BJ129">
        <v>0</v>
      </c>
      <c r="BK129">
        <v>0</v>
      </c>
      <c r="BL129" s="2">
        <v>24.82</v>
      </c>
      <c r="BM129" s="2">
        <v>42005.095138888886</v>
      </c>
      <c r="BN129" s="2">
        <v>5.4</v>
      </c>
      <c r="BO129" s="2">
        <v>42005.092361111114</v>
      </c>
      <c r="BP129" s="2">
        <v>6.92</v>
      </c>
      <c r="BQ129" s="2">
        <v>42005.092361111114</v>
      </c>
      <c r="BR129" s="2">
        <v>11.07</v>
      </c>
      <c r="BS129" s="2">
        <v>42005.092361111114</v>
      </c>
      <c r="BT129">
        <v>0</v>
      </c>
      <c r="BU129">
        <v>0</v>
      </c>
      <c r="BV129" t="s">
        <v>135</v>
      </c>
      <c r="BW129">
        <v>0</v>
      </c>
      <c r="BX129">
        <v>0</v>
      </c>
      <c r="BY129" t="s">
        <v>135</v>
      </c>
      <c r="BZ129">
        <v>0</v>
      </c>
      <c r="CA129">
        <v>0</v>
      </c>
      <c r="CB129" t="s">
        <v>135</v>
      </c>
      <c r="CH129" s="2"/>
      <c r="CJ129" s="2"/>
      <c r="CL129" s="2"/>
      <c r="CN129" s="2"/>
      <c r="CQ129" s="2"/>
      <c r="CT129" s="2"/>
      <c r="CW129" s="2"/>
    </row>
    <row r="130" spans="1:101" x14ac:dyDescent="0.25">
      <c r="A130" s="1" t="s">
        <v>163</v>
      </c>
      <c r="B130" s="75" t="s">
        <v>164</v>
      </c>
      <c r="C130">
        <v>0</v>
      </c>
      <c r="D130">
        <v>0</v>
      </c>
      <c r="E130">
        <v>0</v>
      </c>
      <c r="F130">
        <v>604324.56000000006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3.91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7490</v>
      </c>
      <c r="AW130">
        <v>3350</v>
      </c>
      <c r="AX130">
        <v>1219</v>
      </c>
      <c r="AY130">
        <v>12059</v>
      </c>
      <c r="AZ130">
        <v>4202</v>
      </c>
      <c r="BA130">
        <v>7438</v>
      </c>
      <c r="BB130">
        <v>1432</v>
      </c>
      <c r="BC130">
        <v>13072</v>
      </c>
      <c r="BD130">
        <v>9486</v>
      </c>
      <c r="BE130">
        <v>9222</v>
      </c>
      <c r="BF130">
        <v>1768</v>
      </c>
      <c r="BG130">
        <v>20476</v>
      </c>
      <c r="BH130">
        <v>0</v>
      </c>
      <c r="BI130">
        <v>0</v>
      </c>
      <c r="BJ130">
        <v>0</v>
      </c>
      <c r="BK130">
        <v>0</v>
      </c>
      <c r="BL130" s="2">
        <v>24.82</v>
      </c>
      <c r="BM130" s="2">
        <v>42005.095138888886</v>
      </c>
      <c r="BN130" s="2">
        <v>5.4</v>
      </c>
      <c r="BO130" s="2">
        <v>42005.092361111114</v>
      </c>
      <c r="BP130" s="2">
        <v>6.92</v>
      </c>
      <c r="BQ130" s="2">
        <v>42005.092361111114</v>
      </c>
      <c r="BR130" s="2">
        <v>11.07</v>
      </c>
      <c r="BS130" s="2">
        <v>42005.092361111114</v>
      </c>
      <c r="BT130">
        <v>0</v>
      </c>
      <c r="BU130">
        <v>0</v>
      </c>
      <c r="BV130" t="s">
        <v>135</v>
      </c>
      <c r="BW130">
        <v>0</v>
      </c>
      <c r="BX130">
        <v>0</v>
      </c>
      <c r="BY130" t="s">
        <v>135</v>
      </c>
      <c r="BZ130">
        <v>0</v>
      </c>
      <c r="CA130">
        <v>0</v>
      </c>
      <c r="CB130" t="s">
        <v>135</v>
      </c>
      <c r="CH130" s="2"/>
      <c r="CJ130" s="2"/>
      <c r="CL130" s="2"/>
      <c r="CN130" s="2"/>
      <c r="CQ130" s="2"/>
      <c r="CT130" s="2"/>
      <c r="CW130" s="2"/>
    </row>
    <row r="131" spans="1:101" x14ac:dyDescent="0.25">
      <c r="A131" s="1" t="s">
        <v>163</v>
      </c>
      <c r="B131" s="75" t="s">
        <v>164</v>
      </c>
      <c r="C131">
        <v>0</v>
      </c>
      <c r="D131">
        <v>0</v>
      </c>
      <c r="E131">
        <v>0</v>
      </c>
      <c r="F131">
        <v>604324.56000000006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3.91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7490</v>
      </c>
      <c r="AW131">
        <v>3350</v>
      </c>
      <c r="AX131">
        <v>1219</v>
      </c>
      <c r="AY131">
        <v>12059</v>
      </c>
      <c r="AZ131">
        <v>4202</v>
      </c>
      <c r="BA131">
        <v>7438</v>
      </c>
      <c r="BB131">
        <v>1432</v>
      </c>
      <c r="BC131">
        <v>13072</v>
      </c>
      <c r="BD131">
        <v>9486</v>
      </c>
      <c r="BE131">
        <v>9222</v>
      </c>
      <c r="BF131">
        <v>1768</v>
      </c>
      <c r="BG131">
        <v>20476</v>
      </c>
      <c r="BH131">
        <v>0</v>
      </c>
      <c r="BI131">
        <v>0</v>
      </c>
      <c r="BJ131">
        <v>0</v>
      </c>
      <c r="BK131">
        <v>0</v>
      </c>
      <c r="BL131" s="2">
        <v>24.82</v>
      </c>
      <c r="BM131" s="2">
        <v>42005.095138888886</v>
      </c>
      <c r="BN131" s="2">
        <v>5.4</v>
      </c>
      <c r="BO131" s="2">
        <v>42005.092361111114</v>
      </c>
      <c r="BP131" s="2">
        <v>6.92</v>
      </c>
      <c r="BQ131" s="2">
        <v>42005.092361111114</v>
      </c>
      <c r="BR131" s="2">
        <v>11.07</v>
      </c>
      <c r="BS131" s="2">
        <v>42005.092361111114</v>
      </c>
      <c r="BT131">
        <v>0</v>
      </c>
      <c r="BU131">
        <v>0</v>
      </c>
      <c r="BV131" t="s">
        <v>135</v>
      </c>
      <c r="BW131">
        <v>0</v>
      </c>
      <c r="BX131">
        <v>0</v>
      </c>
      <c r="BY131" t="s">
        <v>135</v>
      </c>
      <c r="BZ131">
        <v>0</v>
      </c>
      <c r="CA131">
        <v>0</v>
      </c>
      <c r="CB131" t="s">
        <v>135</v>
      </c>
      <c r="CH131" s="2"/>
      <c r="CJ131" s="2"/>
      <c r="CL131" s="2"/>
      <c r="CN131" s="2"/>
      <c r="CQ131" s="2"/>
      <c r="CT131" s="2"/>
      <c r="CW131" s="2"/>
    </row>
    <row r="132" spans="1:101" x14ac:dyDescent="0.25">
      <c r="A132" s="1" t="s">
        <v>163</v>
      </c>
      <c r="B132" s="75" t="s">
        <v>164</v>
      </c>
      <c r="C132">
        <v>0</v>
      </c>
      <c r="D132">
        <v>0</v>
      </c>
      <c r="E132">
        <v>0</v>
      </c>
      <c r="F132">
        <v>604324.56000000006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3.91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7490</v>
      </c>
      <c r="AW132">
        <v>3350</v>
      </c>
      <c r="AX132">
        <v>1219</v>
      </c>
      <c r="AY132">
        <v>12059</v>
      </c>
      <c r="AZ132">
        <v>4202</v>
      </c>
      <c r="BA132">
        <v>7438</v>
      </c>
      <c r="BB132">
        <v>1432</v>
      </c>
      <c r="BC132">
        <v>13072</v>
      </c>
      <c r="BD132">
        <v>9486</v>
      </c>
      <c r="BE132">
        <v>9222</v>
      </c>
      <c r="BF132">
        <v>1768</v>
      </c>
      <c r="BG132">
        <v>20476</v>
      </c>
      <c r="BH132">
        <v>0</v>
      </c>
      <c r="BI132">
        <v>0</v>
      </c>
      <c r="BJ132">
        <v>0</v>
      </c>
      <c r="BK132">
        <v>0</v>
      </c>
      <c r="BL132" s="2">
        <v>24.82</v>
      </c>
      <c r="BM132" s="2">
        <v>42005.095138888886</v>
      </c>
      <c r="BN132" s="2">
        <v>5.4</v>
      </c>
      <c r="BO132" s="2">
        <v>42005.092361111114</v>
      </c>
      <c r="BP132" s="2">
        <v>6.92</v>
      </c>
      <c r="BQ132" s="2">
        <v>42005.092361111114</v>
      </c>
      <c r="BR132" s="2">
        <v>11.07</v>
      </c>
      <c r="BS132" s="2">
        <v>42005.092361111114</v>
      </c>
      <c r="BT132">
        <v>0</v>
      </c>
      <c r="BU132">
        <v>0</v>
      </c>
      <c r="BV132" t="s">
        <v>135</v>
      </c>
      <c r="BW132">
        <v>0</v>
      </c>
      <c r="BX132">
        <v>0</v>
      </c>
      <c r="BY132" t="s">
        <v>135</v>
      </c>
      <c r="BZ132">
        <v>0</v>
      </c>
      <c r="CA132">
        <v>0</v>
      </c>
      <c r="CB132" t="s">
        <v>135</v>
      </c>
      <c r="CH132" s="2"/>
      <c r="CJ132" s="2"/>
      <c r="CL132" s="2"/>
      <c r="CN132" s="2"/>
      <c r="CQ132" s="2"/>
      <c r="CT132" s="2"/>
      <c r="CW132" s="2"/>
    </row>
    <row r="133" spans="1:101" x14ac:dyDescent="0.25">
      <c r="A133" s="1" t="s">
        <v>163</v>
      </c>
      <c r="B133" s="75" t="s">
        <v>164</v>
      </c>
      <c r="C133">
        <v>0</v>
      </c>
      <c r="D133">
        <v>0</v>
      </c>
      <c r="E133">
        <v>0</v>
      </c>
      <c r="F133">
        <v>604324.56000000006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3.91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7490</v>
      </c>
      <c r="AW133">
        <v>3350</v>
      </c>
      <c r="AX133">
        <v>1219</v>
      </c>
      <c r="AY133">
        <v>12059</v>
      </c>
      <c r="AZ133">
        <v>4202</v>
      </c>
      <c r="BA133">
        <v>7438</v>
      </c>
      <c r="BB133">
        <v>1432</v>
      </c>
      <c r="BC133">
        <v>13072</v>
      </c>
      <c r="BD133">
        <v>9486</v>
      </c>
      <c r="BE133">
        <v>9222</v>
      </c>
      <c r="BF133">
        <v>1768</v>
      </c>
      <c r="BG133">
        <v>20476</v>
      </c>
      <c r="BH133">
        <v>0</v>
      </c>
      <c r="BI133">
        <v>0</v>
      </c>
      <c r="BJ133">
        <v>0</v>
      </c>
      <c r="BK133">
        <v>0</v>
      </c>
      <c r="BL133" s="2">
        <v>24.82</v>
      </c>
      <c r="BM133" s="2">
        <v>42005.095138888886</v>
      </c>
      <c r="BN133" s="2">
        <v>5.4</v>
      </c>
      <c r="BO133" s="2">
        <v>42005.092361111114</v>
      </c>
      <c r="BP133" s="2">
        <v>6.92</v>
      </c>
      <c r="BQ133" s="2">
        <v>42005.092361111114</v>
      </c>
      <c r="BR133" s="2">
        <v>11.07</v>
      </c>
      <c r="BS133" s="2">
        <v>42005.092361111114</v>
      </c>
      <c r="BT133">
        <v>0</v>
      </c>
      <c r="BU133">
        <v>0</v>
      </c>
      <c r="BV133" t="s">
        <v>135</v>
      </c>
      <c r="BW133">
        <v>0</v>
      </c>
      <c r="BX133">
        <v>0</v>
      </c>
      <c r="BY133" t="s">
        <v>135</v>
      </c>
      <c r="BZ133">
        <v>0</v>
      </c>
      <c r="CA133">
        <v>0</v>
      </c>
      <c r="CB133" t="s">
        <v>135</v>
      </c>
      <c r="CH133" s="2"/>
      <c r="CJ133" s="2"/>
      <c r="CL133" s="2"/>
      <c r="CN133" s="2"/>
      <c r="CQ133" s="2"/>
      <c r="CT133" s="2"/>
      <c r="CW133" s="2"/>
    </row>
    <row r="134" spans="1:101" x14ac:dyDescent="0.25">
      <c r="A134" s="1" t="s">
        <v>163</v>
      </c>
      <c r="B134" s="75" t="s">
        <v>164</v>
      </c>
      <c r="C134">
        <v>0</v>
      </c>
      <c r="D134">
        <v>0</v>
      </c>
      <c r="E134">
        <v>0</v>
      </c>
      <c r="F134">
        <v>604324.56000000006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3.91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7490</v>
      </c>
      <c r="AW134">
        <v>3350</v>
      </c>
      <c r="AX134">
        <v>1219</v>
      </c>
      <c r="AY134">
        <v>12059</v>
      </c>
      <c r="AZ134">
        <v>4202</v>
      </c>
      <c r="BA134">
        <v>7438</v>
      </c>
      <c r="BB134">
        <v>1432</v>
      </c>
      <c r="BC134">
        <v>13072</v>
      </c>
      <c r="BD134">
        <v>9486</v>
      </c>
      <c r="BE134">
        <v>9222</v>
      </c>
      <c r="BF134">
        <v>1768</v>
      </c>
      <c r="BG134">
        <v>20476</v>
      </c>
      <c r="BH134">
        <v>0</v>
      </c>
      <c r="BI134">
        <v>0</v>
      </c>
      <c r="BJ134">
        <v>0</v>
      </c>
      <c r="BK134">
        <v>0</v>
      </c>
      <c r="BL134" s="2">
        <v>24.82</v>
      </c>
      <c r="BM134" s="2">
        <v>42005.095138888886</v>
      </c>
      <c r="BN134" s="2">
        <v>5.4</v>
      </c>
      <c r="BO134" s="2">
        <v>42005.092361111114</v>
      </c>
      <c r="BP134" s="2">
        <v>6.92</v>
      </c>
      <c r="BQ134" s="2">
        <v>42005.092361111114</v>
      </c>
      <c r="BR134" s="2">
        <v>11.07</v>
      </c>
      <c r="BS134" s="2">
        <v>42005.092361111114</v>
      </c>
      <c r="BT134">
        <v>0</v>
      </c>
      <c r="BU134">
        <v>0</v>
      </c>
      <c r="BV134" t="s">
        <v>135</v>
      </c>
      <c r="BW134">
        <v>0</v>
      </c>
      <c r="BX134">
        <v>0</v>
      </c>
      <c r="BY134" t="s">
        <v>135</v>
      </c>
      <c r="BZ134">
        <v>0</v>
      </c>
      <c r="CA134">
        <v>0</v>
      </c>
      <c r="CB134" t="s">
        <v>135</v>
      </c>
      <c r="CH134" s="2"/>
      <c r="CJ134" s="2"/>
      <c r="CL134" s="2"/>
      <c r="CN134" s="2"/>
      <c r="CQ134" s="2"/>
      <c r="CT134" s="2"/>
      <c r="CW134" s="2"/>
    </row>
    <row r="135" spans="1:101" x14ac:dyDescent="0.25">
      <c r="A135" s="1" t="s">
        <v>163</v>
      </c>
      <c r="B135" s="75" t="s">
        <v>164</v>
      </c>
      <c r="C135">
        <v>0</v>
      </c>
      <c r="D135">
        <v>0</v>
      </c>
      <c r="E135">
        <v>0</v>
      </c>
      <c r="F135">
        <v>604324.56000000006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3.91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7490</v>
      </c>
      <c r="AW135">
        <v>3350</v>
      </c>
      <c r="AX135">
        <v>1219</v>
      </c>
      <c r="AY135">
        <v>12059</v>
      </c>
      <c r="AZ135">
        <v>4202</v>
      </c>
      <c r="BA135">
        <v>7438</v>
      </c>
      <c r="BB135">
        <v>1432</v>
      </c>
      <c r="BC135">
        <v>13072</v>
      </c>
      <c r="BD135">
        <v>9486</v>
      </c>
      <c r="BE135">
        <v>9222</v>
      </c>
      <c r="BF135">
        <v>1768</v>
      </c>
      <c r="BG135">
        <v>20476</v>
      </c>
      <c r="BH135">
        <v>0</v>
      </c>
      <c r="BI135">
        <v>0</v>
      </c>
      <c r="BJ135">
        <v>0</v>
      </c>
      <c r="BK135">
        <v>0</v>
      </c>
      <c r="BL135" s="2">
        <v>24.82</v>
      </c>
      <c r="BM135" s="2">
        <v>42005.095138888886</v>
      </c>
      <c r="BN135" s="2">
        <v>5.4</v>
      </c>
      <c r="BO135" s="2">
        <v>42005.092361111114</v>
      </c>
      <c r="BP135" s="2">
        <v>6.92</v>
      </c>
      <c r="BQ135" s="2">
        <v>42005.092361111114</v>
      </c>
      <c r="BR135" s="2">
        <v>11.07</v>
      </c>
      <c r="BS135" s="2">
        <v>42005.092361111114</v>
      </c>
      <c r="BT135">
        <v>0</v>
      </c>
      <c r="BU135">
        <v>0</v>
      </c>
      <c r="BV135" t="s">
        <v>135</v>
      </c>
      <c r="BW135">
        <v>0</v>
      </c>
      <c r="BX135">
        <v>0</v>
      </c>
      <c r="BY135" t="s">
        <v>135</v>
      </c>
      <c r="BZ135">
        <v>0</v>
      </c>
      <c r="CA135">
        <v>0</v>
      </c>
      <c r="CB135" t="s">
        <v>135</v>
      </c>
      <c r="CH135" s="2"/>
      <c r="CJ135" s="2"/>
      <c r="CL135" s="2"/>
      <c r="CN135" s="2"/>
      <c r="CQ135" s="2"/>
      <c r="CT135" s="2"/>
      <c r="CW135" s="2"/>
    </row>
    <row r="136" spans="1:101" x14ac:dyDescent="0.25">
      <c r="A136" s="1" t="s">
        <v>163</v>
      </c>
      <c r="B136" s="75" t="s">
        <v>164</v>
      </c>
      <c r="C136">
        <v>0</v>
      </c>
      <c r="D136">
        <v>0</v>
      </c>
      <c r="E136">
        <v>0</v>
      </c>
      <c r="F136">
        <v>604324.56000000006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3.91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7490</v>
      </c>
      <c r="AW136">
        <v>3350</v>
      </c>
      <c r="AX136">
        <v>1219</v>
      </c>
      <c r="AY136">
        <v>12059</v>
      </c>
      <c r="AZ136">
        <v>4202</v>
      </c>
      <c r="BA136">
        <v>7438</v>
      </c>
      <c r="BB136">
        <v>1432</v>
      </c>
      <c r="BC136">
        <v>13072</v>
      </c>
      <c r="BD136">
        <v>9486</v>
      </c>
      <c r="BE136">
        <v>9222</v>
      </c>
      <c r="BF136">
        <v>1768</v>
      </c>
      <c r="BG136">
        <v>20476</v>
      </c>
      <c r="BH136">
        <v>0</v>
      </c>
      <c r="BI136">
        <v>0</v>
      </c>
      <c r="BJ136">
        <v>0</v>
      </c>
      <c r="BK136">
        <v>0</v>
      </c>
      <c r="BL136" s="2">
        <v>24.82</v>
      </c>
      <c r="BM136" s="2">
        <v>42005.095138888886</v>
      </c>
      <c r="BN136" s="2">
        <v>5.4</v>
      </c>
      <c r="BO136" s="2">
        <v>42005.092361111114</v>
      </c>
      <c r="BP136" s="2">
        <v>6.92</v>
      </c>
      <c r="BQ136" s="2">
        <v>42005.092361111114</v>
      </c>
      <c r="BR136" s="2">
        <v>11.07</v>
      </c>
      <c r="BS136" s="2">
        <v>42005.092361111114</v>
      </c>
      <c r="BT136">
        <v>0</v>
      </c>
      <c r="BU136">
        <v>0</v>
      </c>
      <c r="BV136" t="s">
        <v>135</v>
      </c>
      <c r="BW136">
        <v>0</v>
      </c>
      <c r="BX136">
        <v>0</v>
      </c>
      <c r="BY136" t="s">
        <v>135</v>
      </c>
      <c r="BZ136">
        <v>0</v>
      </c>
      <c r="CA136">
        <v>0</v>
      </c>
      <c r="CB136" t="s">
        <v>135</v>
      </c>
      <c r="CH136" s="2"/>
      <c r="CJ136" s="2"/>
      <c r="CL136" s="2"/>
      <c r="CN136" s="2"/>
      <c r="CQ136" s="2"/>
      <c r="CT136" s="2"/>
      <c r="CW136" s="2"/>
    </row>
    <row r="137" spans="1:101" x14ac:dyDescent="0.25">
      <c r="A137" s="1" t="s">
        <v>163</v>
      </c>
      <c r="B137" s="75" t="s">
        <v>164</v>
      </c>
      <c r="C137">
        <v>0</v>
      </c>
      <c r="D137">
        <v>0</v>
      </c>
      <c r="E137">
        <v>0</v>
      </c>
      <c r="F137">
        <v>604324.56000000006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3.91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7490</v>
      </c>
      <c r="AW137">
        <v>3350</v>
      </c>
      <c r="AX137">
        <v>1219</v>
      </c>
      <c r="AY137">
        <v>12059</v>
      </c>
      <c r="AZ137">
        <v>4202</v>
      </c>
      <c r="BA137">
        <v>7438</v>
      </c>
      <c r="BB137">
        <v>1432</v>
      </c>
      <c r="BC137">
        <v>13072</v>
      </c>
      <c r="BD137">
        <v>9486</v>
      </c>
      <c r="BE137">
        <v>9222</v>
      </c>
      <c r="BF137">
        <v>1768</v>
      </c>
      <c r="BG137">
        <v>20476</v>
      </c>
      <c r="BH137">
        <v>0</v>
      </c>
      <c r="BI137">
        <v>0</v>
      </c>
      <c r="BJ137">
        <v>0</v>
      </c>
      <c r="BK137">
        <v>0</v>
      </c>
      <c r="BL137" s="2">
        <v>24.82</v>
      </c>
      <c r="BM137" s="2">
        <v>42005.095138888886</v>
      </c>
      <c r="BN137" s="2">
        <v>5.4</v>
      </c>
      <c r="BO137" s="2">
        <v>42005.092361111114</v>
      </c>
      <c r="BP137" s="2">
        <v>6.92</v>
      </c>
      <c r="BQ137" s="2">
        <v>42005.092361111114</v>
      </c>
      <c r="BR137" s="2">
        <v>11.07</v>
      </c>
      <c r="BS137" s="2">
        <v>42005.092361111114</v>
      </c>
      <c r="BT137">
        <v>0</v>
      </c>
      <c r="BU137">
        <v>0</v>
      </c>
      <c r="BV137" t="s">
        <v>135</v>
      </c>
      <c r="BW137">
        <v>0</v>
      </c>
      <c r="BX137">
        <v>0</v>
      </c>
      <c r="BY137" t="s">
        <v>135</v>
      </c>
      <c r="BZ137">
        <v>0</v>
      </c>
      <c r="CA137">
        <v>0</v>
      </c>
      <c r="CB137" t="s">
        <v>135</v>
      </c>
      <c r="CH137" s="2"/>
      <c r="CJ137" s="2"/>
      <c r="CL137" s="2"/>
      <c r="CN137" s="2"/>
      <c r="CQ137" s="2"/>
      <c r="CT137" s="2"/>
      <c r="CW137" s="2"/>
    </row>
    <row r="138" spans="1:101" x14ac:dyDescent="0.25">
      <c r="A138" s="1" t="s">
        <v>163</v>
      </c>
      <c r="B138" s="75" t="s">
        <v>164</v>
      </c>
      <c r="C138">
        <v>0</v>
      </c>
      <c r="D138">
        <v>0</v>
      </c>
      <c r="E138">
        <v>0</v>
      </c>
      <c r="F138">
        <v>604324.56000000006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3.91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7490</v>
      </c>
      <c r="AW138">
        <v>3350</v>
      </c>
      <c r="AX138">
        <v>1219</v>
      </c>
      <c r="AY138">
        <v>12059</v>
      </c>
      <c r="AZ138">
        <v>4202</v>
      </c>
      <c r="BA138">
        <v>7438</v>
      </c>
      <c r="BB138">
        <v>1432</v>
      </c>
      <c r="BC138">
        <v>13072</v>
      </c>
      <c r="BD138">
        <v>9486</v>
      </c>
      <c r="BE138">
        <v>9222</v>
      </c>
      <c r="BF138">
        <v>1768</v>
      </c>
      <c r="BG138">
        <v>20476</v>
      </c>
      <c r="BH138">
        <v>0</v>
      </c>
      <c r="BI138">
        <v>0</v>
      </c>
      <c r="BJ138">
        <v>0</v>
      </c>
      <c r="BK138">
        <v>0</v>
      </c>
      <c r="BL138" s="2">
        <v>24.82</v>
      </c>
      <c r="BM138" s="2">
        <v>42005.095138888886</v>
      </c>
      <c r="BN138" s="2">
        <v>5.4</v>
      </c>
      <c r="BO138" s="2">
        <v>42005.092361111114</v>
      </c>
      <c r="BP138" s="2">
        <v>6.92</v>
      </c>
      <c r="BQ138" s="2">
        <v>42005.092361111114</v>
      </c>
      <c r="BR138" s="2">
        <v>11.07</v>
      </c>
      <c r="BS138" s="2">
        <v>42005.092361111114</v>
      </c>
      <c r="BT138">
        <v>0</v>
      </c>
      <c r="BU138">
        <v>0</v>
      </c>
      <c r="BV138" t="s">
        <v>135</v>
      </c>
      <c r="BW138">
        <v>0</v>
      </c>
      <c r="BX138">
        <v>0</v>
      </c>
      <c r="BY138" t="s">
        <v>135</v>
      </c>
      <c r="BZ138">
        <v>0</v>
      </c>
      <c r="CA138">
        <v>0</v>
      </c>
      <c r="CB138" t="s">
        <v>135</v>
      </c>
      <c r="CH138" s="2"/>
      <c r="CJ138" s="2"/>
      <c r="CL138" s="2"/>
      <c r="CN138" s="2"/>
      <c r="CQ138" s="2"/>
      <c r="CT138" s="2"/>
      <c r="CW138" s="2"/>
    </row>
    <row r="139" spans="1:101" x14ac:dyDescent="0.25">
      <c r="A139" s="1" t="s">
        <v>163</v>
      </c>
      <c r="B139" s="75" t="s">
        <v>164</v>
      </c>
      <c r="C139">
        <v>0</v>
      </c>
      <c r="D139">
        <v>0</v>
      </c>
      <c r="E139">
        <v>0</v>
      </c>
      <c r="F139">
        <v>604324.56000000006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3.91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7490</v>
      </c>
      <c r="AW139">
        <v>3350</v>
      </c>
      <c r="AX139">
        <v>1219</v>
      </c>
      <c r="AY139">
        <v>12059</v>
      </c>
      <c r="AZ139">
        <v>4202</v>
      </c>
      <c r="BA139">
        <v>7438</v>
      </c>
      <c r="BB139">
        <v>1432</v>
      </c>
      <c r="BC139">
        <v>13072</v>
      </c>
      <c r="BD139">
        <v>9486</v>
      </c>
      <c r="BE139">
        <v>9222</v>
      </c>
      <c r="BF139">
        <v>1768</v>
      </c>
      <c r="BG139">
        <v>20476</v>
      </c>
      <c r="BH139">
        <v>0</v>
      </c>
      <c r="BI139">
        <v>0</v>
      </c>
      <c r="BJ139">
        <v>0</v>
      </c>
      <c r="BK139">
        <v>0</v>
      </c>
      <c r="BL139" s="2">
        <v>24.82</v>
      </c>
      <c r="BM139" s="2">
        <v>42005.095138888886</v>
      </c>
      <c r="BN139" s="2">
        <v>5.4</v>
      </c>
      <c r="BO139" s="2">
        <v>42005.092361111114</v>
      </c>
      <c r="BP139" s="2">
        <v>6.92</v>
      </c>
      <c r="BQ139" s="2">
        <v>42005.092361111114</v>
      </c>
      <c r="BR139" s="2">
        <v>11.07</v>
      </c>
      <c r="BS139" s="2">
        <v>42005.092361111114</v>
      </c>
      <c r="BT139">
        <v>0</v>
      </c>
      <c r="BU139">
        <v>0</v>
      </c>
      <c r="BV139" t="s">
        <v>135</v>
      </c>
      <c r="BW139">
        <v>0</v>
      </c>
      <c r="BX139">
        <v>0</v>
      </c>
      <c r="BY139" t="s">
        <v>135</v>
      </c>
      <c r="BZ139">
        <v>0</v>
      </c>
      <c r="CA139">
        <v>0</v>
      </c>
      <c r="CB139" t="s">
        <v>135</v>
      </c>
      <c r="CH139" s="2"/>
      <c r="CJ139" s="2"/>
      <c r="CL139" s="2"/>
      <c r="CN139" s="2"/>
      <c r="CQ139" s="2"/>
      <c r="CT139" s="2"/>
      <c r="CW139" s="2"/>
    </row>
    <row r="140" spans="1:101" x14ac:dyDescent="0.25">
      <c r="A140" s="1" t="s">
        <v>163</v>
      </c>
      <c r="B140" s="75" t="s">
        <v>164</v>
      </c>
      <c r="C140">
        <v>0</v>
      </c>
      <c r="D140">
        <v>0</v>
      </c>
      <c r="E140">
        <v>0</v>
      </c>
      <c r="F140">
        <v>604324.56000000006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3.91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7490</v>
      </c>
      <c r="AW140">
        <v>3350</v>
      </c>
      <c r="AX140">
        <v>1219</v>
      </c>
      <c r="AY140">
        <v>12059</v>
      </c>
      <c r="AZ140">
        <v>4202</v>
      </c>
      <c r="BA140">
        <v>7438</v>
      </c>
      <c r="BB140">
        <v>1432</v>
      </c>
      <c r="BC140">
        <v>13072</v>
      </c>
      <c r="BD140">
        <v>9486</v>
      </c>
      <c r="BE140">
        <v>9222</v>
      </c>
      <c r="BF140">
        <v>1768</v>
      </c>
      <c r="BG140">
        <v>20476</v>
      </c>
      <c r="BH140">
        <v>0</v>
      </c>
      <c r="BI140">
        <v>0</v>
      </c>
      <c r="BJ140">
        <v>0</v>
      </c>
      <c r="BK140">
        <v>0</v>
      </c>
      <c r="BL140" s="2">
        <v>24.82</v>
      </c>
      <c r="BM140" s="2">
        <v>42005.095138888886</v>
      </c>
      <c r="BN140" s="2">
        <v>5.4</v>
      </c>
      <c r="BO140" s="2">
        <v>42005.092361111114</v>
      </c>
      <c r="BP140" s="2">
        <v>6.92</v>
      </c>
      <c r="BQ140" s="2">
        <v>42005.092361111114</v>
      </c>
      <c r="BR140" s="2">
        <v>11.07</v>
      </c>
      <c r="BS140" s="2">
        <v>42005.092361111114</v>
      </c>
      <c r="BT140">
        <v>0</v>
      </c>
      <c r="BU140">
        <v>0</v>
      </c>
      <c r="BV140" t="s">
        <v>135</v>
      </c>
      <c r="BW140">
        <v>0</v>
      </c>
      <c r="BX140">
        <v>0</v>
      </c>
      <c r="BY140" t="s">
        <v>135</v>
      </c>
      <c r="BZ140">
        <v>0</v>
      </c>
      <c r="CA140">
        <v>0</v>
      </c>
      <c r="CB140" t="s">
        <v>135</v>
      </c>
      <c r="CH140" s="2"/>
      <c r="CJ140" s="2"/>
      <c r="CL140" s="2"/>
      <c r="CN140" s="2"/>
      <c r="CQ140" s="2"/>
      <c r="CT140" s="2"/>
      <c r="CW140" s="2"/>
    </row>
    <row r="141" spans="1:101" x14ac:dyDescent="0.25">
      <c r="A141" s="1" t="s">
        <v>163</v>
      </c>
      <c r="B141" s="75" t="s">
        <v>164</v>
      </c>
      <c r="C141">
        <v>0</v>
      </c>
      <c r="D141">
        <v>0</v>
      </c>
      <c r="E141">
        <v>0</v>
      </c>
      <c r="F141">
        <v>604324.56000000006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3.91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7490</v>
      </c>
      <c r="AW141">
        <v>3350</v>
      </c>
      <c r="AX141">
        <v>1219</v>
      </c>
      <c r="AY141">
        <v>12059</v>
      </c>
      <c r="AZ141">
        <v>4202</v>
      </c>
      <c r="BA141">
        <v>7438</v>
      </c>
      <c r="BB141">
        <v>1432</v>
      </c>
      <c r="BC141">
        <v>13072</v>
      </c>
      <c r="BD141">
        <v>9486</v>
      </c>
      <c r="BE141">
        <v>9222</v>
      </c>
      <c r="BF141">
        <v>1768</v>
      </c>
      <c r="BG141">
        <v>20476</v>
      </c>
      <c r="BH141">
        <v>0</v>
      </c>
      <c r="BI141">
        <v>0</v>
      </c>
      <c r="BJ141">
        <v>0</v>
      </c>
      <c r="BK141">
        <v>0</v>
      </c>
      <c r="BL141" s="2">
        <v>24.82</v>
      </c>
      <c r="BM141" s="2">
        <v>42005.095138888886</v>
      </c>
      <c r="BN141" s="2">
        <v>5.4</v>
      </c>
      <c r="BO141" s="2">
        <v>42005.092361111114</v>
      </c>
      <c r="BP141" s="2">
        <v>6.92</v>
      </c>
      <c r="BQ141" s="2">
        <v>42005.092361111114</v>
      </c>
      <c r="BR141" s="2">
        <v>11.07</v>
      </c>
      <c r="BS141" s="2">
        <v>42005.092361111114</v>
      </c>
      <c r="BT141">
        <v>0</v>
      </c>
      <c r="BU141">
        <v>0</v>
      </c>
      <c r="BV141" t="s">
        <v>135</v>
      </c>
      <c r="BW141">
        <v>0</v>
      </c>
      <c r="BX141">
        <v>0</v>
      </c>
      <c r="BY141" t="s">
        <v>135</v>
      </c>
      <c r="BZ141">
        <v>0</v>
      </c>
      <c r="CA141">
        <v>0</v>
      </c>
      <c r="CB141" t="s">
        <v>135</v>
      </c>
      <c r="CH141" s="2"/>
      <c r="CJ141" s="2"/>
      <c r="CL141" s="2"/>
      <c r="CN141" s="2"/>
      <c r="CQ141" s="2"/>
      <c r="CT141" s="2"/>
      <c r="CW141" s="2"/>
    </row>
    <row r="142" spans="1:101" x14ac:dyDescent="0.25">
      <c r="A142" s="1" t="s">
        <v>163</v>
      </c>
      <c r="B142" s="75" t="s">
        <v>164</v>
      </c>
      <c r="C142">
        <v>0</v>
      </c>
      <c r="D142">
        <v>0</v>
      </c>
      <c r="E142">
        <v>0</v>
      </c>
      <c r="F142">
        <v>604324.56000000006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3.91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7490</v>
      </c>
      <c r="AW142">
        <v>3350</v>
      </c>
      <c r="AX142">
        <v>1219</v>
      </c>
      <c r="AY142">
        <v>12059</v>
      </c>
      <c r="AZ142">
        <v>4202</v>
      </c>
      <c r="BA142">
        <v>7438</v>
      </c>
      <c r="BB142">
        <v>1432</v>
      </c>
      <c r="BC142">
        <v>13072</v>
      </c>
      <c r="BD142">
        <v>9486</v>
      </c>
      <c r="BE142">
        <v>9222</v>
      </c>
      <c r="BF142">
        <v>1768</v>
      </c>
      <c r="BG142">
        <v>20476</v>
      </c>
      <c r="BH142">
        <v>0</v>
      </c>
      <c r="BI142">
        <v>0</v>
      </c>
      <c r="BJ142">
        <v>0</v>
      </c>
      <c r="BK142">
        <v>0</v>
      </c>
      <c r="BL142" s="2">
        <v>24.82</v>
      </c>
      <c r="BM142" s="2">
        <v>42005.095138888886</v>
      </c>
      <c r="BN142" s="2">
        <v>5.4</v>
      </c>
      <c r="BO142" s="2">
        <v>42005.092361111114</v>
      </c>
      <c r="BP142" s="2">
        <v>6.92</v>
      </c>
      <c r="BQ142" s="2">
        <v>42005.092361111114</v>
      </c>
      <c r="BR142" s="2">
        <v>11.07</v>
      </c>
      <c r="BS142" s="2">
        <v>42005.092361111114</v>
      </c>
      <c r="BT142">
        <v>0</v>
      </c>
      <c r="BU142">
        <v>0</v>
      </c>
      <c r="BV142" t="s">
        <v>135</v>
      </c>
      <c r="BW142">
        <v>0</v>
      </c>
      <c r="BX142">
        <v>0</v>
      </c>
      <c r="BY142" t="s">
        <v>135</v>
      </c>
      <c r="BZ142">
        <v>0</v>
      </c>
      <c r="CA142">
        <v>0</v>
      </c>
      <c r="CB142" t="s">
        <v>135</v>
      </c>
      <c r="CH142" s="2"/>
      <c r="CJ142" s="2"/>
      <c r="CL142" s="2"/>
      <c r="CN142" s="2"/>
      <c r="CQ142" s="2"/>
      <c r="CT142" s="2"/>
      <c r="CW142" s="2"/>
    </row>
    <row r="143" spans="1:101" x14ac:dyDescent="0.25">
      <c r="A143" s="1" t="s">
        <v>163</v>
      </c>
      <c r="B143" s="75" t="s">
        <v>164</v>
      </c>
      <c r="C143">
        <v>0</v>
      </c>
      <c r="D143">
        <v>0</v>
      </c>
      <c r="E143">
        <v>0</v>
      </c>
      <c r="F143">
        <v>604324.56000000006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3.91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7490</v>
      </c>
      <c r="AW143">
        <v>3350</v>
      </c>
      <c r="AX143">
        <v>1219</v>
      </c>
      <c r="AY143">
        <v>12059</v>
      </c>
      <c r="AZ143">
        <v>4202</v>
      </c>
      <c r="BA143">
        <v>7438</v>
      </c>
      <c r="BB143">
        <v>1432</v>
      </c>
      <c r="BC143">
        <v>13072</v>
      </c>
      <c r="BD143">
        <v>9486</v>
      </c>
      <c r="BE143">
        <v>9222</v>
      </c>
      <c r="BF143">
        <v>1768</v>
      </c>
      <c r="BG143">
        <v>20476</v>
      </c>
      <c r="BH143">
        <v>0</v>
      </c>
      <c r="BI143">
        <v>0</v>
      </c>
      <c r="BJ143">
        <v>0</v>
      </c>
      <c r="BK143">
        <v>0</v>
      </c>
      <c r="BL143" s="2">
        <v>24.82</v>
      </c>
      <c r="BM143" s="2">
        <v>42005.095138888886</v>
      </c>
      <c r="BN143" s="2">
        <v>5.4</v>
      </c>
      <c r="BO143" s="2">
        <v>42005.092361111114</v>
      </c>
      <c r="BP143" s="2">
        <v>6.92</v>
      </c>
      <c r="BQ143" s="2">
        <v>42005.092361111114</v>
      </c>
      <c r="BR143" s="2">
        <v>11.07</v>
      </c>
      <c r="BS143" s="2">
        <v>42005.092361111114</v>
      </c>
      <c r="BT143">
        <v>0</v>
      </c>
      <c r="BU143">
        <v>0</v>
      </c>
      <c r="BV143" t="s">
        <v>135</v>
      </c>
      <c r="BW143">
        <v>0</v>
      </c>
      <c r="BX143">
        <v>0</v>
      </c>
      <c r="BY143" t="s">
        <v>135</v>
      </c>
      <c r="BZ143">
        <v>0</v>
      </c>
      <c r="CA143">
        <v>0</v>
      </c>
      <c r="CB143" t="s">
        <v>135</v>
      </c>
      <c r="CH143" s="2"/>
      <c r="CJ143" s="2"/>
      <c r="CL143" s="2"/>
      <c r="CN143" s="2"/>
      <c r="CQ143" s="2"/>
      <c r="CT143" s="2"/>
      <c r="CW143" s="2"/>
    </row>
    <row r="144" spans="1:101" x14ac:dyDescent="0.25">
      <c r="A144" s="1" t="s">
        <v>163</v>
      </c>
      <c r="B144" s="75" t="s">
        <v>164</v>
      </c>
      <c r="C144">
        <v>0</v>
      </c>
      <c r="D144">
        <v>0</v>
      </c>
      <c r="E144">
        <v>0</v>
      </c>
      <c r="F144">
        <v>604324.56000000006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3.91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7490</v>
      </c>
      <c r="AW144">
        <v>3350</v>
      </c>
      <c r="AX144">
        <v>1219</v>
      </c>
      <c r="AY144">
        <v>12059</v>
      </c>
      <c r="AZ144">
        <v>4202</v>
      </c>
      <c r="BA144">
        <v>7438</v>
      </c>
      <c r="BB144">
        <v>1432</v>
      </c>
      <c r="BC144">
        <v>13072</v>
      </c>
      <c r="BD144">
        <v>9486</v>
      </c>
      <c r="BE144">
        <v>9222</v>
      </c>
      <c r="BF144">
        <v>1768</v>
      </c>
      <c r="BG144">
        <v>20476</v>
      </c>
      <c r="BH144">
        <v>0</v>
      </c>
      <c r="BI144">
        <v>0</v>
      </c>
      <c r="BJ144">
        <v>0</v>
      </c>
      <c r="BK144">
        <v>0</v>
      </c>
      <c r="BL144" s="2">
        <v>24.82</v>
      </c>
      <c r="BM144" s="2">
        <v>42005.095138888886</v>
      </c>
      <c r="BN144" s="2">
        <v>5.4</v>
      </c>
      <c r="BO144" s="2">
        <v>42005.092361111114</v>
      </c>
      <c r="BP144" s="2">
        <v>6.92</v>
      </c>
      <c r="BQ144" s="2">
        <v>42005.092361111114</v>
      </c>
      <c r="BR144" s="2">
        <v>11.07</v>
      </c>
      <c r="BS144" s="2">
        <v>42005.092361111114</v>
      </c>
      <c r="BT144">
        <v>0</v>
      </c>
      <c r="BU144">
        <v>0</v>
      </c>
      <c r="BV144" t="s">
        <v>135</v>
      </c>
      <c r="BW144">
        <v>0</v>
      </c>
      <c r="BX144">
        <v>0</v>
      </c>
      <c r="BY144" t="s">
        <v>135</v>
      </c>
      <c r="BZ144">
        <v>0</v>
      </c>
      <c r="CA144">
        <v>0</v>
      </c>
      <c r="CB144" t="s">
        <v>135</v>
      </c>
      <c r="CH144" s="2"/>
      <c r="CJ144" s="2"/>
      <c r="CL144" s="2"/>
      <c r="CN144" s="2"/>
      <c r="CQ144" s="2"/>
      <c r="CT144" s="2"/>
      <c r="CW144" s="2"/>
    </row>
    <row r="145" spans="1:101" x14ac:dyDescent="0.25">
      <c r="A145" s="1" t="s">
        <v>163</v>
      </c>
      <c r="B145" s="75" t="s">
        <v>164</v>
      </c>
      <c r="C145">
        <v>0</v>
      </c>
      <c r="D145">
        <v>0</v>
      </c>
      <c r="E145">
        <v>0</v>
      </c>
      <c r="F145">
        <v>604324.56000000006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3.91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7490</v>
      </c>
      <c r="AW145">
        <v>3350</v>
      </c>
      <c r="AX145">
        <v>1219</v>
      </c>
      <c r="AY145">
        <v>12059</v>
      </c>
      <c r="AZ145">
        <v>4202</v>
      </c>
      <c r="BA145">
        <v>7438</v>
      </c>
      <c r="BB145">
        <v>1432</v>
      </c>
      <c r="BC145">
        <v>13072</v>
      </c>
      <c r="BD145">
        <v>9486</v>
      </c>
      <c r="BE145">
        <v>9222</v>
      </c>
      <c r="BF145">
        <v>1768</v>
      </c>
      <c r="BG145">
        <v>20476</v>
      </c>
      <c r="BH145">
        <v>0</v>
      </c>
      <c r="BI145">
        <v>0</v>
      </c>
      <c r="BJ145">
        <v>0</v>
      </c>
      <c r="BK145">
        <v>0</v>
      </c>
      <c r="BL145" s="2">
        <v>24.82</v>
      </c>
      <c r="BM145" s="2">
        <v>42005.095138888886</v>
      </c>
      <c r="BN145" s="2">
        <v>5.4</v>
      </c>
      <c r="BO145" s="2">
        <v>42005.092361111114</v>
      </c>
      <c r="BP145" s="2">
        <v>6.92</v>
      </c>
      <c r="BQ145" s="2">
        <v>42005.092361111114</v>
      </c>
      <c r="BR145" s="2">
        <v>11.07</v>
      </c>
      <c r="BS145" s="2">
        <v>42005.092361111114</v>
      </c>
      <c r="BT145">
        <v>0</v>
      </c>
      <c r="BU145">
        <v>0</v>
      </c>
      <c r="BV145" t="s">
        <v>135</v>
      </c>
      <c r="BW145">
        <v>0</v>
      </c>
      <c r="BX145">
        <v>0</v>
      </c>
      <c r="BY145" t="s">
        <v>135</v>
      </c>
      <c r="BZ145">
        <v>0</v>
      </c>
      <c r="CA145">
        <v>0</v>
      </c>
      <c r="CB145" t="s">
        <v>135</v>
      </c>
      <c r="CH145" s="2"/>
      <c r="CJ145" s="2"/>
      <c r="CL145" s="2"/>
      <c r="CN145" s="2"/>
      <c r="CQ145" s="2"/>
      <c r="CT145" s="2"/>
      <c r="CW145" s="2"/>
    </row>
    <row r="146" spans="1:101" x14ac:dyDescent="0.25">
      <c r="A146" s="1" t="s">
        <v>163</v>
      </c>
      <c r="B146" s="75" t="s">
        <v>164</v>
      </c>
      <c r="C146">
        <v>0</v>
      </c>
      <c r="D146">
        <v>0</v>
      </c>
      <c r="E146">
        <v>0</v>
      </c>
      <c r="F146">
        <v>604324.56000000006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3.91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7490</v>
      </c>
      <c r="AW146">
        <v>3350</v>
      </c>
      <c r="AX146">
        <v>1219</v>
      </c>
      <c r="AY146">
        <v>12059</v>
      </c>
      <c r="AZ146">
        <v>4202</v>
      </c>
      <c r="BA146">
        <v>7438</v>
      </c>
      <c r="BB146">
        <v>1432</v>
      </c>
      <c r="BC146">
        <v>13072</v>
      </c>
      <c r="BD146">
        <v>9486</v>
      </c>
      <c r="BE146">
        <v>9222</v>
      </c>
      <c r="BF146">
        <v>1768</v>
      </c>
      <c r="BG146">
        <v>20476</v>
      </c>
      <c r="BH146">
        <v>0</v>
      </c>
      <c r="BI146">
        <v>0</v>
      </c>
      <c r="BJ146">
        <v>0</v>
      </c>
      <c r="BK146">
        <v>0</v>
      </c>
      <c r="BL146" s="2">
        <v>24.82</v>
      </c>
      <c r="BM146" s="2">
        <v>42005.095138888886</v>
      </c>
      <c r="BN146" s="2">
        <v>5.4</v>
      </c>
      <c r="BO146" s="2">
        <v>42005.092361111114</v>
      </c>
      <c r="BP146" s="2">
        <v>6.92</v>
      </c>
      <c r="BQ146" s="2">
        <v>42005.092361111114</v>
      </c>
      <c r="BR146" s="2">
        <v>11.07</v>
      </c>
      <c r="BS146" s="2">
        <v>42005.092361111114</v>
      </c>
      <c r="BT146">
        <v>0</v>
      </c>
      <c r="BU146">
        <v>0</v>
      </c>
      <c r="BV146" t="s">
        <v>135</v>
      </c>
      <c r="BW146">
        <v>0</v>
      </c>
      <c r="BX146">
        <v>0</v>
      </c>
      <c r="BY146" t="s">
        <v>135</v>
      </c>
      <c r="BZ146">
        <v>0</v>
      </c>
      <c r="CA146">
        <v>0</v>
      </c>
      <c r="CB146" t="s">
        <v>135</v>
      </c>
      <c r="CH146" s="2"/>
      <c r="CJ146" s="2"/>
      <c r="CL146" s="2"/>
      <c r="CN146" s="2"/>
      <c r="CQ146" s="2"/>
      <c r="CT146" s="2"/>
      <c r="CW146" s="2"/>
    </row>
    <row r="147" spans="1:101" x14ac:dyDescent="0.25">
      <c r="A147" s="1" t="s">
        <v>163</v>
      </c>
      <c r="B147" s="75" t="s">
        <v>164</v>
      </c>
      <c r="C147">
        <v>0</v>
      </c>
      <c r="D147">
        <v>0</v>
      </c>
      <c r="E147">
        <v>0</v>
      </c>
      <c r="F147">
        <v>604324.56000000006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3.91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7490</v>
      </c>
      <c r="AW147">
        <v>3350</v>
      </c>
      <c r="AX147">
        <v>1219</v>
      </c>
      <c r="AY147">
        <v>12059</v>
      </c>
      <c r="AZ147">
        <v>4202</v>
      </c>
      <c r="BA147">
        <v>7438</v>
      </c>
      <c r="BB147">
        <v>1432</v>
      </c>
      <c r="BC147">
        <v>13072</v>
      </c>
      <c r="BD147">
        <v>9486</v>
      </c>
      <c r="BE147">
        <v>9222</v>
      </c>
      <c r="BF147">
        <v>1768</v>
      </c>
      <c r="BG147">
        <v>20476</v>
      </c>
      <c r="BH147">
        <v>0</v>
      </c>
      <c r="BI147">
        <v>0</v>
      </c>
      <c r="BJ147">
        <v>0</v>
      </c>
      <c r="BK147">
        <v>0</v>
      </c>
      <c r="BL147" s="2">
        <v>24.82</v>
      </c>
      <c r="BM147" s="2">
        <v>42005.095138888886</v>
      </c>
      <c r="BN147" s="2">
        <v>5.4</v>
      </c>
      <c r="BO147" s="2">
        <v>42005.092361111114</v>
      </c>
      <c r="BP147" s="2">
        <v>6.92</v>
      </c>
      <c r="BQ147" s="2">
        <v>42005.092361111114</v>
      </c>
      <c r="BR147" s="2">
        <v>11.07</v>
      </c>
      <c r="BS147" s="2">
        <v>42005.092361111114</v>
      </c>
      <c r="BT147">
        <v>0</v>
      </c>
      <c r="BU147">
        <v>0</v>
      </c>
      <c r="BV147" t="s">
        <v>135</v>
      </c>
      <c r="BW147">
        <v>0</v>
      </c>
      <c r="BX147">
        <v>0</v>
      </c>
      <c r="BY147" t="s">
        <v>135</v>
      </c>
      <c r="BZ147">
        <v>0</v>
      </c>
      <c r="CA147">
        <v>0</v>
      </c>
      <c r="CB147" t="s">
        <v>135</v>
      </c>
      <c r="CH147" s="2"/>
      <c r="CJ147" s="2"/>
      <c r="CL147" s="2"/>
      <c r="CN147" s="2"/>
      <c r="CQ147" s="2"/>
      <c r="CT147" s="2"/>
      <c r="CW147" s="2"/>
    </row>
    <row r="148" spans="1:101" x14ac:dyDescent="0.25">
      <c r="A148" s="1" t="s">
        <v>163</v>
      </c>
      <c r="B148" s="75" t="s">
        <v>164</v>
      </c>
      <c r="C148">
        <v>0</v>
      </c>
      <c r="D148">
        <v>0</v>
      </c>
      <c r="E148">
        <v>0</v>
      </c>
      <c r="F148">
        <v>604324.56000000006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3.91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7490</v>
      </c>
      <c r="AW148">
        <v>3350</v>
      </c>
      <c r="AX148">
        <v>1219</v>
      </c>
      <c r="AY148">
        <v>12059</v>
      </c>
      <c r="AZ148">
        <v>4202</v>
      </c>
      <c r="BA148">
        <v>7438</v>
      </c>
      <c r="BB148">
        <v>1432</v>
      </c>
      <c r="BC148">
        <v>13072</v>
      </c>
      <c r="BD148">
        <v>9486</v>
      </c>
      <c r="BE148">
        <v>9222</v>
      </c>
      <c r="BF148">
        <v>1768</v>
      </c>
      <c r="BG148">
        <v>20476</v>
      </c>
      <c r="BH148">
        <v>0</v>
      </c>
      <c r="BI148">
        <v>0</v>
      </c>
      <c r="BJ148">
        <v>0</v>
      </c>
      <c r="BK148">
        <v>0</v>
      </c>
      <c r="BL148" s="2">
        <v>24.82</v>
      </c>
      <c r="BM148" s="2">
        <v>42005.095138888886</v>
      </c>
      <c r="BN148" s="2">
        <v>5.4</v>
      </c>
      <c r="BO148" s="2">
        <v>42005.092361111114</v>
      </c>
      <c r="BP148" s="2">
        <v>6.92</v>
      </c>
      <c r="BQ148" s="2">
        <v>42005.092361111114</v>
      </c>
      <c r="BR148" s="2">
        <v>11.07</v>
      </c>
      <c r="BS148" s="2">
        <v>42005.092361111114</v>
      </c>
      <c r="BT148">
        <v>0</v>
      </c>
      <c r="BU148">
        <v>0</v>
      </c>
      <c r="BV148" t="s">
        <v>135</v>
      </c>
      <c r="BW148">
        <v>0</v>
      </c>
      <c r="BX148">
        <v>0</v>
      </c>
      <c r="BY148" t="s">
        <v>135</v>
      </c>
      <c r="BZ148">
        <v>0</v>
      </c>
      <c r="CA148">
        <v>0</v>
      </c>
      <c r="CB148" t="s">
        <v>135</v>
      </c>
      <c r="CH148" s="2"/>
      <c r="CJ148" s="2"/>
      <c r="CL148" s="2"/>
      <c r="CN148" s="2"/>
      <c r="CQ148" s="2"/>
      <c r="CT148" s="2"/>
      <c r="CW148" s="2"/>
    </row>
    <row r="149" spans="1:101" x14ac:dyDescent="0.25">
      <c r="A149" s="1" t="s">
        <v>163</v>
      </c>
      <c r="B149" s="75" t="s">
        <v>164</v>
      </c>
      <c r="C149">
        <v>0</v>
      </c>
      <c r="D149">
        <v>0</v>
      </c>
      <c r="E149">
        <v>0</v>
      </c>
      <c r="F149">
        <v>604324.56000000006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3.91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7490</v>
      </c>
      <c r="AW149">
        <v>3350</v>
      </c>
      <c r="AX149">
        <v>1219</v>
      </c>
      <c r="AY149">
        <v>12059</v>
      </c>
      <c r="AZ149">
        <v>4202</v>
      </c>
      <c r="BA149">
        <v>7438</v>
      </c>
      <c r="BB149">
        <v>1432</v>
      </c>
      <c r="BC149">
        <v>13072</v>
      </c>
      <c r="BD149">
        <v>9486</v>
      </c>
      <c r="BE149">
        <v>9222</v>
      </c>
      <c r="BF149">
        <v>1768</v>
      </c>
      <c r="BG149">
        <v>20476</v>
      </c>
      <c r="BH149">
        <v>0</v>
      </c>
      <c r="BI149">
        <v>0</v>
      </c>
      <c r="BJ149">
        <v>0</v>
      </c>
      <c r="BK149">
        <v>0</v>
      </c>
      <c r="BL149" s="2">
        <v>24.82</v>
      </c>
      <c r="BM149" s="2">
        <v>42005.095138888886</v>
      </c>
      <c r="BN149" s="2">
        <v>5.4</v>
      </c>
      <c r="BO149" s="2">
        <v>42005.092361111114</v>
      </c>
      <c r="BP149" s="2">
        <v>6.92</v>
      </c>
      <c r="BQ149" s="2">
        <v>42005.092361111114</v>
      </c>
      <c r="BR149" s="2">
        <v>11.07</v>
      </c>
      <c r="BS149" s="2">
        <v>42005.092361111114</v>
      </c>
      <c r="BT149">
        <v>0</v>
      </c>
      <c r="BU149">
        <v>0</v>
      </c>
      <c r="BV149" t="s">
        <v>135</v>
      </c>
      <c r="BW149">
        <v>0</v>
      </c>
      <c r="BX149">
        <v>0</v>
      </c>
      <c r="BY149" t="s">
        <v>135</v>
      </c>
      <c r="BZ149">
        <v>0</v>
      </c>
      <c r="CA149">
        <v>0</v>
      </c>
      <c r="CB149" t="s">
        <v>135</v>
      </c>
      <c r="CH149" s="2"/>
      <c r="CJ149" s="2"/>
      <c r="CL149" s="2"/>
      <c r="CN149" s="2"/>
      <c r="CQ149" s="2"/>
      <c r="CT149" s="2"/>
      <c r="CW149" s="2"/>
    </row>
    <row r="150" spans="1:101" x14ac:dyDescent="0.25">
      <c r="A150" s="1" t="s">
        <v>163</v>
      </c>
      <c r="B150" s="75" t="s">
        <v>164</v>
      </c>
      <c r="C150">
        <v>0</v>
      </c>
      <c r="D150">
        <v>0</v>
      </c>
      <c r="E150">
        <v>0</v>
      </c>
      <c r="F150">
        <v>604324.56000000006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3.91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7490</v>
      </c>
      <c r="AW150">
        <v>3350</v>
      </c>
      <c r="AX150">
        <v>1219</v>
      </c>
      <c r="AY150">
        <v>12059</v>
      </c>
      <c r="AZ150">
        <v>4202</v>
      </c>
      <c r="BA150">
        <v>7438</v>
      </c>
      <c r="BB150">
        <v>1432</v>
      </c>
      <c r="BC150">
        <v>13072</v>
      </c>
      <c r="BD150">
        <v>9486</v>
      </c>
      <c r="BE150">
        <v>9222</v>
      </c>
      <c r="BF150">
        <v>1768</v>
      </c>
      <c r="BG150">
        <v>20476</v>
      </c>
      <c r="BH150">
        <v>0</v>
      </c>
      <c r="BI150">
        <v>0</v>
      </c>
      <c r="BJ150">
        <v>0</v>
      </c>
      <c r="BK150">
        <v>0</v>
      </c>
      <c r="BL150" s="2">
        <v>24.82</v>
      </c>
      <c r="BM150" s="2">
        <v>42005.095138888886</v>
      </c>
      <c r="BN150" s="2">
        <v>5.4</v>
      </c>
      <c r="BO150" s="2">
        <v>42005.092361111114</v>
      </c>
      <c r="BP150" s="2">
        <v>6.92</v>
      </c>
      <c r="BQ150" s="2">
        <v>42005.092361111114</v>
      </c>
      <c r="BR150" s="2">
        <v>11.07</v>
      </c>
      <c r="BS150" s="2">
        <v>42005.092361111114</v>
      </c>
      <c r="BT150">
        <v>0</v>
      </c>
      <c r="BU150">
        <v>0</v>
      </c>
      <c r="BV150" t="s">
        <v>135</v>
      </c>
      <c r="BW150">
        <v>0</v>
      </c>
      <c r="BX150">
        <v>0</v>
      </c>
      <c r="BY150" t="s">
        <v>135</v>
      </c>
      <c r="BZ150">
        <v>0</v>
      </c>
      <c r="CA150">
        <v>0</v>
      </c>
      <c r="CB150" t="s">
        <v>135</v>
      </c>
      <c r="CH150" s="2"/>
      <c r="CJ150" s="2"/>
      <c r="CL150" s="2"/>
      <c r="CN150" s="2"/>
      <c r="CQ150" s="2"/>
      <c r="CT150" s="2"/>
      <c r="CW150" s="2"/>
    </row>
    <row r="151" spans="1:101" x14ac:dyDescent="0.25">
      <c r="A151" s="1" t="s">
        <v>163</v>
      </c>
      <c r="B151" s="75" t="s">
        <v>164</v>
      </c>
      <c r="C151">
        <v>0</v>
      </c>
      <c r="D151">
        <v>0</v>
      </c>
      <c r="E151">
        <v>0</v>
      </c>
      <c r="F151">
        <v>604324.56000000006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3.91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7490</v>
      </c>
      <c r="AW151">
        <v>3350</v>
      </c>
      <c r="AX151">
        <v>1219</v>
      </c>
      <c r="AY151">
        <v>12059</v>
      </c>
      <c r="AZ151">
        <v>4202</v>
      </c>
      <c r="BA151">
        <v>7438</v>
      </c>
      <c r="BB151">
        <v>1432</v>
      </c>
      <c r="BC151">
        <v>13072</v>
      </c>
      <c r="BD151">
        <v>9486</v>
      </c>
      <c r="BE151">
        <v>9222</v>
      </c>
      <c r="BF151">
        <v>1768</v>
      </c>
      <c r="BG151">
        <v>20476</v>
      </c>
      <c r="BH151">
        <v>0</v>
      </c>
      <c r="BI151">
        <v>0</v>
      </c>
      <c r="BJ151">
        <v>0</v>
      </c>
      <c r="BK151">
        <v>0</v>
      </c>
      <c r="BL151" s="2">
        <v>24.82</v>
      </c>
      <c r="BM151" s="2">
        <v>42005.095138888886</v>
      </c>
      <c r="BN151" s="2">
        <v>5.4</v>
      </c>
      <c r="BO151" s="2">
        <v>42005.092361111114</v>
      </c>
      <c r="BP151" s="2">
        <v>6.92</v>
      </c>
      <c r="BQ151" s="2">
        <v>42005.092361111114</v>
      </c>
      <c r="BR151" s="2">
        <v>11.07</v>
      </c>
      <c r="BS151" s="2">
        <v>42005.092361111114</v>
      </c>
      <c r="BT151">
        <v>0</v>
      </c>
      <c r="BU151">
        <v>0</v>
      </c>
      <c r="BV151" t="s">
        <v>135</v>
      </c>
      <c r="BW151">
        <v>0</v>
      </c>
      <c r="BX151">
        <v>0</v>
      </c>
      <c r="BY151" t="s">
        <v>135</v>
      </c>
      <c r="BZ151">
        <v>0</v>
      </c>
      <c r="CA151">
        <v>0</v>
      </c>
      <c r="CB151" t="s">
        <v>135</v>
      </c>
      <c r="CH151" s="2"/>
      <c r="CJ151" s="2"/>
      <c r="CL151" s="2"/>
      <c r="CN151" s="2"/>
      <c r="CQ151" s="2"/>
      <c r="CT151" s="2"/>
      <c r="CW151" s="2"/>
    </row>
    <row r="152" spans="1:101" x14ac:dyDescent="0.25">
      <c r="A152" s="1" t="s">
        <v>163</v>
      </c>
      <c r="B152" s="75" t="s">
        <v>164</v>
      </c>
      <c r="C152">
        <v>0</v>
      </c>
      <c r="D152">
        <v>0</v>
      </c>
      <c r="E152">
        <v>0</v>
      </c>
      <c r="F152">
        <v>604324.56000000006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3.91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7490</v>
      </c>
      <c r="AW152">
        <v>3350</v>
      </c>
      <c r="AX152">
        <v>1219</v>
      </c>
      <c r="AY152">
        <v>12059</v>
      </c>
      <c r="AZ152">
        <v>4202</v>
      </c>
      <c r="BA152">
        <v>7438</v>
      </c>
      <c r="BB152">
        <v>1432</v>
      </c>
      <c r="BC152">
        <v>13072</v>
      </c>
      <c r="BD152">
        <v>9486</v>
      </c>
      <c r="BE152">
        <v>9222</v>
      </c>
      <c r="BF152">
        <v>1768</v>
      </c>
      <c r="BG152">
        <v>20476</v>
      </c>
      <c r="BH152">
        <v>0</v>
      </c>
      <c r="BI152">
        <v>0</v>
      </c>
      <c r="BJ152">
        <v>0</v>
      </c>
      <c r="BK152">
        <v>0</v>
      </c>
      <c r="BL152" s="2">
        <v>24.82</v>
      </c>
      <c r="BM152" s="2">
        <v>42005.095138888886</v>
      </c>
      <c r="BN152" s="2">
        <v>5.4</v>
      </c>
      <c r="BO152" s="2">
        <v>42005.092361111114</v>
      </c>
      <c r="BP152" s="2">
        <v>6.92</v>
      </c>
      <c r="BQ152" s="2">
        <v>42005.092361111114</v>
      </c>
      <c r="BR152" s="2">
        <v>11.07</v>
      </c>
      <c r="BS152" s="2">
        <v>42005.092361111114</v>
      </c>
      <c r="BT152">
        <v>0</v>
      </c>
      <c r="BU152">
        <v>0</v>
      </c>
      <c r="BV152" t="s">
        <v>135</v>
      </c>
      <c r="BW152">
        <v>0</v>
      </c>
      <c r="BX152">
        <v>0</v>
      </c>
      <c r="BY152" t="s">
        <v>135</v>
      </c>
      <c r="BZ152">
        <v>0</v>
      </c>
      <c r="CA152">
        <v>0</v>
      </c>
      <c r="CB152" t="s">
        <v>135</v>
      </c>
      <c r="CH152" s="2"/>
      <c r="CJ152" s="2"/>
      <c r="CL152" s="2"/>
      <c r="CN152" s="2"/>
      <c r="CQ152" s="2"/>
      <c r="CT152" s="2"/>
      <c r="CW152" s="2"/>
    </row>
    <row r="153" spans="1:101" x14ac:dyDescent="0.25">
      <c r="A153" s="1" t="s">
        <v>163</v>
      </c>
      <c r="B153" s="75" t="s">
        <v>164</v>
      </c>
      <c r="C153">
        <v>0</v>
      </c>
      <c r="D153">
        <v>0</v>
      </c>
      <c r="E153">
        <v>0</v>
      </c>
      <c r="F153">
        <v>604324.56000000006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3.91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7490</v>
      </c>
      <c r="AW153">
        <v>3350</v>
      </c>
      <c r="AX153">
        <v>1219</v>
      </c>
      <c r="AY153">
        <v>12059</v>
      </c>
      <c r="AZ153">
        <v>4202</v>
      </c>
      <c r="BA153">
        <v>7438</v>
      </c>
      <c r="BB153">
        <v>1432</v>
      </c>
      <c r="BC153">
        <v>13072</v>
      </c>
      <c r="BD153">
        <v>9486</v>
      </c>
      <c r="BE153">
        <v>9222</v>
      </c>
      <c r="BF153">
        <v>1768</v>
      </c>
      <c r="BG153">
        <v>20476</v>
      </c>
      <c r="BH153">
        <v>0</v>
      </c>
      <c r="BI153">
        <v>0</v>
      </c>
      <c r="BJ153">
        <v>0</v>
      </c>
      <c r="BK153">
        <v>0</v>
      </c>
      <c r="BL153" s="2">
        <v>24.82</v>
      </c>
      <c r="BM153" s="2">
        <v>42005.095138888886</v>
      </c>
      <c r="BN153" s="2">
        <v>5.4</v>
      </c>
      <c r="BO153" s="2">
        <v>42005.092361111114</v>
      </c>
      <c r="BP153" s="2">
        <v>6.92</v>
      </c>
      <c r="BQ153" s="2">
        <v>42005.092361111114</v>
      </c>
      <c r="BR153" s="2">
        <v>11.07</v>
      </c>
      <c r="BS153" s="2">
        <v>42005.092361111114</v>
      </c>
      <c r="BT153">
        <v>0</v>
      </c>
      <c r="BU153">
        <v>0</v>
      </c>
      <c r="BV153" t="s">
        <v>135</v>
      </c>
      <c r="BW153">
        <v>0</v>
      </c>
      <c r="BX153">
        <v>0</v>
      </c>
      <c r="BY153" t="s">
        <v>135</v>
      </c>
      <c r="BZ153">
        <v>0</v>
      </c>
      <c r="CA153">
        <v>0</v>
      </c>
      <c r="CB153" t="s">
        <v>135</v>
      </c>
      <c r="CH153" s="2"/>
      <c r="CJ153" s="2"/>
      <c r="CL153" s="2"/>
      <c r="CN153" s="2"/>
      <c r="CQ153" s="2"/>
      <c r="CT153" s="2"/>
      <c r="CW153" s="2"/>
    </row>
    <row r="154" spans="1:101" x14ac:dyDescent="0.25">
      <c r="A154" s="1" t="s">
        <v>163</v>
      </c>
      <c r="B154" s="75" t="s">
        <v>164</v>
      </c>
      <c r="C154">
        <v>0</v>
      </c>
      <c r="D154">
        <v>0</v>
      </c>
      <c r="E154">
        <v>0</v>
      </c>
      <c r="F154">
        <v>604324.56000000006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3.91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7490</v>
      </c>
      <c r="AW154">
        <v>3350</v>
      </c>
      <c r="AX154">
        <v>1219</v>
      </c>
      <c r="AY154">
        <v>12059</v>
      </c>
      <c r="AZ154">
        <v>4202</v>
      </c>
      <c r="BA154">
        <v>7438</v>
      </c>
      <c r="BB154">
        <v>1432</v>
      </c>
      <c r="BC154">
        <v>13072</v>
      </c>
      <c r="BD154">
        <v>9486</v>
      </c>
      <c r="BE154">
        <v>9222</v>
      </c>
      <c r="BF154">
        <v>1768</v>
      </c>
      <c r="BG154">
        <v>20476</v>
      </c>
      <c r="BH154">
        <v>0</v>
      </c>
      <c r="BI154">
        <v>0</v>
      </c>
      <c r="BJ154">
        <v>0</v>
      </c>
      <c r="BK154">
        <v>0</v>
      </c>
      <c r="BL154" s="2">
        <v>24.82</v>
      </c>
      <c r="BM154" s="2">
        <v>42005.095138888886</v>
      </c>
      <c r="BN154" s="2">
        <v>5.4</v>
      </c>
      <c r="BO154" s="2">
        <v>42005.092361111114</v>
      </c>
      <c r="BP154" s="2">
        <v>6.92</v>
      </c>
      <c r="BQ154" s="2">
        <v>42005.092361111114</v>
      </c>
      <c r="BR154" s="2">
        <v>11.07</v>
      </c>
      <c r="BS154" s="2">
        <v>42005.092361111114</v>
      </c>
      <c r="BT154">
        <v>0</v>
      </c>
      <c r="BU154">
        <v>0</v>
      </c>
      <c r="BV154" t="s">
        <v>135</v>
      </c>
      <c r="BW154">
        <v>0</v>
      </c>
      <c r="BX154">
        <v>0</v>
      </c>
      <c r="BY154" t="s">
        <v>135</v>
      </c>
      <c r="BZ154">
        <v>0</v>
      </c>
      <c r="CA154">
        <v>0</v>
      </c>
      <c r="CB154" t="s">
        <v>135</v>
      </c>
      <c r="CH154" s="2"/>
      <c r="CJ154" s="2"/>
      <c r="CL154" s="2"/>
      <c r="CN154" s="2"/>
      <c r="CQ154" s="2"/>
      <c r="CT154" s="2"/>
      <c r="CW154" s="2"/>
    </row>
    <row r="155" spans="1:101" x14ac:dyDescent="0.25">
      <c r="A155" s="1" t="s">
        <v>163</v>
      </c>
      <c r="B155" s="75" t="s">
        <v>164</v>
      </c>
      <c r="C155">
        <v>0</v>
      </c>
      <c r="D155">
        <v>0</v>
      </c>
      <c r="E155">
        <v>0</v>
      </c>
      <c r="F155">
        <v>604324.56000000006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3.91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7490</v>
      </c>
      <c r="AW155">
        <v>3350</v>
      </c>
      <c r="AX155">
        <v>1219</v>
      </c>
      <c r="AY155">
        <v>12059</v>
      </c>
      <c r="AZ155">
        <v>4202</v>
      </c>
      <c r="BA155">
        <v>7438</v>
      </c>
      <c r="BB155">
        <v>1432</v>
      </c>
      <c r="BC155">
        <v>13072</v>
      </c>
      <c r="BD155">
        <v>9486</v>
      </c>
      <c r="BE155">
        <v>9222</v>
      </c>
      <c r="BF155">
        <v>1768</v>
      </c>
      <c r="BG155">
        <v>20476</v>
      </c>
      <c r="BH155">
        <v>0</v>
      </c>
      <c r="BI155">
        <v>0</v>
      </c>
      <c r="BJ155">
        <v>0</v>
      </c>
      <c r="BK155">
        <v>0</v>
      </c>
      <c r="BL155" s="2">
        <v>24.82</v>
      </c>
      <c r="BM155" s="2">
        <v>42005.095138888886</v>
      </c>
      <c r="BN155" s="2">
        <v>5.4</v>
      </c>
      <c r="BO155" s="2">
        <v>42005.092361111114</v>
      </c>
      <c r="BP155" s="2">
        <v>6.92</v>
      </c>
      <c r="BQ155" s="2">
        <v>42005.092361111114</v>
      </c>
      <c r="BR155" s="2">
        <v>11.07</v>
      </c>
      <c r="BS155" s="2">
        <v>42005.092361111114</v>
      </c>
      <c r="BT155">
        <v>0</v>
      </c>
      <c r="BU155">
        <v>0</v>
      </c>
      <c r="BV155" t="s">
        <v>135</v>
      </c>
      <c r="BW155">
        <v>0</v>
      </c>
      <c r="BX155">
        <v>0</v>
      </c>
      <c r="BY155" t="s">
        <v>135</v>
      </c>
      <c r="BZ155">
        <v>0</v>
      </c>
      <c r="CA155">
        <v>0</v>
      </c>
      <c r="CB155" t="s">
        <v>135</v>
      </c>
      <c r="CH155" s="2"/>
      <c r="CJ155" s="2"/>
      <c r="CL155" s="2"/>
      <c r="CN155" s="2"/>
      <c r="CQ155" s="2"/>
      <c r="CT155" s="2"/>
      <c r="CW155" s="2"/>
    </row>
    <row r="156" spans="1:101" x14ac:dyDescent="0.25">
      <c r="A156" s="1" t="s">
        <v>163</v>
      </c>
      <c r="B156" s="75" t="s">
        <v>164</v>
      </c>
      <c r="C156">
        <v>0</v>
      </c>
      <c r="D156">
        <v>0</v>
      </c>
      <c r="E156">
        <v>0</v>
      </c>
      <c r="F156">
        <v>604324.56000000006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3.91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7490</v>
      </c>
      <c r="AW156">
        <v>3350</v>
      </c>
      <c r="AX156">
        <v>1219</v>
      </c>
      <c r="AY156">
        <v>12059</v>
      </c>
      <c r="AZ156">
        <v>4202</v>
      </c>
      <c r="BA156">
        <v>7438</v>
      </c>
      <c r="BB156">
        <v>1432</v>
      </c>
      <c r="BC156">
        <v>13072</v>
      </c>
      <c r="BD156">
        <v>9486</v>
      </c>
      <c r="BE156">
        <v>9222</v>
      </c>
      <c r="BF156">
        <v>1768</v>
      </c>
      <c r="BG156">
        <v>20476</v>
      </c>
      <c r="BH156">
        <v>0</v>
      </c>
      <c r="BI156">
        <v>0</v>
      </c>
      <c r="BJ156">
        <v>0</v>
      </c>
      <c r="BK156">
        <v>0</v>
      </c>
      <c r="BL156" s="2">
        <v>24.82</v>
      </c>
      <c r="BM156" s="2">
        <v>42005.095138888886</v>
      </c>
      <c r="BN156" s="2">
        <v>5.4</v>
      </c>
      <c r="BO156" s="2">
        <v>42005.092361111114</v>
      </c>
      <c r="BP156" s="2">
        <v>6.92</v>
      </c>
      <c r="BQ156" s="2">
        <v>42005.092361111114</v>
      </c>
      <c r="BR156" s="2">
        <v>11.07</v>
      </c>
      <c r="BS156" s="2">
        <v>42005.092361111114</v>
      </c>
      <c r="BT156">
        <v>0</v>
      </c>
      <c r="BU156">
        <v>0</v>
      </c>
      <c r="BV156" t="s">
        <v>135</v>
      </c>
      <c r="BW156">
        <v>0</v>
      </c>
      <c r="BX156">
        <v>0</v>
      </c>
      <c r="BY156" t="s">
        <v>135</v>
      </c>
      <c r="BZ156">
        <v>0</v>
      </c>
      <c r="CA156">
        <v>0</v>
      </c>
      <c r="CB156" t="s">
        <v>135</v>
      </c>
      <c r="CH156" s="2"/>
      <c r="CJ156" s="2"/>
      <c r="CL156" s="2"/>
      <c r="CN156" s="2"/>
      <c r="CQ156" s="2"/>
      <c r="CT156" s="2"/>
      <c r="CW156" s="2"/>
    </row>
    <row r="157" spans="1:101" x14ac:dyDescent="0.25">
      <c r="A157" s="1" t="s">
        <v>163</v>
      </c>
      <c r="B157" s="75" t="s">
        <v>164</v>
      </c>
      <c r="C157">
        <v>0</v>
      </c>
      <c r="D157">
        <v>0</v>
      </c>
      <c r="E157">
        <v>0</v>
      </c>
      <c r="F157">
        <v>604324.56000000006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3.91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7490</v>
      </c>
      <c r="AW157">
        <v>3350</v>
      </c>
      <c r="AX157">
        <v>1219</v>
      </c>
      <c r="AY157">
        <v>12059</v>
      </c>
      <c r="AZ157">
        <v>4202</v>
      </c>
      <c r="BA157">
        <v>7438</v>
      </c>
      <c r="BB157">
        <v>1432</v>
      </c>
      <c r="BC157">
        <v>13072</v>
      </c>
      <c r="BD157">
        <v>9486</v>
      </c>
      <c r="BE157">
        <v>9222</v>
      </c>
      <c r="BF157">
        <v>1768</v>
      </c>
      <c r="BG157">
        <v>20476</v>
      </c>
      <c r="BH157">
        <v>0</v>
      </c>
      <c r="BI157">
        <v>0</v>
      </c>
      <c r="BJ157">
        <v>0</v>
      </c>
      <c r="BK157">
        <v>0</v>
      </c>
      <c r="BL157" s="2">
        <v>24.82</v>
      </c>
      <c r="BM157" s="2">
        <v>42005.095138888886</v>
      </c>
      <c r="BN157" s="2">
        <v>5.4</v>
      </c>
      <c r="BO157" s="2">
        <v>42005.092361111114</v>
      </c>
      <c r="BP157" s="2">
        <v>6.92</v>
      </c>
      <c r="BQ157" s="2">
        <v>42005.092361111114</v>
      </c>
      <c r="BR157" s="2">
        <v>11.07</v>
      </c>
      <c r="BS157" s="2">
        <v>42005.092361111114</v>
      </c>
      <c r="BT157">
        <v>0</v>
      </c>
      <c r="BU157">
        <v>0</v>
      </c>
      <c r="BV157" t="s">
        <v>135</v>
      </c>
      <c r="BW157">
        <v>0</v>
      </c>
      <c r="BX157">
        <v>0</v>
      </c>
      <c r="BY157" t="s">
        <v>135</v>
      </c>
      <c r="BZ157">
        <v>0</v>
      </c>
      <c r="CA157">
        <v>0</v>
      </c>
      <c r="CB157" t="s">
        <v>135</v>
      </c>
      <c r="CH157" s="2"/>
      <c r="CJ157" s="2"/>
      <c r="CL157" s="2"/>
      <c r="CN157" s="2"/>
      <c r="CQ157" s="2"/>
      <c r="CT157" s="2"/>
      <c r="CW157" s="2"/>
    </row>
    <row r="158" spans="1:101" x14ac:dyDescent="0.25">
      <c r="A158" s="1" t="s">
        <v>163</v>
      </c>
      <c r="B158" s="75" t="s">
        <v>164</v>
      </c>
      <c r="C158">
        <v>0</v>
      </c>
      <c r="D158">
        <v>0</v>
      </c>
      <c r="E158">
        <v>0</v>
      </c>
      <c r="F158">
        <v>604324.56000000006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3.91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7490</v>
      </c>
      <c r="AW158">
        <v>3350</v>
      </c>
      <c r="AX158">
        <v>1219</v>
      </c>
      <c r="AY158">
        <v>12059</v>
      </c>
      <c r="AZ158">
        <v>4202</v>
      </c>
      <c r="BA158">
        <v>7438</v>
      </c>
      <c r="BB158">
        <v>1432</v>
      </c>
      <c r="BC158">
        <v>13072</v>
      </c>
      <c r="BD158">
        <v>9486</v>
      </c>
      <c r="BE158">
        <v>9222</v>
      </c>
      <c r="BF158">
        <v>1768</v>
      </c>
      <c r="BG158">
        <v>20476</v>
      </c>
      <c r="BH158">
        <v>0</v>
      </c>
      <c r="BI158">
        <v>0</v>
      </c>
      <c r="BJ158">
        <v>0</v>
      </c>
      <c r="BK158">
        <v>0</v>
      </c>
      <c r="BL158" s="2">
        <v>24.82</v>
      </c>
      <c r="BM158" s="2">
        <v>42005.095138888886</v>
      </c>
      <c r="BN158" s="2">
        <v>5.4</v>
      </c>
      <c r="BO158" s="2">
        <v>42005.092361111114</v>
      </c>
      <c r="BP158" s="2">
        <v>6.92</v>
      </c>
      <c r="BQ158" s="2">
        <v>42005.092361111114</v>
      </c>
      <c r="BR158" s="2">
        <v>11.07</v>
      </c>
      <c r="BS158" s="2">
        <v>42005.092361111114</v>
      </c>
      <c r="BT158">
        <v>0</v>
      </c>
      <c r="BU158">
        <v>0</v>
      </c>
      <c r="BV158" t="s">
        <v>135</v>
      </c>
      <c r="BW158">
        <v>0</v>
      </c>
      <c r="BX158">
        <v>0</v>
      </c>
      <c r="BY158" t="s">
        <v>135</v>
      </c>
      <c r="BZ158">
        <v>0</v>
      </c>
      <c r="CA158">
        <v>0</v>
      </c>
      <c r="CB158" t="s">
        <v>135</v>
      </c>
      <c r="CH158" s="2"/>
      <c r="CJ158" s="2"/>
      <c r="CL158" s="2"/>
      <c r="CN158" s="2"/>
      <c r="CQ158" s="2"/>
      <c r="CT158" s="2"/>
      <c r="CW158" s="2"/>
    </row>
    <row r="159" spans="1:101" x14ac:dyDescent="0.25">
      <c r="A159" s="1" t="s">
        <v>163</v>
      </c>
      <c r="B159" s="75" t="s">
        <v>164</v>
      </c>
      <c r="C159">
        <v>0</v>
      </c>
      <c r="D159">
        <v>0</v>
      </c>
      <c r="E159">
        <v>0</v>
      </c>
      <c r="F159">
        <v>604324.56000000006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3.91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7490</v>
      </c>
      <c r="AW159">
        <v>3350</v>
      </c>
      <c r="AX159">
        <v>1219</v>
      </c>
      <c r="AY159">
        <v>12059</v>
      </c>
      <c r="AZ159">
        <v>4202</v>
      </c>
      <c r="BA159">
        <v>7438</v>
      </c>
      <c r="BB159">
        <v>1432</v>
      </c>
      <c r="BC159">
        <v>13072</v>
      </c>
      <c r="BD159">
        <v>9486</v>
      </c>
      <c r="BE159">
        <v>9222</v>
      </c>
      <c r="BF159">
        <v>1768</v>
      </c>
      <c r="BG159">
        <v>20476</v>
      </c>
      <c r="BH159">
        <v>0</v>
      </c>
      <c r="BI159">
        <v>0</v>
      </c>
      <c r="BJ159">
        <v>0</v>
      </c>
      <c r="BK159">
        <v>0</v>
      </c>
      <c r="BL159" s="2">
        <v>24.82</v>
      </c>
      <c r="BM159" s="2">
        <v>42005.095138888886</v>
      </c>
      <c r="BN159" s="2">
        <v>5.4</v>
      </c>
      <c r="BO159" s="2">
        <v>42005.092361111114</v>
      </c>
      <c r="BP159" s="2">
        <v>6.92</v>
      </c>
      <c r="BQ159" s="2">
        <v>42005.092361111114</v>
      </c>
      <c r="BR159" s="2">
        <v>11.07</v>
      </c>
      <c r="BS159" s="2">
        <v>42005.092361111114</v>
      </c>
      <c r="BT159">
        <v>0</v>
      </c>
      <c r="BU159">
        <v>0</v>
      </c>
      <c r="BV159" t="s">
        <v>135</v>
      </c>
      <c r="BW159">
        <v>0</v>
      </c>
      <c r="BX159">
        <v>0</v>
      </c>
      <c r="BY159" t="s">
        <v>135</v>
      </c>
      <c r="BZ159">
        <v>0</v>
      </c>
      <c r="CA159">
        <v>0</v>
      </c>
      <c r="CB159" t="s">
        <v>135</v>
      </c>
      <c r="CH159" s="2"/>
      <c r="CJ159" s="2"/>
      <c r="CL159" s="2"/>
      <c r="CN159" s="2"/>
      <c r="CQ159" s="2"/>
      <c r="CT159" s="2"/>
      <c r="CW159" s="2"/>
    </row>
    <row r="160" spans="1:101" x14ac:dyDescent="0.25">
      <c r="A160" s="1" t="s">
        <v>163</v>
      </c>
      <c r="B160" s="75" t="s">
        <v>164</v>
      </c>
      <c r="C160">
        <v>0</v>
      </c>
      <c r="D160">
        <v>0</v>
      </c>
      <c r="E160">
        <v>0</v>
      </c>
      <c r="F160">
        <v>604324.56000000006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3.91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7490</v>
      </c>
      <c r="AW160">
        <v>3350</v>
      </c>
      <c r="AX160">
        <v>1219</v>
      </c>
      <c r="AY160">
        <v>12059</v>
      </c>
      <c r="AZ160">
        <v>4202</v>
      </c>
      <c r="BA160">
        <v>7438</v>
      </c>
      <c r="BB160">
        <v>1432</v>
      </c>
      <c r="BC160">
        <v>13072</v>
      </c>
      <c r="BD160">
        <v>9486</v>
      </c>
      <c r="BE160">
        <v>9222</v>
      </c>
      <c r="BF160">
        <v>1768</v>
      </c>
      <c r="BG160">
        <v>20476</v>
      </c>
      <c r="BH160">
        <v>0</v>
      </c>
      <c r="BI160">
        <v>0</v>
      </c>
      <c r="BJ160">
        <v>0</v>
      </c>
      <c r="BK160">
        <v>0</v>
      </c>
      <c r="BL160" s="2">
        <v>24.82</v>
      </c>
      <c r="BM160" s="2">
        <v>42005.095138888886</v>
      </c>
      <c r="BN160" s="2">
        <v>5.4</v>
      </c>
      <c r="BO160" s="2">
        <v>42005.092361111114</v>
      </c>
      <c r="BP160" s="2">
        <v>6.92</v>
      </c>
      <c r="BQ160" s="2">
        <v>42005.092361111114</v>
      </c>
      <c r="BR160" s="2">
        <v>11.07</v>
      </c>
      <c r="BS160" s="2">
        <v>42005.092361111114</v>
      </c>
      <c r="BT160">
        <v>0</v>
      </c>
      <c r="BU160">
        <v>0</v>
      </c>
      <c r="BV160" t="s">
        <v>135</v>
      </c>
      <c r="BW160">
        <v>0</v>
      </c>
      <c r="BX160">
        <v>0</v>
      </c>
      <c r="BY160" t="s">
        <v>135</v>
      </c>
      <c r="BZ160">
        <v>0</v>
      </c>
      <c r="CA160">
        <v>0</v>
      </c>
      <c r="CB160" t="s">
        <v>135</v>
      </c>
      <c r="CH160" s="2"/>
      <c r="CJ160" s="2"/>
      <c r="CL160" s="2"/>
      <c r="CN160" s="2"/>
      <c r="CQ160" s="2"/>
      <c r="CT160" s="2"/>
      <c r="CW160" s="2"/>
    </row>
    <row r="161" spans="1:101" x14ac:dyDescent="0.25">
      <c r="A161" s="1" t="s">
        <v>163</v>
      </c>
      <c r="B161" s="75" t="s">
        <v>164</v>
      </c>
      <c r="C161">
        <v>0</v>
      </c>
      <c r="D161">
        <v>0</v>
      </c>
      <c r="E161">
        <v>0</v>
      </c>
      <c r="F161">
        <v>604324.56000000006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3.91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7490</v>
      </c>
      <c r="AW161">
        <v>3350</v>
      </c>
      <c r="AX161">
        <v>1219</v>
      </c>
      <c r="AY161">
        <v>12059</v>
      </c>
      <c r="AZ161">
        <v>4202</v>
      </c>
      <c r="BA161">
        <v>7438</v>
      </c>
      <c r="BB161">
        <v>1432</v>
      </c>
      <c r="BC161">
        <v>13072</v>
      </c>
      <c r="BD161">
        <v>9486</v>
      </c>
      <c r="BE161">
        <v>9222</v>
      </c>
      <c r="BF161">
        <v>1768</v>
      </c>
      <c r="BG161">
        <v>20476</v>
      </c>
      <c r="BH161">
        <v>0</v>
      </c>
      <c r="BI161">
        <v>0</v>
      </c>
      <c r="BJ161">
        <v>0</v>
      </c>
      <c r="BK161">
        <v>0</v>
      </c>
      <c r="BL161" s="2">
        <v>24.82</v>
      </c>
      <c r="BM161" s="2">
        <v>42005.095138888886</v>
      </c>
      <c r="BN161" s="2">
        <v>5.4</v>
      </c>
      <c r="BO161" s="2">
        <v>42005.092361111114</v>
      </c>
      <c r="BP161" s="2">
        <v>6.92</v>
      </c>
      <c r="BQ161" s="2">
        <v>42005.092361111114</v>
      </c>
      <c r="BR161" s="2">
        <v>11.07</v>
      </c>
      <c r="BS161" s="2">
        <v>42005.092361111114</v>
      </c>
      <c r="BT161">
        <v>0</v>
      </c>
      <c r="BU161">
        <v>0</v>
      </c>
      <c r="BV161" t="s">
        <v>135</v>
      </c>
      <c r="BW161">
        <v>0</v>
      </c>
      <c r="BX161">
        <v>0</v>
      </c>
      <c r="BY161" t="s">
        <v>135</v>
      </c>
      <c r="BZ161">
        <v>0</v>
      </c>
      <c r="CA161">
        <v>0</v>
      </c>
      <c r="CB161" t="s">
        <v>135</v>
      </c>
      <c r="CH161" s="2"/>
      <c r="CJ161" s="2"/>
      <c r="CL161" s="2"/>
      <c r="CN161" s="2"/>
      <c r="CQ161" s="2"/>
      <c r="CT161" s="2"/>
      <c r="CW161" s="2"/>
    </row>
    <row r="162" spans="1:101" x14ac:dyDescent="0.25">
      <c r="A162" s="1" t="s">
        <v>163</v>
      </c>
      <c r="B162" s="75" t="s">
        <v>164</v>
      </c>
      <c r="C162">
        <v>0</v>
      </c>
      <c r="D162">
        <v>0</v>
      </c>
      <c r="E162">
        <v>0</v>
      </c>
      <c r="F162">
        <v>604324.56000000006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3.91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7490</v>
      </c>
      <c r="AW162">
        <v>3350</v>
      </c>
      <c r="AX162">
        <v>1219</v>
      </c>
      <c r="AY162">
        <v>12059</v>
      </c>
      <c r="AZ162">
        <v>4202</v>
      </c>
      <c r="BA162">
        <v>7438</v>
      </c>
      <c r="BB162">
        <v>1432</v>
      </c>
      <c r="BC162">
        <v>13072</v>
      </c>
      <c r="BD162">
        <v>9486</v>
      </c>
      <c r="BE162">
        <v>9222</v>
      </c>
      <c r="BF162">
        <v>1768</v>
      </c>
      <c r="BG162">
        <v>20476</v>
      </c>
      <c r="BH162">
        <v>0</v>
      </c>
      <c r="BI162">
        <v>0</v>
      </c>
      <c r="BJ162">
        <v>0</v>
      </c>
      <c r="BK162">
        <v>0</v>
      </c>
      <c r="BL162" s="2">
        <v>24.82</v>
      </c>
      <c r="BM162" s="2">
        <v>42005.095138888886</v>
      </c>
      <c r="BN162" s="2">
        <v>5.4</v>
      </c>
      <c r="BO162" s="2">
        <v>42005.092361111114</v>
      </c>
      <c r="BP162" s="2">
        <v>6.92</v>
      </c>
      <c r="BQ162" s="2">
        <v>42005.092361111114</v>
      </c>
      <c r="BR162" s="2">
        <v>11.07</v>
      </c>
      <c r="BS162" s="2">
        <v>42005.092361111114</v>
      </c>
      <c r="BT162">
        <v>0</v>
      </c>
      <c r="BU162">
        <v>0</v>
      </c>
      <c r="BV162" t="s">
        <v>135</v>
      </c>
      <c r="BW162">
        <v>0</v>
      </c>
      <c r="BX162">
        <v>0</v>
      </c>
      <c r="BY162" t="s">
        <v>135</v>
      </c>
      <c r="BZ162">
        <v>0</v>
      </c>
      <c r="CA162">
        <v>0</v>
      </c>
      <c r="CB162" t="s">
        <v>135</v>
      </c>
      <c r="CH162" s="2"/>
      <c r="CJ162" s="2"/>
      <c r="CL162" s="2"/>
      <c r="CN162" s="2"/>
      <c r="CQ162" s="2"/>
      <c r="CT162" s="2"/>
      <c r="CW162" s="2"/>
    </row>
    <row r="163" spans="1:101" x14ac:dyDescent="0.25">
      <c r="A163" s="1" t="s">
        <v>163</v>
      </c>
      <c r="B163" s="75" t="s">
        <v>164</v>
      </c>
      <c r="C163">
        <v>0</v>
      </c>
      <c r="D163">
        <v>0</v>
      </c>
      <c r="E163">
        <v>0</v>
      </c>
      <c r="F163">
        <v>604324.56000000006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3.91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7490</v>
      </c>
      <c r="AW163">
        <v>3350</v>
      </c>
      <c r="AX163">
        <v>1219</v>
      </c>
      <c r="AY163">
        <v>12059</v>
      </c>
      <c r="AZ163">
        <v>4202</v>
      </c>
      <c r="BA163">
        <v>7438</v>
      </c>
      <c r="BB163">
        <v>1432</v>
      </c>
      <c r="BC163">
        <v>13072</v>
      </c>
      <c r="BD163">
        <v>9486</v>
      </c>
      <c r="BE163">
        <v>9222</v>
      </c>
      <c r="BF163">
        <v>1768</v>
      </c>
      <c r="BG163">
        <v>20476</v>
      </c>
      <c r="BH163">
        <v>0</v>
      </c>
      <c r="BI163">
        <v>0</v>
      </c>
      <c r="BJ163">
        <v>0</v>
      </c>
      <c r="BK163">
        <v>0</v>
      </c>
      <c r="BL163" s="2">
        <v>24.82</v>
      </c>
      <c r="BM163" s="2">
        <v>42005.095138888886</v>
      </c>
      <c r="BN163" s="2">
        <v>5.4</v>
      </c>
      <c r="BO163" s="2">
        <v>42005.092361111114</v>
      </c>
      <c r="BP163" s="2">
        <v>6.92</v>
      </c>
      <c r="BQ163" s="2">
        <v>42005.092361111114</v>
      </c>
      <c r="BR163" s="2">
        <v>11.07</v>
      </c>
      <c r="BS163" s="2">
        <v>42005.092361111114</v>
      </c>
      <c r="BT163">
        <v>0</v>
      </c>
      <c r="BU163">
        <v>0</v>
      </c>
      <c r="BV163" t="s">
        <v>135</v>
      </c>
      <c r="BW163">
        <v>0</v>
      </c>
      <c r="BX163">
        <v>0</v>
      </c>
      <c r="BY163" t="s">
        <v>135</v>
      </c>
      <c r="BZ163">
        <v>0</v>
      </c>
      <c r="CA163">
        <v>0</v>
      </c>
      <c r="CB163" t="s">
        <v>135</v>
      </c>
      <c r="CH163" s="2"/>
      <c r="CJ163" s="2"/>
      <c r="CL163" s="2"/>
      <c r="CN163" s="2"/>
      <c r="CQ163" s="2"/>
      <c r="CT163" s="2"/>
      <c r="CW163" s="2"/>
    </row>
    <row r="164" spans="1:101" x14ac:dyDescent="0.25">
      <c r="A164" s="1" t="s">
        <v>163</v>
      </c>
      <c r="B164" s="75" t="s">
        <v>164</v>
      </c>
      <c r="C164">
        <v>0</v>
      </c>
      <c r="D164">
        <v>0</v>
      </c>
      <c r="E164">
        <v>0</v>
      </c>
      <c r="F164">
        <v>604324.56000000006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3.91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7490</v>
      </c>
      <c r="AW164">
        <v>3350</v>
      </c>
      <c r="AX164">
        <v>1219</v>
      </c>
      <c r="AY164">
        <v>12059</v>
      </c>
      <c r="AZ164">
        <v>4202</v>
      </c>
      <c r="BA164">
        <v>7438</v>
      </c>
      <c r="BB164">
        <v>1432</v>
      </c>
      <c r="BC164">
        <v>13072</v>
      </c>
      <c r="BD164">
        <v>9486</v>
      </c>
      <c r="BE164">
        <v>9222</v>
      </c>
      <c r="BF164">
        <v>1768</v>
      </c>
      <c r="BG164">
        <v>20476</v>
      </c>
      <c r="BH164">
        <v>0</v>
      </c>
      <c r="BI164">
        <v>0</v>
      </c>
      <c r="BJ164">
        <v>0</v>
      </c>
      <c r="BK164">
        <v>0</v>
      </c>
      <c r="BL164" s="2">
        <v>24.82</v>
      </c>
      <c r="BM164" s="2">
        <v>42005.095138888886</v>
      </c>
      <c r="BN164" s="2">
        <v>5.4</v>
      </c>
      <c r="BO164" s="2">
        <v>42005.092361111114</v>
      </c>
      <c r="BP164" s="2">
        <v>6.92</v>
      </c>
      <c r="BQ164" s="2">
        <v>42005.092361111114</v>
      </c>
      <c r="BR164" s="2">
        <v>11.07</v>
      </c>
      <c r="BS164" s="2">
        <v>42005.092361111114</v>
      </c>
      <c r="BT164">
        <v>0</v>
      </c>
      <c r="BU164">
        <v>0</v>
      </c>
      <c r="BV164" t="s">
        <v>135</v>
      </c>
      <c r="BW164">
        <v>0</v>
      </c>
      <c r="BX164">
        <v>0</v>
      </c>
      <c r="BY164" t="s">
        <v>135</v>
      </c>
      <c r="BZ164">
        <v>0</v>
      </c>
      <c r="CA164">
        <v>0</v>
      </c>
      <c r="CB164" t="s">
        <v>135</v>
      </c>
      <c r="CH164" s="2"/>
      <c r="CJ164" s="2"/>
      <c r="CL164" s="2"/>
      <c r="CN164" s="2"/>
      <c r="CQ164" s="2"/>
      <c r="CT164" s="2"/>
      <c r="CW164" s="2"/>
    </row>
    <row r="165" spans="1:101" x14ac:dyDescent="0.25">
      <c r="A165" s="1" t="s">
        <v>163</v>
      </c>
      <c r="B165" s="75" t="s">
        <v>164</v>
      </c>
      <c r="C165">
        <v>0</v>
      </c>
      <c r="D165">
        <v>0</v>
      </c>
      <c r="E165">
        <v>0</v>
      </c>
      <c r="F165">
        <v>604324.56000000006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3.91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7490</v>
      </c>
      <c r="AW165">
        <v>3350</v>
      </c>
      <c r="AX165">
        <v>1219</v>
      </c>
      <c r="AY165">
        <v>12059</v>
      </c>
      <c r="AZ165">
        <v>4202</v>
      </c>
      <c r="BA165">
        <v>7438</v>
      </c>
      <c r="BB165">
        <v>1432</v>
      </c>
      <c r="BC165">
        <v>13072</v>
      </c>
      <c r="BD165">
        <v>9486</v>
      </c>
      <c r="BE165">
        <v>9222</v>
      </c>
      <c r="BF165">
        <v>1768</v>
      </c>
      <c r="BG165">
        <v>20476</v>
      </c>
      <c r="BH165">
        <v>0</v>
      </c>
      <c r="BI165">
        <v>0</v>
      </c>
      <c r="BJ165">
        <v>0</v>
      </c>
      <c r="BK165">
        <v>0</v>
      </c>
      <c r="BL165" s="2">
        <v>24.82</v>
      </c>
      <c r="BM165" s="2">
        <v>42005.095138888886</v>
      </c>
      <c r="BN165" s="2">
        <v>5.4</v>
      </c>
      <c r="BO165" s="2">
        <v>42005.092361111114</v>
      </c>
      <c r="BP165" s="2">
        <v>6.92</v>
      </c>
      <c r="BQ165" s="2">
        <v>42005.092361111114</v>
      </c>
      <c r="BR165" s="2">
        <v>11.07</v>
      </c>
      <c r="BS165" s="2">
        <v>42005.092361111114</v>
      </c>
      <c r="BT165">
        <v>0</v>
      </c>
      <c r="BU165">
        <v>0</v>
      </c>
      <c r="BV165" t="s">
        <v>135</v>
      </c>
      <c r="BW165">
        <v>0</v>
      </c>
      <c r="BX165">
        <v>0</v>
      </c>
      <c r="BY165" t="s">
        <v>135</v>
      </c>
      <c r="BZ165">
        <v>0</v>
      </c>
      <c r="CA165">
        <v>0</v>
      </c>
      <c r="CB165" t="s">
        <v>135</v>
      </c>
      <c r="CH165" s="2"/>
      <c r="CJ165" s="2"/>
      <c r="CL165" s="2"/>
      <c r="CN165" s="2"/>
      <c r="CQ165" s="2"/>
      <c r="CT165" s="2"/>
      <c r="CW165" s="2"/>
    </row>
    <row r="166" spans="1:101" x14ac:dyDescent="0.25">
      <c r="A166" s="1" t="s">
        <v>163</v>
      </c>
      <c r="B166" s="75" t="s">
        <v>164</v>
      </c>
      <c r="C166">
        <v>0</v>
      </c>
      <c r="D166">
        <v>0</v>
      </c>
      <c r="E166">
        <v>0</v>
      </c>
      <c r="F166">
        <v>604324.56000000006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3.91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7490</v>
      </c>
      <c r="AW166">
        <v>3350</v>
      </c>
      <c r="AX166">
        <v>1219</v>
      </c>
      <c r="AY166">
        <v>12059</v>
      </c>
      <c r="AZ166">
        <v>4202</v>
      </c>
      <c r="BA166">
        <v>7438</v>
      </c>
      <c r="BB166">
        <v>1432</v>
      </c>
      <c r="BC166">
        <v>13072</v>
      </c>
      <c r="BD166">
        <v>9486</v>
      </c>
      <c r="BE166">
        <v>9222</v>
      </c>
      <c r="BF166">
        <v>1768</v>
      </c>
      <c r="BG166">
        <v>20476</v>
      </c>
      <c r="BH166">
        <v>0</v>
      </c>
      <c r="BI166">
        <v>0</v>
      </c>
      <c r="BJ166">
        <v>0</v>
      </c>
      <c r="BK166">
        <v>0</v>
      </c>
      <c r="BL166" s="2">
        <v>24.82</v>
      </c>
      <c r="BM166" s="2">
        <v>42005.095138888886</v>
      </c>
      <c r="BN166" s="2">
        <v>5.4</v>
      </c>
      <c r="BO166" s="2">
        <v>42005.092361111114</v>
      </c>
      <c r="BP166" s="2">
        <v>6.92</v>
      </c>
      <c r="BQ166" s="2">
        <v>42005.092361111114</v>
      </c>
      <c r="BR166" s="2">
        <v>11.07</v>
      </c>
      <c r="BS166" s="2">
        <v>42005.092361111114</v>
      </c>
      <c r="BT166">
        <v>0</v>
      </c>
      <c r="BU166">
        <v>0</v>
      </c>
      <c r="BV166" t="s">
        <v>135</v>
      </c>
      <c r="BW166">
        <v>0</v>
      </c>
      <c r="BX166">
        <v>0</v>
      </c>
      <c r="BY166" t="s">
        <v>135</v>
      </c>
      <c r="BZ166">
        <v>0</v>
      </c>
      <c r="CA166">
        <v>0</v>
      </c>
      <c r="CB166" t="s">
        <v>135</v>
      </c>
      <c r="CH166" s="2"/>
      <c r="CJ166" s="2"/>
      <c r="CL166" s="2"/>
      <c r="CN166" s="2"/>
      <c r="CQ166" s="2"/>
      <c r="CT166" s="2"/>
      <c r="CW166" s="2"/>
    </row>
    <row r="167" spans="1:101" x14ac:dyDescent="0.25">
      <c r="A167" s="1" t="s">
        <v>163</v>
      </c>
      <c r="B167" s="75" t="s">
        <v>164</v>
      </c>
      <c r="C167">
        <v>0</v>
      </c>
      <c r="D167">
        <v>0</v>
      </c>
      <c r="E167">
        <v>0</v>
      </c>
      <c r="F167">
        <v>604324.56000000006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3.91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7490</v>
      </c>
      <c r="AW167">
        <v>3350</v>
      </c>
      <c r="AX167">
        <v>1219</v>
      </c>
      <c r="AY167">
        <v>12059</v>
      </c>
      <c r="AZ167">
        <v>4202</v>
      </c>
      <c r="BA167">
        <v>7438</v>
      </c>
      <c r="BB167">
        <v>1432</v>
      </c>
      <c r="BC167">
        <v>13072</v>
      </c>
      <c r="BD167">
        <v>9486</v>
      </c>
      <c r="BE167">
        <v>9222</v>
      </c>
      <c r="BF167">
        <v>1768</v>
      </c>
      <c r="BG167">
        <v>20476</v>
      </c>
      <c r="BH167">
        <v>0</v>
      </c>
      <c r="BI167">
        <v>0</v>
      </c>
      <c r="BJ167">
        <v>0</v>
      </c>
      <c r="BK167">
        <v>0</v>
      </c>
      <c r="BL167" s="2">
        <v>24.82</v>
      </c>
      <c r="BM167" s="2">
        <v>42005.095138888886</v>
      </c>
      <c r="BN167" s="2">
        <v>5.4</v>
      </c>
      <c r="BO167" s="2">
        <v>42005.092361111114</v>
      </c>
      <c r="BP167" s="2">
        <v>6.92</v>
      </c>
      <c r="BQ167" s="2">
        <v>42005.092361111114</v>
      </c>
      <c r="BR167" s="2">
        <v>11.07</v>
      </c>
      <c r="BS167" s="2">
        <v>42005.092361111114</v>
      </c>
      <c r="BT167">
        <v>0</v>
      </c>
      <c r="BU167">
        <v>0</v>
      </c>
      <c r="BV167" t="s">
        <v>135</v>
      </c>
      <c r="BW167">
        <v>0</v>
      </c>
      <c r="BX167">
        <v>0</v>
      </c>
      <c r="BY167" t="s">
        <v>135</v>
      </c>
      <c r="BZ167">
        <v>0</v>
      </c>
      <c r="CA167">
        <v>0</v>
      </c>
      <c r="CB167" t="s">
        <v>135</v>
      </c>
      <c r="CH167" s="2"/>
      <c r="CJ167" s="2"/>
      <c r="CL167" s="2"/>
      <c r="CN167" s="2"/>
      <c r="CQ167" s="2"/>
      <c r="CT167" s="2"/>
      <c r="CW167" s="2"/>
    </row>
    <row r="168" spans="1:101" x14ac:dyDescent="0.25">
      <c r="A168" s="1" t="s">
        <v>163</v>
      </c>
      <c r="B168" s="75" t="s">
        <v>164</v>
      </c>
      <c r="C168">
        <v>0</v>
      </c>
      <c r="D168">
        <v>0</v>
      </c>
      <c r="E168">
        <v>0</v>
      </c>
      <c r="F168">
        <v>604324.56000000006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3.91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7490</v>
      </c>
      <c r="AW168">
        <v>3350</v>
      </c>
      <c r="AX168">
        <v>1219</v>
      </c>
      <c r="AY168">
        <v>12059</v>
      </c>
      <c r="AZ168">
        <v>4202</v>
      </c>
      <c r="BA168">
        <v>7438</v>
      </c>
      <c r="BB168">
        <v>1432</v>
      </c>
      <c r="BC168">
        <v>13072</v>
      </c>
      <c r="BD168">
        <v>9486</v>
      </c>
      <c r="BE168">
        <v>9222</v>
      </c>
      <c r="BF168">
        <v>1768</v>
      </c>
      <c r="BG168">
        <v>20476</v>
      </c>
      <c r="BH168">
        <v>0</v>
      </c>
      <c r="BI168">
        <v>0</v>
      </c>
      <c r="BJ168">
        <v>0</v>
      </c>
      <c r="BK168">
        <v>0</v>
      </c>
      <c r="BL168" s="2">
        <v>24.82</v>
      </c>
      <c r="BM168" s="2">
        <v>42005.095138888886</v>
      </c>
      <c r="BN168" s="2">
        <v>5.4</v>
      </c>
      <c r="BO168" s="2">
        <v>42005.092361111114</v>
      </c>
      <c r="BP168" s="2">
        <v>6.92</v>
      </c>
      <c r="BQ168" s="2">
        <v>42005.092361111114</v>
      </c>
      <c r="BR168" s="2">
        <v>11.07</v>
      </c>
      <c r="BS168" s="2">
        <v>42005.092361111114</v>
      </c>
      <c r="BT168">
        <v>0</v>
      </c>
      <c r="BU168">
        <v>0</v>
      </c>
      <c r="BV168" t="s">
        <v>135</v>
      </c>
      <c r="BW168">
        <v>0</v>
      </c>
      <c r="BX168">
        <v>0</v>
      </c>
      <c r="BY168" t="s">
        <v>135</v>
      </c>
      <c r="BZ168">
        <v>0</v>
      </c>
      <c r="CA168">
        <v>0</v>
      </c>
      <c r="CB168" t="s">
        <v>135</v>
      </c>
      <c r="CH168" s="2"/>
      <c r="CJ168" s="2"/>
      <c r="CL168" s="2"/>
      <c r="CN168" s="2"/>
      <c r="CQ168" s="2"/>
      <c r="CT168" s="2"/>
      <c r="CW168" s="2"/>
    </row>
    <row r="169" spans="1:101" x14ac:dyDescent="0.25">
      <c r="A169" s="1" t="s">
        <v>163</v>
      </c>
      <c r="B169" s="75" t="s">
        <v>164</v>
      </c>
      <c r="C169">
        <v>0</v>
      </c>
      <c r="D169">
        <v>0</v>
      </c>
      <c r="E169">
        <v>0</v>
      </c>
      <c r="F169">
        <v>604324.56000000006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3.91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7490</v>
      </c>
      <c r="AW169">
        <v>3350</v>
      </c>
      <c r="AX169">
        <v>1219</v>
      </c>
      <c r="AY169">
        <v>12059</v>
      </c>
      <c r="AZ169">
        <v>4202</v>
      </c>
      <c r="BA169">
        <v>7438</v>
      </c>
      <c r="BB169">
        <v>1432</v>
      </c>
      <c r="BC169">
        <v>13072</v>
      </c>
      <c r="BD169">
        <v>9486</v>
      </c>
      <c r="BE169">
        <v>9222</v>
      </c>
      <c r="BF169">
        <v>1768</v>
      </c>
      <c r="BG169">
        <v>20476</v>
      </c>
      <c r="BH169">
        <v>0</v>
      </c>
      <c r="BI169">
        <v>0</v>
      </c>
      <c r="BJ169">
        <v>0</v>
      </c>
      <c r="BK169">
        <v>0</v>
      </c>
      <c r="BL169" s="2">
        <v>24.82</v>
      </c>
      <c r="BM169" s="2">
        <v>42005.095138888886</v>
      </c>
      <c r="BN169" s="2">
        <v>5.4</v>
      </c>
      <c r="BO169" s="2">
        <v>42005.092361111114</v>
      </c>
      <c r="BP169" s="2">
        <v>6.92</v>
      </c>
      <c r="BQ169" s="2">
        <v>42005.092361111114</v>
      </c>
      <c r="BR169" s="2">
        <v>11.07</v>
      </c>
      <c r="BS169" s="2">
        <v>42005.092361111114</v>
      </c>
      <c r="BT169">
        <v>0</v>
      </c>
      <c r="BU169">
        <v>0</v>
      </c>
      <c r="BV169" t="s">
        <v>135</v>
      </c>
      <c r="BW169">
        <v>0</v>
      </c>
      <c r="BX169">
        <v>0</v>
      </c>
      <c r="BY169" t="s">
        <v>135</v>
      </c>
      <c r="BZ169">
        <v>0</v>
      </c>
      <c r="CA169">
        <v>0</v>
      </c>
      <c r="CB169" t="s">
        <v>135</v>
      </c>
      <c r="CH169" s="2"/>
      <c r="CJ169" s="2"/>
      <c r="CL169" s="2"/>
      <c r="CN169" s="2"/>
      <c r="CQ169" s="2"/>
      <c r="CT169" s="2"/>
      <c r="CW169" s="2"/>
    </row>
    <row r="170" spans="1:101" x14ac:dyDescent="0.25">
      <c r="A170" s="1" t="s">
        <v>163</v>
      </c>
      <c r="B170" s="75" t="s">
        <v>164</v>
      </c>
      <c r="C170">
        <v>0</v>
      </c>
      <c r="D170">
        <v>0</v>
      </c>
      <c r="E170">
        <v>0</v>
      </c>
      <c r="F170">
        <v>604324.56000000006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3.91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7490</v>
      </c>
      <c r="AW170">
        <v>3350</v>
      </c>
      <c r="AX170">
        <v>1219</v>
      </c>
      <c r="AY170">
        <v>12059</v>
      </c>
      <c r="AZ170">
        <v>4202</v>
      </c>
      <c r="BA170">
        <v>7438</v>
      </c>
      <c r="BB170">
        <v>1432</v>
      </c>
      <c r="BC170">
        <v>13072</v>
      </c>
      <c r="BD170">
        <v>9486</v>
      </c>
      <c r="BE170">
        <v>9222</v>
      </c>
      <c r="BF170">
        <v>1768</v>
      </c>
      <c r="BG170">
        <v>20476</v>
      </c>
      <c r="BH170">
        <v>0</v>
      </c>
      <c r="BI170">
        <v>0</v>
      </c>
      <c r="BJ170">
        <v>0</v>
      </c>
      <c r="BK170">
        <v>0</v>
      </c>
      <c r="BL170" s="2">
        <v>24.82</v>
      </c>
      <c r="BM170" s="2">
        <v>42005.095138888886</v>
      </c>
      <c r="BN170" s="2">
        <v>5.4</v>
      </c>
      <c r="BO170" s="2">
        <v>42005.092361111114</v>
      </c>
      <c r="BP170" s="2">
        <v>6.92</v>
      </c>
      <c r="BQ170" s="2">
        <v>42005.092361111114</v>
      </c>
      <c r="BR170" s="2">
        <v>11.07</v>
      </c>
      <c r="BS170" s="2">
        <v>42005.092361111114</v>
      </c>
      <c r="BT170">
        <v>0</v>
      </c>
      <c r="BU170">
        <v>0</v>
      </c>
      <c r="BV170" t="s">
        <v>135</v>
      </c>
      <c r="BW170">
        <v>0</v>
      </c>
      <c r="BX170">
        <v>0</v>
      </c>
      <c r="BY170" t="s">
        <v>135</v>
      </c>
      <c r="BZ170">
        <v>0</v>
      </c>
      <c r="CA170">
        <v>0</v>
      </c>
      <c r="CB170" t="s">
        <v>135</v>
      </c>
      <c r="CH170" s="2"/>
      <c r="CJ170" s="2"/>
      <c r="CL170" s="2"/>
      <c r="CN170" s="2"/>
      <c r="CQ170" s="2"/>
      <c r="CT170" s="2"/>
      <c r="CW170" s="2"/>
    </row>
    <row r="171" spans="1:101" x14ac:dyDescent="0.25">
      <c r="A171" s="1" t="s">
        <v>163</v>
      </c>
      <c r="B171" s="75" t="s">
        <v>164</v>
      </c>
      <c r="C171">
        <v>0</v>
      </c>
      <c r="D171">
        <v>0</v>
      </c>
      <c r="E171">
        <v>0</v>
      </c>
      <c r="F171">
        <v>604324.56000000006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3.91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7490</v>
      </c>
      <c r="AW171">
        <v>3350</v>
      </c>
      <c r="AX171">
        <v>1219</v>
      </c>
      <c r="AY171">
        <v>12059</v>
      </c>
      <c r="AZ171">
        <v>4202</v>
      </c>
      <c r="BA171">
        <v>7438</v>
      </c>
      <c r="BB171">
        <v>1432</v>
      </c>
      <c r="BC171">
        <v>13072</v>
      </c>
      <c r="BD171">
        <v>9486</v>
      </c>
      <c r="BE171">
        <v>9222</v>
      </c>
      <c r="BF171">
        <v>1768</v>
      </c>
      <c r="BG171">
        <v>20476</v>
      </c>
      <c r="BH171">
        <v>0</v>
      </c>
      <c r="BI171">
        <v>0</v>
      </c>
      <c r="BJ171">
        <v>0</v>
      </c>
      <c r="BK171">
        <v>0</v>
      </c>
      <c r="BL171" s="2">
        <v>24.82</v>
      </c>
      <c r="BM171" s="2">
        <v>42005.095138888886</v>
      </c>
      <c r="BN171" s="2">
        <v>5.4</v>
      </c>
      <c r="BO171" s="2">
        <v>42005.092361111114</v>
      </c>
      <c r="BP171" s="2">
        <v>6.92</v>
      </c>
      <c r="BQ171" s="2">
        <v>42005.092361111114</v>
      </c>
      <c r="BR171" s="2">
        <v>11.07</v>
      </c>
      <c r="BS171" s="2">
        <v>42005.092361111114</v>
      </c>
      <c r="BT171">
        <v>0</v>
      </c>
      <c r="BU171">
        <v>0</v>
      </c>
      <c r="BV171" t="s">
        <v>135</v>
      </c>
      <c r="BW171">
        <v>0</v>
      </c>
      <c r="BX171">
        <v>0</v>
      </c>
      <c r="BY171" t="s">
        <v>135</v>
      </c>
      <c r="BZ171">
        <v>0</v>
      </c>
      <c r="CA171">
        <v>0</v>
      </c>
      <c r="CB171" t="s">
        <v>135</v>
      </c>
      <c r="CH171" s="2"/>
      <c r="CJ171" s="2"/>
      <c r="CL171" s="2"/>
      <c r="CN171" s="2"/>
      <c r="CQ171" s="2"/>
      <c r="CT171" s="2"/>
      <c r="CW171" s="2"/>
    </row>
    <row r="172" spans="1:101" x14ac:dyDescent="0.25">
      <c r="A172" s="1" t="s">
        <v>163</v>
      </c>
      <c r="B172" s="75" t="s">
        <v>164</v>
      </c>
      <c r="C172">
        <v>0</v>
      </c>
      <c r="D172">
        <v>0</v>
      </c>
      <c r="E172">
        <v>0</v>
      </c>
      <c r="F172">
        <v>604324.56000000006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3.91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7490</v>
      </c>
      <c r="AW172">
        <v>3350</v>
      </c>
      <c r="AX172">
        <v>1219</v>
      </c>
      <c r="AY172">
        <v>12059</v>
      </c>
      <c r="AZ172">
        <v>4202</v>
      </c>
      <c r="BA172">
        <v>7438</v>
      </c>
      <c r="BB172">
        <v>1432</v>
      </c>
      <c r="BC172">
        <v>13072</v>
      </c>
      <c r="BD172">
        <v>9486</v>
      </c>
      <c r="BE172">
        <v>9222</v>
      </c>
      <c r="BF172">
        <v>1768</v>
      </c>
      <c r="BG172">
        <v>20476</v>
      </c>
      <c r="BH172">
        <v>0</v>
      </c>
      <c r="BI172">
        <v>0</v>
      </c>
      <c r="BJ172">
        <v>0</v>
      </c>
      <c r="BK172">
        <v>0</v>
      </c>
      <c r="BL172" s="2">
        <v>24.82</v>
      </c>
      <c r="BM172" s="2">
        <v>42005.095138888886</v>
      </c>
      <c r="BN172" s="2">
        <v>5.4</v>
      </c>
      <c r="BO172" s="2">
        <v>42005.092361111114</v>
      </c>
      <c r="BP172" s="2">
        <v>6.92</v>
      </c>
      <c r="BQ172" s="2">
        <v>42005.092361111114</v>
      </c>
      <c r="BR172" s="2">
        <v>11.07</v>
      </c>
      <c r="BS172" s="2">
        <v>42005.092361111114</v>
      </c>
      <c r="BT172">
        <v>0</v>
      </c>
      <c r="BU172">
        <v>0</v>
      </c>
      <c r="BV172" t="s">
        <v>135</v>
      </c>
      <c r="BW172">
        <v>0</v>
      </c>
      <c r="BX172">
        <v>0</v>
      </c>
      <c r="BY172" t="s">
        <v>135</v>
      </c>
      <c r="BZ172">
        <v>0</v>
      </c>
      <c r="CA172">
        <v>0</v>
      </c>
      <c r="CB172" t="s">
        <v>135</v>
      </c>
      <c r="CH172" s="2"/>
      <c r="CJ172" s="2"/>
      <c r="CL172" s="2"/>
      <c r="CN172" s="2"/>
      <c r="CQ172" s="2"/>
      <c r="CT172" s="2"/>
      <c r="CW172" s="2"/>
    </row>
    <row r="173" spans="1:101" x14ac:dyDescent="0.25">
      <c r="A173" s="1" t="s">
        <v>163</v>
      </c>
      <c r="B173" s="75" t="s">
        <v>164</v>
      </c>
      <c r="C173">
        <v>0</v>
      </c>
      <c r="D173">
        <v>0</v>
      </c>
      <c r="E173">
        <v>0</v>
      </c>
      <c r="F173">
        <v>604324.56000000006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3.91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7490</v>
      </c>
      <c r="AW173">
        <v>3350</v>
      </c>
      <c r="AX173">
        <v>1219</v>
      </c>
      <c r="AY173">
        <v>12059</v>
      </c>
      <c r="AZ173">
        <v>4202</v>
      </c>
      <c r="BA173">
        <v>7438</v>
      </c>
      <c r="BB173">
        <v>1432</v>
      </c>
      <c r="BC173">
        <v>13072</v>
      </c>
      <c r="BD173">
        <v>9486</v>
      </c>
      <c r="BE173">
        <v>9222</v>
      </c>
      <c r="BF173">
        <v>1768</v>
      </c>
      <c r="BG173">
        <v>20476</v>
      </c>
      <c r="BH173">
        <v>0</v>
      </c>
      <c r="BI173">
        <v>0</v>
      </c>
      <c r="BJ173">
        <v>0</v>
      </c>
      <c r="BK173">
        <v>0</v>
      </c>
      <c r="BL173" s="2">
        <v>24.82</v>
      </c>
      <c r="BM173" s="2">
        <v>42005.095138888886</v>
      </c>
      <c r="BN173" s="2">
        <v>5.4</v>
      </c>
      <c r="BO173" s="2">
        <v>42005.092361111114</v>
      </c>
      <c r="BP173" s="2">
        <v>6.92</v>
      </c>
      <c r="BQ173" s="2">
        <v>42005.092361111114</v>
      </c>
      <c r="BR173" s="2">
        <v>11.07</v>
      </c>
      <c r="BS173" s="2">
        <v>42005.092361111114</v>
      </c>
      <c r="BT173">
        <v>0</v>
      </c>
      <c r="BU173">
        <v>0</v>
      </c>
      <c r="BV173" t="s">
        <v>135</v>
      </c>
      <c r="BW173">
        <v>0</v>
      </c>
      <c r="BX173">
        <v>0</v>
      </c>
      <c r="BY173" t="s">
        <v>135</v>
      </c>
      <c r="BZ173">
        <v>0</v>
      </c>
      <c r="CA173">
        <v>0</v>
      </c>
      <c r="CB173" t="s">
        <v>135</v>
      </c>
      <c r="CH173" s="2"/>
      <c r="CJ173" s="2"/>
      <c r="CL173" s="2"/>
      <c r="CN173" s="2"/>
      <c r="CQ173" s="2"/>
      <c r="CT173" s="2"/>
      <c r="CW173" s="2"/>
    </row>
    <row r="174" spans="1:101" x14ac:dyDescent="0.25">
      <c r="A174" s="1" t="s">
        <v>163</v>
      </c>
      <c r="B174" s="75" t="s">
        <v>164</v>
      </c>
      <c r="C174">
        <v>0</v>
      </c>
      <c r="D174">
        <v>0</v>
      </c>
      <c r="E174">
        <v>0</v>
      </c>
      <c r="F174">
        <v>604324.56000000006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3.91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7490</v>
      </c>
      <c r="AW174">
        <v>3350</v>
      </c>
      <c r="AX174">
        <v>1219</v>
      </c>
      <c r="AY174">
        <v>12059</v>
      </c>
      <c r="AZ174">
        <v>4202</v>
      </c>
      <c r="BA174">
        <v>7438</v>
      </c>
      <c r="BB174">
        <v>1432</v>
      </c>
      <c r="BC174">
        <v>13072</v>
      </c>
      <c r="BD174">
        <v>9486</v>
      </c>
      <c r="BE174">
        <v>9222</v>
      </c>
      <c r="BF174">
        <v>1768</v>
      </c>
      <c r="BG174">
        <v>20476</v>
      </c>
      <c r="BH174">
        <v>0</v>
      </c>
      <c r="BI174">
        <v>0</v>
      </c>
      <c r="BJ174">
        <v>0</v>
      </c>
      <c r="BK174">
        <v>0</v>
      </c>
      <c r="BL174" s="2">
        <v>24.82</v>
      </c>
      <c r="BM174" s="2">
        <v>42005.095138888886</v>
      </c>
      <c r="BN174" s="2">
        <v>5.4</v>
      </c>
      <c r="BO174" s="2">
        <v>42005.092361111114</v>
      </c>
      <c r="BP174" s="2">
        <v>6.92</v>
      </c>
      <c r="BQ174" s="2">
        <v>42005.092361111114</v>
      </c>
      <c r="BR174" s="2">
        <v>11.07</v>
      </c>
      <c r="BS174" s="2">
        <v>42005.092361111114</v>
      </c>
      <c r="BT174">
        <v>0</v>
      </c>
      <c r="BU174">
        <v>0</v>
      </c>
      <c r="BV174" t="s">
        <v>135</v>
      </c>
      <c r="BW174">
        <v>0</v>
      </c>
      <c r="BX174">
        <v>0</v>
      </c>
      <c r="BY174" t="s">
        <v>135</v>
      </c>
      <c r="BZ174">
        <v>0</v>
      </c>
      <c r="CA174">
        <v>0</v>
      </c>
      <c r="CB174" t="s">
        <v>135</v>
      </c>
      <c r="CH174" s="2"/>
      <c r="CJ174" s="2"/>
      <c r="CL174" s="2"/>
      <c r="CN174" s="2"/>
      <c r="CQ174" s="2"/>
      <c r="CT174" s="2"/>
      <c r="CW174" s="2"/>
    </row>
    <row r="175" spans="1:101" x14ac:dyDescent="0.25">
      <c r="A175" s="1" t="s">
        <v>163</v>
      </c>
      <c r="B175" s="75" t="s">
        <v>164</v>
      </c>
      <c r="C175">
        <v>0</v>
      </c>
      <c r="D175">
        <v>0</v>
      </c>
      <c r="E175">
        <v>0</v>
      </c>
      <c r="F175">
        <v>604324.56000000006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3.91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7490</v>
      </c>
      <c r="AW175">
        <v>3350</v>
      </c>
      <c r="AX175">
        <v>1219</v>
      </c>
      <c r="AY175">
        <v>12059</v>
      </c>
      <c r="AZ175">
        <v>4202</v>
      </c>
      <c r="BA175">
        <v>7438</v>
      </c>
      <c r="BB175">
        <v>1432</v>
      </c>
      <c r="BC175">
        <v>13072</v>
      </c>
      <c r="BD175">
        <v>9486</v>
      </c>
      <c r="BE175">
        <v>9222</v>
      </c>
      <c r="BF175">
        <v>1768</v>
      </c>
      <c r="BG175">
        <v>20476</v>
      </c>
      <c r="BH175">
        <v>0</v>
      </c>
      <c r="BI175">
        <v>0</v>
      </c>
      <c r="BJ175">
        <v>0</v>
      </c>
      <c r="BK175">
        <v>0</v>
      </c>
      <c r="BL175" s="2">
        <v>24.82</v>
      </c>
      <c r="BM175" s="2">
        <v>42005.095138888886</v>
      </c>
      <c r="BN175" s="2">
        <v>5.4</v>
      </c>
      <c r="BO175" s="2">
        <v>42005.092361111114</v>
      </c>
      <c r="BP175" s="2">
        <v>6.92</v>
      </c>
      <c r="BQ175" s="2">
        <v>42005.092361111114</v>
      </c>
      <c r="BR175" s="2">
        <v>11.07</v>
      </c>
      <c r="BS175" s="2">
        <v>42005.092361111114</v>
      </c>
      <c r="BT175">
        <v>0</v>
      </c>
      <c r="BU175">
        <v>0</v>
      </c>
      <c r="BV175" t="s">
        <v>135</v>
      </c>
      <c r="BW175">
        <v>0</v>
      </c>
      <c r="BX175">
        <v>0</v>
      </c>
      <c r="BY175" t="s">
        <v>135</v>
      </c>
      <c r="BZ175">
        <v>0</v>
      </c>
      <c r="CA175">
        <v>0</v>
      </c>
      <c r="CB175" t="s">
        <v>135</v>
      </c>
      <c r="CH175" s="2"/>
      <c r="CJ175" s="2"/>
      <c r="CL175" s="2"/>
      <c r="CN175" s="2"/>
      <c r="CQ175" s="2"/>
      <c r="CT175" s="2"/>
      <c r="CW175" s="2"/>
    </row>
    <row r="176" spans="1:101" x14ac:dyDescent="0.25">
      <c r="A176" s="1" t="s">
        <v>163</v>
      </c>
      <c r="B176" s="75" t="s">
        <v>164</v>
      </c>
      <c r="C176">
        <v>0</v>
      </c>
      <c r="D176">
        <v>0</v>
      </c>
      <c r="E176">
        <v>0</v>
      </c>
      <c r="F176">
        <v>604324.56000000006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3.91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7490</v>
      </c>
      <c r="AW176">
        <v>3350</v>
      </c>
      <c r="AX176">
        <v>1219</v>
      </c>
      <c r="AY176">
        <v>12059</v>
      </c>
      <c r="AZ176">
        <v>4202</v>
      </c>
      <c r="BA176">
        <v>7438</v>
      </c>
      <c r="BB176">
        <v>1432</v>
      </c>
      <c r="BC176">
        <v>13072</v>
      </c>
      <c r="BD176">
        <v>9486</v>
      </c>
      <c r="BE176">
        <v>9222</v>
      </c>
      <c r="BF176">
        <v>1768</v>
      </c>
      <c r="BG176">
        <v>20476</v>
      </c>
      <c r="BH176">
        <v>0</v>
      </c>
      <c r="BI176">
        <v>0</v>
      </c>
      <c r="BJ176">
        <v>0</v>
      </c>
      <c r="BK176">
        <v>0</v>
      </c>
      <c r="BL176" s="2">
        <v>24.82</v>
      </c>
      <c r="BM176" s="2">
        <v>42005.095138888886</v>
      </c>
      <c r="BN176" s="2">
        <v>5.4</v>
      </c>
      <c r="BO176" s="2">
        <v>42005.092361111114</v>
      </c>
      <c r="BP176" s="2">
        <v>6.92</v>
      </c>
      <c r="BQ176" s="2">
        <v>42005.092361111114</v>
      </c>
      <c r="BR176" s="2">
        <v>11.07</v>
      </c>
      <c r="BS176" s="2">
        <v>42005.092361111114</v>
      </c>
      <c r="BT176">
        <v>0</v>
      </c>
      <c r="BU176">
        <v>0</v>
      </c>
      <c r="BV176" t="s">
        <v>135</v>
      </c>
      <c r="BW176">
        <v>0</v>
      </c>
      <c r="BX176">
        <v>0</v>
      </c>
      <c r="BY176" t="s">
        <v>135</v>
      </c>
      <c r="BZ176">
        <v>0</v>
      </c>
      <c r="CA176">
        <v>0</v>
      </c>
      <c r="CB176" t="s">
        <v>135</v>
      </c>
      <c r="CH176" s="2"/>
      <c r="CJ176" s="2"/>
      <c r="CL176" s="2"/>
      <c r="CN176" s="2"/>
      <c r="CQ176" s="2"/>
      <c r="CT176" s="2"/>
      <c r="CW176" s="2"/>
    </row>
    <row r="177" spans="1:101" x14ac:dyDescent="0.25">
      <c r="A177" s="1" t="s">
        <v>163</v>
      </c>
      <c r="B177" s="75" t="s">
        <v>164</v>
      </c>
      <c r="C177">
        <v>0</v>
      </c>
      <c r="D177">
        <v>0</v>
      </c>
      <c r="E177">
        <v>0</v>
      </c>
      <c r="F177">
        <v>604324.56000000006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3.91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7490</v>
      </c>
      <c r="AW177">
        <v>3350</v>
      </c>
      <c r="AX177">
        <v>1219</v>
      </c>
      <c r="AY177">
        <v>12059</v>
      </c>
      <c r="AZ177">
        <v>4202</v>
      </c>
      <c r="BA177">
        <v>7438</v>
      </c>
      <c r="BB177">
        <v>1432</v>
      </c>
      <c r="BC177">
        <v>13072</v>
      </c>
      <c r="BD177">
        <v>9486</v>
      </c>
      <c r="BE177">
        <v>9222</v>
      </c>
      <c r="BF177">
        <v>1768</v>
      </c>
      <c r="BG177">
        <v>20476</v>
      </c>
      <c r="BH177">
        <v>0</v>
      </c>
      <c r="BI177">
        <v>0</v>
      </c>
      <c r="BJ177">
        <v>0</v>
      </c>
      <c r="BK177">
        <v>0</v>
      </c>
      <c r="BL177" s="2">
        <v>24.82</v>
      </c>
      <c r="BM177" s="2">
        <v>42005.095138888886</v>
      </c>
      <c r="BN177" s="2">
        <v>5.4</v>
      </c>
      <c r="BO177" s="2">
        <v>42005.092361111114</v>
      </c>
      <c r="BP177" s="2">
        <v>6.92</v>
      </c>
      <c r="BQ177" s="2">
        <v>42005.092361111114</v>
      </c>
      <c r="BR177" s="2">
        <v>11.07</v>
      </c>
      <c r="BS177" s="2">
        <v>42005.092361111114</v>
      </c>
      <c r="BT177">
        <v>0</v>
      </c>
      <c r="BU177">
        <v>0</v>
      </c>
      <c r="BV177" t="s">
        <v>135</v>
      </c>
      <c r="BW177">
        <v>0</v>
      </c>
      <c r="BX177">
        <v>0</v>
      </c>
      <c r="BY177" t="s">
        <v>135</v>
      </c>
      <c r="BZ177">
        <v>0</v>
      </c>
      <c r="CA177">
        <v>0</v>
      </c>
      <c r="CB177" t="s">
        <v>135</v>
      </c>
      <c r="CH177" s="2"/>
      <c r="CJ177" s="2"/>
      <c r="CL177" s="2"/>
      <c r="CN177" s="2"/>
      <c r="CQ177" s="2"/>
      <c r="CT177" s="2"/>
      <c r="CW177" s="2"/>
    </row>
    <row r="178" spans="1:101" x14ac:dyDescent="0.25">
      <c r="A178" s="1" t="s">
        <v>163</v>
      </c>
      <c r="B178" s="75" t="s">
        <v>164</v>
      </c>
      <c r="C178">
        <v>0</v>
      </c>
      <c r="D178">
        <v>0</v>
      </c>
      <c r="E178">
        <v>0</v>
      </c>
      <c r="F178">
        <v>604324.56000000006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3.91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7490</v>
      </c>
      <c r="AW178">
        <v>3350</v>
      </c>
      <c r="AX178">
        <v>1219</v>
      </c>
      <c r="AY178">
        <v>12059</v>
      </c>
      <c r="AZ178">
        <v>4202</v>
      </c>
      <c r="BA178">
        <v>7438</v>
      </c>
      <c r="BB178">
        <v>1432</v>
      </c>
      <c r="BC178">
        <v>13072</v>
      </c>
      <c r="BD178">
        <v>9486</v>
      </c>
      <c r="BE178">
        <v>9222</v>
      </c>
      <c r="BF178">
        <v>1768</v>
      </c>
      <c r="BG178">
        <v>20476</v>
      </c>
      <c r="BH178">
        <v>0</v>
      </c>
      <c r="BI178">
        <v>0</v>
      </c>
      <c r="BJ178">
        <v>0</v>
      </c>
      <c r="BK178">
        <v>0</v>
      </c>
      <c r="BL178" s="2">
        <v>24.82</v>
      </c>
      <c r="BM178" s="2">
        <v>42005.095138888886</v>
      </c>
      <c r="BN178" s="2">
        <v>5.4</v>
      </c>
      <c r="BO178" s="2">
        <v>42005.092361111114</v>
      </c>
      <c r="BP178" s="2">
        <v>6.92</v>
      </c>
      <c r="BQ178" s="2">
        <v>42005.092361111114</v>
      </c>
      <c r="BR178" s="2">
        <v>11.07</v>
      </c>
      <c r="BS178" s="2">
        <v>42005.092361111114</v>
      </c>
      <c r="BT178">
        <v>0</v>
      </c>
      <c r="BU178">
        <v>0</v>
      </c>
      <c r="BV178" t="s">
        <v>135</v>
      </c>
      <c r="BW178">
        <v>0</v>
      </c>
      <c r="BX178">
        <v>0</v>
      </c>
      <c r="BY178" t="s">
        <v>135</v>
      </c>
      <c r="BZ178">
        <v>0</v>
      </c>
      <c r="CA178">
        <v>0</v>
      </c>
      <c r="CB178" t="s">
        <v>135</v>
      </c>
      <c r="CH178" s="2"/>
      <c r="CJ178" s="2"/>
      <c r="CL178" s="2"/>
      <c r="CN178" s="2"/>
      <c r="CQ178" s="2"/>
      <c r="CT178" s="2"/>
      <c r="CW178" s="2"/>
    </row>
    <row r="179" spans="1:101" x14ac:dyDescent="0.25">
      <c r="A179" s="1" t="s">
        <v>163</v>
      </c>
      <c r="B179" s="75" t="s">
        <v>164</v>
      </c>
      <c r="C179">
        <v>0</v>
      </c>
      <c r="D179">
        <v>0</v>
      </c>
      <c r="E179">
        <v>0</v>
      </c>
      <c r="F179">
        <v>604324.56000000006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3.91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7490</v>
      </c>
      <c r="AW179">
        <v>3350</v>
      </c>
      <c r="AX179">
        <v>1219</v>
      </c>
      <c r="AY179">
        <v>12059</v>
      </c>
      <c r="AZ179">
        <v>4202</v>
      </c>
      <c r="BA179">
        <v>7438</v>
      </c>
      <c r="BB179">
        <v>1432</v>
      </c>
      <c r="BC179">
        <v>13072</v>
      </c>
      <c r="BD179">
        <v>9486</v>
      </c>
      <c r="BE179">
        <v>9222</v>
      </c>
      <c r="BF179">
        <v>1768</v>
      </c>
      <c r="BG179">
        <v>20476</v>
      </c>
      <c r="BH179">
        <v>0</v>
      </c>
      <c r="BI179">
        <v>0</v>
      </c>
      <c r="BJ179">
        <v>0</v>
      </c>
      <c r="BK179">
        <v>0</v>
      </c>
      <c r="BL179" s="2">
        <v>24.82</v>
      </c>
      <c r="BM179" s="2">
        <v>42005.095138888886</v>
      </c>
      <c r="BN179" s="2">
        <v>5.4</v>
      </c>
      <c r="BO179" s="2">
        <v>42005.092361111114</v>
      </c>
      <c r="BP179" s="2">
        <v>6.92</v>
      </c>
      <c r="BQ179" s="2">
        <v>42005.092361111114</v>
      </c>
      <c r="BR179" s="2">
        <v>11.07</v>
      </c>
      <c r="BS179" s="2">
        <v>42005.092361111114</v>
      </c>
      <c r="BT179">
        <v>0</v>
      </c>
      <c r="BU179">
        <v>0</v>
      </c>
      <c r="BV179" t="s">
        <v>135</v>
      </c>
      <c r="BW179">
        <v>0</v>
      </c>
      <c r="BX179">
        <v>0</v>
      </c>
      <c r="BY179" t="s">
        <v>135</v>
      </c>
      <c r="BZ179">
        <v>0</v>
      </c>
      <c r="CA179">
        <v>0</v>
      </c>
      <c r="CB179" t="s">
        <v>135</v>
      </c>
      <c r="CH179" s="2"/>
      <c r="CJ179" s="2"/>
      <c r="CL179" s="2"/>
      <c r="CN179" s="2"/>
      <c r="CQ179" s="2"/>
      <c r="CT179" s="2"/>
      <c r="CW179" s="2"/>
    </row>
    <row r="180" spans="1:101" x14ac:dyDescent="0.25">
      <c r="A180" s="1" t="s">
        <v>163</v>
      </c>
      <c r="B180" s="75" t="s">
        <v>164</v>
      </c>
      <c r="C180">
        <v>0</v>
      </c>
      <c r="D180">
        <v>0</v>
      </c>
      <c r="E180">
        <v>0</v>
      </c>
      <c r="F180">
        <v>604324.56000000006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3.91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7490</v>
      </c>
      <c r="AW180">
        <v>3350</v>
      </c>
      <c r="AX180">
        <v>1219</v>
      </c>
      <c r="AY180">
        <v>12059</v>
      </c>
      <c r="AZ180">
        <v>4202</v>
      </c>
      <c r="BA180">
        <v>7438</v>
      </c>
      <c r="BB180">
        <v>1432</v>
      </c>
      <c r="BC180">
        <v>13072</v>
      </c>
      <c r="BD180">
        <v>9486</v>
      </c>
      <c r="BE180">
        <v>9222</v>
      </c>
      <c r="BF180">
        <v>1768</v>
      </c>
      <c r="BG180">
        <v>20476</v>
      </c>
      <c r="BH180">
        <v>0</v>
      </c>
      <c r="BI180">
        <v>0</v>
      </c>
      <c r="BJ180">
        <v>0</v>
      </c>
      <c r="BK180">
        <v>0</v>
      </c>
      <c r="BL180" s="2">
        <v>24.82</v>
      </c>
      <c r="BM180" s="2">
        <v>42005.095138888886</v>
      </c>
      <c r="BN180" s="2">
        <v>5.4</v>
      </c>
      <c r="BO180" s="2">
        <v>42005.092361111114</v>
      </c>
      <c r="BP180" s="2">
        <v>6.92</v>
      </c>
      <c r="BQ180" s="2">
        <v>42005.092361111114</v>
      </c>
      <c r="BR180" s="2">
        <v>11.07</v>
      </c>
      <c r="BS180" s="2">
        <v>42005.092361111114</v>
      </c>
      <c r="BT180">
        <v>0</v>
      </c>
      <c r="BU180">
        <v>0</v>
      </c>
      <c r="BV180" t="s">
        <v>135</v>
      </c>
      <c r="BW180">
        <v>0</v>
      </c>
      <c r="BX180">
        <v>0</v>
      </c>
      <c r="BY180" t="s">
        <v>135</v>
      </c>
      <c r="BZ180">
        <v>0</v>
      </c>
      <c r="CA180">
        <v>0</v>
      </c>
      <c r="CB180" t="s">
        <v>135</v>
      </c>
      <c r="CH180" s="2"/>
      <c r="CJ180" s="2"/>
      <c r="CL180" s="2"/>
      <c r="CN180" s="2"/>
      <c r="CQ180" s="2"/>
      <c r="CT180" s="2"/>
      <c r="CW180" s="2"/>
    </row>
    <row r="181" spans="1:101" x14ac:dyDescent="0.25">
      <c r="A181" s="1" t="s">
        <v>163</v>
      </c>
      <c r="B181" s="75" t="s">
        <v>164</v>
      </c>
      <c r="C181">
        <v>0</v>
      </c>
      <c r="D181">
        <v>0</v>
      </c>
      <c r="E181">
        <v>0</v>
      </c>
      <c r="F181">
        <v>604324.56000000006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3.91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7490</v>
      </c>
      <c r="AW181">
        <v>3350</v>
      </c>
      <c r="AX181">
        <v>1219</v>
      </c>
      <c r="AY181">
        <v>12059</v>
      </c>
      <c r="AZ181">
        <v>4202</v>
      </c>
      <c r="BA181">
        <v>7438</v>
      </c>
      <c r="BB181">
        <v>1432</v>
      </c>
      <c r="BC181">
        <v>13072</v>
      </c>
      <c r="BD181">
        <v>9486</v>
      </c>
      <c r="BE181">
        <v>9222</v>
      </c>
      <c r="BF181">
        <v>1768</v>
      </c>
      <c r="BG181">
        <v>20476</v>
      </c>
      <c r="BH181">
        <v>0</v>
      </c>
      <c r="BI181">
        <v>0</v>
      </c>
      <c r="BJ181">
        <v>0</v>
      </c>
      <c r="BK181">
        <v>0</v>
      </c>
      <c r="BL181" s="2">
        <v>24.82</v>
      </c>
      <c r="BM181" s="2">
        <v>42005.095138888886</v>
      </c>
      <c r="BN181" s="2">
        <v>5.4</v>
      </c>
      <c r="BO181" s="2">
        <v>42005.092361111114</v>
      </c>
      <c r="BP181" s="2">
        <v>6.92</v>
      </c>
      <c r="BQ181" s="2">
        <v>42005.092361111114</v>
      </c>
      <c r="BR181" s="2">
        <v>11.07</v>
      </c>
      <c r="BS181" s="2">
        <v>42005.092361111114</v>
      </c>
      <c r="BT181">
        <v>0</v>
      </c>
      <c r="BU181">
        <v>0</v>
      </c>
      <c r="BV181" t="s">
        <v>135</v>
      </c>
      <c r="BW181">
        <v>0</v>
      </c>
      <c r="BX181">
        <v>0</v>
      </c>
      <c r="BY181" t="s">
        <v>135</v>
      </c>
      <c r="BZ181">
        <v>0</v>
      </c>
      <c r="CA181">
        <v>0</v>
      </c>
      <c r="CB181" t="s">
        <v>135</v>
      </c>
      <c r="CH181" s="2"/>
      <c r="CJ181" s="2"/>
      <c r="CL181" s="2"/>
      <c r="CN181" s="2"/>
      <c r="CQ181" s="2"/>
      <c r="CT181" s="2"/>
      <c r="CW181" s="2"/>
    </row>
    <row r="182" spans="1:101" x14ac:dyDescent="0.25">
      <c r="A182" s="1" t="s">
        <v>163</v>
      </c>
      <c r="B182" s="75" t="s">
        <v>164</v>
      </c>
      <c r="C182">
        <v>0</v>
      </c>
      <c r="D182">
        <v>0</v>
      </c>
      <c r="E182">
        <v>0</v>
      </c>
      <c r="F182">
        <v>604324.56000000006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3.91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7490</v>
      </c>
      <c r="AW182">
        <v>3350</v>
      </c>
      <c r="AX182">
        <v>1219</v>
      </c>
      <c r="AY182">
        <v>12059</v>
      </c>
      <c r="AZ182">
        <v>4202</v>
      </c>
      <c r="BA182">
        <v>7438</v>
      </c>
      <c r="BB182">
        <v>1432</v>
      </c>
      <c r="BC182">
        <v>13072</v>
      </c>
      <c r="BD182">
        <v>9486</v>
      </c>
      <c r="BE182">
        <v>9222</v>
      </c>
      <c r="BF182">
        <v>1768</v>
      </c>
      <c r="BG182">
        <v>20476</v>
      </c>
      <c r="BH182">
        <v>0</v>
      </c>
      <c r="BI182">
        <v>0</v>
      </c>
      <c r="BJ182">
        <v>0</v>
      </c>
      <c r="BK182">
        <v>0</v>
      </c>
      <c r="BL182" s="2">
        <v>24.82</v>
      </c>
      <c r="BM182" s="2">
        <v>42005.095138888886</v>
      </c>
      <c r="BN182" s="2">
        <v>5.4</v>
      </c>
      <c r="BO182" s="2">
        <v>42005.092361111114</v>
      </c>
      <c r="BP182" s="2">
        <v>6.92</v>
      </c>
      <c r="BQ182" s="2">
        <v>42005.092361111114</v>
      </c>
      <c r="BR182" s="2">
        <v>11.07</v>
      </c>
      <c r="BS182" s="2">
        <v>42005.092361111114</v>
      </c>
      <c r="BT182">
        <v>0</v>
      </c>
      <c r="BU182">
        <v>0</v>
      </c>
      <c r="BV182" t="s">
        <v>135</v>
      </c>
      <c r="BW182">
        <v>0</v>
      </c>
      <c r="BX182">
        <v>0</v>
      </c>
      <c r="BY182" t="s">
        <v>135</v>
      </c>
      <c r="BZ182">
        <v>0</v>
      </c>
      <c r="CA182">
        <v>0</v>
      </c>
      <c r="CB182" t="s">
        <v>135</v>
      </c>
      <c r="CH182" s="2"/>
      <c r="CJ182" s="2"/>
      <c r="CL182" s="2"/>
      <c r="CN182" s="2"/>
      <c r="CQ182" s="2"/>
      <c r="CT182" s="2"/>
      <c r="CW182" s="2"/>
    </row>
    <row r="183" spans="1:101" x14ac:dyDescent="0.25">
      <c r="A183" s="1" t="s">
        <v>163</v>
      </c>
      <c r="B183" s="75" t="s">
        <v>164</v>
      </c>
      <c r="C183">
        <v>0</v>
      </c>
      <c r="D183">
        <v>0</v>
      </c>
      <c r="E183">
        <v>0</v>
      </c>
      <c r="F183">
        <v>604324.56000000006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3.91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7490</v>
      </c>
      <c r="AW183">
        <v>3350</v>
      </c>
      <c r="AX183">
        <v>1219</v>
      </c>
      <c r="AY183">
        <v>12059</v>
      </c>
      <c r="AZ183">
        <v>4202</v>
      </c>
      <c r="BA183">
        <v>7438</v>
      </c>
      <c r="BB183">
        <v>1432</v>
      </c>
      <c r="BC183">
        <v>13072</v>
      </c>
      <c r="BD183">
        <v>9486</v>
      </c>
      <c r="BE183">
        <v>9222</v>
      </c>
      <c r="BF183">
        <v>1768</v>
      </c>
      <c r="BG183">
        <v>20476</v>
      </c>
      <c r="BH183">
        <v>0</v>
      </c>
      <c r="BI183">
        <v>0</v>
      </c>
      <c r="BJ183">
        <v>0</v>
      </c>
      <c r="BK183">
        <v>0</v>
      </c>
      <c r="BL183" s="2">
        <v>24.82</v>
      </c>
      <c r="BM183" s="2">
        <v>42005.095138888886</v>
      </c>
      <c r="BN183" s="2">
        <v>5.4</v>
      </c>
      <c r="BO183" s="2">
        <v>42005.092361111114</v>
      </c>
      <c r="BP183" s="2">
        <v>6.92</v>
      </c>
      <c r="BQ183" s="2">
        <v>42005.092361111114</v>
      </c>
      <c r="BR183" s="2">
        <v>11.07</v>
      </c>
      <c r="BS183" s="2">
        <v>42005.092361111114</v>
      </c>
      <c r="BT183">
        <v>0</v>
      </c>
      <c r="BU183">
        <v>0</v>
      </c>
      <c r="BV183" t="s">
        <v>135</v>
      </c>
      <c r="BW183">
        <v>0</v>
      </c>
      <c r="BX183">
        <v>0</v>
      </c>
      <c r="BY183" t="s">
        <v>135</v>
      </c>
      <c r="BZ183">
        <v>0</v>
      </c>
      <c r="CA183">
        <v>0</v>
      </c>
      <c r="CB183" t="s">
        <v>135</v>
      </c>
      <c r="CH183" s="2"/>
      <c r="CJ183" s="2"/>
      <c r="CL183" s="2"/>
      <c r="CN183" s="2"/>
      <c r="CQ183" s="2"/>
      <c r="CT183" s="2"/>
      <c r="CW183" s="2"/>
    </row>
    <row r="184" spans="1:101" x14ac:dyDescent="0.25">
      <c r="A184" s="1" t="s">
        <v>163</v>
      </c>
      <c r="B184" s="75" t="s">
        <v>164</v>
      </c>
      <c r="C184">
        <v>0</v>
      </c>
      <c r="D184">
        <v>0</v>
      </c>
      <c r="E184">
        <v>0</v>
      </c>
      <c r="F184">
        <v>604324.56000000006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3.91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7490</v>
      </c>
      <c r="AW184">
        <v>3350</v>
      </c>
      <c r="AX184">
        <v>1219</v>
      </c>
      <c r="AY184">
        <v>12059</v>
      </c>
      <c r="AZ184">
        <v>4202</v>
      </c>
      <c r="BA184">
        <v>7438</v>
      </c>
      <c r="BB184">
        <v>1432</v>
      </c>
      <c r="BC184">
        <v>13072</v>
      </c>
      <c r="BD184">
        <v>9486</v>
      </c>
      <c r="BE184">
        <v>9222</v>
      </c>
      <c r="BF184">
        <v>1768</v>
      </c>
      <c r="BG184">
        <v>20476</v>
      </c>
      <c r="BH184">
        <v>0</v>
      </c>
      <c r="BI184">
        <v>0</v>
      </c>
      <c r="BJ184">
        <v>0</v>
      </c>
      <c r="BK184">
        <v>0</v>
      </c>
      <c r="BL184" s="2">
        <v>24.82</v>
      </c>
      <c r="BM184" s="2">
        <v>42005.095138888886</v>
      </c>
      <c r="BN184" s="2">
        <v>5.4</v>
      </c>
      <c r="BO184" s="2">
        <v>42005.092361111114</v>
      </c>
      <c r="BP184" s="2">
        <v>6.92</v>
      </c>
      <c r="BQ184" s="2">
        <v>42005.092361111114</v>
      </c>
      <c r="BR184" s="2">
        <v>11.07</v>
      </c>
      <c r="BS184" s="2">
        <v>42005.092361111114</v>
      </c>
      <c r="BT184">
        <v>0</v>
      </c>
      <c r="BU184">
        <v>0</v>
      </c>
      <c r="BV184" t="s">
        <v>135</v>
      </c>
      <c r="BW184">
        <v>0</v>
      </c>
      <c r="BX184">
        <v>0</v>
      </c>
      <c r="BY184" t="s">
        <v>135</v>
      </c>
      <c r="BZ184">
        <v>0</v>
      </c>
      <c r="CA184">
        <v>0</v>
      </c>
      <c r="CB184" t="s">
        <v>135</v>
      </c>
      <c r="CH184" s="2"/>
      <c r="CJ184" s="2"/>
      <c r="CL184" s="2"/>
      <c r="CN184" s="2"/>
      <c r="CQ184" s="2"/>
      <c r="CT184" s="2"/>
      <c r="CW184" s="2"/>
    </row>
    <row r="185" spans="1:101" x14ac:dyDescent="0.25">
      <c r="A185" s="1" t="s">
        <v>163</v>
      </c>
      <c r="B185" s="75" t="s">
        <v>164</v>
      </c>
      <c r="C185">
        <v>0</v>
      </c>
      <c r="D185">
        <v>0</v>
      </c>
      <c r="E185">
        <v>0</v>
      </c>
      <c r="F185">
        <v>604324.56000000006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3.91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7490</v>
      </c>
      <c r="AW185">
        <v>3350</v>
      </c>
      <c r="AX185">
        <v>1219</v>
      </c>
      <c r="AY185">
        <v>12059</v>
      </c>
      <c r="AZ185">
        <v>4202</v>
      </c>
      <c r="BA185">
        <v>7438</v>
      </c>
      <c r="BB185">
        <v>1432</v>
      </c>
      <c r="BC185">
        <v>13072</v>
      </c>
      <c r="BD185">
        <v>9486</v>
      </c>
      <c r="BE185">
        <v>9222</v>
      </c>
      <c r="BF185">
        <v>1768</v>
      </c>
      <c r="BG185">
        <v>20476</v>
      </c>
      <c r="BH185">
        <v>0</v>
      </c>
      <c r="BI185">
        <v>0</v>
      </c>
      <c r="BJ185">
        <v>0</v>
      </c>
      <c r="BK185">
        <v>0</v>
      </c>
      <c r="BL185" s="2">
        <v>24.82</v>
      </c>
      <c r="BM185" s="2">
        <v>42005.095138888886</v>
      </c>
      <c r="BN185" s="2">
        <v>5.4</v>
      </c>
      <c r="BO185" s="2">
        <v>42005.092361111114</v>
      </c>
      <c r="BP185" s="2">
        <v>6.92</v>
      </c>
      <c r="BQ185" s="2">
        <v>42005.092361111114</v>
      </c>
      <c r="BR185" s="2">
        <v>11.07</v>
      </c>
      <c r="BS185" s="2">
        <v>42005.092361111114</v>
      </c>
      <c r="BT185">
        <v>0</v>
      </c>
      <c r="BU185">
        <v>0</v>
      </c>
      <c r="BV185" t="s">
        <v>135</v>
      </c>
      <c r="BW185">
        <v>0</v>
      </c>
      <c r="BX185">
        <v>0</v>
      </c>
      <c r="BY185" t="s">
        <v>135</v>
      </c>
      <c r="BZ185">
        <v>0</v>
      </c>
      <c r="CA185">
        <v>0</v>
      </c>
      <c r="CB185" t="s">
        <v>135</v>
      </c>
      <c r="CH185" s="2"/>
      <c r="CJ185" s="2"/>
      <c r="CL185" s="2"/>
      <c r="CN185" s="2"/>
      <c r="CQ185" s="2"/>
      <c r="CT185" s="2"/>
      <c r="CW185" s="2"/>
    </row>
    <row r="186" spans="1:101" x14ac:dyDescent="0.25">
      <c r="A186" s="1" t="s">
        <v>163</v>
      </c>
      <c r="B186" s="75" t="s">
        <v>164</v>
      </c>
      <c r="C186">
        <v>0</v>
      </c>
      <c r="D186">
        <v>0</v>
      </c>
      <c r="E186">
        <v>0</v>
      </c>
      <c r="F186">
        <v>604324.56000000006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3.91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7490</v>
      </c>
      <c r="AW186">
        <v>3350</v>
      </c>
      <c r="AX186">
        <v>1219</v>
      </c>
      <c r="AY186">
        <v>12059</v>
      </c>
      <c r="AZ186">
        <v>4202</v>
      </c>
      <c r="BA186">
        <v>7438</v>
      </c>
      <c r="BB186">
        <v>1432</v>
      </c>
      <c r="BC186">
        <v>13072</v>
      </c>
      <c r="BD186">
        <v>9486</v>
      </c>
      <c r="BE186">
        <v>9222</v>
      </c>
      <c r="BF186">
        <v>1768</v>
      </c>
      <c r="BG186">
        <v>20476</v>
      </c>
      <c r="BH186">
        <v>0</v>
      </c>
      <c r="BI186">
        <v>0</v>
      </c>
      <c r="BJ186">
        <v>0</v>
      </c>
      <c r="BK186">
        <v>0</v>
      </c>
      <c r="BL186" s="2">
        <v>24.82</v>
      </c>
      <c r="BM186" s="2">
        <v>42005.095138888886</v>
      </c>
      <c r="BN186" s="2">
        <v>5.4</v>
      </c>
      <c r="BO186" s="2">
        <v>42005.092361111114</v>
      </c>
      <c r="BP186" s="2">
        <v>6.92</v>
      </c>
      <c r="BQ186" s="2">
        <v>42005.092361111114</v>
      </c>
      <c r="BR186" s="2">
        <v>11.07</v>
      </c>
      <c r="BS186" s="2">
        <v>42005.092361111114</v>
      </c>
      <c r="BT186">
        <v>0</v>
      </c>
      <c r="BU186">
        <v>0</v>
      </c>
      <c r="BV186" t="s">
        <v>135</v>
      </c>
      <c r="BW186">
        <v>0</v>
      </c>
      <c r="BX186">
        <v>0</v>
      </c>
      <c r="BY186" t="s">
        <v>135</v>
      </c>
      <c r="BZ186">
        <v>0</v>
      </c>
      <c r="CA186">
        <v>0</v>
      </c>
      <c r="CB186" t="s">
        <v>135</v>
      </c>
      <c r="CH186" s="2"/>
      <c r="CJ186" s="2"/>
      <c r="CL186" s="2"/>
      <c r="CN186" s="2"/>
      <c r="CQ186" s="2"/>
      <c r="CT186" s="2"/>
      <c r="CW186" s="2"/>
    </row>
    <row r="187" spans="1:101" x14ac:dyDescent="0.25">
      <c r="A187" s="1" t="s">
        <v>163</v>
      </c>
      <c r="B187" s="75" t="s">
        <v>164</v>
      </c>
      <c r="C187">
        <v>0</v>
      </c>
      <c r="D187">
        <v>0</v>
      </c>
      <c r="E187">
        <v>0</v>
      </c>
      <c r="F187">
        <v>604324.56000000006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3.91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7490</v>
      </c>
      <c r="AW187">
        <v>3350</v>
      </c>
      <c r="AX187">
        <v>1219</v>
      </c>
      <c r="AY187">
        <v>12059</v>
      </c>
      <c r="AZ187">
        <v>4202</v>
      </c>
      <c r="BA187">
        <v>7438</v>
      </c>
      <c r="BB187">
        <v>1432</v>
      </c>
      <c r="BC187">
        <v>13072</v>
      </c>
      <c r="BD187">
        <v>9486</v>
      </c>
      <c r="BE187">
        <v>9222</v>
      </c>
      <c r="BF187">
        <v>1768</v>
      </c>
      <c r="BG187">
        <v>20476</v>
      </c>
      <c r="BH187">
        <v>0</v>
      </c>
      <c r="BI187">
        <v>0</v>
      </c>
      <c r="BJ187">
        <v>0</v>
      </c>
      <c r="BK187">
        <v>0</v>
      </c>
      <c r="BL187" s="2">
        <v>24.82</v>
      </c>
      <c r="BM187" s="2">
        <v>42005.095138888886</v>
      </c>
      <c r="BN187" s="2">
        <v>5.4</v>
      </c>
      <c r="BO187" s="2">
        <v>42005.092361111114</v>
      </c>
      <c r="BP187" s="2">
        <v>6.92</v>
      </c>
      <c r="BQ187" s="2">
        <v>42005.092361111114</v>
      </c>
      <c r="BR187" s="2">
        <v>11.07</v>
      </c>
      <c r="BS187" s="2">
        <v>42005.092361111114</v>
      </c>
      <c r="BT187">
        <v>0</v>
      </c>
      <c r="BU187">
        <v>0</v>
      </c>
      <c r="BV187" t="s">
        <v>135</v>
      </c>
      <c r="BW187">
        <v>0</v>
      </c>
      <c r="BX187">
        <v>0</v>
      </c>
      <c r="BY187" t="s">
        <v>135</v>
      </c>
      <c r="BZ187">
        <v>0</v>
      </c>
      <c r="CA187">
        <v>0</v>
      </c>
      <c r="CB187" t="s">
        <v>135</v>
      </c>
      <c r="CH187" s="2"/>
      <c r="CJ187" s="2"/>
      <c r="CL187" s="2"/>
      <c r="CN187" s="2"/>
      <c r="CQ187" s="2"/>
      <c r="CT187" s="2"/>
      <c r="CW187" s="2"/>
    </row>
    <row r="188" spans="1:101" x14ac:dyDescent="0.25">
      <c r="A188" s="1" t="s">
        <v>163</v>
      </c>
      <c r="B188" s="75" t="s">
        <v>164</v>
      </c>
      <c r="C188">
        <v>0</v>
      </c>
      <c r="D188">
        <v>0</v>
      </c>
      <c r="E188">
        <v>0</v>
      </c>
      <c r="F188">
        <v>604324.56000000006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3.91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7490</v>
      </c>
      <c r="AW188">
        <v>3350</v>
      </c>
      <c r="AX188">
        <v>1219</v>
      </c>
      <c r="AY188">
        <v>12059</v>
      </c>
      <c r="AZ188">
        <v>4202</v>
      </c>
      <c r="BA188">
        <v>7438</v>
      </c>
      <c r="BB188">
        <v>1432</v>
      </c>
      <c r="BC188">
        <v>13072</v>
      </c>
      <c r="BD188">
        <v>9486</v>
      </c>
      <c r="BE188">
        <v>9222</v>
      </c>
      <c r="BF188">
        <v>1768</v>
      </c>
      <c r="BG188">
        <v>20476</v>
      </c>
      <c r="BH188">
        <v>0</v>
      </c>
      <c r="BI188">
        <v>0</v>
      </c>
      <c r="BJ188">
        <v>0</v>
      </c>
      <c r="BK188">
        <v>0</v>
      </c>
      <c r="BL188" s="2">
        <v>24.82</v>
      </c>
      <c r="BM188" s="2">
        <v>42005.095138888886</v>
      </c>
      <c r="BN188" s="2">
        <v>5.4</v>
      </c>
      <c r="BO188" s="2">
        <v>42005.092361111114</v>
      </c>
      <c r="BP188" s="2">
        <v>6.92</v>
      </c>
      <c r="BQ188" s="2">
        <v>42005.092361111114</v>
      </c>
      <c r="BR188" s="2">
        <v>11.07</v>
      </c>
      <c r="BS188" s="2">
        <v>42005.092361111114</v>
      </c>
      <c r="BT188">
        <v>0</v>
      </c>
      <c r="BU188">
        <v>0</v>
      </c>
      <c r="BV188" t="s">
        <v>135</v>
      </c>
      <c r="BW188">
        <v>0</v>
      </c>
      <c r="BX188">
        <v>0</v>
      </c>
      <c r="BY188" t="s">
        <v>135</v>
      </c>
      <c r="BZ188">
        <v>0</v>
      </c>
      <c r="CA188">
        <v>0</v>
      </c>
      <c r="CB188" t="s">
        <v>135</v>
      </c>
      <c r="CH188" s="2"/>
      <c r="CJ188" s="2"/>
      <c r="CL188" s="2"/>
      <c r="CN188" s="2"/>
      <c r="CQ188" s="2"/>
      <c r="CT188" s="2"/>
      <c r="CW188" s="2"/>
    </row>
    <row r="189" spans="1:101" x14ac:dyDescent="0.25">
      <c r="A189" s="1" t="s">
        <v>163</v>
      </c>
      <c r="B189" s="75" t="s">
        <v>164</v>
      </c>
      <c r="C189">
        <v>0</v>
      </c>
      <c r="D189">
        <v>0</v>
      </c>
      <c r="E189">
        <v>0</v>
      </c>
      <c r="F189">
        <v>604324.56000000006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3.91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7490</v>
      </c>
      <c r="AW189">
        <v>3350</v>
      </c>
      <c r="AX189">
        <v>1219</v>
      </c>
      <c r="AY189">
        <v>12059</v>
      </c>
      <c r="AZ189">
        <v>4202</v>
      </c>
      <c r="BA189">
        <v>7438</v>
      </c>
      <c r="BB189">
        <v>1432</v>
      </c>
      <c r="BC189">
        <v>13072</v>
      </c>
      <c r="BD189">
        <v>9486</v>
      </c>
      <c r="BE189">
        <v>9222</v>
      </c>
      <c r="BF189">
        <v>1768</v>
      </c>
      <c r="BG189">
        <v>20476</v>
      </c>
      <c r="BH189">
        <v>0</v>
      </c>
      <c r="BI189">
        <v>0</v>
      </c>
      <c r="BJ189">
        <v>0</v>
      </c>
      <c r="BK189">
        <v>0</v>
      </c>
      <c r="BL189" s="2">
        <v>24.82</v>
      </c>
      <c r="BM189" s="2">
        <v>42005.095138888886</v>
      </c>
      <c r="BN189" s="2">
        <v>5.4</v>
      </c>
      <c r="BO189" s="2">
        <v>42005.092361111114</v>
      </c>
      <c r="BP189" s="2">
        <v>6.92</v>
      </c>
      <c r="BQ189" s="2">
        <v>42005.092361111114</v>
      </c>
      <c r="BR189" s="2">
        <v>11.07</v>
      </c>
      <c r="BS189" s="2">
        <v>42005.092361111114</v>
      </c>
      <c r="BT189">
        <v>0</v>
      </c>
      <c r="BU189">
        <v>0</v>
      </c>
      <c r="BV189" t="s">
        <v>135</v>
      </c>
      <c r="BW189">
        <v>0</v>
      </c>
      <c r="BX189">
        <v>0</v>
      </c>
      <c r="BY189" t="s">
        <v>135</v>
      </c>
      <c r="BZ189">
        <v>0</v>
      </c>
      <c r="CA189">
        <v>0</v>
      </c>
      <c r="CB189" t="s">
        <v>135</v>
      </c>
      <c r="CH189" s="2"/>
      <c r="CJ189" s="2"/>
      <c r="CL189" s="2"/>
      <c r="CN189" s="2"/>
      <c r="CQ189" s="2"/>
      <c r="CT189" s="2"/>
      <c r="CW189" s="2"/>
    </row>
    <row r="190" spans="1:101" x14ac:dyDescent="0.25">
      <c r="A190" s="1" t="s">
        <v>163</v>
      </c>
      <c r="B190" s="75" t="s">
        <v>164</v>
      </c>
      <c r="C190">
        <v>0</v>
      </c>
      <c r="D190">
        <v>0</v>
      </c>
      <c r="E190">
        <v>0</v>
      </c>
      <c r="F190">
        <v>604324.56000000006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3.91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7490</v>
      </c>
      <c r="AW190">
        <v>3350</v>
      </c>
      <c r="AX190">
        <v>1219</v>
      </c>
      <c r="AY190">
        <v>12059</v>
      </c>
      <c r="AZ190">
        <v>4202</v>
      </c>
      <c r="BA190">
        <v>7438</v>
      </c>
      <c r="BB190">
        <v>1432</v>
      </c>
      <c r="BC190">
        <v>13072</v>
      </c>
      <c r="BD190">
        <v>9486</v>
      </c>
      <c r="BE190">
        <v>9222</v>
      </c>
      <c r="BF190">
        <v>1768</v>
      </c>
      <c r="BG190">
        <v>20476</v>
      </c>
      <c r="BH190">
        <v>0</v>
      </c>
      <c r="BI190">
        <v>0</v>
      </c>
      <c r="BJ190">
        <v>0</v>
      </c>
      <c r="BK190">
        <v>0</v>
      </c>
      <c r="BL190" s="2">
        <v>24.82</v>
      </c>
      <c r="BM190" s="2">
        <v>42005.095138888886</v>
      </c>
      <c r="BN190" s="2">
        <v>5.4</v>
      </c>
      <c r="BO190" s="2">
        <v>42005.092361111114</v>
      </c>
      <c r="BP190" s="2">
        <v>6.92</v>
      </c>
      <c r="BQ190" s="2">
        <v>42005.092361111114</v>
      </c>
      <c r="BR190" s="2">
        <v>11.07</v>
      </c>
      <c r="BS190" s="2">
        <v>42005.092361111114</v>
      </c>
      <c r="BT190">
        <v>0</v>
      </c>
      <c r="BU190">
        <v>0</v>
      </c>
      <c r="BV190" t="s">
        <v>135</v>
      </c>
      <c r="BW190">
        <v>0</v>
      </c>
      <c r="BX190">
        <v>0</v>
      </c>
      <c r="BY190" t="s">
        <v>135</v>
      </c>
      <c r="BZ190">
        <v>0</v>
      </c>
      <c r="CA190">
        <v>0</v>
      </c>
      <c r="CB190" t="s">
        <v>135</v>
      </c>
      <c r="CH190" s="2"/>
      <c r="CJ190" s="2"/>
      <c r="CL190" s="2"/>
      <c r="CN190" s="2"/>
      <c r="CQ190" s="2"/>
      <c r="CT190" s="2"/>
      <c r="CW190" s="2"/>
    </row>
    <row r="191" spans="1:101" x14ac:dyDescent="0.25">
      <c r="A191" s="1" t="s">
        <v>163</v>
      </c>
      <c r="B191" s="75" t="s">
        <v>164</v>
      </c>
      <c r="C191">
        <v>0</v>
      </c>
      <c r="D191">
        <v>0</v>
      </c>
      <c r="E191">
        <v>0</v>
      </c>
      <c r="F191">
        <v>604324.56000000006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3.91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7490</v>
      </c>
      <c r="AW191">
        <v>3350</v>
      </c>
      <c r="AX191">
        <v>1219</v>
      </c>
      <c r="AY191">
        <v>12059</v>
      </c>
      <c r="AZ191">
        <v>4202</v>
      </c>
      <c r="BA191">
        <v>7438</v>
      </c>
      <c r="BB191">
        <v>1432</v>
      </c>
      <c r="BC191">
        <v>13072</v>
      </c>
      <c r="BD191">
        <v>9486</v>
      </c>
      <c r="BE191">
        <v>9222</v>
      </c>
      <c r="BF191">
        <v>1768</v>
      </c>
      <c r="BG191">
        <v>20476</v>
      </c>
      <c r="BH191">
        <v>0</v>
      </c>
      <c r="BI191">
        <v>0</v>
      </c>
      <c r="BJ191">
        <v>0</v>
      </c>
      <c r="BK191">
        <v>0</v>
      </c>
      <c r="BL191" s="2">
        <v>24.82</v>
      </c>
      <c r="BM191" s="2">
        <v>42005.095138888886</v>
      </c>
      <c r="BN191" s="2">
        <v>5.4</v>
      </c>
      <c r="BO191" s="2">
        <v>42005.092361111114</v>
      </c>
      <c r="BP191" s="2">
        <v>6.92</v>
      </c>
      <c r="BQ191" s="2">
        <v>42005.092361111114</v>
      </c>
      <c r="BR191" s="2">
        <v>11.07</v>
      </c>
      <c r="BS191" s="2">
        <v>42005.092361111114</v>
      </c>
      <c r="BT191">
        <v>0</v>
      </c>
      <c r="BU191">
        <v>0</v>
      </c>
      <c r="BV191" t="s">
        <v>135</v>
      </c>
      <c r="BW191">
        <v>0</v>
      </c>
      <c r="BX191">
        <v>0</v>
      </c>
      <c r="BY191" t="s">
        <v>135</v>
      </c>
      <c r="BZ191">
        <v>0</v>
      </c>
      <c r="CA191">
        <v>0</v>
      </c>
      <c r="CB191" t="s">
        <v>135</v>
      </c>
      <c r="CH191" s="2"/>
      <c r="CJ191" s="2"/>
      <c r="CL191" s="2"/>
      <c r="CN191" s="2"/>
      <c r="CQ191" s="2"/>
      <c r="CT191" s="2"/>
      <c r="CW191" s="2"/>
    </row>
    <row r="192" spans="1:101" x14ac:dyDescent="0.25">
      <c r="A192" s="1" t="s">
        <v>163</v>
      </c>
      <c r="B192" s="75" t="s">
        <v>164</v>
      </c>
      <c r="C192">
        <v>0</v>
      </c>
      <c r="D192">
        <v>0</v>
      </c>
      <c r="E192">
        <v>0</v>
      </c>
      <c r="F192">
        <v>604324.56000000006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3.91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7490</v>
      </c>
      <c r="AW192">
        <v>3350</v>
      </c>
      <c r="AX192">
        <v>1219</v>
      </c>
      <c r="AY192">
        <v>12059</v>
      </c>
      <c r="AZ192">
        <v>4202</v>
      </c>
      <c r="BA192">
        <v>7438</v>
      </c>
      <c r="BB192">
        <v>1432</v>
      </c>
      <c r="BC192">
        <v>13072</v>
      </c>
      <c r="BD192">
        <v>9486</v>
      </c>
      <c r="BE192">
        <v>9222</v>
      </c>
      <c r="BF192">
        <v>1768</v>
      </c>
      <c r="BG192">
        <v>20476</v>
      </c>
      <c r="BH192">
        <v>0</v>
      </c>
      <c r="BI192">
        <v>0</v>
      </c>
      <c r="BJ192">
        <v>0</v>
      </c>
      <c r="BK192">
        <v>0</v>
      </c>
      <c r="BL192" s="2">
        <v>24.82</v>
      </c>
      <c r="BM192" s="2">
        <v>42005.095138888886</v>
      </c>
      <c r="BN192" s="2">
        <v>5.4</v>
      </c>
      <c r="BO192" s="2">
        <v>42005.092361111114</v>
      </c>
      <c r="BP192" s="2">
        <v>6.92</v>
      </c>
      <c r="BQ192" s="2">
        <v>42005.092361111114</v>
      </c>
      <c r="BR192" s="2">
        <v>11.07</v>
      </c>
      <c r="BS192" s="2">
        <v>42005.092361111114</v>
      </c>
      <c r="BT192">
        <v>0</v>
      </c>
      <c r="BU192">
        <v>0</v>
      </c>
      <c r="BV192" t="s">
        <v>135</v>
      </c>
      <c r="BW192">
        <v>0</v>
      </c>
      <c r="BX192">
        <v>0</v>
      </c>
      <c r="BY192" t="s">
        <v>135</v>
      </c>
      <c r="BZ192">
        <v>0</v>
      </c>
      <c r="CA192">
        <v>0</v>
      </c>
      <c r="CB192" t="s">
        <v>135</v>
      </c>
      <c r="CH192" s="2"/>
      <c r="CJ192" s="2"/>
      <c r="CL192" s="2"/>
      <c r="CN192" s="2"/>
      <c r="CQ192" s="2"/>
      <c r="CT192" s="2"/>
      <c r="CW192" s="2"/>
    </row>
    <row r="193" spans="1:101" x14ac:dyDescent="0.25">
      <c r="A193" s="1" t="s">
        <v>163</v>
      </c>
      <c r="B193" s="75" t="s">
        <v>164</v>
      </c>
      <c r="C193">
        <v>0</v>
      </c>
      <c r="D193">
        <v>0</v>
      </c>
      <c r="E193">
        <v>0</v>
      </c>
      <c r="F193">
        <v>604324.56000000006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3.91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7490</v>
      </c>
      <c r="AW193">
        <v>3350</v>
      </c>
      <c r="AX193">
        <v>1219</v>
      </c>
      <c r="AY193">
        <v>12059</v>
      </c>
      <c r="AZ193">
        <v>4202</v>
      </c>
      <c r="BA193">
        <v>7438</v>
      </c>
      <c r="BB193">
        <v>1432</v>
      </c>
      <c r="BC193">
        <v>13072</v>
      </c>
      <c r="BD193">
        <v>9486</v>
      </c>
      <c r="BE193">
        <v>9222</v>
      </c>
      <c r="BF193">
        <v>1768</v>
      </c>
      <c r="BG193">
        <v>20476</v>
      </c>
      <c r="BH193">
        <v>0</v>
      </c>
      <c r="BI193">
        <v>0</v>
      </c>
      <c r="BJ193">
        <v>0</v>
      </c>
      <c r="BK193">
        <v>0</v>
      </c>
      <c r="BL193" s="2">
        <v>24.82</v>
      </c>
      <c r="BM193" s="2">
        <v>42005.095138888886</v>
      </c>
      <c r="BN193" s="2">
        <v>5.4</v>
      </c>
      <c r="BO193" s="2">
        <v>42005.092361111114</v>
      </c>
      <c r="BP193" s="2">
        <v>6.92</v>
      </c>
      <c r="BQ193" s="2">
        <v>42005.092361111114</v>
      </c>
      <c r="BR193" s="2">
        <v>11.07</v>
      </c>
      <c r="BS193" s="2">
        <v>42005.092361111114</v>
      </c>
      <c r="BT193">
        <v>0</v>
      </c>
      <c r="BU193">
        <v>0</v>
      </c>
      <c r="BV193" t="s">
        <v>135</v>
      </c>
      <c r="BW193">
        <v>0</v>
      </c>
      <c r="BX193">
        <v>0</v>
      </c>
      <c r="BY193" t="s">
        <v>135</v>
      </c>
      <c r="BZ193">
        <v>0</v>
      </c>
      <c r="CA193">
        <v>0</v>
      </c>
      <c r="CB193" t="s">
        <v>135</v>
      </c>
      <c r="CH193" s="2"/>
      <c r="CJ193" s="2"/>
      <c r="CL193" s="2"/>
      <c r="CN193" s="2"/>
      <c r="CQ193" s="2"/>
      <c r="CT193" s="2"/>
      <c r="CW193" s="2"/>
    </row>
    <row r="194" spans="1:101" x14ac:dyDescent="0.25">
      <c r="A194" s="1" t="s">
        <v>163</v>
      </c>
      <c r="B194" s="75" t="s">
        <v>164</v>
      </c>
      <c r="C194">
        <v>0</v>
      </c>
      <c r="D194">
        <v>0</v>
      </c>
      <c r="E194">
        <v>0</v>
      </c>
      <c r="F194">
        <v>604324.56000000006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3.91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7490</v>
      </c>
      <c r="AW194">
        <v>3350</v>
      </c>
      <c r="AX194">
        <v>1219</v>
      </c>
      <c r="AY194">
        <v>12059</v>
      </c>
      <c r="AZ194">
        <v>4202</v>
      </c>
      <c r="BA194">
        <v>7438</v>
      </c>
      <c r="BB194">
        <v>1432</v>
      </c>
      <c r="BC194">
        <v>13072</v>
      </c>
      <c r="BD194">
        <v>9486</v>
      </c>
      <c r="BE194">
        <v>9222</v>
      </c>
      <c r="BF194">
        <v>1768</v>
      </c>
      <c r="BG194">
        <v>20476</v>
      </c>
      <c r="BH194">
        <v>0</v>
      </c>
      <c r="BI194">
        <v>0</v>
      </c>
      <c r="BJ194">
        <v>0</v>
      </c>
      <c r="BK194">
        <v>0</v>
      </c>
      <c r="BL194" s="2">
        <v>24.82</v>
      </c>
      <c r="BM194" s="2">
        <v>42005.095138888886</v>
      </c>
      <c r="BN194" s="2">
        <v>5.4</v>
      </c>
      <c r="BO194" s="2">
        <v>42005.092361111114</v>
      </c>
      <c r="BP194" s="2">
        <v>6.92</v>
      </c>
      <c r="BQ194" s="2">
        <v>42005.092361111114</v>
      </c>
      <c r="BR194" s="2">
        <v>11.07</v>
      </c>
      <c r="BS194" s="2">
        <v>42005.092361111114</v>
      </c>
      <c r="BT194">
        <v>0</v>
      </c>
      <c r="BU194">
        <v>0</v>
      </c>
      <c r="BV194" t="s">
        <v>135</v>
      </c>
      <c r="BW194">
        <v>0</v>
      </c>
      <c r="BX194">
        <v>0</v>
      </c>
      <c r="BY194" t="s">
        <v>135</v>
      </c>
      <c r="BZ194">
        <v>0</v>
      </c>
      <c r="CA194">
        <v>0</v>
      </c>
      <c r="CB194" t="s">
        <v>135</v>
      </c>
      <c r="CH194" s="2"/>
      <c r="CJ194" s="2"/>
      <c r="CL194" s="2"/>
      <c r="CN194" s="2"/>
      <c r="CQ194" s="2"/>
      <c r="CT194" s="2"/>
      <c r="CW194" s="2"/>
    </row>
    <row r="195" spans="1:101" x14ac:dyDescent="0.25">
      <c r="A195" s="1" t="s">
        <v>163</v>
      </c>
      <c r="B195" s="75" t="s">
        <v>164</v>
      </c>
      <c r="C195">
        <v>0</v>
      </c>
      <c r="D195">
        <v>0</v>
      </c>
      <c r="E195">
        <v>0</v>
      </c>
      <c r="F195">
        <v>604324.56000000006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3.91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7490</v>
      </c>
      <c r="AW195">
        <v>3350</v>
      </c>
      <c r="AX195">
        <v>1219</v>
      </c>
      <c r="AY195">
        <v>12059</v>
      </c>
      <c r="AZ195">
        <v>4202</v>
      </c>
      <c r="BA195">
        <v>7438</v>
      </c>
      <c r="BB195">
        <v>1432</v>
      </c>
      <c r="BC195">
        <v>13072</v>
      </c>
      <c r="BD195">
        <v>9486</v>
      </c>
      <c r="BE195">
        <v>9222</v>
      </c>
      <c r="BF195">
        <v>1768</v>
      </c>
      <c r="BG195">
        <v>20476</v>
      </c>
      <c r="BH195">
        <v>0</v>
      </c>
      <c r="BI195">
        <v>0</v>
      </c>
      <c r="BJ195">
        <v>0</v>
      </c>
      <c r="BK195">
        <v>0</v>
      </c>
      <c r="BL195" s="2">
        <v>24.82</v>
      </c>
      <c r="BM195" s="2">
        <v>42005.095138888886</v>
      </c>
      <c r="BN195" s="2">
        <v>5.4</v>
      </c>
      <c r="BO195" s="2">
        <v>42005.092361111114</v>
      </c>
      <c r="BP195" s="2">
        <v>6.92</v>
      </c>
      <c r="BQ195" s="2">
        <v>42005.092361111114</v>
      </c>
      <c r="BR195" s="2">
        <v>11.07</v>
      </c>
      <c r="BS195" s="2">
        <v>42005.092361111114</v>
      </c>
      <c r="BT195">
        <v>0</v>
      </c>
      <c r="BU195">
        <v>0</v>
      </c>
      <c r="BV195" t="s">
        <v>135</v>
      </c>
      <c r="BW195">
        <v>0</v>
      </c>
      <c r="BX195">
        <v>0</v>
      </c>
      <c r="BY195" t="s">
        <v>135</v>
      </c>
      <c r="BZ195">
        <v>0</v>
      </c>
      <c r="CA195">
        <v>0</v>
      </c>
      <c r="CB195" t="s">
        <v>135</v>
      </c>
      <c r="CH195" s="2"/>
      <c r="CJ195" s="2"/>
      <c r="CL195" s="2"/>
      <c r="CN195" s="2"/>
      <c r="CQ195" s="2"/>
      <c r="CT195" s="2"/>
      <c r="CW195" s="2"/>
    </row>
    <row r="196" spans="1:101" x14ac:dyDescent="0.25">
      <c r="A196" s="1" t="s">
        <v>163</v>
      </c>
      <c r="B196" s="75" t="s">
        <v>164</v>
      </c>
      <c r="C196">
        <v>0</v>
      </c>
      <c r="D196">
        <v>0</v>
      </c>
      <c r="E196">
        <v>0</v>
      </c>
      <c r="F196">
        <v>604324.56000000006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3.91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7490</v>
      </c>
      <c r="AW196">
        <v>3350</v>
      </c>
      <c r="AX196">
        <v>1219</v>
      </c>
      <c r="AY196">
        <v>12059</v>
      </c>
      <c r="AZ196">
        <v>4202</v>
      </c>
      <c r="BA196">
        <v>7438</v>
      </c>
      <c r="BB196">
        <v>1432</v>
      </c>
      <c r="BC196">
        <v>13072</v>
      </c>
      <c r="BD196">
        <v>9486</v>
      </c>
      <c r="BE196">
        <v>9222</v>
      </c>
      <c r="BF196">
        <v>1768</v>
      </c>
      <c r="BG196">
        <v>20476</v>
      </c>
      <c r="BH196">
        <v>0</v>
      </c>
      <c r="BI196">
        <v>0</v>
      </c>
      <c r="BJ196">
        <v>0</v>
      </c>
      <c r="BK196">
        <v>0</v>
      </c>
      <c r="BL196" s="2">
        <v>24.82</v>
      </c>
      <c r="BM196" s="2">
        <v>42005.095138888886</v>
      </c>
      <c r="BN196" s="2">
        <v>5.4</v>
      </c>
      <c r="BO196" s="2">
        <v>42005.092361111114</v>
      </c>
      <c r="BP196" s="2">
        <v>6.92</v>
      </c>
      <c r="BQ196" s="2">
        <v>42005.092361111114</v>
      </c>
      <c r="BR196" s="2">
        <v>11.07</v>
      </c>
      <c r="BS196" s="2">
        <v>42005.092361111114</v>
      </c>
      <c r="BT196">
        <v>0</v>
      </c>
      <c r="BU196">
        <v>0</v>
      </c>
      <c r="BV196" t="s">
        <v>135</v>
      </c>
      <c r="BW196">
        <v>0</v>
      </c>
      <c r="BX196">
        <v>0</v>
      </c>
      <c r="BY196" t="s">
        <v>135</v>
      </c>
      <c r="BZ196">
        <v>0</v>
      </c>
      <c r="CA196">
        <v>0</v>
      </c>
      <c r="CB196" t="s">
        <v>135</v>
      </c>
      <c r="CH196" s="2"/>
      <c r="CJ196" s="2"/>
      <c r="CL196" s="2"/>
      <c r="CN196" s="2"/>
      <c r="CQ196" s="2"/>
      <c r="CT196" s="2"/>
      <c r="CW196" s="2"/>
    </row>
    <row r="197" spans="1:101" x14ac:dyDescent="0.25">
      <c r="A197" s="1" t="s">
        <v>163</v>
      </c>
      <c r="B197" s="75" t="s">
        <v>164</v>
      </c>
      <c r="C197">
        <v>0</v>
      </c>
      <c r="D197">
        <v>0</v>
      </c>
      <c r="E197">
        <v>0</v>
      </c>
      <c r="F197">
        <v>604324.56000000006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3.91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7490</v>
      </c>
      <c r="AW197">
        <v>3350</v>
      </c>
      <c r="AX197">
        <v>1219</v>
      </c>
      <c r="AY197">
        <v>12059</v>
      </c>
      <c r="AZ197">
        <v>4202</v>
      </c>
      <c r="BA197">
        <v>7438</v>
      </c>
      <c r="BB197">
        <v>1432</v>
      </c>
      <c r="BC197">
        <v>13072</v>
      </c>
      <c r="BD197">
        <v>9486</v>
      </c>
      <c r="BE197">
        <v>9222</v>
      </c>
      <c r="BF197">
        <v>1768</v>
      </c>
      <c r="BG197">
        <v>20476</v>
      </c>
      <c r="BH197">
        <v>0</v>
      </c>
      <c r="BI197">
        <v>0</v>
      </c>
      <c r="BJ197">
        <v>0</v>
      </c>
      <c r="BK197">
        <v>0</v>
      </c>
      <c r="BL197" s="2">
        <v>24.82</v>
      </c>
      <c r="BM197" s="2">
        <v>42005.095138888886</v>
      </c>
      <c r="BN197" s="2">
        <v>5.4</v>
      </c>
      <c r="BO197" s="2">
        <v>42005.092361111114</v>
      </c>
      <c r="BP197" s="2">
        <v>6.92</v>
      </c>
      <c r="BQ197" s="2">
        <v>42005.092361111114</v>
      </c>
      <c r="BR197" s="2">
        <v>11.07</v>
      </c>
      <c r="BS197" s="2">
        <v>42005.092361111114</v>
      </c>
      <c r="BT197">
        <v>0</v>
      </c>
      <c r="BU197">
        <v>0</v>
      </c>
      <c r="BV197" t="s">
        <v>135</v>
      </c>
      <c r="BW197">
        <v>0</v>
      </c>
      <c r="BX197">
        <v>0</v>
      </c>
      <c r="BY197" t="s">
        <v>135</v>
      </c>
      <c r="BZ197">
        <v>0</v>
      </c>
      <c r="CA197">
        <v>0</v>
      </c>
      <c r="CB197" t="s">
        <v>135</v>
      </c>
      <c r="CH197" s="2"/>
      <c r="CJ197" s="2"/>
      <c r="CL197" s="2"/>
      <c r="CN197" s="2"/>
      <c r="CQ197" s="2"/>
      <c r="CT197" s="2"/>
      <c r="CW197" s="2"/>
    </row>
    <row r="198" spans="1:101" x14ac:dyDescent="0.25">
      <c r="A198" s="1" t="s">
        <v>163</v>
      </c>
      <c r="B198" s="75" t="s">
        <v>164</v>
      </c>
      <c r="C198">
        <v>0</v>
      </c>
      <c r="D198">
        <v>0</v>
      </c>
      <c r="E198">
        <v>0</v>
      </c>
      <c r="F198">
        <v>604324.56000000006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3.91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7490</v>
      </c>
      <c r="AW198">
        <v>3350</v>
      </c>
      <c r="AX198">
        <v>1219</v>
      </c>
      <c r="AY198">
        <v>12059</v>
      </c>
      <c r="AZ198">
        <v>4202</v>
      </c>
      <c r="BA198">
        <v>7438</v>
      </c>
      <c r="BB198">
        <v>1432</v>
      </c>
      <c r="BC198">
        <v>13072</v>
      </c>
      <c r="BD198">
        <v>9486</v>
      </c>
      <c r="BE198">
        <v>9222</v>
      </c>
      <c r="BF198">
        <v>1768</v>
      </c>
      <c r="BG198">
        <v>20476</v>
      </c>
      <c r="BH198">
        <v>0</v>
      </c>
      <c r="BI198">
        <v>0</v>
      </c>
      <c r="BJ198">
        <v>0</v>
      </c>
      <c r="BK198">
        <v>0</v>
      </c>
      <c r="BL198" s="2">
        <v>24.82</v>
      </c>
      <c r="BM198" s="2">
        <v>42005.095138888886</v>
      </c>
      <c r="BN198" s="2">
        <v>5.4</v>
      </c>
      <c r="BO198" s="2">
        <v>42005.092361111114</v>
      </c>
      <c r="BP198" s="2">
        <v>6.92</v>
      </c>
      <c r="BQ198" s="2">
        <v>42005.092361111114</v>
      </c>
      <c r="BR198" s="2">
        <v>11.07</v>
      </c>
      <c r="BS198" s="2">
        <v>42005.092361111114</v>
      </c>
      <c r="BT198">
        <v>0</v>
      </c>
      <c r="BU198">
        <v>0</v>
      </c>
      <c r="BV198" t="s">
        <v>135</v>
      </c>
      <c r="BW198">
        <v>0</v>
      </c>
      <c r="BX198">
        <v>0</v>
      </c>
      <c r="BY198" t="s">
        <v>135</v>
      </c>
      <c r="BZ198">
        <v>0</v>
      </c>
      <c r="CA198">
        <v>0</v>
      </c>
      <c r="CB198" t="s">
        <v>135</v>
      </c>
      <c r="CH198" s="2"/>
      <c r="CJ198" s="2"/>
      <c r="CL198" s="2"/>
      <c r="CN198" s="2"/>
      <c r="CQ198" s="2"/>
      <c r="CT198" s="2"/>
      <c r="CW198" s="2"/>
    </row>
    <row r="199" spans="1:101" x14ac:dyDescent="0.25">
      <c r="A199" s="1" t="s">
        <v>163</v>
      </c>
      <c r="B199" s="75" t="s">
        <v>164</v>
      </c>
      <c r="C199">
        <v>0</v>
      </c>
      <c r="D199">
        <v>0</v>
      </c>
      <c r="E199">
        <v>0</v>
      </c>
      <c r="F199">
        <v>604324.56000000006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3.91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7490</v>
      </c>
      <c r="AW199">
        <v>3350</v>
      </c>
      <c r="AX199">
        <v>1219</v>
      </c>
      <c r="AY199">
        <v>12059</v>
      </c>
      <c r="AZ199">
        <v>4202</v>
      </c>
      <c r="BA199">
        <v>7438</v>
      </c>
      <c r="BB199">
        <v>1432</v>
      </c>
      <c r="BC199">
        <v>13072</v>
      </c>
      <c r="BD199">
        <v>9486</v>
      </c>
      <c r="BE199">
        <v>9222</v>
      </c>
      <c r="BF199">
        <v>1768</v>
      </c>
      <c r="BG199">
        <v>20476</v>
      </c>
      <c r="BH199">
        <v>0</v>
      </c>
      <c r="BI199">
        <v>0</v>
      </c>
      <c r="BJ199">
        <v>0</v>
      </c>
      <c r="BK199">
        <v>0</v>
      </c>
      <c r="BL199" s="2">
        <v>24.82</v>
      </c>
      <c r="BM199" s="2">
        <v>42005.095138888886</v>
      </c>
      <c r="BN199" s="2">
        <v>5.4</v>
      </c>
      <c r="BO199" s="2">
        <v>42005.092361111114</v>
      </c>
      <c r="BP199" s="2">
        <v>6.92</v>
      </c>
      <c r="BQ199" s="2">
        <v>42005.092361111114</v>
      </c>
      <c r="BR199" s="2">
        <v>11.07</v>
      </c>
      <c r="BS199" s="2">
        <v>42005.092361111114</v>
      </c>
      <c r="BT199">
        <v>0</v>
      </c>
      <c r="BU199">
        <v>0</v>
      </c>
      <c r="BV199" t="s">
        <v>135</v>
      </c>
      <c r="BW199">
        <v>0</v>
      </c>
      <c r="BX199">
        <v>0</v>
      </c>
      <c r="BY199" t="s">
        <v>135</v>
      </c>
      <c r="BZ199">
        <v>0</v>
      </c>
      <c r="CA199">
        <v>0</v>
      </c>
      <c r="CB199" t="s">
        <v>135</v>
      </c>
      <c r="CH199" s="2"/>
      <c r="CJ199" s="2"/>
      <c r="CL199" s="2"/>
      <c r="CN199" s="2"/>
      <c r="CQ199" s="2"/>
      <c r="CT199" s="2"/>
      <c r="CW199" s="2"/>
    </row>
    <row r="200" spans="1:101" x14ac:dyDescent="0.25">
      <c r="A200" s="1" t="s">
        <v>163</v>
      </c>
      <c r="B200" s="75" t="s">
        <v>164</v>
      </c>
      <c r="C200">
        <v>0</v>
      </c>
      <c r="D200">
        <v>0</v>
      </c>
      <c r="E200">
        <v>0</v>
      </c>
      <c r="F200">
        <v>604324.56000000006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3.91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7490</v>
      </c>
      <c r="AW200">
        <v>3350</v>
      </c>
      <c r="AX200">
        <v>1219</v>
      </c>
      <c r="AY200">
        <v>12059</v>
      </c>
      <c r="AZ200">
        <v>4202</v>
      </c>
      <c r="BA200">
        <v>7438</v>
      </c>
      <c r="BB200">
        <v>1432</v>
      </c>
      <c r="BC200">
        <v>13072</v>
      </c>
      <c r="BD200">
        <v>9486</v>
      </c>
      <c r="BE200">
        <v>9222</v>
      </c>
      <c r="BF200">
        <v>1768</v>
      </c>
      <c r="BG200">
        <v>20476</v>
      </c>
      <c r="BH200">
        <v>0</v>
      </c>
      <c r="BI200">
        <v>0</v>
      </c>
      <c r="BJ200">
        <v>0</v>
      </c>
      <c r="BK200">
        <v>0</v>
      </c>
      <c r="BL200" s="2">
        <v>24.82</v>
      </c>
      <c r="BM200" s="2">
        <v>42005.095138888886</v>
      </c>
      <c r="BN200" s="2">
        <v>5.4</v>
      </c>
      <c r="BO200" s="2">
        <v>42005.092361111114</v>
      </c>
      <c r="BP200" s="2">
        <v>6.92</v>
      </c>
      <c r="BQ200" s="2">
        <v>42005.092361111114</v>
      </c>
      <c r="BR200" s="2">
        <v>11.07</v>
      </c>
      <c r="BS200" s="2">
        <v>42005.092361111114</v>
      </c>
      <c r="BT200">
        <v>0</v>
      </c>
      <c r="BU200">
        <v>0</v>
      </c>
      <c r="BV200" t="s">
        <v>135</v>
      </c>
      <c r="BW200">
        <v>0</v>
      </c>
      <c r="BX200">
        <v>0</v>
      </c>
      <c r="BY200" t="s">
        <v>135</v>
      </c>
      <c r="BZ200">
        <v>0</v>
      </c>
      <c r="CA200">
        <v>0</v>
      </c>
      <c r="CB200" t="s">
        <v>135</v>
      </c>
      <c r="CH200" s="2"/>
      <c r="CJ200" s="2"/>
      <c r="CL200" s="2"/>
      <c r="CN200" s="2"/>
      <c r="CQ200" s="2"/>
      <c r="CT200" s="2"/>
      <c r="CW200" s="2"/>
    </row>
    <row r="201" spans="1:101" x14ac:dyDescent="0.25">
      <c r="A201" s="1" t="s">
        <v>163</v>
      </c>
      <c r="B201" s="75" t="s">
        <v>164</v>
      </c>
      <c r="C201">
        <v>0</v>
      </c>
      <c r="D201">
        <v>0</v>
      </c>
      <c r="E201">
        <v>0</v>
      </c>
      <c r="F201">
        <v>604324.56000000006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3.91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7490</v>
      </c>
      <c r="AW201">
        <v>3350</v>
      </c>
      <c r="AX201">
        <v>1219</v>
      </c>
      <c r="AY201">
        <v>12059</v>
      </c>
      <c r="AZ201">
        <v>4202</v>
      </c>
      <c r="BA201">
        <v>7438</v>
      </c>
      <c r="BB201">
        <v>1432</v>
      </c>
      <c r="BC201">
        <v>13072</v>
      </c>
      <c r="BD201">
        <v>9486</v>
      </c>
      <c r="BE201">
        <v>9222</v>
      </c>
      <c r="BF201">
        <v>1768</v>
      </c>
      <c r="BG201">
        <v>20476</v>
      </c>
      <c r="BH201">
        <v>0</v>
      </c>
      <c r="BI201">
        <v>0</v>
      </c>
      <c r="BJ201">
        <v>0</v>
      </c>
      <c r="BK201">
        <v>0</v>
      </c>
      <c r="BL201" s="2">
        <v>24.82</v>
      </c>
      <c r="BM201" s="2">
        <v>42005.095138888886</v>
      </c>
      <c r="BN201" s="2">
        <v>5.4</v>
      </c>
      <c r="BO201" s="2">
        <v>42005.092361111114</v>
      </c>
      <c r="BP201" s="2">
        <v>6.92</v>
      </c>
      <c r="BQ201" s="2">
        <v>42005.092361111114</v>
      </c>
      <c r="BR201" s="2">
        <v>11.07</v>
      </c>
      <c r="BS201" s="2">
        <v>42005.092361111114</v>
      </c>
      <c r="BT201">
        <v>0</v>
      </c>
      <c r="BU201">
        <v>0</v>
      </c>
      <c r="BV201" t="s">
        <v>135</v>
      </c>
      <c r="BW201">
        <v>0</v>
      </c>
      <c r="BX201">
        <v>0</v>
      </c>
      <c r="BY201" t="s">
        <v>135</v>
      </c>
      <c r="BZ201">
        <v>0</v>
      </c>
      <c r="CA201">
        <v>0</v>
      </c>
      <c r="CB201" t="s">
        <v>135</v>
      </c>
      <c r="CH201" s="2"/>
      <c r="CJ201" s="2"/>
      <c r="CL201" s="2"/>
      <c r="CN201" s="2"/>
      <c r="CQ201" s="2"/>
      <c r="CT201" s="2"/>
      <c r="CW201" s="2"/>
    </row>
    <row r="202" spans="1:101" x14ac:dyDescent="0.25">
      <c r="A202" s="1" t="s">
        <v>163</v>
      </c>
      <c r="B202" s="75" t="s">
        <v>164</v>
      </c>
      <c r="C202">
        <v>0</v>
      </c>
      <c r="D202">
        <v>0</v>
      </c>
      <c r="E202">
        <v>0</v>
      </c>
      <c r="F202">
        <v>604324.56000000006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3.91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7490</v>
      </c>
      <c r="AW202">
        <v>3350</v>
      </c>
      <c r="AX202">
        <v>1219</v>
      </c>
      <c r="AY202">
        <v>12059</v>
      </c>
      <c r="AZ202">
        <v>4202</v>
      </c>
      <c r="BA202">
        <v>7438</v>
      </c>
      <c r="BB202">
        <v>1432</v>
      </c>
      <c r="BC202">
        <v>13072</v>
      </c>
      <c r="BD202">
        <v>9486</v>
      </c>
      <c r="BE202">
        <v>9222</v>
      </c>
      <c r="BF202">
        <v>1768</v>
      </c>
      <c r="BG202">
        <v>20476</v>
      </c>
      <c r="BH202">
        <v>0</v>
      </c>
      <c r="BI202">
        <v>0</v>
      </c>
      <c r="BJ202">
        <v>0</v>
      </c>
      <c r="BK202">
        <v>0</v>
      </c>
      <c r="BL202" s="2">
        <v>24.82</v>
      </c>
      <c r="BM202" s="2">
        <v>42005.095138888886</v>
      </c>
      <c r="BN202" s="2">
        <v>5.4</v>
      </c>
      <c r="BO202" s="2">
        <v>42005.092361111114</v>
      </c>
      <c r="BP202" s="2">
        <v>6.92</v>
      </c>
      <c r="BQ202" s="2">
        <v>42005.092361111114</v>
      </c>
      <c r="BR202" s="2">
        <v>11.07</v>
      </c>
      <c r="BS202" s="2">
        <v>42005.092361111114</v>
      </c>
      <c r="BT202">
        <v>0</v>
      </c>
      <c r="BU202">
        <v>0</v>
      </c>
      <c r="BV202" t="s">
        <v>135</v>
      </c>
      <c r="BW202">
        <v>0</v>
      </c>
      <c r="BX202">
        <v>0</v>
      </c>
      <c r="BY202" t="s">
        <v>135</v>
      </c>
      <c r="BZ202">
        <v>0</v>
      </c>
      <c r="CA202">
        <v>0</v>
      </c>
      <c r="CB202" t="s">
        <v>135</v>
      </c>
      <c r="CH202" s="2"/>
      <c r="CJ202" s="2"/>
      <c r="CL202" s="2"/>
      <c r="CN202" s="2"/>
      <c r="CQ202" s="2"/>
      <c r="CT202" s="2"/>
      <c r="CW202" s="2"/>
    </row>
    <row r="203" spans="1:101" x14ac:dyDescent="0.25">
      <c r="A203" s="1" t="s">
        <v>163</v>
      </c>
      <c r="B203" s="75" t="s">
        <v>164</v>
      </c>
      <c r="C203">
        <v>0</v>
      </c>
      <c r="D203">
        <v>0</v>
      </c>
      <c r="E203">
        <v>0</v>
      </c>
      <c r="F203">
        <v>604324.56000000006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3.91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7490</v>
      </c>
      <c r="AW203">
        <v>3350</v>
      </c>
      <c r="AX203">
        <v>1219</v>
      </c>
      <c r="AY203">
        <v>12059</v>
      </c>
      <c r="AZ203">
        <v>4202</v>
      </c>
      <c r="BA203">
        <v>7438</v>
      </c>
      <c r="BB203">
        <v>1432</v>
      </c>
      <c r="BC203">
        <v>13072</v>
      </c>
      <c r="BD203">
        <v>9486</v>
      </c>
      <c r="BE203">
        <v>9222</v>
      </c>
      <c r="BF203">
        <v>1768</v>
      </c>
      <c r="BG203">
        <v>20476</v>
      </c>
      <c r="BH203">
        <v>0</v>
      </c>
      <c r="BI203">
        <v>0</v>
      </c>
      <c r="BJ203">
        <v>0</v>
      </c>
      <c r="BK203">
        <v>0</v>
      </c>
      <c r="BL203" s="2">
        <v>24.82</v>
      </c>
      <c r="BM203" s="2">
        <v>42005.095138888886</v>
      </c>
      <c r="BN203" s="2">
        <v>5.4</v>
      </c>
      <c r="BO203" s="2">
        <v>42005.092361111114</v>
      </c>
      <c r="BP203" s="2">
        <v>6.92</v>
      </c>
      <c r="BQ203" s="2">
        <v>42005.092361111114</v>
      </c>
      <c r="BR203" s="2">
        <v>11.07</v>
      </c>
      <c r="BS203" s="2">
        <v>42005.092361111114</v>
      </c>
      <c r="BT203">
        <v>0</v>
      </c>
      <c r="BU203">
        <v>0</v>
      </c>
      <c r="BV203" t="s">
        <v>135</v>
      </c>
      <c r="BW203">
        <v>0</v>
      </c>
      <c r="BX203">
        <v>0</v>
      </c>
      <c r="BY203" t="s">
        <v>135</v>
      </c>
      <c r="BZ203">
        <v>0</v>
      </c>
      <c r="CA203">
        <v>0</v>
      </c>
      <c r="CB203" t="s">
        <v>135</v>
      </c>
      <c r="CH203" s="2"/>
      <c r="CJ203" s="2"/>
      <c r="CL203" s="2"/>
      <c r="CN203" s="2"/>
      <c r="CQ203" s="2"/>
      <c r="CT203" s="2"/>
      <c r="CW203" s="2"/>
    </row>
    <row r="204" spans="1:101" x14ac:dyDescent="0.25">
      <c r="A204" s="1" t="s">
        <v>163</v>
      </c>
      <c r="B204" s="75" t="s">
        <v>164</v>
      </c>
      <c r="C204">
        <v>0</v>
      </c>
      <c r="D204">
        <v>0</v>
      </c>
      <c r="E204">
        <v>0</v>
      </c>
      <c r="F204">
        <v>604324.56000000006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3.91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7490</v>
      </c>
      <c r="AW204">
        <v>3350</v>
      </c>
      <c r="AX204">
        <v>1219</v>
      </c>
      <c r="AY204">
        <v>12059</v>
      </c>
      <c r="AZ204">
        <v>4202</v>
      </c>
      <c r="BA204">
        <v>7438</v>
      </c>
      <c r="BB204">
        <v>1432</v>
      </c>
      <c r="BC204">
        <v>13072</v>
      </c>
      <c r="BD204">
        <v>9486</v>
      </c>
      <c r="BE204">
        <v>9222</v>
      </c>
      <c r="BF204">
        <v>1768</v>
      </c>
      <c r="BG204">
        <v>20476</v>
      </c>
      <c r="BH204">
        <v>0</v>
      </c>
      <c r="BI204">
        <v>0</v>
      </c>
      <c r="BJ204">
        <v>0</v>
      </c>
      <c r="BK204">
        <v>0</v>
      </c>
      <c r="BL204" s="2">
        <v>24.82</v>
      </c>
      <c r="BM204" s="2">
        <v>42005.095138888886</v>
      </c>
      <c r="BN204" s="2">
        <v>5.4</v>
      </c>
      <c r="BO204" s="2">
        <v>42005.092361111114</v>
      </c>
      <c r="BP204" s="2">
        <v>6.92</v>
      </c>
      <c r="BQ204" s="2">
        <v>42005.092361111114</v>
      </c>
      <c r="BR204" s="2">
        <v>11.07</v>
      </c>
      <c r="BS204" s="2">
        <v>42005.092361111114</v>
      </c>
      <c r="BT204">
        <v>0</v>
      </c>
      <c r="BU204">
        <v>0</v>
      </c>
      <c r="BV204" t="s">
        <v>135</v>
      </c>
      <c r="BW204">
        <v>0</v>
      </c>
      <c r="BX204">
        <v>0</v>
      </c>
      <c r="BY204" t="s">
        <v>135</v>
      </c>
      <c r="BZ204">
        <v>0</v>
      </c>
      <c r="CA204">
        <v>0</v>
      </c>
      <c r="CB204" t="s">
        <v>135</v>
      </c>
      <c r="CH204" s="2"/>
      <c r="CJ204" s="2"/>
      <c r="CL204" s="2"/>
      <c r="CN204" s="2"/>
      <c r="CQ204" s="2"/>
      <c r="CT204" s="2"/>
      <c r="CW204" s="2"/>
    </row>
    <row r="205" spans="1:101" x14ac:dyDescent="0.25">
      <c r="A205" s="1" t="s">
        <v>163</v>
      </c>
      <c r="B205" s="75" t="s">
        <v>164</v>
      </c>
      <c r="C205">
        <v>0</v>
      </c>
      <c r="D205">
        <v>0</v>
      </c>
      <c r="E205">
        <v>0</v>
      </c>
      <c r="F205">
        <v>604324.56000000006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3.91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7490</v>
      </c>
      <c r="AW205">
        <v>3350</v>
      </c>
      <c r="AX205">
        <v>1219</v>
      </c>
      <c r="AY205">
        <v>12059</v>
      </c>
      <c r="AZ205">
        <v>4202</v>
      </c>
      <c r="BA205">
        <v>7438</v>
      </c>
      <c r="BB205">
        <v>1432</v>
      </c>
      <c r="BC205">
        <v>13072</v>
      </c>
      <c r="BD205">
        <v>9486</v>
      </c>
      <c r="BE205">
        <v>9222</v>
      </c>
      <c r="BF205">
        <v>1768</v>
      </c>
      <c r="BG205">
        <v>20476</v>
      </c>
      <c r="BH205">
        <v>0</v>
      </c>
      <c r="BI205">
        <v>0</v>
      </c>
      <c r="BJ205">
        <v>0</v>
      </c>
      <c r="BK205">
        <v>0</v>
      </c>
      <c r="BL205" s="2">
        <v>24.82</v>
      </c>
      <c r="BM205" s="2">
        <v>42005.095138888886</v>
      </c>
      <c r="BN205" s="2">
        <v>5.4</v>
      </c>
      <c r="BO205" s="2">
        <v>42005.092361111114</v>
      </c>
      <c r="BP205" s="2">
        <v>6.92</v>
      </c>
      <c r="BQ205" s="2">
        <v>42005.092361111114</v>
      </c>
      <c r="BR205" s="2">
        <v>11.07</v>
      </c>
      <c r="BS205" s="2">
        <v>42005.092361111114</v>
      </c>
      <c r="BT205">
        <v>0</v>
      </c>
      <c r="BU205">
        <v>0</v>
      </c>
      <c r="BV205" t="s">
        <v>135</v>
      </c>
      <c r="BW205">
        <v>0</v>
      </c>
      <c r="BX205">
        <v>0</v>
      </c>
      <c r="BY205" t="s">
        <v>135</v>
      </c>
      <c r="BZ205">
        <v>0</v>
      </c>
      <c r="CA205">
        <v>0</v>
      </c>
      <c r="CB205" t="s">
        <v>135</v>
      </c>
      <c r="CH205" s="2"/>
      <c r="CJ205" s="2"/>
      <c r="CL205" s="2"/>
      <c r="CN205" s="2"/>
      <c r="CQ205" s="2"/>
      <c r="CT205" s="2"/>
      <c r="CW205" s="2"/>
    </row>
    <row r="206" spans="1:101" x14ac:dyDescent="0.25">
      <c r="A206" s="1" t="s">
        <v>163</v>
      </c>
      <c r="B206" s="75" t="s">
        <v>164</v>
      </c>
      <c r="C206">
        <v>0</v>
      </c>
      <c r="D206">
        <v>0</v>
      </c>
      <c r="E206">
        <v>0</v>
      </c>
      <c r="F206">
        <v>604324.56000000006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3.91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7490</v>
      </c>
      <c r="AW206">
        <v>3350</v>
      </c>
      <c r="AX206">
        <v>1219</v>
      </c>
      <c r="AY206">
        <v>12059</v>
      </c>
      <c r="AZ206">
        <v>4202</v>
      </c>
      <c r="BA206">
        <v>7438</v>
      </c>
      <c r="BB206">
        <v>1432</v>
      </c>
      <c r="BC206">
        <v>13072</v>
      </c>
      <c r="BD206">
        <v>9486</v>
      </c>
      <c r="BE206">
        <v>9222</v>
      </c>
      <c r="BF206">
        <v>1768</v>
      </c>
      <c r="BG206">
        <v>20476</v>
      </c>
      <c r="BH206">
        <v>0</v>
      </c>
      <c r="BI206">
        <v>0</v>
      </c>
      <c r="BJ206">
        <v>0</v>
      </c>
      <c r="BK206">
        <v>0</v>
      </c>
      <c r="BL206" s="2">
        <v>24.82</v>
      </c>
      <c r="BM206" s="2">
        <v>42005.095138888886</v>
      </c>
      <c r="BN206" s="2">
        <v>5.4</v>
      </c>
      <c r="BO206" s="2">
        <v>42005.092361111114</v>
      </c>
      <c r="BP206" s="2">
        <v>6.92</v>
      </c>
      <c r="BQ206" s="2">
        <v>42005.092361111114</v>
      </c>
      <c r="BR206" s="2">
        <v>11.07</v>
      </c>
      <c r="BS206" s="2">
        <v>42005.092361111114</v>
      </c>
      <c r="BT206">
        <v>0</v>
      </c>
      <c r="BU206">
        <v>0</v>
      </c>
      <c r="BV206" t="s">
        <v>135</v>
      </c>
      <c r="BW206">
        <v>0</v>
      </c>
      <c r="BX206">
        <v>0</v>
      </c>
      <c r="BY206" t="s">
        <v>135</v>
      </c>
      <c r="BZ206">
        <v>0</v>
      </c>
      <c r="CA206">
        <v>0</v>
      </c>
      <c r="CB206" t="s">
        <v>135</v>
      </c>
      <c r="CH206" s="2"/>
      <c r="CJ206" s="2"/>
      <c r="CL206" s="2"/>
      <c r="CN206" s="2"/>
      <c r="CQ206" s="2"/>
      <c r="CT206" s="2"/>
      <c r="CW206" s="2"/>
    </row>
    <row r="207" spans="1:101" x14ac:dyDescent="0.25">
      <c r="A207" s="1" t="s">
        <v>163</v>
      </c>
      <c r="B207" s="75" t="s">
        <v>164</v>
      </c>
      <c r="C207">
        <v>0</v>
      </c>
      <c r="D207">
        <v>0</v>
      </c>
      <c r="E207">
        <v>0</v>
      </c>
      <c r="F207">
        <v>604324.56000000006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3.91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7490</v>
      </c>
      <c r="AW207">
        <v>3350</v>
      </c>
      <c r="AX207">
        <v>1219</v>
      </c>
      <c r="AY207">
        <v>12059</v>
      </c>
      <c r="AZ207">
        <v>4202</v>
      </c>
      <c r="BA207">
        <v>7438</v>
      </c>
      <c r="BB207">
        <v>1432</v>
      </c>
      <c r="BC207">
        <v>13072</v>
      </c>
      <c r="BD207">
        <v>9486</v>
      </c>
      <c r="BE207">
        <v>9222</v>
      </c>
      <c r="BF207">
        <v>1768</v>
      </c>
      <c r="BG207">
        <v>20476</v>
      </c>
      <c r="BH207">
        <v>0</v>
      </c>
      <c r="BI207">
        <v>0</v>
      </c>
      <c r="BJ207">
        <v>0</v>
      </c>
      <c r="BK207">
        <v>0</v>
      </c>
      <c r="BL207" s="2">
        <v>24.82</v>
      </c>
      <c r="BM207" s="2">
        <v>42005.095138888886</v>
      </c>
      <c r="BN207" s="2">
        <v>5.4</v>
      </c>
      <c r="BO207" s="2">
        <v>42005.092361111114</v>
      </c>
      <c r="BP207" s="2">
        <v>6.92</v>
      </c>
      <c r="BQ207" s="2">
        <v>42005.092361111114</v>
      </c>
      <c r="BR207" s="2">
        <v>11.07</v>
      </c>
      <c r="BS207" s="2">
        <v>42005.092361111114</v>
      </c>
      <c r="BT207">
        <v>0</v>
      </c>
      <c r="BU207">
        <v>0</v>
      </c>
      <c r="BV207" t="s">
        <v>135</v>
      </c>
      <c r="BW207">
        <v>0</v>
      </c>
      <c r="BX207">
        <v>0</v>
      </c>
      <c r="BY207" t="s">
        <v>135</v>
      </c>
      <c r="BZ207">
        <v>0</v>
      </c>
      <c r="CA207">
        <v>0</v>
      </c>
      <c r="CB207" t="s">
        <v>135</v>
      </c>
      <c r="CH207" s="2"/>
      <c r="CJ207" s="2"/>
      <c r="CL207" s="2"/>
      <c r="CN207" s="2"/>
      <c r="CQ207" s="2"/>
      <c r="CT207" s="2"/>
      <c r="CW207" s="2"/>
    </row>
    <row r="208" spans="1:101" x14ac:dyDescent="0.25">
      <c r="A208" s="1" t="s">
        <v>163</v>
      </c>
      <c r="B208" s="75" t="s">
        <v>164</v>
      </c>
      <c r="C208">
        <v>0</v>
      </c>
      <c r="D208">
        <v>0</v>
      </c>
      <c r="E208">
        <v>0</v>
      </c>
      <c r="F208">
        <v>604324.56000000006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3.91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7490</v>
      </c>
      <c r="AW208">
        <v>3350</v>
      </c>
      <c r="AX208">
        <v>1219</v>
      </c>
      <c r="AY208">
        <v>12059</v>
      </c>
      <c r="AZ208">
        <v>4202</v>
      </c>
      <c r="BA208">
        <v>7438</v>
      </c>
      <c r="BB208">
        <v>1432</v>
      </c>
      <c r="BC208">
        <v>13072</v>
      </c>
      <c r="BD208">
        <v>9486</v>
      </c>
      <c r="BE208">
        <v>9222</v>
      </c>
      <c r="BF208">
        <v>1768</v>
      </c>
      <c r="BG208">
        <v>20476</v>
      </c>
      <c r="BH208">
        <v>0</v>
      </c>
      <c r="BI208">
        <v>0</v>
      </c>
      <c r="BJ208">
        <v>0</v>
      </c>
      <c r="BK208">
        <v>0</v>
      </c>
      <c r="BL208" s="2">
        <v>24.82</v>
      </c>
      <c r="BM208" s="2">
        <v>42005.095138888886</v>
      </c>
      <c r="BN208" s="2">
        <v>5.4</v>
      </c>
      <c r="BO208" s="2">
        <v>42005.092361111114</v>
      </c>
      <c r="BP208" s="2">
        <v>6.92</v>
      </c>
      <c r="BQ208" s="2">
        <v>42005.092361111114</v>
      </c>
      <c r="BR208" s="2">
        <v>11.07</v>
      </c>
      <c r="BS208" s="2">
        <v>42005.092361111114</v>
      </c>
      <c r="BT208">
        <v>0</v>
      </c>
      <c r="BU208">
        <v>0</v>
      </c>
      <c r="BV208" t="s">
        <v>135</v>
      </c>
      <c r="BW208">
        <v>0</v>
      </c>
      <c r="BX208">
        <v>0</v>
      </c>
      <c r="BY208" t="s">
        <v>135</v>
      </c>
      <c r="BZ208">
        <v>0</v>
      </c>
      <c r="CA208">
        <v>0</v>
      </c>
      <c r="CB208" t="s">
        <v>135</v>
      </c>
      <c r="CH208" s="2"/>
      <c r="CJ208" s="2"/>
      <c r="CL208" s="2"/>
      <c r="CN208" s="2"/>
      <c r="CQ208" s="2"/>
      <c r="CT208" s="2"/>
      <c r="CW208" s="2"/>
    </row>
    <row r="209" spans="1:101" x14ac:dyDescent="0.25">
      <c r="A209" s="1" t="s">
        <v>163</v>
      </c>
      <c r="B209" s="75" t="s">
        <v>164</v>
      </c>
      <c r="C209">
        <v>0</v>
      </c>
      <c r="D209">
        <v>0</v>
      </c>
      <c r="E209">
        <v>0</v>
      </c>
      <c r="F209">
        <v>604324.56000000006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3.91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7490</v>
      </c>
      <c r="AW209">
        <v>3350</v>
      </c>
      <c r="AX209">
        <v>1219</v>
      </c>
      <c r="AY209">
        <v>12059</v>
      </c>
      <c r="AZ209">
        <v>4202</v>
      </c>
      <c r="BA209">
        <v>7438</v>
      </c>
      <c r="BB209">
        <v>1432</v>
      </c>
      <c r="BC209">
        <v>13072</v>
      </c>
      <c r="BD209">
        <v>9486</v>
      </c>
      <c r="BE209">
        <v>9222</v>
      </c>
      <c r="BF209">
        <v>1768</v>
      </c>
      <c r="BG209">
        <v>20476</v>
      </c>
      <c r="BH209">
        <v>0</v>
      </c>
      <c r="BI209">
        <v>0</v>
      </c>
      <c r="BJ209">
        <v>0</v>
      </c>
      <c r="BK209">
        <v>0</v>
      </c>
      <c r="BL209" s="2">
        <v>24.82</v>
      </c>
      <c r="BM209" s="2">
        <v>42005.095138888886</v>
      </c>
      <c r="BN209" s="2">
        <v>5.4</v>
      </c>
      <c r="BO209" s="2">
        <v>42005.092361111114</v>
      </c>
      <c r="BP209" s="2">
        <v>6.92</v>
      </c>
      <c r="BQ209" s="2">
        <v>42005.092361111114</v>
      </c>
      <c r="BR209" s="2">
        <v>11.07</v>
      </c>
      <c r="BS209" s="2">
        <v>42005.092361111114</v>
      </c>
      <c r="BT209">
        <v>0</v>
      </c>
      <c r="BU209">
        <v>0</v>
      </c>
      <c r="BV209" t="s">
        <v>135</v>
      </c>
      <c r="BW209">
        <v>0</v>
      </c>
      <c r="BX209">
        <v>0</v>
      </c>
      <c r="BY209" t="s">
        <v>135</v>
      </c>
      <c r="BZ209">
        <v>0</v>
      </c>
      <c r="CA209">
        <v>0</v>
      </c>
      <c r="CB209" t="s">
        <v>135</v>
      </c>
      <c r="CH209" s="2"/>
      <c r="CJ209" s="2"/>
      <c r="CL209" s="2"/>
      <c r="CN209" s="2"/>
      <c r="CQ209" s="2"/>
      <c r="CT209" s="2"/>
      <c r="CW209" s="2"/>
    </row>
    <row r="210" spans="1:101" x14ac:dyDescent="0.25">
      <c r="A210" s="1" t="s">
        <v>163</v>
      </c>
      <c r="B210" s="75" t="s">
        <v>164</v>
      </c>
      <c r="C210">
        <v>0</v>
      </c>
      <c r="D210">
        <v>0</v>
      </c>
      <c r="E210">
        <v>0</v>
      </c>
      <c r="F210">
        <v>604324.56000000006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3.91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7490</v>
      </c>
      <c r="AW210">
        <v>3350</v>
      </c>
      <c r="AX210">
        <v>1219</v>
      </c>
      <c r="AY210">
        <v>12059</v>
      </c>
      <c r="AZ210">
        <v>4202</v>
      </c>
      <c r="BA210">
        <v>7438</v>
      </c>
      <c r="BB210">
        <v>1432</v>
      </c>
      <c r="BC210">
        <v>13072</v>
      </c>
      <c r="BD210">
        <v>9486</v>
      </c>
      <c r="BE210">
        <v>9222</v>
      </c>
      <c r="BF210">
        <v>1768</v>
      </c>
      <c r="BG210">
        <v>20476</v>
      </c>
      <c r="BH210">
        <v>0</v>
      </c>
      <c r="BI210">
        <v>0</v>
      </c>
      <c r="BJ210">
        <v>0</v>
      </c>
      <c r="BK210">
        <v>0</v>
      </c>
      <c r="BL210" s="2">
        <v>24.82</v>
      </c>
      <c r="BM210" s="2">
        <v>42005.095138888886</v>
      </c>
      <c r="BN210" s="2">
        <v>5.4</v>
      </c>
      <c r="BO210" s="2">
        <v>42005.092361111114</v>
      </c>
      <c r="BP210" s="2">
        <v>6.92</v>
      </c>
      <c r="BQ210" s="2">
        <v>42005.092361111114</v>
      </c>
      <c r="BR210" s="2">
        <v>11.07</v>
      </c>
      <c r="BS210" s="2">
        <v>42005.092361111114</v>
      </c>
      <c r="BT210">
        <v>0</v>
      </c>
      <c r="BU210">
        <v>0</v>
      </c>
      <c r="BV210" t="s">
        <v>135</v>
      </c>
      <c r="BW210">
        <v>0</v>
      </c>
      <c r="BX210">
        <v>0</v>
      </c>
      <c r="BY210" t="s">
        <v>135</v>
      </c>
      <c r="BZ210">
        <v>0</v>
      </c>
      <c r="CA210">
        <v>0</v>
      </c>
      <c r="CB210" t="s">
        <v>135</v>
      </c>
      <c r="CH210" s="2"/>
      <c r="CJ210" s="2"/>
      <c r="CL210" s="2"/>
      <c r="CN210" s="2"/>
      <c r="CQ210" s="2"/>
      <c r="CT210" s="2"/>
      <c r="CW210" s="2"/>
    </row>
    <row r="211" spans="1:101" x14ac:dyDescent="0.25">
      <c r="A211" s="1" t="s">
        <v>163</v>
      </c>
      <c r="B211" s="75" t="s">
        <v>164</v>
      </c>
      <c r="C211">
        <v>0</v>
      </c>
      <c r="D211">
        <v>0</v>
      </c>
      <c r="E211">
        <v>0</v>
      </c>
      <c r="F211">
        <v>604324.56000000006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3.91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7490</v>
      </c>
      <c r="AW211">
        <v>3350</v>
      </c>
      <c r="AX211">
        <v>1219</v>
      </c>
      <c r="AY211">
        <v>12059</v>
      </c>
      <c r="AZ211">
        <v>4202</v>
      </c>
      <c r="BA211">
        <v>7438</v>
      </c>
      <c r="BB211">
        <v>1432</v>
      </c>
      <c r="BC211">
        <v>13072</v>
      </c>
      <c r="BD211">
        <v>9486</v>
      </c>
      <c r="BE211">
        <v>9222</v>
      </c>
      <c r="BF211">
        <v>1768</v>
      </c>
      <c r="BG211">
        <v>20476</v>
      </c>
      <c r="BH211">
        <v>0</v>
      </c>
      <c r="BI211">
        <v>0</v>
      </c>
      <c r="BJ211">
        <v>0</v>
      </c>
      <c r="BK211">
        <v>0</v>
      </c>
      <c r="BL211" s="2">
        <v>24.82</v>
      </c>
      <c r="BM211" s="2">
        <v>42005.095138888886</v>
      </c>
      <c r="BN211" s="2">
        <v>5.4</v>
      </c>
      <c r="BO211" s="2">
        <v>42005.092361111114</v>
      </c>
      <c r="BP211" s="2">
        <v>6.92</v>
      </c>
      <c r="BQ211" s="2">
        <v>42005.092361111114</v>
      </c>
      <c r="BR211" s="2">
        <v>11.07</v>
      </c>
      <c r="BS211" s="2">
        <v>42005.092361111114</v>
      </c>
      <c r="BT211">
        <v>0</v>
      </c>
      <c r="BU211">
        <v>0</v>
      </c>
      <c r="BV211" t="s">
        <v>135</v>
      </c>
      <c r="BW211">
        <v>0</v>
      </c>
      <c r="BX211">
        <v>0</v>
      </c>
      <c r="BY211" t="s">
        <v>135</v>
      </c>
      <c r="BZ211">
        <v>0</v>
      </c>
      <c r="CA211">
        <v>0</v>
      </c>
      <c r="CB211" t="s">
        <v>135</v>
      </c>
      <c r="CH211" s="2"/>
      <c r="CJ211" s="2"/>
      <c r="CL211" s="2"/>
      <c r="CN211" s="2"/>
      <c r="CQ211" s="2"/>
      <c r="CT211" s="2"/>
      <c r="CW211" s="2"/>
    </row>
    <row r="212" spans="1:101" x14ac:dyDescent="0.25">
      <c r="A212" s="1" t="s">
        <v>163</v>
      </c>
      <c r="B212" s="75" t="s">
        <v>164</v>
      </c>
      <c r="C212">
        <v>0</v>
      </c>
      <c r="D212">
        <v>0</v>
      </c>
      <c r="E212">
        <v>0</v>
      </c>
      <c r="F212">
        <v>604324.56000000006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3.91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7490</v>
      </c>
      <c r="AW212">
        <v>3350</v>
      </c>
      <c r="AX212">
        <v>1219</v>
      </c>
      <c r="AY212">
        <v>12059</v>
      </c>
      <c r="AZ212">
        <v>4202</v>
      </c>
      <c r="BA212">
        <v>7438</v>
      </c>
      <c r="BB212">
        <v>1432</v>
      </c>
      <c r="BC212">
        <v>13072</v>
      </c>
      <c r="BD212">
        <v>9486</v>
      </c>
      <c r="BE212">
        <v>9222</v>
      </c>
      <c r="BF212">
        <v>1768</v>
      </c>
      <c r="BG212">
        <v>20476</v>
      </c>
      <c r="BH212">
        <v>0</v>
      </c>
      <c r="BI212">
        <v>0</v>
      </c>
      <c r="BJ212">
        <v>0</v>
      </c>
      <c r="BK212">
        <v>0</v>
      </c>
      <c r="BL212" s="2">
        <v>24.82</v>
      </c>
      <c r="BM212" s="2">
        <v>42005.095138888886</v>
      </c>
      <c r="BN212" s="2">
        <v>5.4</v>
      </c>
      <c r="BO212" s="2">
        <v>42005.092361111114</v>
      </c>
      <c r="BP212" s="2">
        <v>6.92</v>
      </c>
      <c r="BQ212" s="2">
        <v>42005.092361111114</v>
      </c>
      <c r="BR212" s="2">
        <v>11.07</v>
      </c>
      <c r="BS212" s="2">
        <v>42005.092361111114</v>
      </c>
      <c r="BT212">
        <v>0</v>
      </c>
      <c r="BU212">
        <v>0</v>
      </c>
      <c r="BV212" t="s">
        <v>135</v>
      </c>
      <c r="BW212">
        <v>0</v>
      </c>
      <c r="BX212">
        <v>0</v>
      </c>
      <c r="BY212" t="s">
        <v>135</v>
      </c>
      <c r="BZ212">
        <v>0</v>
      </c>
      <c r="CA212">
        <v>0</v>
      </c>
      <c r="CB212" t="s">
        <v>135</v>
      </c>
      <c r="CH212" s="2"/>
      <c r="CJ212" s="2"/>
      <c r="CL212" s="2"/>
      <c r="CN212" s="2"/>
      <c r="CQ212" s="2"/>
      <c r="CT212" s="2"/>
      <c r="CW212" s="2"/>
    </row>
    <row r="213" spans="1:101" x14ac:dyDescent="0.25">
      <c r="A213" s="1" t="s">
        <v>163</v>
      </c>
      <c r="B213" s="75" t="s">
        <v>164</v>
      </c>
      <c r="C213">
        <v>0</v>
      </c>
      <c r="D213">
        <v>0</v>
      </c>
      <c r="E213">
        <v>0</v>
      </c>
      <c r="F213">
        <v>604324.56000000006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3.91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7490</v>
      </c>
      <c r="AW213">
        <v>3350</v>
      </c>
      <c r="AX213">
        <v>1219</v>
      </c>
      <c r="AY213">
        <v>12059</v>
      </c>
      <c r="AZ213">
        <v>4202</v>
      </c>
      <c r="BA213">
        <v>7438</v>
      </c>
      <c r="BB213">
        <v>1432</v>
      </c>
      <c r="BC213">
        <v>13072</v>
      </c>
      <c r="BD213">
        <v>9486</v>
      </c>
      <c r="BE213">
        <v>9222</v>
      </c>
      <c r="BF213">
        <v>1768</v>
      </c>
      <c r="BG213">
        <v>20476</v>
      </c>
      <c r="BH213">
        <v>0</v>
      </c>
      <c r="BI213">
        <v>0</v>
      </c>
      <c r="BJ213">
        <v>0</v>
      </c>
      <c r="BK213">
        <v>0</v>
      </c>
      <c r="BL213" s="2">
        <v>24.82</v>
      </c>
      <c r="BM213" s="2">
        <v>42005.095138888886</v>
      </c>
      <c r="BN213" s="2">
        <v>5.4</v>
      </c>
      <c r="BO213" s="2">
        <v>42005.092361111114</v>
      </c>
      <c r="BP213" s="2">
        <v>6.92</v>
      </c>
      <c r="BQ213" s="2">
        <v>42005.092361111114</v>
      </c>
      <c r="BR213" s="2">
        <v>11.07</v>
      </c>
      <c r="BS213" s="2">
        <v>42005.092361111114</v>
      </c>
      <c r="BT213">
        <v>0</v>
      </c>
      <c r="BU213">
        <v>0</v>
      </c>
      <c r="BV213" t="s">
        <v>135</v>
      </c>
      <c r="BW213">
        <v>0</v>
      </c>
      <c r="BX213">
        <v>0</v>
      </c>
      <c r="BY213" t="s">
        <v>135</v>
      </c>
      <c r="BZ213">
        <v>0</v>
      </c>
      <c r="CA213">
        <v>0</v>
      </c>
      <c r="CB213" t="s">
        <v>135</v>
      </c>
      <c r="CH213" s="2"/>
      <c r="CJ213" s="2"/>
      <c r="CL213" s="2"/>
      <c r="CN213" s="2"/>
      <c r="CQ213" s="2"/>
      <c r="CT213" s="2"/>
      <c r="CW213" s="2"/>
    </row>
    <row r="214" spans="1:101" x14ac:dyDescent="0.25">
      <c r="A214" s="1" t="s">
        <v>163</v>
      </c>
      <c r="B214" s="75" t="s">
        <v>164</v>
      </c>
      <c r="C214">
        <v>0</v>
      </c>
      <c r="D214">
        <v>0</v>
      </c>
      <c r="E214">
        <v>0</v>
      </c>
      <c r="F214">
        <v>604324.56000000006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3.91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7490</v>
      </c>
      <c r="AW214">
        <v>3350</v>
      </c>
      <c r="AX214">
        <v>1219</v>
      </c>
      <c r="AY214">
        <v>12059</v>
      </c>
      <c r="AZ214">
        <v>4202</v>
      </c>
      <c r="BA214">
        <v>7438</v>
      </c>
      <c r="BB214">
        <v>1432</v>
      </c>
      <c r="BC214">
        <v>13072</v>
      </c>
      <c r="BD214">
        <v>9486</v>
      </c>
      <c r="BE214">
        <v>9222</v>
      </c>
      <c r="BF214">
        <v>1768</v>
      </c>
      <c r="BG214">
        <v>20476</v>
      </c>
      <c r="BH214">
        <v>0</v>
      </c>
      <c r="BI214">
        <v>0</v>
      </c>
      <c r="BJ214">
        <v>0</v>
      </c>
      <c r="BK214">
        <v>0</v>
      </c>
      <c r="BL214" s="2">
        <v>24.82</v>
      </c>
      <c r="BM214" s="2">
        <v>42005.095138888886</v>
      </c>
      <c r="BN214" s="2">
        <v>5.4</v>
      </c>
      <c r="BO214" s="2">
        <v>42005.092361111114</v>
      </c>
      <c r="BP214" s="2">
        <v>6.92</v>
      </c>
      <c r="BQ214" s="2">
        <v>42005.092361111114</v>
      </c>
      <c r="BR214" s="2">
        <v>11.07</v>
      </c>
      <c r="BS214" s="2">
        <v>42005.092361111114</v>
      </c>
      <c r="BT214">
        <v>0</v>
      </c>
      <c r="BU214">
        <v>0</v>
      </c>
      <c r="BV214" t="s">
        <v>135</v>
      </c>
      <c r="BW214">
        <v>0</v>
      </c>
      <c r="BX214">
        <v>0</v>
      </c>
      <c r="BY214" t="s">
        <v>135</v>
      </c>
      <c r="BZ214">
        <v>0</v>
      </c>
      <c r="CA214">
        <v>0</v>
      </c>
      <c r="CB214" t="s">
        <v>135</v>
      </c>
      <c r="CH214" s="2"/>
      <c r="CJ214" s="2"/>
      <c r="CL214" s="2"/>
      <c r="CN214" s="2"/>
      <c r="CQ214" s="2"/>
      <c r="CT214" s="2"/>
      <c r="CW214" s="2"/>
    </row>
    <row r="215" spans="1:101" x14ac:dyDescent="0.25">
      <c r="A215" s="1" t="s">
        <v>163</v>
      </c>
      <c r="B215" s="75" t="s">
        <v>164</v>
      </c>
      <c r="C215">
        <v>0</v>
      </c>
      <c r="D215">
        <v>0</v>
      </c>
      <c r="E215">
        <v>0</v>
      </c>
      <c r="F215">
        <v>604324.56000000006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3.91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7490</v>
      </c>
      <c r="AW215">
        <v>3350</v>
      </c>
      <c r="AX215">
        <v>1219</v>
      </c>
      <c r="AY215">
        <v>12059</v>
      </c>
      <c r="AZ215">
        <v>4202</v>
      </c>
      <c r="BA215">
        <v>7438</v>
      </c>
      <c r="BB215">
        <v>1432</v>
      </c>
      <c r="BC215">
        <v>13072</v>
      </c>
      <c r="BD215">
        <v>9486</v>
      </c>
      <c r="BE215">
        <v>9222</v>
      </c>
      <c r="BF215">
        <v>1768</v>
      </c>
      <c r="BG215">
        <v>20476</v>
      </c>
      <c r="BH215">
        <v>0</v>
      </c>
      <c r="BI215">
        <v>0</v>
      </c>
      <c r="BJ215">
        <v>0</v>
      </c>
      <c r="BK215">
        <v>0</v>
      </c>
      <c r="BL215" s="2">
        <v>24.82</v>
      </c>
      <c r="BM215" s="2">
        <v>42005.095138888886</v>
      </c>
      <c r="BN215" s="2">
        <v>5.4</v>
      </c>
      <c r="BO215" s="2">
        <v>42005.092361111114</v>
      </c>
      <c r="BP215" s="2">
        <v>6.92</v>
      </c>
      <c r="BQ215" s="2">
        <v>42005.092361111114</v>
      </c>
      <c r="BR215" s="2">
        <v>11.07</v>
      </c>
      <c r="BS215" s="2">
        <v>42005.092361111114</v>
      </c>
      <c r="BT215">
        <v>0</v>
      </c>
      <c r="BU215">
        <v>0</v>
      </c>
      <c r="BV215" t="s">
        <v>135</v>
      </c>
      <c r="BW215">
        <v>0</v>
      </c>
      <c r="BX215">
        <v>0</v>
      </c>
      <c r="BY215" t="s">
        <v>135</v>
      </c>
      <c r="BZ215">
        <v>0</v>
      </c>
      <c r="CA215">
        <v>0</v>
      </c>
      <c r="CB215" t="s">
        <v>135</v>
      </c>
      <c r="CH215" s="2"/>
      <c r="CJ215" s="2"/>
      <c r="CL215" s="2"/>
      <c r="CN215" s="2"/>
      <c r="CQ215" s="2"/>
      <c r="CT215" s="2"/>
      <c r="CW215" s="2"/>
    </row>
    <row r="216" spans="1:101" x14ac:dyDescent="0.25">
      <c r="A216" s="1" t="s">
        <v>163</v>
      </c>
      <c r="B216" s="75" t="s">
        <v>164</v>
      </c>
      <c r="C216">
        <v>0</v>
      </c>
      <c r="D216">
        <v>0</v>
      </c>
      <c r="E216">
        <v>0</v>
      </c>
      <c r="F216">
        <v>604324.56000000006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3.91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7490</v>
      </c>
      <c r="AW216">
        <v>3350</v>
      </c>
      <c r="AX216">
        <v>1219</v>
      </c>
      <c r="AY216">
        <v>12059</v>
      </c>
      <c r="AZ216">
        <v>4202</v>
      </c>
      <c r="BA216">
        <v>7438</v>
      </c>
      <c r="BB216">
        <v>1432</v>
      </c>
      <c r="BC216">
        <v>13072</v>
      </c>
      <c r="BD216">
        <v>9486</v>
      </c>
      <c r="BE216">
        <v>9222</v>
      </c>
      <c r="BF216">
        <v>1768</v>
      </c>
      <c r="BG216">
        <v>20476</v>
      </c>
      <c r="BH216">
        <v>0</v>
      </c>
      <c r="BI216">
        <v>0</v>
      </c>
      <c r="BJ216">
        <v>0</v>
      </c>
      <c r="BK216">
        <v>0</v>
      </c>
      <c r="BL216" s="2">
        <v>24.82</v>
      </c>
      <c r="BM216" s="2">
        <v>42005.095138888886</v>
      </c>
      <c r="BN216" s="2">
        <v>5.4</v>
      </c>
      <c r="BO216" s="2">
        <v>42005.092361111114</v>
      </c>
      <c r="BP216" s="2">
        <v>6.92</v>
      </c>
      <c r="BQ216" s="2">
        <v>42005.092361111114</v>
      </c>
      <c r="BR216" s="2">
        <v>11.07</v>
      </c>
      <c r="BS216" s="2">
        <v>42005.092361111114</v>
      </c>
      <c r="BT216">
        <v>0</v>
      </c>
      <c r="BU216">
        <v>0</v>
      </c>
      <c r="BV216" t="s">
        <v>135</v>
      </c>
      <c r="BW216">
        <v>0</v>
      </c>
      <c r="BX216">
        <v>0</v>
      </c>
      <c r="BY216" t="s">
        <v>135</v>
      </c>
      <c r="BZ216">
        <v>0</v>
      </c>
      <c r="CA216">
        <v>0</v>
      </c>
      <c r="CB216" t="s">
        <v>135</v>
      </c>
      <c r="CH216" s="2"/>
      <c r="CJ216" s="2"/>
      <c r="CL216" s="2"/>
      <c r="CN216" s="2"/>
      <c r="CQ216" s="2"/>
      <c r="CT216" s="2"/>
      <c r="CW216" s="2"/>
    </row>
    <row r="217" spans="1:101" x14ac:dyDescent="0.25">
      <c r="A217" s="1" t="s">
        <v>163</v>
      </c>
      <c r="B217" s="75" t="s">
        <v>164</v>
      </c>
      <c r="C217">
        <v>0</v>
      </c>
      <c r="D217">
        <v>0</v>
      </c>
      <c r="E217">
        <v>0</v>
      </c>
      <c r="F217">
        <v>604324.56000000006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3.91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7490</v>
      </c>
      <c r="AW217">
        <v>3350</v>
      </c>
      <c r="AX217">
        <v>1219</v>
      </c>
      <c r="AY217">
        <v>12059</v>
      </c>
      <c r="AZ217">
        <v>4202</v>
      </c>
      <c r="BA217">
        <v>7438</v>
      </c>
      <c r="BB217">
        <v>1432</v>
      </c>
      <c r="BC217">
        <v>13072</v>
      </c>
      <c r="BD217">
        <v>9486</v>
      </c>
      <c r="BE217">
        <v>9222</v>
      </c>
      <c r="BF217">
        <v>1768</v>
      </c>
      <c r="BG217">
        <v>20476</v>
      </c>
      <c r="BH217">
        <v>0</v>
      </c>
      <c r="BI217">
        <v>0</v>
      </c>
      <c r="BJ217">
        <v>0</v>
      </c>
      <c r="BK217">
        <v>0</v>
      </c>
      <c r="BL217" s="2">
        <v>24.82</v>
      </c>
      <c r="BM217" s="2">
        <v>42005.095138888886</v>
      </c>
      <c r="BN217" s="2">
        <v>5.4</v>
      </c>
      <c r="BO217" s="2">
        <v>42005.092361111114</v>
      </c>
      <c r="BP217" s="2">
        <v>6.92</v>
      </c>
      <c r="BQ217" s="2">
        <v>42005.092361111114</v>
      </c>
      <c r="BR217" s="2">
        <v>11.07</v>
      </c>
      <c r="BS217" s="2">
        <v>42005.092361111114</v>
      </c>
      <c r="BT217">
        <v>0</v>
      </c>
      <c r="BU217">
        <v>0</v>
      </c>
      <c r="BV217" t="s">
        <v>135</v>
      </c>
      <c r="BW217">
        <v>0</v>
      </c>
      <c r="BX217">
        <v>0</v>
      </c>
      <c r="BY217" t="s">
        <v>135</v>
      </c>
      <c r="BZ217">
        <v>0</v>
      </c>
      <c r="CA217">
        <v>0</v>
      </c>
      <c r="CB217" t="s">
        <v>135</v>
      </c>
      <c r="CH217" s="2"/>
      <c r="CJ217" s="2"/>
      <c r="CL217" s="2"/>
      <c r="CN217" s="2"/>
      <c r="CQ217" s="2"/>
      <c r="CT217" s="2"/>
      <c r="CW217" s="2"/>
    </row>
    <row r="218" spans="1:101" x14ac:dyDescent="0.25">
      <c r="A218" s="1" t="s">
        <v>163</v>
      </c>
      <c r="B218" s="75" t="s">
        <v>164</v>
      </c>
      <c r="C218">
        <v>0</v>
      </c>
      <c r="D218">
        <v>0</v>
      </c>
      <c r="E218">
        <v>0</v>
      </c>
      <c r="F218">
        <v>604324.56000000006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3.91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7490</v>
      </c>
      <c r="AW218">
        <v>3350</v>
      </c>
      <c r="AX218">
        <v>1219</v>
      </c>
      <c r="AY218">
        <v>12059</v>
      </c>
      <c r="AZ218">
        <v>4202</v>
      </c>
      <c r="BA218">
        <v>7438</v>
      </c>
      <c r="BB218">
        <v>1432</v>
      </c>
      <c r="BC218">
        <v>13072</v>
      </c>
      <c r="BD218">
        <v>9486</v>
      </c>
      <c r="BE218">
        <v>9222</v>
      </c>
      <c r="BF218">
        <v>1768</v>
      </c>
      <c r="BG218">
        <v>20476</v>
      </c>
      <c r="BH218">
        <v>0</v>
      </c>
      <c r="BI218">
        <v>0</v>
      </c>
      <c r="BJ218">
        <v>0</v>
      </c>
      <c r="BK218">
        <v>0</v>
      </c>
      <c r="BL218" s="2">
        <v>24.82</v>
      </c>
      <c r="BM218" s="2">
        <v>42005.095138888886</v>
      </c>
      <c r="BN218" s="2">
        <v>5.4</v>
      </c>
      <c r="BO218" s="2">
        <v>42005.092361111114</v>
      </c>
      <c r="BP218" s="2">
        <v>6.92</v>
      </c>
      <c r="BQ218" s="2">
        <v>42005.092361111114</v>
      </c>
      <c r="BR218" s="2">
        <v>11.07</v>
      </c>
      <c r="BS218" s="2">
        <v>42005.092361111114</v>
      </c>
      <c r="BT218">
        <v>0</v>
      </c>
      <c r="BU218">
        <v>0</v>
      </c>
      <c r="BV218" t="s">
        <v>135</v>
      </c>
      <c r="BW218">
        <v>0</v>
      </c>
      <c r="BX218">
        <v>0</v>
      </c>
      <c r="BY218" t="s">
        <v>135</v>
      </c>
      <c r="BZ218">
        <v>0</v>
      </c>
      <c r="CA218">
        <v>0</v>
      </c>
      <c r="CB218" t="s">
        <v>135</v>
      </c>
      <c r="CH218" s="2"/>
      <c r="CJ218" s="2"/>
      <c r="CL218" s="2"/>
      <c r="CN218" s="2"/>
      <c r="CQ218" s="2"/>
      <c r="CT218" s="2"/>
      <c r="CW218" s="2"/>
    </row>
    <row r="219" spans="1:101" x14ac:dyDescent="0.25">
      <c r="A219" s="1" t="s">
        <v>163</v>
      </c>
      <c r="B219" s="75" t="s">
        <v>164</v>
      </c>
      <c r="C219">
        <v>0</v>
      </c>
      <c r="D219">
        <v>0</v>
      </c>
      <c r="E219">
        <v>0</v>
      </c>
      <c r="F219">
        <v>604324.56000000006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3.91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7490</v>
      </c>
      <c r="AW219">
        <v>3350</v>
      </c>
      <c r="AX219">
        <v>1219</v>
      </c>
      <c r="AY219">
        <v>12059</v>
      </c>
      <c r="AZ219">
        <v>4202</v>
      </c>
      <c r="BA219">
        <v>7438</v>
      </c>
      <c r="BB219">
        <v>1432</v>
      </c>
      <c r="BC219">
        <v>13072</v>
      </c>
      <c r="BD219">
        <v>9486</v>
      </c>
      <c r="BE219">
        <v>9222</v>
      </c>
      <c r="BF219">
        <v>1768</v>
      </c>
      <c r="BG219">
        <v>20476</v>
      </c>
      <c r="BH219">
        <v>0</v>
      </c>
      <c r="BI219">
        <v>0</v>
      </c>
      <c r="BJ219">
        <v>0</v>
      </c>
      <c r="BK219">
        <v>0</v>
      </c>
      <c r="BL219" s="2">
        <v>24.82</v>
      </c>
      <c r="BM219" s="2">
        <v>42005.095138888886</v>
      </c>
      <c r="BN219" s="2">
        <v>5.4</v>
      </c>
      <c r="BO219" s="2">
        <v>42005.092361111114</v>
      </c>
      <c r="BP219" s="2">
        <v>6.92</v>
      </c>
      <c r="BQ219" s="2">
        <v>42005.092361111114</v>
      </c>
      <c r="BR219" s="2">
        <v>11.07</v>
      </c>
      <c r="BS219" s="2">
        <v>42005.092361111114</v>
      </c>
      <c r="BT219">
        <v>0</v>
      </c>
      <c r="BU219">
        <v>0</v>
      </c>
      <c r="BV219" t="s">
        <v>135</v>
      </c>
      <c r="BW219">
        <v>0</v>
      </c>
      <c r="BX219">
        <v>0</v>
      </c>
      <c r="BY219" t="s">
        <v>135</v>
      </c>
      <c r="BZ219">
        <v>0</v>
      </c>
      <c r="CA219">
        <v>0</v>
      </c>
      <c r="CB219" t="s">
        <v>135</v>
      </c>
      <c r="CH219" s="2"/>
      <c r="CJ219" s="2"/>
      <c r="CL219" s="2"/>
      <c r="CN219" s="2"/>
      <c r="CQ219" s="2"/>
      <c r="CT219" s="2"/>
      <c r="CW219" s="2"/>
    </row>
    <row r="220" spans="1:101" x14ac:dyDescent="0.25">
      <c r="A220" s="1" t="s">
        <v>163</v>
      </c>
      <c r="B220" s="75" t="s">
        <v>164</v>
      </c>
      <c r="C220">
        <v>0</v>
      </c>
      <c r="D220">
        <v>0</v>
      </c>
      <c r="E220">
        <v>0</v>
      </c>
      <c r="F220">
        <v>604324.56000000006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3.91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7490</v>
      </c>
      <c r="AW220">
        <v>3350</v>
      </c>
      <c r="AX220">
        <v>1219</v>
      </c>
      <c r="AY220">
        <v>12059</v>
      </c>
      <c r="AZ220">
        <v>4202</v>
      </c>
      <c r="BA220">
        <v>7438</v>
      </c>
      <c r="BB220">
        <v>1432</v>
      </c>
      <c r="BC220">
        <v>13072</v>
      </c>
      <c r="BD220">
        <v>9486</v>
      </c>
      <c r="BE220">
        <v>9222</v>
      </c>
      <c r="BF220">
        <v>1768</v>
      </c>
      <c r="BG220">
        <v>20476</v>
      </c>
      <c r="BH220">
        <v>0</v>
      </c>
      <c r="BI220">
        <v>0</v>
      </c>
      <c r="BJ220">
        <v>0</v>
      </c>
      <c r="BK220">
        <v>0</v>
      </c>
      <c r="BL220" s="2">
        <v>24.82</v>
      </c>
      <c r="BM220" s="2">
        <v>42005.095138888886</v>
      </c>
      <c r="BN220" s="2">
        <v>5.4</v>
      </c>
      <c r="BO220" s="2">
        <v>42005.092361111114</v>
      </c>
      <c r="BP220" s="2">
        <v>6.92</v>
      </c>
      <c r="BQ220" s="2">
        <v>42005.092361111114</v>
      </c>
      <c r="BR220" s="2">
        <v>11.07</v>
      </c>
      <c r="BS220" s="2">
        <v>42005.092361111114</v>
      </c>
      <c r="BT220">
        <v>0</v>
      </c>
      <c r="BU220">
        <v>0</v>
      </c>
      <c r="BV220" t="s">
        <v>135</v>
      </c>
      <c r="BW220">
        <v>0</v>
      </c>
      <c r="BX220">
        <v>0</v>
      </c>
      <c r="BY220" t="s">
        <v>135</v>
      </c>
      <c r="BZ220">
        <v>0</v>
      </c>
      <c r="CA220">
        <v>0</v>
      </c>
      <c r="CB220" t="s">
        <v>135</v>
      </c>
      <c r="CH220" s="2"/>
      <c r="CJ220" s="2"/>
      <c r="CL220" s="2"/>
      <c r="CN220" s="2"/>
      <c r="CQ220" s="2"/>
      <c r="CT220" s="2"/>
      <c r="CW220" s="2"/>
    </row>
    <row r="221" spans="1:101" x14ac:dyDescent="0.25">
      <c r="A221" s="1" t="s">
        <v>163</v>
      </c>
      <c r="B221" s="75" t="s">
        <v>164</v>
      </c>
      <c r="C221">
        <v>0</v>
      </c>
      <c r="D221">
        <v>0</v>
      </c>
      <c r="E221">
        <v>0</v>
      </c>
      <c r="F221">
        <v>604324.56000000006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3.91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7490</v>
      </c>
      <c r="AW221">
        <v>3350</v>
      </c>
      <c r="AX221">
        <v>1219</v>
      </c>
      <c r="AY221">
        <v>12059</v>
      </c>
      <c r="AZ221">
        <v>4202</v>
      </c>
      <c r="BA221">
        <v>7438</v>
      </c>
      <c r="BB221">
        <v>1432</v>
      </c>
      <c r="BC221">
        <v>13072</v>
      </c>
      <c r="BD221">
        <v>9486</v>
      </c>
      <c r="BE221">
        <v>9222</v>
      </c>
      <c r="BF221">
        <v>1768</v>
      </c>
      <c r="BG221">
        <v>20476</v>
      </c>
      <c r="BH221">
        <v>0</v>
      </c>
      <c r="BI221">
        <v>0</v>
      </c>
      <c r="BJ221">
        <v>0</v>
      </c>
      <c r="BK221">
        <v>0</v>
      </c>
      <c r="BL221" s="2">
        <v>24.82</v>
      </c>
      <c r="BM221" s="2">
        <v>42005.095138888886</v>
      </c>
      <c r="BN221" s="2">
        <v>5.4</v>
      </c>
      <c r="BO221" s="2">
        <v>42005.092361111114</v>
      </c>
      <c r="BP221" s="2">
        <v>6.92</v>
      </c>
      <c r="BQ221" s="2">
        <v>42005.092361111114</v>
      </c>
      <c r="BR221" s="2">
        <v>11.07</v>
      </c>
      <c r="BS221" s="2">
        <v>42005.092361111114</v>
      </c>
      <c r="BT221">
        <v>0</v>
      </c>
      <c r="BU221">
        <v>0</v>
      </c>
      <c r="BV221" t="s">
        <v>135</v>
      </c>
      <c r="BW221">
        <v>0</v>
      </c>
      <c r="BX221">
        <v>0</v>
      </c>
      <c r="BY221" t="s">
        <v>135</v>
      </c>
      <c r="BZ221">
        <v>0</v>
      </c>
      <c r="CA221">
        <v>0</v>
      </c>
      <c r="CB221" t="s">
        <v>135</v>
      </c>
      <c r="CH221" s="2"/>
      <c r="CJ221" s="2"/>
      <c r="CL221" s="2"/>
      <c r="CN221" s="2"/>
      <c r="CQ221" s="2"/>
      <c r="CT221" s="2"/>
      <c r="CW221" s="2"/>
    </row>
    <row r="222" spans="1:101" x14ac:dyDescent="0.25">
      <c r="A222" s="1" t="s">
        <v>163</v>
      </c>
      <c r="B222" s="75" t="s">
        <v>164</v>
      </c>
      <c r="C222">
        <v>0</v>
      </c>
      <c r="D222">
        <v>0</v>
      </c>
      <c r="E222">
        <v>0</v>
      </c>
      <c r="F222">
        <v>604324.56000000006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3.91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7490</v>
      </c>
      <c r="AW222">
        <v>3350</v>
      </c>
      <c r="AX222">
        <v>1219</v>
      </c>
      <c r="AY222">
        <v>12059</v>
      </c>
      <c r="AZ222">
        <v>4202</v>
      </c>
      <c r="BA222">
        <v>7438</v>
      </c>
      <c r="BB222">
        <v>1432</v>
      </c>
      <c r="BC222">
        <v>13072</v>
      </c>
      <c r="BD222">
        <v>9486</v>
      </c>
      <c r="BE222">
        <v>9222</v>
      </c>
      <c r="BF222">
        <v>1768</v>
      </c>
      <c r="BG222">
        <v>20476</v>
      </c>
      <c r="BH222">
        <v>0</v>
      </c>
      <c r="BI222">
        <v>0</v>
      </c>
      <c r="BJ222">
        <v>0</v>
      </c>
      <c r="BK222">
        <v>0</v>
      </c>
      <c r="BL222" s="2">
        <v>24.82</v>
      </c>
      <c r="BM222" s="2">
        <v>42005.095138888886</v>
      </c>
      <c r="BN222" s="2">
        <v>5.4</v>
      </c>
      <c r="BO222" s="2">
        <v>42005.092361111114</v>
      </c>
      <c r="BP222" s="2">
        <v>6.92</v>
      </c>
      <c r="BQ222" s="2">
        <v>42005.092361111114</v>
      </c>
      <c r="BR222" s="2">
        <v>11.07</v>
      </c>
      <c r="BS222" s="2">
        <v>42005.092361111114</v>
      </c>
      <c r="BT222">
        <v>0</v>
      </c>
      <c r="BU222">
        <v>0</v>
      </c>
      <c r="BV222" t="s">
        <v>135</v>
      </c>
      <c r="BW222">
        <v>0</v>
      </c>
      <c r="BX222">
        <v>0</v>
      </c>
      <c r="BY222" t="s">
        <v>135</v>
      </c>
      <c r="BZ222">
        <v>0</v>
      </c>
      <c r="CA222">
        <v>0</v>
      </c>
      <c r="CB222" t="s">
        <v>135</v>
      </c>
      <c r="CH222" s="2"/>
      <c r="CJ222" s="2"/>
      <c r="CL222" s="2"/>
      <c r="CN222" s="2"/>
      <c r="CQ222" s="2"/>
      <c r="CT222" s="2"/>
      <c r="CW222" s="2"/>
    </row>
    <row r="223" spans="1:101" x14ac:dyDescent="0.25">
      <c r="A223" s="1" t="s">
        <v>163</v>
      </c>
      <c r="B223" s="75" t="s">
        <v>164</v>
      </c>
      <c r="C223">
        <v>0</v>
      </c>
      <c r="D223">
        <v>0</v>
      </c>
      <c r="E223">
        <v>0</v>
      </c>
      <c r="F223">
        <v>604324.56000000006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3.91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7490</v>
      </c>
      <c r="AW223">
        <v>3350</v>
      </c>
      <c r="AX223">
        <v>1219</v>
      </c>
      <c r="AY223">
        <v>12059</v>
      </c>
      <c r="AZ223">
        <v>4202</v>
      </c>
      <c r="BA223">
        <v>7438</v>
      </c>
      <c r="BB223">
        <v>1432</v>
      </c>
      <c r="BC223">
        <v>13072</v>
      </c>
      <c r="BD223">
        <v>9486</v>
      </c>
      <c r="BE223">
        <v>9222</v>
      </c>
      <c r="BF223">
        <v>1768</v>
      </c>
      <c r="BG223">
        <v>20476</v>
      </c>
      <c r="BH223">
        <v>0</v>
      </c>
      <c r="BI223">
        <v>0</v>
      </c>
      <c r="BJ223">
        <v>0</v>
      </c>
      <c r="BK223">
        <v>0</v>
      </c>
      <c r="BL223" s="2">
        <v>24.82</v>
      </c>
      <c r="BM223" s="2">
        <v>42005.095138888886</v>
      </c>
      <c r="BN223" s="2">
        <v>5.4</v>
      </c>
      <c r="BO223" s="2">
        <v>42005.092361111114</v>
      </c>
      <c r="BP223" s="2">
        <v>6.92</v>
      </c>
      <c r="BQ223" s="2">
        <v>42005.092361111114</v>
      </c>
      <c r="BR223" s="2">
        <v>11.07</v>
      </c>
      <c r="BS223" s="2">
        <v>42005.092361111114</v>
      </c>
      <c r="BT223">
        <v>0</v>
      </c>
      <c r="BU223">
        <v>0</v>
      </c>
      <c r="BV223" t="s">
        <v>135</v>
      </c>
      <c r="BW223">
        <v>0</v>
      </c>
      <c r="BX223">
        <v>0</v>
      </c>
      <c r="BY223" t="s">
        <v>135</v>
      </c>
      <c r="BZ223">
        <v>0</v>
      </c>
      <c r="CA223">
        <v>0</v>
      </c>
      <c r="CB223" t="s">
        <v>135</v>
      </c>
      <c r="CH223" s="2"/>
      <c r="CJ223" s="2"/>
      <c r="CL223" s="2"/>
      <c r="CN223" s="2"/>
      <c r="CQ223" s="2"/>
      <c r="CT223" s="2"/>
      <c r="CW223" s="2"/>
    </row>
    <row r="224" spans="1:101" x14ac:dyDescent="0.25">
      <c r="A224" s="1" t="s">
        <v>163</v>
      </c>
      <c r="B224" s="75" t="s">
        <v>164</v>
      </c>
      <c r="C224">
        <v>0</v>
      </c>
      <c r="D224">
        <v>0</v>
      </c>
      <c r="E224">
        <v>0</v>
      </c>
      <c r="F224">
        <v>604324.56000000006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3.91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7490</v>
      </c>
      <c r="AW224">
        <v>3350</v>
      </c>
      <c r="AX224">
        <v>1219</v>
      </c>
      <c r="AY224">
        <v>12059</v>
      </c>
      <c r="AZ224">
        <v>4202</v>
      </c>
      <c r="BA224">
        <v>7438</v>
      </c>
      <c r="BB224">
        <v>1432</v>
      </c>
      <c r="BC224">
        <v>13072</v>
      </c>
      <c r="BD224">
        <v>9486</v>
      </c>
      <c r="BE224">
        <v>9222</v>
      </c>
      <c r="BF224">
        <v>1768</v>
      </c>
      <c r="BG224">
        <v>20476</v>
      </c>
      <c r="BH224">
        <v>0</v>
      </c>
      <c r="BI224">
        <v>0</v>
      </c>
      <c r="BJ224">
        <v>0</v>
      </c>
      <c r="BK224">
        <v>0</v>
      </c>
      <c r="BL224" s="2">
        <v>24.82</v>
      </c>
      <c r="BM224" s="2">
        <v>42005.095138888886</v>
      </c>
      <c r="BN224" s="2">
        <v>5.4</v>
      </c>
      <c r="BO224" s="2">
        <v>42005.092361111114</v>
      </c>
      <c r="BP224" s="2">
        <v>6.92</v>
      </c>
      <c r="BQ224" s="2">
        <v>42005.092361111114</v>
      </c>
      <c r="BR224" s="2">
        <v>11.07</v>
      </c>
      <c r="BS224" s="2">
        <v>42005.092361111114</v>
      </c>
      <c r="BT224">
        <v>0</v>
      </c>
      <c r="BU224">
        <v>0</v>
      </c>
      <c r="BV224" t="s">
        <v>135</v>
      </c>
      <c r="BW224">
        <v>0</v>
      </c>
      <c r="BX224">
        <v>0</v>
      </c>
      <c r="BY224" t="s">
        <v>135</v>
      </c>
      <c r="BZ224">
        <v>0</v>
      </c>
      <c r="CA224">
        <v>0</v>
      </c>
      <c r="CB224" t="s">
        <v>135</v>
      </c>
      <c r="CH224" s="2"/>
      <c r="CJ224" s="2"/>
      <c r="CL224" s="2"/>
      <c r="CN224" s="2"/>
      <c r="CQ224" s="2"/>
      <c r="CT224" s="2"/>
      <c r="CW224" s="2"/>
    </row>
    <row r="225" spans="1:101" x14ac:dyDescent="0.25">
      <c r="A225" s="1" t="s">
        <v>163</v>
      </c>
      <c r="B225" s="75" t="s">
        <v>164</v>
      </c>
      <c r="C225">
        <v>0</v>
      </c>
      <c r="D225">
        <v>0</v>
      </c>
      <c r="E225">
        <v>0</v>
      </c>
      <c r="F225">
        <v>604324.56000000006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3.91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7490</v>
      </c>
      <c r="AW225">
        <v>3350</v>
      </c>
      <c r="AX225">
        <v>1219</v>
      </c>
      <c r="AY225">
        <v>12059</v>
      </c>
      <c r="AZ225">
        <v>4202</v>
      </c>
      <c r="BA225">
        <v>7438</v>
      </c>
      <c r="BB225">
        <v>1432</v>
      </c>
      <c r="BC225">
        <v>13072</v>
      </c>
      <c r="BD225">
        <v>9486</v>
      </c>
      <c r="BE225">
        <v>9222</v>
      </c>
      <c r="BF225">
        <v>1768</v>
      </c>
      <c r="BG225">
        <v>20476</v>
      </c>
      <c r="BH225">
        <v>0</v>
      </c>
      <c r="BI225">
        <v>0</v>
      </c>
      <c r="BJ225">
        <v>0</v>
      </c>
      <c r="BK225">
        <v>0</v>
      </c>
      <c r="BL225" s="2">
        <v>24.82</v>
      </c>
      <c r="BM225" s="2">
        <v>42005.095138888886</v>
      </c>
      <c r="BN225" s="2">
        <v>5.4</v>
      </c>
      <c r="BO225" s="2">
        <v>42005.092361111114</v>
      </c>
      <c r="BP225" s="2">
        <v>6.92</v>
      </c>
      <c r="BQ225" s="2">
        <v>42005.092361111114</v>
      </c>
      <c r="BR225" s="2">
        <v>11.07</v>
      </c>
      <c r="BS225" s="2">
        <v>42005.092361111114</v>
      </c>
      <c r="BT225">
        <v>0</v>
      </c>
      <c r="BU225">
        <v>0</v>
      </c>
      <c r="BV225" t="s">
        <v>135</v>
      </c>
      <c r="BW225">
        <v>0</v>
      </c>
      <c r="BX225">
        <v>0</v>
      </c>
      <c r="BY225" t="s">
        <v>135</v>
      </c>
      <c r="BZ225">
        <v>0</v>
      </c>
      <c r="CA225">
        <v>0</v>
      </c>
      <c r="CB225" t="s">
        <v>135</v>
      </c>
      <c r="CH225" s="2"/>
      <c r="CJ225" s="2"/>
      <c r="CL225" s="2"/>
      <c r="CN225" s="2"/>
      <c r="CQ225" s="2"/>
      <c r="CT225" s="2"/>
      <c r="CW225" s="2"/>
    </row>
    <row r="226" spans="1:101" x14ac:dyDescent="0.25">
      <c r="A226" s="1" t="s">
        <v>163</v>
      </c>
      <c r="B226" s="75" t="s">
        <v>164</v>
      </c>
      <c r="C226">
        <v>0</v>
      </c>
      <c r="D226">
        <v>0</v>
      </c>
      <c r="E226">
        <v>0</v>
      </c>
      <c r="F226">
        <v>604324.56000000006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3.91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7490</v>
      </c>
      <c r="AW226">
        <v>3350</v>
      </c>
      <c r="AX226">
        <v>1219</v>
      </c>
      <c r="AY226">
        <v>12059</v>
      </c>
      <c r="AZ226">
        <v>4202</v>
      </c>
      <c r="BA226">
        <v>7438</v>
      </c>
      <c r="BB226">
        <v>1432</v>
      </c>
      <c r="BC226">
        <v>13072</v>
      </c>
      <c r="BD226">
        <v>9486</v>
      </c>
      <c r="BE226">
        <v>9222</v>
      </c>
      <c r="BF226">
        <v>1768</v>
      </c>
      <c r="BG226">
        <v>20476</v>
      </c>
      <c r="BH226">
        <v>0</v>
      </c>
      <c r="BI226">
        <v>0</v>
      </c>
      <c r="BJ226">
        <v>0</v>
      </c>
      <c r="BK226">
        <v>0</v>
      </c>
      <c r="BL226" s="2">
        <v>24.82</v>
      </c>
      <c r="BM226" s="2">
        <v>42005.095138888886</v>
      </c>
      <c r="BN226" s="2">
        <v>5.4</v>
      </c>
      <c r="BO226" s="2">
        <v>42005.092361111114</v>
      </c>
      <c r="BP226" s="2">
        <v>6.92</v>
      </c>
      <c r="BQ226" s="2">
        <v>42005.092361111114</v>
      </c>
      <c r="BR226" s="2">
        <v>11.07</v>
      </c>
      <c r="BS226" s="2">
        <v>42005.092361111114</v>
      </c>
      <c r="BT226">
        <v>0</v>
      </c>
      <c r="BU226">
        <v>0</v>
      </c>
      <c r="BV226" t="s">
        <v>135</v>
      </c>
      <c r="BW226">
        <v>0</v>
      </c>
      <c r="BX226">
        <v>0</v>
      </c>
      <c r="BY226" t="s">
        <v>135</v>
      </c>
      <c r="BZ226">
        <v>0</v>
      </c>
      <c r="CA226">
        <v>0</v>
      </c>
      <c r="CB226" t="s">
        <v>135</v>
      </c>
      <c r="CH226" s="2"/>
      <c r="CJ226" s="2"/>
      <c r="CL226" s="2"/>
      <c r="CN226" s="2"/>
      <c r="CQ226" s="2"/>
      <c r="CT226" s="2"/>
      <c r="CW226" s="2"/>
    </row>
    <row r="227" spans="1:101" x14ac:dyDescent="0.25">
      <c r="A227" s="1" t="s">
        <v>163</v>
      </c>
      <c r="B227" s="75" t="s">
        <v>164</v>
      </c>
      <c r="C227">
        <v>0</v>
      </c>
      <c r="D227">
        <v>0</v>
      </c>
      <c r="E227">
        <v>0</v>
      </c>
      <c r="F227">
        <v>604324.56000000006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3.91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7490</v>
      </c>
      <c r="AW227">
        <v>3350</v>
      </c>
      <c r="AX227">
        <v>1219</v>
      </c>
      <c r="AY227">
        <v>12059</v>
      </c>
      <c r="AZ227">
        <v>4202</v>
      </c>
      <c r="BA227">
        <v>7438</v>
      </c>
      <c r="BB227">
        <v>1432</v>
      </c>
      <c r="BC227">
        <v>13072</v>
      </c>
      <c r="BD227">
        <v>9486</v>
      </c>
      <c r="BE227">
        <v>9222</v>
      </c>
      <c r="BF227">
        <v>1768</v>
      </c>
      <c r="BG227">
        <v>20476</v>
      </c>
      <c r="BH227">
        <v>0</v>
      </c>
      <c r="BI227">
        <v>0</v>
      </c>
      <c r="BJ227">
        <v>0</v>
      </c>
      <c r="BK227">
        <v>0</v>
      </c>
      <c r="BL227" s="2">
        <v>24.82</v>
      </c>
      <c r="BM227" s="2">
        <v>42005.095138888886</v>
      </c>
      <c r="BN227" s="2">
        <v>5.4</v>
      </c>
      <c r="BO227" s="2">
        <v>42005.092361111114</v>
      </c>
      <c r="BP227" s="2">
        <v>6.92</v>
      </c>
      <c r="BQ227" s="2">
        <v>42005.092361111114</v>
      </c>
      <c r="BR227" s="2">
        <v>11.07</v>
      </c>
      <c r="BS227" s="2">
        <v>42005.092361111114</v>
      </c>
      <c r="BT227">
        <v>0</v>
      </c>
      <c r="BU227">
        <v>0</v>
      </c>
      <c r="BV227" t="s">
        <v>135</v>
      </c>
      <c r="BW227">
        <v>0</v>
      </c>
      <c r="BX227">
        <v>0</v>
      </c>
      <c r="BY227" t="s">
        <v>135</v>
      </c>
      <c r="BZ227">
        <v>0</v>
      </c>
      <c r="CA227">
        <v>0</v>
      </c>
      <c r="CB227" t="s">
        <v>135</v>
      </c>
      <c r="CH227" s="2"/>
      <c r="CJ227" s="2"/>
      <c r="CL227" s="2"/>
      <c r="CN227" s="2"/>
      <c r="CQ227" s="2"/>
      <c r="CT227" s="2"/>
      <c r="CW227" s="2"/>
    </row>
    <row r="228" spans="1:101" x14ac:dyDescent="0.25">
      <c r="A228" s="1" t="s">
        <v>163</v>
      </c>
      <c r="B228" s="75" t="s">
        <v>164</v>
      </c>
      <c r="C228">
        <v>0</v>
      </c>
      <c r="D228">
        <v>0</v>
      </c>
      <c r="E228">
        <v>0</v>
      </c>
      <c r="F228">
        <v>604324.56000000006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3.91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7490</v>
      </c>
      <c r="AW228">
        <v>3350</v>
      </c>
      <c r="AX228">
        <v>1219</v>
      </c>
      <c r="AY228">
        <v>12059</v>
      </c>
      <c r="AZ228">
        <v>4202</v>
      </c>
      <c r="BA228">
        <v>7438</v>
      </c>
      <c r="BB228">
        <v>1432</v>
      </c>
      <c r="BC228">
        <v>13072</v>
      </c>
      <c r="BD228">
        <v>9486</v>
      </c>
      <c r="BE228">
        <v>9222</v>
      </c>
      <c r="BF228">
        <v>1768</v>
      </c>
      <c r="BG228">
        <v>20476</v>
      </c>
      <c r="BH228">
        <v>0</v>
      </c>
      <c r="BI228">
        <v>0</v>
      </c>
      <c r="BJ228">
        <v>0</v>
      </c>
      <c r="BK228">
        <v>0</v>
      </c>
      <c r="BL228" s="2">
        <v>24.82</v>
      </c>
      <c r="BM228" s="2">
        <v>42005.095138888886</v>
      </c>
      <c r="BN228" s="2">
        <v>5.4</v>
      </c>
      <c r="BO228" s="2">
        <v>42005.092361111114</v>
      </c>
      <c r="BP228" s="2">
        <v>6.92</v>
      </c>
      <c r="BQ228" s="2">
        <v>42005.092361111114</v>
      </c>
      <c r="BR228" s="2">
        <v>11.07</v>
      </c>
      <c r="BS228" s="2">
        <v>42005.092361111114</v>
      </c>
      <c r="BT228">
        <v>0</v>
      </c>
      <c r="BU228">
        <v>0</v>
      </c>
      <c r="BV228" t="s">
        <v>135</v>
      </c>
      <c r="BW228">
        <v>0</v>
      </c>
      <c r="BX228">
        <v>0</v>
      </c>
      <c r="BY228" t="s">
        <v>135</v>
      </c>
      <c r="BZ228">
        <v>0</v>
      </c>
      <c r="CA228">
        <v>0</v>
      </c>
      <c r="CB228" t="s">
        <v>135</v>
      </c>
      <c r="CH228" s="2"/>
      <c r="CJ228" s="2"/>
      <c r="CL228" s="2"/>
      <c r="CN228" s="2"/>
      <c r="CQ228" s="2"/>
      <c r="CT228" s="2"/>
      <c r="CW228" s="2"/>
    </row>
    <row r="229" spans="1:101" x14ac:dyDescent="0.25">
      <c r="A229" s="1" t="s">
        <v>163</v>
      </c>
      <c r="B229" s="75" t="s">
        <v>164</v>
      </c>
      <c r="C229">
        <v>0</v>
      </c>
      <c r="D229">
        <v>0</v>
      </c>
      <c r="E229">
        <v>0</v>
      </c>
      <c r="F229">
        <v>604324.56000000006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3.91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7490</v>
      </c>
      <c r="AW229">
        <v>3350</v>
      </c>
      <c r="AX229">
        <v>1219</v>
      </c>
      <c r="AY229">
        <v>12059</v>
      </c>
      <c r="AZ229">
        <v>4202</v>
      </c>
      <c r="BA229">
        <v>7438</v>
      </c>
      <c r="BB229">
        <v>1432</v>
      </c>
      <c r="BC229">
        <v>13072</v>
      </c>
      <c r="BD229">
        <v>9486</v>
      </c>
      <c r="BE229">
        <v>9222</v>
      </c>
      <c r="BF229">
        <v>1768</v>
      </c>
      <c r="BG229">
        <v>20476</v>
      </c>
      <c r="BH229">
        <v>0</v>
      </c>
      <c r="BI229">
        <v>0</v>
      </c>
      <c r="BJ229">
        <v>0</v>
      </c>
      <c r="BK229">
        <v>0</v>
      </c>
      <c r="BL229" s="2">
        <v>24.82</v>
      </c>
      <c r="BM229" s="2">
        <v>42005.095138888886</v>
      </c>
      <c r="BN229" s="2">
        <v>5.4</v>
      </c>
      <c r="BO229" s="2">
        <v>42005.092361111114</v>
      </c>
      <c r="BP229" s="2">
        <v>6.92</v>
      </c>
      <c r="BQ229" s="2">
        <v>42005.092361111114</v>
      </c>
      <c r="BR229" s="2">
        <v>11.07</v>
      </c>
      <c r="BS229" s="2">
        <v>42005.092361111114</v>
      </c>
      <c r="BT229">
        <v>0</v>
      </c>
      <c r="BU229">
        <v>0</v>
      </c>
      <c r="BV229" t="s">
        <v>135</v>
      </c>
      <c r="BW229">
        <v>0</v>
      </c>
      <c r="BX229">
        <v>0</v>
      </c>
      <c r="BY229" t="s">
        <v>135</v>
      </c>
      <c r="BZ229">
        <v>0</v>
      </c>
      <c r="CA229">
        <v>0</v>
      </c>
      <c r="CB229" t="s">
        <v>135</v>
      </c>
      <c r="CH229" s="2"/>
      <c r="CJ229" s="2"/>
      <c r="CL229" s="2"/>
      <c r="CN229" s="2"/>
      <c r="CQ229" s="2"/>
      <c r="CT229" s="2"/>
      <c r="CW229" s="2"/>
    </row>
    <row r="230" spans="1:101" x14ac:dyDescent="0.25">
      <c r="A230" s="1" t="s">
        <v>163</v>
      </c>
      <c r="B230" s="75" t="s">
        <v>164</v>
      </c>
      <c r="C230">
        <v>0</v>
      </c>
      <c r="D230">
        <v>0</v>
      </c>
      <c r="E230">
        <v>0</v>
      </c>
      <c r="F230">
        <v>604324.56000000006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3.91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7490</v>
      </c>
      <c r="AW230">
        <v>3350</v>
      </c>
      <c r="AX230">
        <v>1219</v>
      </c>
      <c r="AY230">
        <v>12059</v>
      </c>
      <c r="AZ230">
        <v>4202</v>
      </c>
      <c r="BA230">
        <v>7438</v>
      </c>
      <c r="BB230">
        <v>1432</v>
      </c>
      <c r="BC230">
        <v>13072</v>
      </c>
      <c r="BD230">
        <v>9486</v>
      </c>
      <c r="BE230">
        <v>9222</v>
      </c>
      <c r="BF230">
        <v>1768</v>
      </c>
      <c r="BG230">
        <v>20476</v>
      </c>
      <c r="BH230">
        <v>0</v>
      </c>
      <c r="BI230">
        <v>0</v>
      </c>
      <c r="BJ230">
        <v>0</v>
      </c>
      <c r="BK230">
        <v>0</v>
      </c>
      <c r="BL230" s="2">
        <v>24.82</v>
      </c>
      <c r="BM230" s="2">
        <v>42005.095138888886</v>
      </c>
      <c r="BN230" s="2">
        <v>5.4</v>
      </c>
      <c r="BO230" s="2">
        <v>42005.092361111114</v>
      </c>
      <c r="BP230" s="2">
        <v>6.92</v>
      </c>
      <c r="BQ230" s="2">
        <v>42005.092361111114</v>
      </c>
      <c r="BR230" s="2">
        <v>11.07</v>
      </c>
      <c r="BS230" s="2">
        <v>42005.092361111114</v>
      </c>
      <c r="BT230">
        <v>0</v>
      </c>
      <c r="BU230">
        <v>0</v>
      </c>
      <c r="BV230" t="s">
        <v>135</v>
      </c>
      <c r="BW230">
        <v>0</v>
      </c>
      <c r="BX230">
        <v>0</v>
      </c>
      <c r="BY230" t="s">
        <v>135</v>
      </c>
      <c r="BZ230">
        <v>0</v>
      </c>
      <c r="CA230">
        <v>0</v>
      </c>
      <c r="CB230" t="s">
        <v>135</v>
      </c>
      <c r="CH230" s="2"/>
      <c r="CJ230" s="2"/>
      <c r="CL230" s="2"/>
      <c r="CN230" s="2"/>
      <c r="CQ230" s="2"/>
      <c r="CT230" s="2"/>
      <c r="CW230" s="2"/>
    </row>
    <row r="231" spans="1:101" x14ac:dyDescent="0.25">
      <c r="A231" s="1" t="s">
        <v>163</v>
      </c>
      <c r="B231" s="75" t="s">
        <v>164</v>
      </c>
      <c r="C231">
        <v>0</v>
      </c>
      <c r="D231">
        <v>0</v>
      </c>
      <c r="E231">
        <v>0</v>
      </c>
      <c r="F231">
        <v>604324.56000000006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3.91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7490</v>
      </c>
      <c r="AW231">
        <v>3350</v>
      </c>
      <c r="AX231">
        <v>1219</v>
      </c>
      <c r="AY231">
        <v>12059</v>
      </c>
      <c r="AZ231">
        <v>4202</v>
      </c>
      <c r="BA231">
        <v>7438</v>
      </c>
      <c r="BB231">
        <v>1432</v>
      </c>
      <c r="BC231">
        <v>13072</v>
      </c>
      <c r="BD231">
        <v>9486</v>
      </c>
      <c r="BE231">
        <v>9222</v>
      </c>
      <c r="BF231">
        <v>1768</v>
      </c>
      <c r="BG231">
        <v>20476</v>
      </c>
      <c r="BH231">
        <v>0</v>
      </c>
      <c r="BI231">
        <v>0</v>
      </c>
      <c r="BJ231">
        <v>0</v>
      </c>
      <c r="BK231">
        <v>0</v>
      </c>
      <c r="BL231" s="2">
        <v>24.82</v>
      </c>
      <c r="BM231" s="2">
        <v>42005.095138888886</v>
      </c>
      <c r="BN231" s="2">
        <v>5.4</v>
      </c>
      <c r="BO231" s="2">
        <v>42005.092361111114</v>
      </c>
      <c r="BP231" s="2">
        <v>6.92</v>
      </c>
      <c r="BQ231" s="2">
        <v>42005.092361111114</v>
      </c>
      <c r="BR231" s="2">
        <v>11.07</v>
      </c>
      <c r="BS231" s="2">
        <v>42005.092361111114</v>
      </c>
      <c r="BT231">
        <v>0</v>
      </c>
      <c r="BU231">
        <v>0</v>
      </c>
      <c r="BV231" t="s">
        <v>135</v>
      </c>
      <c r="BW231">
        <v>0</v>
      </c>
      <c r="BX231">
        <v>0</v>
      </c>
      <c r="BY231" t="s">
        <v>135</v>
      </c>
      <c r="BZ231">
        <v>0</v>
      </c>
      <c r="CA231">
        <v>0</v>
      </c>
      <c r="CB231" t="s">
        <v>135</v>
      </c>
      <c r="CH231" s="2"/>
      <c r="CJ231" s="2"/>
      <c r="CL231" s="2"/>
      <c r="CN231" s="2"/>
      <c r="CQ231" s="2"/>
      <c r="CT231" s="2"/>
      <c r="CW231" s="2"/>
    </row>
    <row r="232" spans="1:101" x14ac:dyDescent="0.25">
      <c r="A232" s="1" t="s">
        <v>163</v>
      </c>
      <c r="B232" s="75" t="s">
        <v>164</v>
      </c>
      <c r="C232">
        <v>0</v>
      </c>
      <c r="D232">
        <v>0</v>
      </c>
      <c r="E232">
        <v>0</v>
      </c>
      <c r="F232">
        <v>604324.56000000006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3.91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7490</v>
      </c>
      <c r="AW232">
        <v>3350</v>
      </c>
      <c r="AX232">
        <v>1219</v>
      </c>
      <c r="AY232">
        <v>12059</v>
      </c>
      <c r="AZ232">
        <v>4202</v>
      </c>
      <c r="BA232">
        <v>7438</v>
      </c>
      <c r="BB232">
        <v>1432</v>
      </c>
      <c r="BC232">
        <v>13072</v>
      </c>
      <c r="BD232">
        <v>9486</v>
      </c>
      <c r="BE232">
        <v>9222</v>
      </c>
      <c r="BF232">
        <v>1768</v>
      </c>
      <c r="BG232">
        <v>20476</v>
      </c>
      <c r="BH232">
        <v>0</v>
      </c>
      <c r="BI232">
        <v>0</v>
      </c>
      <c r="BJ232">
        <v>0</v>
      </c>
      <c r="BK232">
        <v>0</v>
      </c>
      <c r="BL232" s="2">
        <v>24.82</v>
      </c>
      <c r="BM232" s="2">
        <v>42005.095138888886</v>
      </c>
      <c r="BN232" s="2">
        <v>5.4</v>
      </c>
      <c r="BO232" s="2">
        <v>42005.092361111114</v>
      </c>
      <c r="BP232" s="2">
        <v>6.92</v>
      </c>
      <c r="BQ232" s="2">
        <v>42005.092361111114</v>
      </c>
      <c r="BR232" s="2">
        <v>11.07</v>
      </c>
      <c r="BS232" s="2">
        <v>42005.092361111114</v>
      </c>
      <c r="BT232">
        <v>0</v>
      </c>
      <c r="BU232">
        <v>0</v>
      </c>
      <c r="BV232" t="s">
        <v>135</v>
      </c>
      <c r="BW232">
        <v>0</v>
      </c>
      <c r="BX232">
        <v>0</v>
      </c>
      <c r="BY232" t="s">
        <v>135</v>
      </c>
      <c r="BZ232">
        <v>0</v>
      </c>
      <c r="CA232">
        <v>0</v>
      </c>
      <c r="CB232" t="s">
        <v>135</v>
      </c>
      <c r="CH232" s="2"/>
      <c r="CJ232" s="2"/>
      <c r="CL232" s="2"/>
      <c r="CN232" s="2"/>
      <c r="CQ232" s="2"/>
      <c r="CT232" s="2"/>
      <c r="CW232" s="2"/>
    </row>
    <row r="233" spans="1:101" x14ac:dyDescent="0.25">
      <c r="A233" s="1" t="s">
        <v>163</v>
      </c>
      <c r="B233" s="75" t="s">
        <v>164</v>
      </c>
      <c r="C233">
        <v>0</v>
      </c>
      <c r="D233">
        <v>0</v>
      </c>
      <c r="E233">
        <v>0</v>
      </c>
      <c r="F233">
        <v>604324.56000000006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3.91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7490</v>
      </c>
      <c r="AW233">
        <v>3350</v>
      </c>
      <c r="AX233">
        <v>1219</v>
      </c>
      <c r="AY233">
        <v>12059</v>
      </c>
      <c r="AZ233">
        <v>4202</v>
      </c>
      <c r="BA233">
        <v>7438</v>
      </c>
      <c r="BB233">
        <v>1432</v>
      </c>
      <c r="BC233">
        <v>13072</v>
      </c>
      <c r="BD233">
        <v>9486</v>
      </c>
      <c r="BE233">
        <v>9222</v>
      </c>
      <c r="BF233">
        <v>1768</v>
      </c>
      <c r="BG233">
        <v>20476</v>
      </c>
      <c r="BH233">
        <v>0</v>
      </c>
      <c r="BI233">
        <v>0</v>
      </c>
      <c r="BJ233">
        <v>0</v>
      </c>
      <c r="BK233">
        <v>0</v>
      </c>
      <c r="BL233" s="2">
        <v>24.82</v>
      </c>
      <c r="BM233" s="2">
        <v>42005.095138888886</v>
      </c>
      <c r="BN233" s="2">
        <v>5.4</v>
      </c>
      <c r="BO233" s="2">
        <v>42005.092361111114</v>
      </c>
      <c r="BP233" s="2">
        <v>6.92</v>
      </c>
      <c r="BQ233" s="2">
        <v>42005.092361111114</v>
      </c>
      <c r="BR233" s="2">
        <v>11.07</v>
      </c>
      <c r="BS233" s="2">
        <v>42005.092361111114</v>
      </c>
      <c r="BT233">
        <v>0</v>
      </c>
      <c r="BU233">
        <v>0</v>
      </c>
      <c r="BV233" t="s">
        <v>135</v>
      </c>
      <c r="BW233">
        <v>0</v>
      </c>
      <c r="BX233">
        <v>0</v>
      </c>
      <c r="BY233" t="s">
        <v>135</v>
      </c>
      <c r="BZ233">
        <v>0</v>
      </c>
      <c r="CA233">
        <v>0</v>
      </c>
      <c r="CB233" t="s">
        <v>135</v>
      </c>
      <c r="CH233" s="2"/>
      <c r="CJ233" s="2"/>
      <c r="CL233" s="2"/>
      <c r="CN233" s="2"/>
      <c r="CQ233" s="2"/>
      <c r="CT233" s="2"/>
      <c r="CW233" s="2"/>
    </row>
    <row r="234" spans="1:101" x14ac:dyDescent="0.25">
      <c r="A234" s="1" t="s">
        <v>163</v>
      </c>
      <c r="B234" s="75" t="s">
        <v>164</v>
      </c>
      <c r="C234">
        <v>0</v>
      </c>
      <c r="D234">
        <v>0</v>
      </c>
      <c r="E234">
        <v>0</v>
      </c>
      <c r="F234">
        <v>604324.56000000006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3.91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7490</v>
      </c>
      <c r="AW234">
        <v>3350</v>
      </c>
      <c r="AX234">
        <v>1219</v>
      </c>
      <c r="AY234">
        <v>12059</v>
      </c>
      <c r="AZ234">
        <v>4202</v>
      </c>
      <c r="BA234">
        <v>7438</v>
      </c>
      <c r="BB234">
        <v>1432</v>
      </c>
      <c r="BC234">
        <v>13072</v>
      </c>
      <c r="BD234">
        <v>9486</v>
      </c>
      <c r="BE234">
        <v>9222</v>
      </c>
      <c r="BF234">
        <v>1768</v>
      </c>
      <c r="BG234">
        <v>20476</v>
      </c>
      <c r="BH234">
        <v>0</v>
      </c>
      <c r="BI234">
        <v>0</v>
      </c>
      <c r="BJ234">
        <v>0</v>
      </c>
      <c r="BK234">
        <v>0</v>
      </c>
      <c r="BL234" s="2">
        <v>24.82</v>
      </c>
      <c r="BM234" s="2">
        <v>42005.095138888886</v>
      </c>
      <c r="BN234" s="2">
        <v>5.4</v>
      </c>
      <c r="BO234" s="2">
        <v>42005.092361111114</v>
      </c>
      <c r="BP234" s="2">
        <v>6.92</v>
      </c>
      <c r="BQ234" s="2">
        <v>42005.092361111114</v>
      </c>
      <c r="BR234" s="2">
        <v>11.07</v>
      </c>
      <c r="BS234" s="2">
        <v>42005.092361111114</v>
      </c>
      <c r="BT234">
        <v>0</v>
      </c>
      <c r="BU234">
        <v>0</v>
      </c>
      <c r="BV234" t="s">
        <v>135</v>
      </c>
      <c r="BW234">
        <v>0</v>
      </c>
      <c r="BX234">
        <v>0</v>
      </c>
      <c r="BY234" t="s">
        <v>135</v>
      </c>
      <c r="BZ234">
        <v>0</v>
      </c>
      <c r="CA234">
        <v>0</v>
      </c>
      <c r="CB234" t="s">
        <v>135</v>
      </c>
      <c r="CH234" s="2"/>
      <c r="CJ234" s="2"/>
      <c r="CL234" s="2"/>
      <c r="CN234" s="2"/>
      <c r="CQ234" s="2"/>
      <c r="CT234" s="2"/>
      <c r="CW234" s="2"/>
    </row>
    <row r="235" spans="1:101" x14ac:dyDescent="0.25">
      <c r="A235" s="1" t="s">
        <v>163</v>
      </c>
      <c r="B235" s="75" t="s">
        <v>164</v>
      </c>
      <c r="C235">
        <v>0</v>
      </c>
      <c r="D235">
        <v>0</v>
      </c>
      <c r="E235">
        <v>0</v>
      </c>
      <c r="F235">
        <v>604324.56000000006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3.91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7490</v>
      </c>
      <c r="AW235">
        <v>3350</v>
      </c>
      <c r="AX235">
        <v>1219</v>
      </c>
      <c r="AY235">
        <v>12059</v>
      </c>
      <c r="AZ235">
        <v>4202</v>
      </c>
      <c r="BA235">
        <v>7438</v>
      </c>
      <c r="BB235">
        <v>1432</v>
      </c>
      <c r="BC235">
        <v>13072</v>
      </c>
      <c r="BD235">
        <v>9486</v>
      </c>
      <c r="BE235">
        <v>9222</v>
      </c>
      <c r="BF235">
        <v>1768</v>
      </c>
      <c r="BG235">
        <v>20476</v>
      </c>
      <c r="BH235">
        <v>0</v>
      </c>
      <c r="BI235">
        <v>0</v>
      </c>
      <c r="BJ235">
        <v>0</v>
      </c>
      <c r="BK235">
        <v>0</v>
      </c>
      <c r="BL235" s="2">
        <v>24.82</v>
      </c>
      <c r="BM235" s="2">
        <v>42005.095138888886</v>
      </c>
      <c r="BN235" s="2">
        <v>5.4</v>
      </c>
      <c r="BO235" s="2">
        <v>42005.092361111114</v>
      </c>
      <c r="BP235" s="2">
        <v>6.92</v>
      </c>
      <c r="BQ235" s="2">
        <v>42005.092361111114</v>
      </c>
      <c r="BR235" s="2">
        <v>11.07</v>
      </c>
      <c r="BS235" s="2">
        <v>42005.092361111114</v>
      </c>
      <c r="BT235">
        <v>0</v>
      </c>
      <c r="BU235">
        <v>0</v>
      </c>
      <c r="BV235" t="s">
        <v>135</v>
      </c>
      <c r="BW235">
        <v>0</v>
      </c>
      <c r="BX235">
        <v>0</v>
      </c>
      <c r="BY235" t="s">
        <v>135</v>
      </c>
      <c r="BZ235">
        <v>0</v>
      </c>
      <c r="CA235">
        <v>0</v>
      </c>
      <c r="CB235" t="s">
        <v>135</v>
      </c>
      <c r="CH235" s="2"/>
      <c r="CJ235" s="2"/>
      <c r="CL235" s="2"/>
      <c r="CN235" s="2"/>
      <c r="CQ235" s="2"/>
      <c r="CT235" s="2"/>
      <c r="CW235" s="2"/>
    </row>
    <row r="236" spans="1:101" x14ac:dyDescent="0.25">
      <c r="A236" s="1" t="s">
        <v>163</v>
      </c>
      <c r="B236" s="75" t="s">
        <v>164</v>
      </c>
      <c r="C236">
        <v>0</v>
      </c>
      <c r="D236">
        <v>0</v>
      </c>
      <c r="E236">
        <v>0</v>
      </c>
      <c r="F236">
        <v>604324.56000000006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3.91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7490</v>
      </c>
      <c r="AW236">
        <v>3350</v>
      </c>
      <c r="AX236">
        <v>1219</v>
      </c>
      <c r="AY236">
        <v>12059</v>
      </c>
      <c r="AZ236">
        <v>4202</v>
      </c>
      <c r="BA236">
        <v>7438</v>
      </c>
      <c r="BB236">
        <v>1432</v>
      </c>
      <c r="BC236">
        <v>13072</v>
      </c>
      <c r="BD236">
        <v>9486</v>
      </c>
      <c r="BE236">
        <v>9222</v>
      </c>
      <c r="BF236">
        <v>1768</v>
      </c>
      <c r="BG236">
        <v>20476</v>
      </c>
      <c r="BH236">
        <v>0</v>
      </c>
      <c r="BI236">
        <v>0</v>
      </c>
      <c r="BJ236">
        <v>0</v>
      </c>
      <c r="BK236">
        <v>0</v>
      </c>
      <c r="BL236" s="2">
        <v>24.82</v>
      </c>
      <c r="BM236" s="2">
        <v>42005.095138888886</v>
      </c>
      <c r="BN236" s="2">
        <v>5.4</v>
      </c>
      <c r="BO236" s="2">
        <v>42005.092361111114</v>
      </c>
      <c r="BP236" s="2">
        <v>6.92</v>
      </c>
      <c r="BQ236" s="2">
        <v>42005.092361111114</v>
      </c>
      <c r="BR236" s="2">
        <v>11.07</v>
      </c>
      <c r="BS236" s="2">
        <v>42005.092361111114</v>
      </c>
      <c r="BT236">
        <v>0</v>
      </c>
      <c r="BU236">
        <v>0</v>
      </c>
      <c r="BV236" t="s">
        <v>135</v>
      </c>
      <c r="BW236">
        <v>0</v>
      </c>
      <c r="BX236">
        <v>0</v>
      </c>
      <c r="BY236" t="s">
        <v>135</v>
      </c>
      <c r="BZ236">
        <v>0</v>
      </c>
      <c r="CA236">
        <v>0</v>
      </c>
      <c r="CB236" t="s">
        <v>135</v>
      </c>
      <c r="CH236" s="2"/>
      <c r="CJ236" s="2"/>
      <c r="CL236" s="2"/>
      <c r="CN236" s="2"/>
      <c r="CQ236" s="2"/>
      <c r="CT236" s="2"/>
      <c r="CW236" s="2"/>
    </row>
    <row r="237" spans="1:101" x14ac:dyDescent="0.25">
      <c r="A237" s="1" t="s">
        <v>163</v>
      </c>
      <c r="B237" s="75" t="s">
        <v>164</v>
      </c>
      <c r="C237">
        <v>0</v>
      </c>
      <c r="D237">
        <v>0</v>
      </c>
      <c r="E237">
        <v>0</v>
      </c>
      <c r="F237">
        <v>604324.56000000006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3.91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7490</v>
      </c>
      <c r="AW237">
        <v>3350</v>
      </c>
      <c r="AX237">
        <v>1219</v>
      </c>
      <c r="AY237">
        <v>12059</v>
      </c>
      <c r="AZ237">
        <v>4202</v>
      </c>
      <c r="BA237">
        <v>7438</v>
      </c>
      <c r="BB237">
        <v>1432</v>
      </c>
      <c r="BC237">
        <v>13072</v>
      </c>
      <c r="BD237">
        <v>9486</v>
      </c>
      <c r="BE237">
        <v>9222</v>
      </c>
      <c r="BF237">
        <v>1768</v>
      </c>
      <c r="BG237">
        <v>20476</v>
      </c>
      <c r="BH237">
        <v>0</v>
      </c>
      <c r="BI237">
        <v>0</v>
      </c>
      <c r="BJ237">
        <v>0</v>
      </c>
      <c r="BK237">
        <v>0</v>
      </c>
      <c r="BL237" s="2">
        <v>24.82</v>
      </c>
      <c r="BM237" s="2">
        <v>42005.095138888886</v>
      </c>
      <c r="BN237" s="2">
        <v>5.4</v>
      </c>
      <c r="BO237" s="2">
        <v>42005.092361111114</v>
      </c>
      <c r="BP237" s="2">
        <v>6.92</v>
      </c>
      <c r="BQ237" s="2">
        <v>42005.092361111114</v>
      </c>
      <c r="BR237" s="2">
        <v>11.07</v>
      </c>
      <c r="BS237" s="2">
        <v>42005.092361111114</v>
      </c>
      <c r="BT237">
        <v>0</v>
      </c>
      <c r="BU237">
        <v>0</v>
      </c>
      <c r="BV237" t="s">
        <v>135</v>
      </c>
      <c r="BW237">
        <v>0</v>
      </c>
      <c r="BX237">
        <v>0</v>
      </c>
      <c r="BY237" t="s">
        <v>135</v>
      </c>
      <c r="BZ237">
        <v>0</v>
      </c>
      <c r="CA237">
        <v>0</v>
      </c>
      <c r="CB237" t="s">
        <v>135</v>
      </c>
      <c r="CH237" s="2"/>
      <c r="CJ237" s="2"/>
      <c r="CL237" s="2"/>
      <c r="CN237" s="2"/>
      <c r="CQ237" s="2"/>
      <c r="CT237" s="2"/>
      <c r="CW237" s="2"/>
    </row>
    <row r="238" spans="1:101" x14ac:dyDescent="0.25">
      <c r="A238" s="1" t="s">
        <v>163</v>
      </c>
      <c r="B238" s="75" t="s">
        <v>164</v>
      </c>
      <c r="C238">
        <v>0</v>
      </c>
      <c r="D238">
        <v>0</v>
      </c>
      <c r="E238">
        <v>0</v>
      </c>
      <c r="F238">
        <v>604324.56000000006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3.91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7490</v>
      </c>
      <c r="AW238">
        <v>3350</v>
      </c>
      <c r="AX238">
        <v>1219</v>
      </c>
      <c r="AY238">
        <v>12059</v>
      </c>
      <c r="AZ238">
        <v>4202</v>
      </c>
      <c r="BA238">
        <v>7438</v>
      </c>
      <c r="BB238">
        <v>1432</v>
      </c>
      <c r="BC238">
        <v>13072</v>
      </c>
      <c r="BD238">
        <v>9486</v>
      </c>
      <c r="BE238">
        <v>9222</v>
      </c>
      <c r="BF238">
        <v>1768</v>
      </c>
      <c r="BG238">
        <v>20476</v>
      </c>
      <c r="BH238">
        <v>0</v>
      </c>
      <c r="BI238">
        <v>0</v>
      </c>
      <c r="BJ238">
        <v>0</v>
      </c>
      <c r="BK238">
        <v>0</v>
      </c>
      <c r="BL238" s="2">
        <v>24.82</v>
      </c>
      <c r="BM238" s="2">
        <v>42005.095138888886</v>
      </c>
      <c r="BN238" s="2">
        <v>5.4</v>
      </c>
      <c r="BO238" s="2">
        <v>42005.092361111114</v>
      </c>
      <c r="BP238" s="2">
        <v>6.92</v>
      </c>
      <c r="BQ238" s="2">
        <v>42005.092361111114</v>
      </c>
      <c r="BR238" s="2">
        <v>11.07</v>
      </c>
      <c r="BS238" s="2">
        <v>42005.092361111114</v>
      </c>
      <c r="BT238">
        <v>0</v>
      </c>
      <c r="BU238">
        <v>0</v>
      </c>
      <c r="BV238" t="s">
        <v>135</v>
      </c>
      <c r="BW238">
        <v>0</v>
      </c>
      <c r="BX238">
        <v>0</v>
      </c>
      <c r="BY238" t="s">
        <v>135</v>
      </c>
      <c r="BZ238">
        <v>0</v>
      </c>
      <c r="CA238">
        <v>0</v>
      </c>
      <c r="CB238" t="s">
        <v>135</v>
      </c>
      <c r="CH238" s="2"/>
      <c r="CJ238" s="2"/>
      <c r="CL238" s="2"/>
      <c r="CN238" s="2"/>
      <c r="CQ238" s="2"/>
      <c r="CT238" s="2"/>
      <c r="CW238" s="2"/>
    </row>
    <row r="239" spans="1:101" x14ac:dyDescent="0.25">
      <c r="A239" s="1" t="s">
        <v>163</v>
      </c>
      <c r="B239" s="75" t="s">
        <v>164</v>
      </c>
      <c r="C239">
        <v>0</v>
      </c>
      <c r="D239">
        <v>0</v>
      </c>
      <c r="E239">
        <v>0</v>
      </c>
      <c r="F239">
        <v>604324.56000000006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3.91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7490</v>
      </c>
      <c r="AW239">
        <v>3350</v>
      </c>
      <c r="AX239">
        <v>1219</v>
      </c>
      <c r="AY239">
        <v>12059</v>
      </c>
      <c r="AZ239">
        <v>4202</v>
      </c>
      <c r="BA239">
        <v>7438</v>
      </c>
      <c r="BB239">
        <v>1432</v>
      </c>
      <c r="BC239">
        <v>13072</v>
      </c>
      <c r="BD239">
        <v>9486</v>
      </c>
      <c r="BE239">
        <v>9222</v>
      </c>
      <c r="BF239">
        <v>1768</v>
      </c>
      <c r="BG239">
        <v>20476</v>
      </c>
      <c r="BH239">
        <v>0</v>
      </c>
      <c r="BI239">
        <v>0</v>
      </c>
      <c r="BJ239">
        <v>0</v>
      </c>
      <c r="BK239">
        <v>0</v>
      </c>
      <c r="BL239" s="2">
        <v>24.82</v>
      </c>
      <c r="BM239" s="2">
        <v>42005.095138888886</v>
      </c>
      <c r="BN239" s="2">
        <v>5.4</v>
      </c>
      <c r="BO239" s="2">
        <v>42005.092361111114</v>
      </c>
      <c r="BP239" s="2">
        <v>6.92</v>
      </c>
      <c r="BQ239" s="2">
        <v>42005.092361111114</v>
      </c>
      <c r="BR239" s="2">
        <v>11.07</v>
      </c>
      <c r="BS239" s="2">
        <v>42005.092361111114</v>
      </c>
      <c r="BT239">
        <v>0</v>
      </c>
      <c r="BU239">
        <v>0</v>
      </c>
      <c r="BV239" t="s">
        <v>135</v>
      </c>
      <c r="BW239">
        <v>0</v>
      </c>
      <c r="BX239">
        <v>0</v>
      </c>
      <c r="BY239" t="s">
        <v>135</v>
      </c>
      <c r="BZ239">
        <v>0</v>
      </c>
      <c r="CA239">
        <v>0</v>
      </c>
      <c r="CB239" t="s">
        <v>135</v>
      </c>
      <c r="CH239" s="2"/>
      <c r="CJ239" s="2"/>
      <c r="CL239" s="2"/>
      <c r="CN239" s="2"/>
      <c r="CQ239" s="2"/>
      <c r="CT239" s="2"/>
      <c r="CW239" s="2"/>
    </row>
    <row r="240" spans="1:101" x14ac:dyDescent="0.25">
      <c r="A240" s="1" t="s">
        <v>163</v>
      </c>
      <c r="B240" s="75" t="s">
        <v>164</v>
      </c>
      <c r="C240">
        <v>0</v>
      </c>
      <c r="D240">
        <v>0</v>
      </c>
      <c r="E240">
        <v>0</v>
      </c>
      <c r="F240">
        <v>604324.56000000006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3.91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7490</v>
      </c>
      <c r="AW240">
        <v>3350</v>
      </c>
      <c r="AX240">
        <v>1219</v>
      </c>
      <c r="AY240">
        <v>12059</v>
      </c>
      <c r="AZ240">
        <v>4202</v>
      </c>
      <c r="BA240">
        <v>7438</v>
      </c>
      <c r="BB240">
        <v>1432</v>
      </c>
      <c r="BC240">
        <v>13072</v>
      </c>
      <c r="BD240">
        <v>9486</v>
      </c>
      <c r="BE240">
        <v>9222</v>
      </c>
      <c r="BF240">
        <v>1768</v>
      </c>
      <c r="BG240">
        <v>20476</v>
      </c>
      <c r="BH240">
        <v>0</v>
      </c>
      <c r="BI240">
        <v>0</v>
      </c>
      <c r="BJ240">
        <v>0</v>
      </c>
      <c r="BK240">
        <v>0</v>
      </c>
      <c r="BL240" s="2">
        <v>24.82</v>
      </c>
      <c r="BM240" s="2">
        <v>42005.095138888886</v>
      </c>
      <c r="BN240" s="2">
        <v>5.4</v>
      </c>
      <c r="BO240" s="2">
        <v>42005.092361111114</v>
      </c>
      <c r="BP240" s="2">
        <v>6.92</v>
      </c>
      <c r="BQ240" s="2">
        <v>42005.092361111114</v>
      </c>
      <c r="BR240" s="2">
        <v>11.07</v>
      </c>
      <c r="BS240" s="2">
        <v>42005.092361111114</v>
      </c>
      <c r="BT240">
        <v>0</v>
      </c>
      <c r="BU240">
        <v>0</v>
      </c>
      <c r="BV240" t="s">
        <v>135</v>
      </c>
      <c r="BW240">
        <v>0</v>
      </c>
      <c r="BX240">
        <v>0</v>
      </c>
      <c r="BY240" t="s">
        <v>135</v>
      </c>
      <c r="BZ240">
        <v>0</v>
      </c>
      <c r="CA240">
        <v>0</v>
      </c>
      <c r="CB240" t="s">
        <v>135</v>
      </c>
      <c r="CH240" s="2"/>
      <c r="CJ240" s="2"/>
      <c r="CL240" s="2"/>
      <c r="CN240" s="2"/>
      <c r="CQ240" s="2"/>
      <c r="CT240" s="2"/>
      <c r="CW240" s="2"/>
    </row>
    <row r="241" spans="1:101" x14ac:dyDescent="0.25">
      <c r="A241" s="1" t="s">
        <v>163</v>
      </c>
      <c r="B241" s="75" t="s">
        <v>164</v>
      </c>
      <c r="C241">
        <v>0</v>
      </c>
      <c r="D241">
        <v>0</v>
      </c>
      <c r="E241">
        <v>0</v>
      </c>
      <c r="F241">
        <v>604324.56000000006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3.91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7490</v>
      </c>
      <c r="AW241">
        <v>3350</v>
      </c>
      <c r="AX241">
        <v>1219</v>
      </c>
      <c r="AY241">
        <v>12059</v>
      </c>
      <c r="AZ241">
        <v>4202</v>
      </c>
      <c r="BA241">
        <v>7438</v>
      </c>
      <c r="BB241">
        <v>1432</v>
      </c>
      <c r="BC241">
        <v>13072</v>
      </c>
      <c r="BD241">
        <v>9486</v>
      </c>
      <c r="BE241">
        <v>9222</v>
      </c>
      <c r="BF241">
        <v>1768</v>
      </c>
      <c r="BG241">
        <v>20476</v>
      </c>
      <c r="BH241">
        <v>0</v>
      </c>
      <c r="BI241">
        <v>0</v>
      </c>
      <c r="BJ241">
        <v>0</v>
      </c>
      <c r="BK241">
        <v>0</v>
      </c>
      <c r="BL241" s="2">
        <v>24.82</v>
      </c>
      <c r="BM241" s="2">
        <v>42005.095138888886</v>
      </c>
      <c r="BN241" s="2">
        <v>5.4</v>
      </c>
      <c r="BO241" s="2">
        <v>42005.092361111114</v>
      </c>
      <c r="BP241" s="2">
        <v>6.92</v>
      </c>
      <c r="BQ241" s="2">
        <v>42005.092361111114</v>
      </c>
      <c r="BR241" s="2">
        <v>11.07</v>
      </c>
      <c r="BS241" s="2">
        <v>42005.092361111114</v>
      </c>
      <c r="BT241">
        <v>0</v>
      </c>
      <c r="BU241">
        <v>0</v>
      </c>
      <c r="BV241" t="s">
        <v>135</v>
      </c>
      <c r="BW241">
        <v>0</v>
      </c>
      <c r="BX241">
        <v>0</v>
      </c>
      <c r="BY241" t="s">
        <v>135</v>
      </c>
      <c r="BZ241">
        <v>0</v>
      </c>
      <c r="CA241">
        <v>0</v>
      </c>
      <c r="CB241" t="s">
        <v>135</v>
      </c>
      <c r="CH241" s="2"/>
      <c r="CJ241" s="2"/>
      <c r="CL241" s="2"/>
      <c r="CN241" s="2"/>
      <c r="CQ241" s="2"/>
      <c r="CT241" s="2"/>
      <c r="CW241" s="2"/>
    </row>
    <row r="242" spans="1:101" x14ac:dyDescent="0.25">
      <c r="A242" s="1" t="s">
        <v>163</v>
      </c>
      <c r="B242" s="75" t="s">
        <v>164</v>
      </c>
      <c r="C242">
        <v>0</v>
      </c>
      <c r="D242">
        <v>0</v>
      </c>
      <c r="E242">
        <v>0</v>
      </c>
      <c r="F242">
        <v>604324.56000000006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3.91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7490</v>
      </c>
      <c r="AW242">
        <v>3350</v>
      </c>
      <c r="AX242">
        <v>1219</v>
      </c>
      <c r="AY242">
        <v>12059</v>
      </c>
      <c r="AZ242">
        <v>4202</v>
      </c>
      <c r="BA242">
        <v>7438</v>
      </c>
      <c r="BB242">
        <v>1432</v>
      </c>
      <c r="BC242">
        <v>13072</v>
      </c>
      <c r="BD242">
        <v>9486</v>
      </c>
      <c r="BE242">
        <v>9222</v>
      </c>
      <c r="BF242">
        <v>1768</v>
      </c>
      <c r="BG242">
        <v>20476</v>
      </c>
      <c r="BH242">
        <v>0</v>
      </c>
      <c r="BI242">
        <v>0</v>
      </c>
      <c r="BJ242">
        <v>0</v>
      </c>
      <c r="BK242">
        <v>0</v>
      </c>
      <c r="BL242" s="2">
        <v>24.82</v>
      </c>
      <c r="BM242" s="2">
        <v>42005.095138888886</v>
      </c>
      <c r="BN242" s="2">
        <v>5.4</v>
      </c>
      <c r="BO242" s="2">
        <v>42005.092361111114</v>
      </c>
      <c r="BP242" s="2">
        <v>6.92</v>
      </c>
      <c r="BQ242" s="2">
        <v>42005.092361111114</v>
      </c>
      <c r="BR242" s="2">
        <v>11.07</v>
      </c>
      <c r="BS242" s="2">
        <v>42005.092361111114</v>
      </c>
      <c r="BT242">
        <v>0</v>
      </c>
      <c r="BU242">
        <v>0</v>
      </c>
      <c r="BV242" t="s">
        <v>135</v>
      </c>
      <c r="BW242">
        <v>0</v>
      </c>
      <c r="BX242">
        <v>0</v>
      </c>
      <c r="BY242" t="s">
        <v>135</v>
      </c>
      <c r="BZ242">
        <v>0</v>
      </c>
      <c r="CA242">
        <v>0</v>
      </c>
      <c r="CB242" t="s">
        <v>135</v>
      </c>
      <c r="CH242" s="2"/>
      <c r="CJ242" s="2"/>
      <c r="CL242" s="2"/>
      <c r="CN242" s="2"/>
      <c r="CQ242" s="2"/>
      <c r="CT242" s="2"/>
      <c r="CW242" s="2"/>
    </row>
    <row r="243" spans="1:101" x14ac:dyDescent="0.25">
      <c r="A243" s="1" t="s">
        <v>163</v>
      </c>
      <c r="B243" s="75" t="s">
        <v>164</v>
      </c>
      <c r="C243">
        <v>0</v>
      </c>
      <c r="D243">
        <v>0</v>
      </c>
      <c r="E243">
        <v>0</v>
      </c>
      <c r="F243">
        <v>604324.56000000006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3.91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7490</v>
      </c>
      <c r="AW243">
        <v>3350</v>
      </c>
      <c r="AX243">
        <v>1219</v>
      </c>
      <c r="AY243">
        <v>12059</v>
      </c>
      <c r="AZ243">
        <v>4202</v>
      </c>
      <c r="BA243">
        <v>7438</v>
      </c>
      <c r="BB243">
        <v>1432</v>
      </c>
      <c r="BC243">
        <v>13072</v>
      </c>
      <c r="BD243">
        <v>9486</v>
      </c>
      <c r="BE243">
        <v>9222</v>
      </c>
      <c r="BF243">
        <v>1768</v>
      </c>
      <c r="BG243">
        <v>20476</v>
      </c>
      <c r="BH243">
        <v>0</v>
      </c>
      <c r="BI243">
        <v>0</v>
      </c>
      <c r="BJ243">
        <v>0</v>
      </c>
      <c r="BK243">
        <v>0</v>
      </c>
      <c r="BL243" s="2">
        <v>24.82</v>
      </c>
      <c r="BM243" s="2">
        <v>42005.095138888886</v>
      </c>
      <c r="BN243" s="2">
        <v>5.4</v>
      </c>
      <c r="BO243" s="2">
        <v>42005.092361111114</v>
      </c>
      <c r="BP243" s="2">
        <v>6.92</v>
      </c>
      <c r="BQ243" s="2">
        <v>42005.092361111114</v>
      </c>
      <c r="BR243" s="2">
        <v>11.07</v>
      </c>
      <c r="BS243" s="2">
        <v>42005.092361111114</v>
      </c>
      <c r="BT243">
        <v>0</v>
      </c>
      <c r="BU243">
        <v>0</v>
      </c>
      <c r="BV243" t="s">
        <v>135</v>
      </c>
      <c r="BW243">
        <v>0</v>
      </c>
      <c r="BX243">
        <v>0</v>
      </c>
      <c r="BY243" t="s">
        <v>135</v>
      </c>
      <c r="BZ243">
        <v>0</v>
      </c>
      <c r="CA243">
        <v>0</v>
      </c>
      <c r="CB243" t="s">
        <v>135</v>
      </c>
      <c r="CH243" s="2"/>
      <c r="CJ243" s="2"/>
      <c r="CL243" s="2"/>
      <c r="CN243" s="2"/>
      <c r="CQ243" s="2"/>
      <c r="CT243" s="2"/>
      <c r="CW243" s="2"/>
    </row>
    <row r="244" spans="1:101" x14ac:dyDescent="0.25">
      <c r="A244" s="1" t="s">
        <v>163</v>
      </c>
      <c r="B244" s="75" t="s">
        <v>164</v>
      </c>
      <c r="C244">
        <v>0</v>
      </c>
      <c r="D244">
        <v>0</v>
      </c>
      <c r="E244">
        <v>0</v>
      </c>
      <c r="F244">
        <v>604324.56000000006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3.91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7490</v>
      </c>
      <c r="AW244">
        <v>3350</v>
      </c>
      <c r="AX244">
        <v>1219</v>
      </c>
      <c r="AY244">
        <v>12059</v>
      </c>
      <c r="AZ244">
        <v>4202</v>
      </c>
      <c r="BA244">
        <v>7438</v>
      </c>
      <c r="BB244">
        <v>1432</v>
      </c>
      <c r="BC244">
        <v>13072</v>
      </c>
      <c r="BD244">
        <v>9486</v>
      </c>
      <c r="BE244">
        <v>9222</v>
      </c>
      <c r="BF244">
        <v>1768</v>
      </c>
      <c r="BG244">
        <v>20476</v>
      </c>
      <c r="BH244">
        <v>0</v>
      </c>
      <c r="BI244">
        <v>0</v>
      </c>
      <c r="BJ244">
        <v>0</v>
      </c>
      <c r="BK244">
        <v>0</v>
      </c>
      <c r="BL244" s="2">
        <v>24.82</v>
      </c>
      <c r="BM244" s="2">
        <v>42005.095138888886</v>
      </c>
      <c r="BN244" s="2">
        <v>5.4</v>
      </c>
      <c r="BO244" s="2">
        <v>42005.092361111114</v>
      </c>
      <c r="BP244" s="2">
        <v>6.92</v>
      </c>
      <c r="BQ244" s="2">
        <v>42005.092361111114</v>
      </c>
      <c r="BR244" s="2">
        <v>11.07</v>
      </c>
      <c r="BS244" s="2">
        <v>42005.092361111114</v>
      </c>
      <c r="BT244">
        <v>0</v>
      </c>
      <c r="BU244">
        <v>0</v>
      </c>
      <c r="BV244" t="s">
        <v>135</v>
      </c>
      <c r="BW244">
        <v>0</v>
      </c>
      <c r="BX244">
        <v>0</v>
      </c>
      <c r="BY244" t="s">
        <v>135</v>
      </c>
      <c r="BZ244">
        <v>0</v>
      </c>
      <c r="CA244">
        <v>0</v>
      </c>
      <c r="CB244" t="s">
        <v>135</v>
      </c>
      <c r="CH244" s="2"/>
      <c r="CJ244" s="2"/>
      <c r="CL244" s="2"/>
      <c r="CN244" s="2"/>
      <c r="CQ244" s="2"/>
      <c r="CT244" s="2"/>
      <c r="CW244" s="2"/>
    </row>
    <row r="245" spans="1:101" x14ac:dyDescent="0.25">
      <c r="A245" s="1" t="s">
        <v>163</v>
      </c>
      <c r="B245" s="75" t="s">
        <v>164</v>
      </c>
      <c r="C245">
        <v>0</v>
      </c>
      <c r="D245">
        <v>0</v>
      </c>
      <c r="E245">
        <v>0</v>
      </c>
      <c r="F245">
        <v>604324.56000000006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3.91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7490</v>
      </c>
      <c r="AW245">
        <v>3350</v>
      </c>
      <c r="AX245">
        <v>1219</v>
      </c>
      <c r="AY245">
        <v>12059</v>
      </c>
      <c r="AZ245">
        <v>4202</v>
      </c>
      <c r="BA245">
        <v>7438</v>
      </c>
      <c r="BB245">
        <v>1432</v>
      </c>
      <c r="BC245">
        <v>13072</v>
      </c>
      <c r="BD245">
        <v>9486</v>
      </c>
      <c r="BE245">
        <v>9222</v>
      </c>
      <c r="BF245">
        <v>1768</v>
      </c>
      <c r="BG245">
        <v>20476</v>
      </c>
      <c r="BH245">
        <v>0</v>
      </c>
      <c r="BI245">
        <v>0</v>
      </c>
      <c r="BJ245">
        <v>0</v>
      </c>
      <c r="BK245">
        <v>0</v>
      </c>
      <c r="BL245" s="2">
        <v>24.82</v>
      </c>
      <c r="BM245" s="2">
        <v>42005.095138888886</v>
      </c>
      <c r="BN245" s="2">
        <v>5.4</v>
      </c>
      <c r="BO245" s="2">
        <v>42005.092361111114</v>
      </c>
      <c r="BP245" s="2">
        <v>6.92</v>
      </c>
      <c r="BQ245" s="2">
        <v>42005.092361111114</v>
      </c>
      <c r="BR245" s="2">
        <v>11.07</v>
      </c>
      <c r="BS245" s="2">
        <v>42005.092361111114</v>
      </c>
      <c r="BT245">
        <v>0</v>
      </c>
      <c r="BU245">
        <v>0</v>
      </c>
      <c r="BV245" t="s">
        <v>135</v>
      </c>
      <c r="BW245">
        <v>0</v>
      </c>
      <c r="BX245">
        <v>0</v>
      </c>
      <c r="BY245" t="s">
        <v>135</v>
      </c>
      <c r="BZ245">
        <v>0</v>
      </c>
      <c r="CA245">
        <v>0</v>
      </c>
      <c r="CB245" t="s">
        <v>135</v>
      </c>
      <c r="CH245" s="2"/>
      <c r="CJ245" s="2"/>
      <c r="CL245" s="2"/>
      <c r="CN245" s="2"/>
      <c r="CQ245" s="2"/>
      <c r="CT245" s="2"/>
      <c r="CW245" s="2"/>
    </row>
    <row r="246" spans="1:101" x14ac:dyDescent="0.25">
      <c r="A246" s="1" t="s">
        <v>163</v>
      </c>
      <c r="B246" s="75" t="s">
        <v>164</v>
      </c>
      <c r="C246">
        <v>0</v>
      </c>
      <c r="D246">
        <v>0</v>
      </c>
      <c r="E246">
        <v>0</v>
      </c>
      <c r="F246">
        <v>604324.56000000006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3.91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7490</v>
      </c>
      <c r="AW246">
        <v>3350</v>
      </c>
      <c r="AX246">
        <v>1219</v>
      </c>
      <c r="AY246">
        <v>12059</v>
      </c>
      <c r="AZ246">
        <v>4202</v>
      </c>
      <c r="BA246">
        <v>7438</v>
      </c>
      <c r="BB246">
        <v>1432</v>
      </c>
      <c r="BC246">
        <v>13072</v>
      </c>
      <c r="BD246">
        <v>9486</v>
      </c>
      <c r="BE246">
        <v>9222</v>
      </c>
      <c r="BF246">
        <v>1768</v>
      </c>
      <c r="BG246">
        <v>20476</v>
      </c>
      <c r="BH246">
        <v>0</v>
      </c>
      <c r="BI246">
        <v>0</v>
      </c>
      <c r="BJ246">
        <v>0</v>
      </c>
      <c r="BK246">
        <v>0</v>
      </c>
      <c r="BL246" s="2">
        <v>24.82</v>
      </c>
      <c r="BM246" s="2">
        <v>42005.095138888886</v>
      </c>
      <c r="BN246" s="2">
        <v>5.4</v>
      </c>
      <c r="BO246" s="2">
        <v>42005.092361111114</v>
      </c>
      <c r="BP246" s="2">
        <v>6.92</v>
      </c>
      <c r="BQ246" s="2">
        <v>42005.092361111114</v>
      </c>
      <c r="BR246" s="2">
        <v>11.07</v>
      </c>
      <c r="BS246" s="2">
        <v>42005.092361111114</v>
      </c>
      <c r="BT246">
        <v>0</v>
      </c>
      <c r="BU246">
        <v>0</v>
      </c>
      <c r="BV246" t="s">
        <v>135</v>
      </c>
      <c r="BW246">
        <v>0</v>
      </c>
      <c r="BX246">
        <v>0</v>
      </c>
      <c r="BY246" t="s">
        <v>135</v>
      </c>
      <c r="BZ246">
        <v>0</v>
      </c>
      <c r="CA246">
        <v>0</v>
      </c>
      <c r="CB246" t="s">
        <v>135</v>
      </c>
      <c r="CH246" s="2"/>
      <c r="CJ246" s="2"/>
      <c r="CL246" s="2"/>
      <c r="CN246" s="2"/>
      <c r="CQ246" s="2"/>
      <c r="CT246" s="2"/>
      <c r="CW246" s="2"/>
    </row>
    <row r="247" spans="1:101" x14ac:dyDescent="0.25">
      <c r="A247" s="1" t="s">
        <v>163</v>
      </c>
      <c r="B247" s="75" t="s">
        <v>164</v>
      </c>
      <c r="C247">
        <v>0</v>
      </c>
      <c r="D247">
        <v>0</v>
      </c>
      <c r="E247">
        <v>0</v>
      </c>
      <c r="F247">
        <v>604324.56000000006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3.91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7490</v>
      </c>
      <c r="AW247">
        <v>3350</v>
      </c>
      <c r="AX247">
        <v>1219</v>
      </c>
      <c r="AY247">
        <v>12059</v>
      </c>
      <c r="AZ247">
        <v>4202</v>
      </c>
      <c r="BA247">
        <v>7438</v>
      </c>
      <c r="BB247">
        <v>1432</v>
      </c>
      <c r="BC247">
        <v>13072</v>
      </c>
      <c r="BD247">
        <v>9486</v>
      </c>
      <c r="BE247">
        <v>9222</v>
      </c>
      <c r="BF247">
        <v>1768</v>
      </c>
      <c r="BG247">
        <v>20476</v>
      </c>
      <c r="BH247">
        <v>0</v>
      </c>
      <c r="BI247">
        <v>0</v>
      </c>
      <c r="BJ247">
        <v>0</v>
      </c>
      <c r="BK247">
        <v>0</v>
      </c>
      <c r="BL247" s="2">
        <v>24.82</v>
      </c>
      <c r="BM247" s="2">
        <v>42005.095138888886</v>
      </c>
      <c r="BN247" s="2">
        <v>5.4</v>
      </c>
      <c r="BO247" s="2">
        <v>42005.092361111114</v>
      </c>
      <c r="BP247" s="2">
        <v>6.92</v>
      </c>
      <c r="BQ247" s="2">
        <v>42005.092361111114</v>
      </c>
      <c r="BR247" s="2">
        <v>11.07</v>
      </c>
      <c r="BS247" s="2">
        <v>42005.092361111114</v>
      </c>
      <c r="BT247">
        <v>0</v>
      </c>
      <c r="BU247">
        <v>0</v>
      </c>
      <c r="BV247" t="s">
        <v>135</v>
      </c>
      <c r="BW247">
        <v>0</v>
      </c>
      <c r="BX247">
        <v>0</v>
      </c>
      <c r="BY247" t="s">
        <v>135</v>
      </c>
      <c r="BZ247">
        <v>0</v>
      </c>
      <c r="CA247">
        <v>0</v>
      </c>
      <c r="CB247" t="s">
        <v>135</v>
      </c>
      <c r="CH247" s="2"/>
      <c r="CJ247" s="2"/>
      <c r="CL247" s="2"/>
      <c r="CN247" s="2"/>
      <c r="CQ247" s="2"/>
      <c r="CT247" s="2"/>
      <c r="CW247" s="2"/>
    </row>
    <row r="248" spans="1:101" x14ac:dyDescent="0.25">
      <c r="A248" s="1" t="s">
        <v>163</v>
      </c>
      <c r="B248" s="75" t="s">
        <v>164</v>
      </c>
      <c r="C248">
        <v>0</v>
      </c>
      <c r="D248">
        <v>0</v>
      </c>
      <c r="E248">
        <v>0</v>
      </c>
      <c r="F248">
        <v>604324.56000000006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3.91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7490</v>
      </c>
      <c r="AW248">
        <v>3350</v>
      </c>
      <c r="AX248">
        <v>1219</v>
      </c>
      <c r="AY248">
        <v>12059</v>
      </c>
      <c r="AZ248">
        <v>4202</v>
      </c>
      <c r="BA248">
        <v>7438</v>
      </c>
      <c r="BB248">
        <v>1432</v>
      </c>
      <c r="BC248">
        <v>13072</v>
      </c>
      <c r="BD248">
        <v>9486</v>
      </c>
      <c r="BE248">
        <v>9222</v>
      </c>
      <c r="BF248">
        <v>1768</v>
      </c>
      <c r="BG248">
        <v>20476</v>
      </c>
      <c r="BH248">
        <v>0</v>
      </c>
      <c r="BI248">
        <v>0</v>
      </c>
      <c r="BJ248">
        <v>0</v>
      </c>
      <c r="BK248">
        <v>0</v>
      </c>
      <c r="BL248" s="2">
        <v>24.82</v>
      </c>
      <c r="BM248" s="2">
        <v>42005.095138888886</v>
      </c>
      <c r="BN248" s="2">
        <v>5.4</v>
      </c>
      <c r="BO248" s="2">
        <v>42005.092361111114</v>
      </c>
      <c r="BP248" s="2">
        <v>6.92</v>
      </c>
      <c r="BQ248" s="2">
        <v>42005.092361111114</v>
      </c>
      <c r="BR248" s="2">
        <v>11.07</v>
      </c>
      <c r="BS248" s="2">
        <v>42005.092361111114</v>
      </c>
      <c r="BT248">
        <v>0</v>
      </c>
      <c r="BU248">
        <v>0</v>
      </c>
      <c r="BV248" t="s">
        <v>135</v>
      </c>
      <c r="BW248">
        <v>0</v>
      </c>
      <c r="BX248">
        <v>0</v>
      </c>
      <c r="BY248" t="s">
        <v>135</v>
      </c>
      <c r="BZ248">
        <v>0</v>
      </c>
      <c r="CA248">
        <v>0</v>
      </c>
      <c r="CB248" t="s">
        <v>135</v>
      </c>
      <c r="CH248" s="2"/>
      <c r="CJ248" s="2"/>
      <c r="CL248" s="2"/>
      <c r="CN248" s="2"/>
      <c r="CQ248" s="2"/>
      <c r="CT248" s="2"/>
      <c r="CW248" s="2"/>
    </row>
    <row r="249" spans="1:101" x14ac:dyDescent="0.25">
      <c r="A249" s="1" t="s">
        <v>163</v>
      </c>
      <c r="B249" s="75" t="s">
        <v>164</v>
      </c>
      <c r="C249">
        <v>0</v>
      </c>
      <c r="D249">
        <v>0</v>
      </c>
      <c r="E249">
        <v>0</v>
      </c>
      <c r="F249">
        <v>604324.56000000006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3.91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7490</v>
      </c>
      <c r="AW249">
        <v>3350</v>
      </c>
      <c r="AX249">
        <v>1219</v>
      </c>
      <c r="AY249">
        <v>12059</v>
      </c>
      <c r="AZ249">
        <v>4202</v>
      </c>
      <c r="BA249">
        <v>7438</v>
      </c>
      <c r="BB249">
        <v>1432</v>
      </c>
      <c r="BC249">
        <v>13072</v>
      </c>
      <c r="BD249">
        <v>9486</v>
      </c>
      <c r="BE249">
        <v>9222</v>
      </c>
      <c r="BF249">
        <v>1768</v>
      </c>
      <c r="BG249">
        <v>20476</v>
      </c>
      <c r="BH249">
        <v>0</v>
      </c>
      <c r="BI249">
        <v>0</v>
      </c>
      <c r="BJ249">
        <v>0</v>
      </c>
      <c r="BK249">
        <v>0</v>
      </c>
      <c r="BL249" s="2">
        <v>24.82</v>
      </c>
      <c r="BM249" s="2">
        <v>42005.095138888886</v>
      </c>
      <c r="BN249" s="2">
        <v>5.4</v>
      </c>
      <c r="BO249" s="2">
        <v>42005.092361111114</v>
      </c>
      <c r="BP249" s="2">
        <v>6.92</v>
      </c>
      <c r="BQ249" s="2">
        <v>42005.092361111114</v>
      </c>
      <c r="BR249" s="2">
        <v>11.07</v>
      </c>
      <c r="BS249" s="2">
        <v>42005.092361111114</v>
      </c>
      <c r="BT249">
        <v>0</v>
      </c>
      <c r="BU249">
        <v>0</v>
      </c>
      <c r="BV249" t="s">
        <v>135</v>
      </c>
      <c r="BW249">
        <v>0</v>
      </c>
      <c r="BX249">
        <v>0</v>
      </c>
      <c r="BY249" t="s">
        <v>135</v>
      </c>
      <c r="BZ249">
        <v>0</v>
      </c>
      <c r="CA249">
        <v>0</v>
      </c>
      <c r="CB249" t="s">
        <v>135</v>
      </c>
      <c r="CH249" s="2"/>
      <c r="CJ249" s="2"/>
      <c r="CL249" s="2"/>
      <c r="CN249" s="2"/>
      <c r="CQ249" s="2"/>
      <c r="CT249" s="2"/>
      <c r="CW249" s="2"/>
    </row>
    <row r="250" spans="1:101" x14ac:dyDescent="0.25">
      <c r="A250" s="1" t="s">
        <v>163</v>
      </c>
      <c r="B250" s="75" t="s">
        <v>164</v>
      </c>
      <c r="C250">
        <v>0</v>
      </c>
      <c r="D250">
        <v>0</v>
      </c>
      <c r="E250">
        <v>0</v>
      </c>
      <c r="F250">
        <v>604324.56000000006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3.91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7490</v>
      </c>
      <c r="AW250">
        <v>3350</v>
      </c>
      <c r="AX250">
        <v>1219</v>
      </c>
      <c r="AY250">
        <v>12059</v>
      </c>
      <c r="AZ250">
        <v>4202</v>
      </c>
      <c r="BA250">
        <v>7438</v>
      </c>
      <c r="BB250">
        <v>1432</v>
      </c>
      <c r="BC250">
        <v>13072</v>
      </c>
      <c r="BD250">
        <v>9486</v>
      </c>
      <c r="BE250">
        <v>9222</v>
      </c>
      <c r="BF250">
        <v>1768</v>
      </c>
      <c r="BG250">
        <v>20476</v>
      </c>
      <c r="BH250">
        <v>0</v>
      </c>
      <c r="BI250">
        <v>0</v>
      </c>
      <c r="BJ250">
        <v>0</v>
      </c>
      <c r="BK250">
        <v>0</v>
      </c>
      <c r="BL250" s="2">
        <v>24.82</v>
      </c>
      <c r="BM250" s="2">
        <v>42005.095138888886</v>
      </c>
      <c r="BN250" s="2">
        <v>5.4</v>
      </c>
      <c r="BO250" s="2">
        <v>42005.092361111114</v>
      </c>
      <c r="BP250" s="2">
        <v>6.92</v>
      </c>
      <c r="BQ250" s="2">
        <v>42005.092361111114</v>
      </c>
      <c r="BR250" s="2">
        <v>11.07</v>
      </c>
      <c r="BS250" s="2">
        <v>42005.092361111114</v>
      </c>
      <c r="BT250">
        <v>0</v>
      </c>
      <c r="BU250">
        <v>0</v>
      </c>
      <c r="BV250" t="s">
        <v>135</v>
      </c>
      <c r="BW250">
        <v>0</v>
      </c>
      <c r="BX250">
        <v>0</v>
      </c>
      <c r="BY250" t="s">
        <v>135</v>
      </c>
      <c r="BZ250">
        <v>0</v>
      </c>
      <c r="CA250">
        <v>0</v>
      </c>
      <c r="CB250" t="s">
        <v>135</v>
      </c>
      <c r="CH250" s="2"/>
      <c r="CJ250" s="2"/>
      <c r="CL250" s="2"/>
      <c r="CN250" s="2"/>
      <c r="CQ250" s="2"/>
      <c r="CT250" s="2"/>
      <c r="CW250" s="2"/>
    </row>
    <row r="251" spans="1:101" x14ac:dyDescent="0.25">
      <c r="A251" s="1" t="s">
        <v>163</v>
      </c>
      <c r="B251" s="75" t="s">
        <v>164</v>
      </c>
      <c r="C251">
        <v>0</v>
      </c>
      <c r="D251">
        <v>0</v>
      </c>
      <c r="E251">
        <v>0</v>
      </c>
      <c r="F251">
        <v>604324.56000000006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3.91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7490</v>
      </c>
      <c r="AW251">
        <v>3350</v>
      </c>
      <c r="AX251">
        <v>1219</v>
      </c>
      <c r="AY251">
        <v>12059</v>
      </c>
      <c r="AZ251">
        <v>4202</v>
      </c>
      <c r="BA251">
        <v>7438</v>
      </c>
      <c r="BB251">
        <v>1432</v>
      </c>
      <c r="BC251">
        <v>13072</v>
      </c>
      <c r="BD251">
        <v>9486</v>
      </c>
      <c r="BE251">
        <v>9222</v>
      </c>
      <c r="BF251">
        <v>1768</v>
      </c>
      <c r="BG251">
        <v>20476</v>
      </c>
      <c r="BH251">
        <v>0</v>
      </c>
      <c r="BI251">
        <v>0</v>
      </c>
      <c r="BJ251">
        <v>0</v>
      </c>
      <c r="BK251">
        <v>0</v>
      </c>
      <c r="BL251" s="2">
        <v>24.82</v>
      </c>
      <c r="BM251" s="2">
        <v>42005.095138888886</v>
      </c>
      <c r="BN251" s="2">
        <v>5.4</v>
      </c>
      <c r="BO251" s="2">
        <v>42005.092361111114</v>
      </c>
      <c r="BP251" s="2">
        <v>6.92</v>
      </c>
      <c r="BQ251" s="2">
        <v>42005.092361111114</v>
      </c>
      <c r="BR251" s="2">
        <v>11.07</v>
      </c>
      <c r="BS251" s="2">
        <v>42005.092361111114</v>
      </c>
      <c r="BT251">
        <v>0</v>
      </c>
      <c r="BU251">
        <v>0</v>
      </c>
      <c r="BV251" t="s">
        <v>135</v>
      </c>
      <c r="BW251">
        <v>0</v>
      </c>
      <c r="BX251">
        <v>0</v>
      </c>
      <c r="BY251" t="s">
        <v>135</v>
      </c>
      <c r="BZ251">
        <v>0</v>
      </c>
      <c r="CA251">
        <v>0</v>
      </c>
      <c r="CB251" t="s">
        <v>135</v>
      </c>
      <c r="CH251" s="2"/>
      <c r="CJ251" s="2"/>
      <c r="CL251" s="2"/>
      <c r="CN251" s="2"/>
      <c r="CQ251" s="2"/>
      <c r="CT251" s="2"/>
      <c r="CW251" s="2"/>
    </row>
    <row r="252" spans="1:101" x14ac:dyDescent="0.25">
      <c r="A252" s="1" t="s">
        <v>163</v>
      </c>
      <c r="B252" s="75" t="s">
        <v>164</v>
      </c>
      <c r="C252">
        <v>0</v>
      </c>
      <c r="D252">
        <v>0</v>
      </c>
      <c r="E252">
        <v>0</v>
      </c>
      <c r="F252">
        <v>604324.56000000006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3.91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7490</v>
      </c>
      <c r="AW252">
        <v>3350</v>
      </c>
      <c r="AX252">
        <v>1219</v>
      </c>
      <c r="AY252">
        <v>12059</v>
      </c>
      <c r="AZ252">
        <v>4202</v>
      </c>
      <c r="BA252">
        <v>7438</v>
      </c>
      <c r="BB252">
        <v>1432</v>
      </c>
      <c r="BC252">
        <v>13072</v>
      </c>
      <c r="BD252">
        <v>9486</v>
      </c>
      <c r="BE252">
        <v>9222</v>
      </c>
      <c r="BF252">
        <v>1768</v>
      </c>
      <c r="BG252">
        <v>20476</v>
      </c>
      <c r="BH252">
        <v>0</v>
      </c>
      <c r="BI252">
        <v>0</v>
      </c>
      <c r="BJ252">
        <v>0</v>
      </c>
      <c r="BK252">
        <v>0</v>
      </c>
      <c r="BL252" s="2">
        <v>24.82</v>
      </c>
      <c r="BM252" s="2">
        <v>42005.095138888886</v>
      </c>
      <c r="BN252" s="2">
        <v>5.4</v>
      </c>
      <c r="BO252" s="2">
        <v>42005.092361111114</v>
      </c>
      <c r="BP252" s="2">
        <v>6.92</v>
      </c>
      <c r="BQ252" s="2">
        <v>42005.092361111114</v>
      </c>
      <c r="BR252" s="2">
        <v>11.07</v>
      </c>
      <c r="BS252" s="2">
        <v>42005.092361111114</v>
      </c>
      <c r="BT252">
        <v>0</v>
      </c>
      <c r="BU252">
        <v>0</v>
      </c>
      <c r="BV252" t="s">
        <v>135</v>
      </c>
      <c r="BW252">
        <v>0</v>
      </c>
      <c r="BX252">
        <v>0</v>
      </c>
      <c r="BY252" t="s">
        <v>135</v>
      </c>
      <c r="BZ252">
        <v>0</v>
      </c>
      <c r="CA252">
        <v>0</v>
      </c>
      <c r="CB252" t="s">
        <v>135</v>
      </c>
      <c r="CH252" s="2"/>
      <c r="CJ252" s="2"/>
      <c r="CL252" s="2"/>
      <c r="CN252" s="2"/>
      <c r="CQ252" s="2"/>
      <c r="CT252" s="2"/>
      <c r="CW252" s="2"/>
    </row>
    <row r="253" spans="1:101" x14ac:dyDescent="0.25">
      <c r="A253" s="1" t="s">
        <v>163</v>
      </c>
      <c r="B253" s="75" t="s">
        <v>164</v>
      </c>
      <c r="C253">
        <v>0</v>
      </c>
      <c r="D253">
        <v>0</v>
      </c>
      <c r="E253">
        <v>0</v>
      </c>
      <c r="F253">
        <v>604324.56000000006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3.91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7490</v>
      </c>
      <c r="AW253">
        <v>3350</v>
      </c>
      <c r="AX253">
        <v>1219</v>
      </c>
      <c r="AY253">
        <v>12059</v>
      </c>
      <c r="AZ253">
        <v>4202</v>
      </c>
      <c r="BA253">
        <v>7438</v>
      </c>
      <c r="BB253">
        <v>1432</v>
      </c>
      <c r="BC253">
        <v>13072</v>
      </c>
      <c r="BD253">
        <v>9486</v>
      </c>
      <c r="BE253">
        <v>9222</v>
      </c>
      <c r="BF253">
        <v>1768</v>
      </c>
      <c r="BG253">
        <v>20476</v>
      </c>
      <c r="BH253">
        <v>0</v>
      </c>
      <c r="BI253">
        <v>0</v>
      </c>
      <c r="BJ253">
        <v>0</v>
      </c>
      <c r="BK253">
        <v>0</v>
      </c>
      <c r="BL253" s="2">
        <v>24.82</v>
      </c>
      <c r="BM253" s="2">
        <v>42005.095138888886</v>
      </c>
      <c r="BN253" s="2">
        <v>5.4</v>
      </c>
      <c r="BO253" s="2">
        <v>42005.092361111114</v>
      </c>
      <c r="BP253" s="2">
        <v>6.92</v>
      </c>
      <c r="BQ253" s="2">
        <v>42005.092361111114</v>
      </c>
      <c r="BR253" s="2">
        <v>11.07</v>
      </c>
      <c r="BS253" s="2">
        <v>42005.092361111114</v>
      </c>
      <c r="BT253">
        <v>0</v>
      </c>
      <c r="BU253">
        <v>0</v>
      </c>
      <c r="BV253" t="s">
        <v>135</v>
      </c>
      <c r="BW253">
        <v>0</v>
      </c>
      <c r="BX253">
        <v>0</v>
      </c>
      <c r="BY253" t="s">
        <v>135</v>
      </c>
      <c r="BZ253">
        <v>0</v>
      </c>
      <c r="CA253">
        <v>0</v>
      </c>
      <c r="CB253" t="s">
        <v>135</v>
      </c>
      <c r="CH253" s="2"/>
      <c r="CJ253" s="2"/>
      <c r="CL253" s="2"/>
      <c r="CN253" s="2"/>
      <c r="CQ253" s="2"/>
      <c r="CT253" s="2"/>
      <c r="CW253" s="2"/>
    </row>
    <row r="254" spans="1:101" x14ac:dyDescent="0.25">
      <c r="A254" s="1" t="s">
        <v>163</v>
      </c>
      <c r="B254" s="75" t="s">
        <v>164</v>
      </c>
      <c r="C254">
        <v>0</v>
      </c>
      <c r="D254">
        <v>0</v>
      </c>
      <c r="E254">
        <v>0</v>
      </c>
      <c r="F254">
        <v>604324.56000000006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3.91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7490</v>
      </c>
      <c r="AW254">
        <v>3350</v>
      </c>
      <c r="AX254">
        <v>1219</v>
      </c>
      <c r="AY254">
        <v>12059</v>
      </c>
      <c r="AZ254">
        <v>4202</v>
      </c>
      <c r="BA254">
        <v>7438</v>
      </c>
      <c r="BB254">
        <v>1432</v>
      </c>
      <c r="BC254">
        <v>13072</v>
      </c>
      <c r="BD254">
        <v>9486</v>
      </c>
      <c r="BE254">
        <v>9222</v>
      </c>
      <c r="BF254">
        <v>1768</v>
      </c>
      <c r="BG254">
        <v>20476</v>
      </c>
      <c r="BH254">
        <v>0</v>
      </c>
      <c r="BI254">
        <v>0</v>
      </c>
      <c r="BJ254">
        <v>0</v>
      </c>
      <c r="BK254">
        <v>0</v>
      </c>
      <c r="BL254" s="2">
        <v>24.82</v>
      </c>
      <c r="BM254" s="2">
        <v>42005.095138888886</v>
      </c>
      <c r="BN254" s="2">
        <v>5.4</v>
      </c>
      <c r="BO254" s="2">
        <v>42005.092361111114</v>
      </c>
      <c r="BP254" s="2">
        <v>6.92</v>
      </c>
      <c r="BQ254" s="2">
        <v>42005.092361111114</v>
      </c>
      <c r="BR254" s="2">
        <v>11.07</v>
      </c>
      <c r="BS254" s="2">
        <v>42005.092361111114</v>
      </c>
      <c r="BT254">
        <v>0</v>
      </c>
      <c r="BU254">
        <v>0</v>
      </c>
      <c r="BV254" t="s">
        <v>135</v>
      </c>
      <c r="BW254">
        <v>0</v>
      </c>
      <c r="BX254">
        <v>0</v>
      </c>
      <c r="BY254" t="s">
        <v>135</v>
      </c>
      <c r="BZ254">
        <v>0</v>
      </c>
      <c r="CA254">
        <v>0</v>
      </c>
      <c r="CB254" t="s">
        <v>135</v>
      </c>
      <c r="CH254" s="2"/>
      <c r="CJ254" s="2"/>
      <c r="CL254" s="2"/>
      <c r="CN254" s="2"/>
      <c r="CQ254" s="2"/>
      <c r="CT254" s="2"/>
      <c r="CW254" s="2"/>
    </row>
    <row r="255" spans="1:101" x14ac:dyDescent="0.25">
      <c r="A255" s="1" t="s">
        <v>163</v>
      </c>
      <c r="B255" s="75" t="s">
        <v>164</v>
      </c>
      <c r="C255">
        <v>0</v>
      </c>
      <c r="D255">
        <v>0</v>
      </c>
      <c r="E255">
        <v>0</v>
      </c>
      <c r="F255">
        <v>604324.56000000006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3.91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7490</v>
      </c>
      <c r="AW255">
        <v>3350</v>
      </c>
      <c r="AX255">
        <v>1219</v>
      </c>
      <c r="AY255">
        <v>12059</v>
      </c>
      <c r="AZ255">
        <v>4202</v>
      </c>
      <c r="BA255">
        <v>7438</v>
      </c>
      <c r="BB255">
        <v>1432</v>
      </c>
      <c r="BC255">
        <v>13072</v>
      </c>
      <c r="BD255">
        <v>9486</v>
      </c>
      <c r="BE255">
        <v>9222</v>
      </c>
      <c r="BF255">
        <v>1768</v>
      </c>
      <c r="BG255">
        <v>20476</v>
      </c>
      <c r="BH255">
        <v>0</v>
      </c>
      <c r="BI255">
        <v>0</v>
      </c>
      <c r="BJ255">
        <v>0</v>
      </c>
      <c r="BK255">
        <v>0</v>
      </c>
      <c r="BL255" s="2">
        <v>24.82</v>
      </c>
      <c r="BM255" s="2">
        <v>42005.095138888886</v>
      </c>
      <c r="BN255" s="2">
        <v>5.4</v>
      </c>
      <c r="BO255" s="2">
        <v>42005.092361111114</v>
      </c>
      <c r="BP255" s="2">
        <v>6.92</v>
      </c>
      <c r="BQ255" s="2">
        <v>42005.092361111114</v>
      </c>
      <c r="BR255" s="2">
        <v>11.07</v>
      </c>
      <c r="BS255" s="2">
        <v>42005.092361111114</v>
      </c>
      <c r="BT255">
        <v>0</v>
      </c>
      <c r="BU255">
        <v>0</v>
      </c>
      <c r="BV255" t="s">
        <v>135</v>
      </c>
      <c r="BW255">
        <v>0</v>
      </c>
      <c r="BX255">
        <v>0</v>
      </c>
      <c r="BY255" t="s">
        <v>135</v>
      </c>
      <c r="BZ255">
        <v>0</v>
      </c>
      <c r="CA255">
        <v>0</v>
      </c>
      <c r="CB255" t="s">
        <v>135</v>
      </c>
      <c r="CH255" s="2"/>
      <c r="CJ255" s="2"/>
      <c r="CL255" s="2"/>
      <c r="CN255" s="2"/>
      <c r="CQ255" s="2"/>
      <c r="CT255" s="2"/>
      <c r="CW255" s="2"/>
    </row>
    <row r="256" spans="1:101" x14ac:dyDescent="0.25">
      <c r="A256" s="1" t="s">
        <v>163</v>
      </c>
      <c r="B256" s="75" t="s">
        <v>164</v>
      </c>
      <c r="C256">
        <v>0</v>
      </c>
      <c r="D256">
        <v>0</v>
      </c>
      <c r="E256">
        <v>0</v>
      </c>
      <c r="F256">
        <v>604324.56000000006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3.91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7490</v>
      </c>
      <c r="AW256">
        <v>3350</v>
      </c>
      <c r="AX256">
        <v>1219</v>
      </c>
      <c r="AY256">
        <v>12059</v>
      </c>
      <c r="AZ256">
        <v>4202</v>
      </c>
      <c r="BA256">
        <v>7438</v>
      </c>
      <c r="BB256">
        <v>1432</v>
      </c>
      <c r="BC256">
        <v>13072</v>
      </c>
      <c r="BD256">
        <v>9486</v>
      </c>
      <c r="BE256">
        <v>9222</v>
      </c>
      <c r="BF256">
        <v>1768</v>
      </c>
      <c r="BG256">
        <v>20476</v>
      </c>
      <c r="BH256">
        <v>0</v>
      </c>
      <c r="BI256">
        <v>0</v>
      </c>
      <c r="BJ256">
        <v>0</v>
      </c>
      <c r="BK256">
        <v>0</v>
      </c>
      <c r="BL256" s="2">
        <v>24.82</v>
      </c>
      <c r="BM256" s="2">
        <v>42005.095138888886</v>
      </c>
      <c r="BN256" s="2">
        <v>5.4</v>
      </c>
      <c r="BO256" s="2">
        <v>42005.092361111114</v>
      </c>
      <c r="BP256" s="2">
        <v>6.92</v>
      </c>
      <c r="BQ256" s="2">
        <v>42005.092361111114</v>
      </c>
      <c r="BR256" s="2">
        <v>11.07</v>
      </c>
      <c r="BS256" s="2">
        <v>42005.092361111114</v>
      </c>
      <c r="BT256">
        <v>0</v>
      </c>
      <c r="BU256">
        <v>0</v>
      </c>
      <c r="BV256" t="s">
        <v>135</v>
      </c>
      <c r="BW256">
        <v>0</v>
      </c>
      <c r="BX256">
        <v>0</v>
      </c>
      <c r="BY256" t="s">
        <v>135</v>
      </c>
      <c r="BZ256">
        <v>0</v>
      </c>
      <c r="CA256">
        <v>0</v>
      </c>
      <c r="CB256" t="s">
        <v>135</v>
      </c>
      <c r="CH256" s="2"/>
      <c r="CJ256" s="2"/>
      <c r="CL256" s="2"/>
      <c r="CN256" s="2"/>
      <c r="CQ256" s="2"/>
      <c r="CT256" s="2"/>
      <c r="CW256" s="2"/>
    </row>
    <row r="257" spans="1:101" x14ac:dyDescent="0.25">
      <c r="A257" s="1" t="s">
        <v>163</v>
      </c>
      <c r="B257" s="75" t="s">
        <v>164</v>
      </c>
      <c r="C257">
        <v>0</v>
      </c>
      <c r="D257">
        <v>0</v>
      </c>
      <c r="E257">
        <v>0</v>
      </c>
      <c r="F257">
        <v>604324.56000000006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3.91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7490</v>
      </c>
      <c r="AW257">
        <v>3350</v>
      </c>
      <c r="AX257">
        <v>1219</v>
      </c>
      <c r="AY257">
        <v>12059</v>
      </c>
      <c r="AZ257">
        <v>4202</v>
      </c>
      <c r="BA257">
        <v>7438</v>
      </c>
      <c r="BB257">
        <v>1432</v>
      </c>
      <c r="BC257">
        <v>13072</v>
      </c>
      <c r="BD257">
        <v>9486</v>
      </c>
      <c r="BE257">
        <v>9222</v>
      </c>
      <c r="BF257">
        <v>1768</v>
      </c>
      <c r="BG257">
        <v>20476</v>
      </c>
      <c r="BH257">
        <v>0</v>
      </c>
      <c r="BI257">
        <v>0</v>
      </c>
      <c r="BJ257">
        <v>0</v>
      </c>
      <c r="BK257">
        <v>0</v>
      </c>
      <c r="BL257" s="2">
        <v>24.82</v>
      </c>
      <c r="BM257" s="2">
        <v>42005.095138888886</v>
      </c>
      <c r="BN257" s="2">
        <v>5.4</v>
      </c>
      <c r="BO257" s="2">
        <v>42005.092361111114</v>
      </c>
      <c r="BP257" s="2">
        <v>6.92</v>
      </c>
      <c r="BQ257" s="2">
        <v>42005.092361111114</v>
      </c>
      <c r="BR257" s="2">
        <v>11.07</v>
      </c>
      <c r="BS257" s="2">
        <v>42005.092361111114</v>
      </c>
      <c r="BT257">
        <v>0</v>
      </c>
      <c r="BU257">
        <v>0</v>
      </c>
      <c r="BV257" t="s">
        <v>135</v>
      </c>
      <c r="BW257">
        <v>0</v>
      </c>
      <c r="BX257">
        <v>0</v>
      </c>
      <c r="BY257" t="s">
        <v>135</v>
      </c>
      <c r="BZ257">
        <v>0</v>
      </c>
      <c r="CA257">
        <v>0</v>
      </c>
      <c r="CB257" t="s">
        <v>135</v>
      </c>
      <c r="CH257" s="2"/>
      <c r="CJ257" s="2"/>
      <c r="CL257" s="2"/>
      <c r="CN257" s="2"/>
      <c r="CQ257" s="2"/>
      <c r="CT257" s="2"/>
      <c r="CW257" s="2"/>
    </row>
    <row r="258" spans="1:101" x14ac:dyDescent="0.25">
      <c r="A258" s="1" t="s">
        <v>163</v>
      </c>
      <c r="B258" s="75" t="s">
        <v>164</v>
      </c>
      <c r="C258">
        <v>0</v>
      </c>
      <c r="D258">
        <v>0</v>
      </c>
      <c r="E258">
        <v>0</v>
      </c>
      <c r="F258">
        <v>604324.56000000006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3.91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7490</v>
      </c>
      <c r="AW258">
        <v>3350</v>
      </c>
      <c r="AX258">
        <v>1219</v>
      </c>
      <c r="AY258">
        <v>12059</v>
      </c>
      <c r="AZ258">
        <v>4202</v>
      </c>
      <c r="BA258">
        <v>7438</v>
      </c>
      <c r="BB258">
        <v>1432</v>
      </c>
      <c r="BC258">
        <v>13072</v>
      </c>
      <c r="BD258">
        <v>9486</v>
      </c>
      <c r="BE258">
        <v>9222</v>
      </c>
      <c r="BF258">
        <v>1768</v>
      </c>
      <c r="BG258">
        <v>20476</v>
      </c>
      <c r="BH258">
        <v>0</v>
      </c>
      <c r="BI258">
        <v>0</v>
      </c>
      <c r="BJ258">
        <v>0</v>
      </c>
      <c r="BK258">
        <v>0</v>
      </c>
      <c r="BL258" s="2">
        <v>24.82</v>
      </c>
      <c r="BM258" s="2">
        <v>42005.095138888886</v>
      </c>
      <c r="BN258" s="2">
        <v>5.4</v>
      </c>
      <c r="BO258" s="2">
        <v>42005.092361111114</v>
      </c>
      <c r="BP258" s="2">
        <v>6.92</v>
      </c>
      <c r="BQ258" s="2">
        <v>42005.092361111114</v>
      </c>
      <c r="BR258" s="2">
        <v>11.07</v>
      </c>
      <c r="BS258" s="2">
        <v>42005.092361111114</v>
      </c>
      <c r="BT258">
        <v>0</v>
      </c>
      <c r="BU258">
        <v>0</v>
      </c>
      <c r="BV258" t="s">
        <v>135</v>
      </c>
      <c r="BW258">
        <v>0</v>
      </c>
      <c r="BX258">
        <v>0</v>
      </c>
      <c r="BY258" t="s">
        <v>135</v>
      </c>
      <c r="BZ258">
        <v>0</v>
      </c>
      <c r="CA258">
        <v>0</v>
      </c>
      <c r="CB258" t="s">
        <v>135</v>
      </c>
      <c r="CH258" s="2"/>
      <c r="CJ258" s="2"/>
      <c r="CL258" s="2"/>
      <c r="CN258" s="2"/>
      <c r="CQ258" s="2"/>
      <c r="CT258" s="2"/>
      <c r="CW258" s="2"/>
    </row>
    <row r="259" spans="1:101" x14ac:dyDescent="0.25">
      <c r="A259" s="1" t="s">
        <v>163</v>
      </c>
      <c r="B259" s="75" t="s">
        <v>164</v>
      </c>
      <c r="C259">
        <v>0</v>
      </c>
      <c r="D259">
        <v>0</v>
      </c>
      <c r="E259">
        <v>0</v>
      </c>
      <c r="F259">
        <v>604324.56000000006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3.91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7490</v>
      </c>
      <c r="AW259">
        <v>3350</v>
      </c>
      <c r="AX259">
        <v>1219</v>
      </c>
      <c r="AY259">
        <v>12059</v>
      </c>
      <c r="AZ259">
        <v>4202</v>
      </c>
      <c r="BA259">
        <v>7438</v>
      </c>
      <c r="BB259">
        <v>1432</v>
      </c>
      <c r="BC259">
        <v>13072</v>
      </c>
      <c r="BD259">
        <v>9486</v>
      </c>
      <c r="BE259">
        <v>9222</v>
      </c>
      <c r="BF259">
        <v>1768</v>
      </c>
      <c r="BG259">
        <v>20476</v>
      </c>
      <c r="BH259">
        <v>0</v>
      </c>
      <c r="BI259">
        <v>0</v>
      </c>
      <c r="BJ259">
        <v>0</v>
      </c>
      <c r="BK259">
        <v>0</v>
      </c>
      <c r="BL259" s="2">
        <v>24.82</v>
      </c>
      <c r="BM259" s="2">
        <v>42005.095138888886</v>
      </c>
      <c r="BN259" s="2">
        <v>5.4</v>
      </c>
      <c r="BO259" s="2">
        <v>42005.092361111114</v>
      </c>
      <c r="BP259" s="2">
        <v>6.92</v>
      </c>
      <c r="BQ259" s="2">
        <v>42005.092361111114</v>
      </c>
      <c r="BR259" s="2">
        <v>11.07</v>
      </c>
      <c r="BS259" s="2">
        <v>42005.092361111114</v>
      </c>
      <c r="BT259">
        <v>0</v>
      </c>
      <c r="BU259">
        <v>0</v>
      </c>
      <c r="BV259" t="s">
        <v>135</v>
      </c>
      <c r="BW259">
        <v>0</v>
      </c>
      <c r="BX259">
        <v>0</v>
      </c>
      <c r="BY259" t="s">
        <v>135</v>
      </c>
      <c r="BZ259">
        <v>0</v>
      </c>
      <c r="CA259">
        <v>0</v>
      </c>
      <c r="CB259" t="s">
        <v>135</v>
      </c>
      <c r="CH259" s="2"/>
      <c r="CJ259" s="2"/>
      <c r="CL259" s="2"/>
      <c r="CN259" s="2"/>
      <c r="CQ259" s="2"/>
      <c r="CT259" s="2"/>
      <c r="CW259" s="2"/>
    </row>
    <row r="260" spans="1:101" x14ac:dyDescent="0.25">
      <c r="A260" s="1" t="s">
        <v>163</v>
      </c>
      <c r="B260" s="75" t="s">
        <v>164</v>
      </c>
      <c r="C260">
        <v>0</v>
      </c>
      <c r="D260">
        <v>0</v>
      </c>
      <c r="E260">
        <v>0</v>
      </c>
      <c r="F260">
        <v>604324.56000000006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3.91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7490</v>
      </c>
      <c r="AW260">
        <v>3350</v>
      </c>
      <c r="AX260">
        <v>1219</v>
      </c>
      <c r="AY260">
        <v>12059</v>
      </c>
      <c r="AZ260">
        <v>4202</v>
      </c>
      <c r="BA260">
        <v>7438</v>
      </c>
      <c r="BB260">
        <v>1432</v>
      </c>
      <c r="BC260">
        <v>13072</v>
      </c>
      <c r="BD260">
        <v>9486</v>
      </c>
      <c r="BE260">
        <v>9222</v>
      </c>
      <c r="BF260">
        <v>1768</v>
      </c>
      <c r="BG260">
        <v>20476</v>
      </c>
      <c r="BH260">
        <v>0</v>
      </c>
      <c r="BI260">
        <v>0</v>
      </c>
      <c r="BJ260">
        <v>0</v>
      </c>
      <c r="BK260">
        <v>0</v>
      </c>
      <c r="BL260" s="2">
        <v>24.82</v>
      </c>
      <c r="BM260" s="2">
        <v>42005.095138888886</v>
      </c>
      <c r="BN260" s="2">
        <v>5.4</v>
      </c>
      <c r="BO260" s="2">
        <v>42005.092361111114</v>
      </c>
      <c r="BP260" s="2">
        <v>6.92</v>
      </c>
      <c r="BQ260" s="2">
        <v>42005.092361111114</v>
      </c>
      <c r="BR260" s="2">
        <v>11.07</v>
      </c>
      <c r="BS260" s="2">
        <v>42005.092361111114</v>
      </c>
      <c r="BT260">
        <v>0</v>
      </c>
      <c r="BU260">
        <v>0</v>
      </c>
      <c r="BV260" t="s">
        <v>135</v>
      </c>
      <c r="BW260">
        <v>0</v>
      </c>
      <c r="BX260">
        <v>0</v>
      </c>
      <c r="BY260" t="s">
        <v>135</v>
      </c>
      <c r="BZ260">
        <v>0</v>
      </c>
      <c r="CA260">
        <v>0</v>
      </c>
      <c r="CB260" t="s">
        <v>135</v>
      </c>
      <c r="CH260" s="2"/>
      <c r="CJ260" s="2"/>
      <c r="CL260" s="2"/>
      <c r="CN260" s="2"/>
      <c r="CQ260" s="2"/>
      <c r="CT260" s="2"/>
      <c r="CW260" s="2"/>
    </row>
    <row r="261" spans="1:101" x14ac:dyDescent="0.25">
      <c r="A261" s="1" t="s">
        <v>163</v>
      </c>
      <c r="B261" s="75" t="s">
        <v>164</v>
      </c>
      <c r="C261">
        <v>0</v>
      </c>
      <c r="D261">
        <v>0</v>
      </c>
      <c r="E261">
        <v>0</v>
      </c>
      <c r="F261">
        <v>604324.56000000006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3.91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7490</v>
      </c>
      <c r="AW261">
        <v>3350</v>
      </c>
      <c r="AX261">
        <v>1219</v>
      </c>
      <c r="AY261">
        <v>12059</v>
      </c>
      <c r="AZ261">
        <v>4202</v>
      </c>
      <c r="BA261">
        <v>7438</v>
      </c>
      <c r="BB261">
        <v>1432</v>
      </c>
      <c r="BC261">
        <v>13072</v>
      </c>
      <c r="BD261">
        <v>9486</v>
      </c>
      <c r="BE261">
        <v>9222</v>
      </c>
      <c r="BF261">
        <v>1768</v>
      </c>
      <c r="BG261">
        <v>20476</v>
      </c>
      <c r="BH261">
        <v>0</v>
      </c>
      <c r="BI261">
        <v>0</v>
      </c>
      <c r="BJ261">
        <v>0</v>
      </c>
      <c r="BK261">
        <v>0</v>
      </c>
      <c r="BL261" s="2">
        <v>24.82</v>
      </c>
      <c r="BM261" s="2">
        <v>42005.095138888886</v>
      </c>
      <c r="BN261" s="2">
        <v>5.4</v>
      </c>
      <c r="BO261" s="2">
        <v>42005.092361111114</v>
      </c>
      <c r="BP261" s="2">
        <v>6.92</v>
      </c>
      <c r="BQ261" s="2">
        <v>42005.092361111114</v>
      </c>
      <c r="BR261" s="2">
        <v>11.07</v>
      </c>
      <c r="BS261" s="2">
        <v>42005.092361111114</v>
      </c>
      <c r="BT261">
        <v>0</v>
      </c>
      <c r="BU261">
        <v>0</v>
      </c>
      <c r="BV261" t="s">
        <v>135</v>
      </c>
      <c r="BW261">
        <v>0</v>
      </c>
      <c r="BX261">
        <v>0</v>
      </c>
      <c r="BY261" t="s">
        <v>135</v>
      </c>
      <c r="BZ261">
        <v>0</v>
      </c>
      <c r="CA261">
        <v>0</v>
      </c>
      <c r="CB261" t="s">
        <v>135</v>
      </c>
      <c r="CH261" s="2"/>
      <c r="CJ261" s="2"/>
      <c r="CL261" s="2"/>
      <c r="CN261" s="2"/>
      <c r="CQ261" s="2"/>
      <c r="CT261" s="2"/>
      <c r="CW261" s="2"/>
    </row>
    <row r="262" spans="1:101" x14ac:dyDescent="0.25">
      <c r="A262" s="1" t="s">
        <v>163</v>
      </c>
      <c r="B262" s="75" t="s">
        <v>164</v>
      </c>
      <c r="C262">
        <v>0</v>
      </c>
      <c r="D262">
        <v>0</v>
      </c>
      <c r="E262">
        <v>0</v>
      </c>
      <c r="F262">
        <v>604324.56000000006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3.91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7490</v>
      </c>
      <c r="AW262">
        <v>3350</v>
      </c>
      <c r="AX262">
        <v>1219</v>
      </c>
      <c r="AY262">
        <v>12059</v>
      </c>
      <c r="AZ262">
        <v>4202</v>
      </c>
      <c r="BA262">
        <v>7438</v>
      </c>
      <c r="BB262">
        <v>1432</v>
      </c>
      <c r="BC262">
        <v>13072</v>
      </c>
      <c r="BD262">
        <v>9486</v>
      </c>
      <c r="BE262">
        <v>9222</v>
      </c>
      <c r="BF262">
        <v>1768</v>
      </c>
      <c r="BG262">
        <v>20476</v>
      </c>
      <c r="BH262">
        <v>0</v>
      </c>
      <c r="BI262">
        <v>0</v>
      </c>
      <c r="BJ262">
        <v>0</v>
      </c>
      <c r="BK262">
        <v>0</v>
      </c>
      <c r="BL262" s="2">
        <v>24.82</v>
      </c>
      <c r="BM262" s="2">
        <v>42005.095138888886</v>
      </c>
      <c r="BN262" s="2">
        <v>5.4</v>
      </c>
      <c r="BO262" s="2">
        <v>42005.092361111114</v>
      </c>
      <c r="BP262" s="2">
        <v>6.92</v>
      </c>
      <c r="BQ262" s="2">
        <v>42005.092361111114</v>
      </c>
      <c r="BR262" s="2">
        <v>11.07</v>
      </c>
      <c r="BS262" s="2">
        <v>42005.092361111114</v>
      </c>
      <c r="BT262">
        <v>0</v>
      </c>
      <c r="BU262">
        <v>0</v>
      </c>
      <c r="BV262" t="s">
        <v>135</v>
      </c>
      <c r="BW262">
        <v>0</v>
      </c>
      <c r="BX262">
        <v>0</v>
      </c>
      <c r="BY262" t="s">
        <v>135</v>
      </c>
      <c r="BZ262">
        <v>0</v>
      </c>
      <c r="CA262">
        <v>0</v>
      </c>
      <c r="CB262" t="s">
        <v>135</v>
      </c>
      <c r="CH262" s="2"/>
      <c r="CJ262" s="2"/>
      <c r="CL262" s="2"/>
      <c r="CN262" s="2"/>
      <c r="CQ262" s="2"/>
      <c r="CT262" s="2"/>
      <c r="CW262" s="2"/>
    </row>
    <row r="263" spans="1:101" x14ac:dyDescent="0.25">
      <c r="A263" s="1" t="s">
        <v>163</v>
      </c>
      <c r="B263" s="75" t="s">
        <v>164</v>
      </c>
      <c r="C263">
        <v>0</v>
      </c>
      <c r="D263">
        <v>0</v>
      </c>
      <c r="E263">
        <v>0</v>
      </c>
      <c r="F263">
        <v>604324.56000000006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3.91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7490</v>
      </c>
      <c r="AW263">
        <v>3350</v>
      </c>
      <c r="AX263">
        <v>1219</v>
      </c>
      <c r="AY263">
        <v>12059</v>
      </c>
      <c r="AZ263">
        <v>4202</v>
      </c>
      <c r="BA263">
        <v>7438</v>
      </c>
      <c r="BB263">
        <v>1432</v>
      </c>
      <c r="BC263">
        <v>13072</v>
      </c>
      <c r="BD263">
        <v>9486</v>
      </c>
      <c r="BE263">
        <v>9222</v>
      </c>
      <c r="BF263">
        <v>1768</v>
      </c>
      <c r="BG263">
        <v>20476</v>
      </c>
      <c r="BH263">
        <v>0</v>
      </c>
      <c r="BI263">
        <v>0</v>
      </c>
      <c r="BJ263">
        <v>0</v>
      </c>
      <c r="BK263">
        <v>0</v>
      </c>
      <c r="BL263" s="2">
        <v>24.82</v>
      </c>
      <c r="BM263" s="2">
        <v>42005.095138888886</v>
      </c>
      <c r="BN263" s="2">
        <v>5.4</v>
      </c>
      <c r="BO263" s="2">
        <v>42005.092361111114</v>
      </c>
      <c r="BP263" s="2">
        <v>6.92</v>
      </c>
      <c r="BQ263" s="2">
        <v>42005.092361111114</v>
      </c>
      <c r="BR263" s="2">
        <v>11.07</v>
      </c>
      <c r="BS263" s="2">
        <v>42005.092361111114</v>
      </c>
      <c r="BT263">
        <v>0</v>
      </c>
      <c r="BU263">
        <v>0</v>
      </c>
      <c r="BV263" t="s">
        <v>135</v>
      </c>
      <c r="BW263">
        <v>0</v>
      </c>
      <c r="BX263">
        <v>0</v>
      </c>
      <c r="BY263" t="s">
        <v>135</v>
      </c>
      <c r="BZ263">
        <v>0</v>
      </c>
      <c r="CA263">
        <v>0</v>
      </c>
      <c r="CB263" t="s">
        <v>135</v>
      </c>
      <c r="CH263" s="2"/>
      <c r="CJ263" s="2"/>
      <c r="CL263" s="2"/>
      <c r="CN263" s="2"/>
      <c r="CQ263" s="2"/>
      <c r="CT263" s="2"/>
      <c r="CW263" s="2"/>
    </row>
    <row r="264" spans="1:101" x14ac:dyDescent="0.25">
      <c r="A264" s="1" t="s">
        <v>163</v>
      </c>
      <c r="B264" s="75" t="s">
        <v>164</v>
      </c>
      <c r="C264">
        <v>0</v>
      </c>
      <c r="D264">
        <v>0</v>
      </c>
      <c r="E264">
        <v>0</v>
      </c>
      <c r="F264">
        <v>604324.56000000006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3.91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7490</v>
      </c>
      <c r="AW264">
        <v>3350</v>
      </c>
      <c r="AX264">
        <v>1219</v>
      </c>
      <c r="AY264">
        <v>12059</v>
      </c>
      <c r="AZ264">
        <v>4202</v>
      </c>
      <c r="BA264">
        <v>7438</v>
      </c>
      <c r="BB264">
        <v>1432</v>
      </c>
      <c r="BC264">
        <v>13072</v>
      </c>
      <c r="BD264">
        <v>9486</v>
      </c>
      <c r="BE264">
        <v>9222</v>
      </c>
      <c r="BF264">
        <v>1768</v>
      </c>
      <c r="BG264">
        <v>20476</v>
      </c>
      <c r="BH264">
        <v>0</v>
      </c>
      <c r="BI264">
        <v>0</v>
      </c>
      <c r="BJ264">
        <v>0</v>
      </c>
      <c r="BK264">
        <v>0</v>
      </c>
      <c r="BL264" s="2">
        <v>24.82</v>
      </c>
      <c r="BM264" s="2">
        <v>42005.095138888886</v>
      </c>
      <c r="BN264" s="2">
        <v>5.4</v>
      </c>
      <c r="BO264" s="2">
        <v>42005.092361111114</v>
      </c>
      <c r="BP264" s="2">
        <v>6.92</v>
      </c>
      <c r="BQ264" s="2">
        <v>42005.092361111114</v>
      </c>
      <c r="BR264" s="2">
        <v>11.07</v>
      </c>
      <c r="BS264" s="2">
        <v>42005.092361111114</v>
      </c>
      <c r="BT264">
        <v>0</v>
      </c>
      <c r="BU264">
        <v>0</v>
      </c>
      <c r="BV264" t="s">
        <v>135</v>
      </c>
      <c r="BW264">
        <v>0</v>
      </c>
      <c r="BX264">
        <v>0</v>
      </c>
      <c r="BY264" t="s">
        <v>135</v>
      </c>
      <c r="BZ264">
        <v>0</v>
      </c>
      <c r="CA264">
        <v>0</v>
      </c>
      <c r="CB264" t="s">
        <v>135</v>
      </c>
      <c r="CH264" s="2"/>
      <c r="CJ264" s="2"/>
      <c r="CL264" s="2"/>
      <c r="CN264" s="2"/>
      <c r="CQ264" s="2"/>
      <c r="CT264" s="2"/>
      <c r="CW264" s="2"/>
    </row>
    <row r="265" spans="1:101" x14ac:dyDescent="0.25">
      <c r="A265" s="1" t="s">
        <v>163</v>
      </c>
      <c r="B265" s="75" t="s">
        <v>164</v>
      </c>
      <c r="C265">
        <v>0</v>
      </c>
      <c r="D265">
        <v>0</v>
      </c>
      <c r="E265">
        <v>0</v>
      </c>
      <c r="F265">
        <v>604324.56000000006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3.91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7490</v>
      </c>
      <c r="AW265">
        <v>3350</v>
      </c>
      <c r="AX265">
        <v>1219</v>
      </c>
      <c r="AY265">
        <v>12059</v>
      </c>
      <c r="AZ265">
        <v>4202</v>
      </c>
      <c r="BA265">
        <v>7438</v>
      </c>
      <c r="BB265">
        <v>1432</v>
      </c>
      <c r="BC265">
        <v>13072</v>
      </c>
      <c r="BD265">
        <v>9486</v>
      </c>
      <c r="BE265">
        <v>9222</v>
      </c>
      <c r="BF265">
        <v>1768</v>
      </c>
      <c r="BG265">
        <v>20476</v>
      </c>
      <c r="BH265">
        <v>0</v>
      </c>
      <c r="BI265">
        <v>0</v>
      </c>
      <c r="BJ265">
        <v>0</v>
      </c>
      <c r="BK265">
        <v>0</v>
      </c>
      <c r="BL265" s="2">
        <v>24.82</v>
      </c>
      <c r="BM265" s="2">
        <v>42005.095138888886</v>
      </c>
      <c r="BN265" s="2">
        <v>5.4</v>
      </c>
      <c r="BO265" s="2">
        <v>42005.092361111114</v>
      </c>
      <c r="BP265" s="2">
        <v>6.92</v>
      </c>
      <c r="BQ265" s="2">
        <v>42005.092361111114</v>
      </c>
      <c r="BR265" s="2">
        <v>11.07</v>
      </c>
      <c r="BS265" s="2">
        <v>42005.092361111114</v>
      </c>
      <c r="BT265">
        <v>0</v>
      </c>
      <c r="BU265">
        <v>0</v>
      </c>
      <c r="BV265" t="s">
        <v>135</v>
      </c>
      <c r="BW265">
        <v>0</v>
      </c>
      <c r="BX265">
        <v>0</v>
      </c>
      <c r="BY265" t="s">
        <v>135</v>
      </c>
      <c r="BZ265">
        <v>0</v>
      </c>
      <c r="CA265">
        <v>0</v>
      </c>
      <c r="CB265" t="s">
        <v>135</v>
      </c>
      <c r="CH265" s="2"/>
      <c r="CJ265" s="2"/>
      <c r="CL265" s="2"/>
      <c r="CN265" s="2"/>
      <c r="CQ265" s="2"/>
      <c r="CT265" s="2"/>
      <c r="CW265" s="2"/>
    </row>
    <row r="266" spans="1:101" x14ac:dyDescent="0.25">
      <c r="A266" s="1" t="s">
        <v>163</v>
      </c>
      <c r="B266" s="75" t="s">
        <v>164</v>
      </c>
      <c r="C266">
        <v>0</v>
      </c>
      <c r="D266">
        <v>0</v>
      </c>
      <c r="E266">
        <v>0</v>
      </c>
      <c r="F266">
        <v>604324.56000000006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3.91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7490</v>
      </c>
      <c r="AW266">
        <v>3350</v>
      </c>
      <c r="AX266">
        <v>1219</v>
      </c>
      <c r="AY266">
        <v>12059</v>
      </c>
      <c r="AZ266">
        <v>4202</v>
      </c>
      <c r="BA266">
        <v>7438</v>
      </c>
      <c r="BB266">
        <v>1432</v>
      </c>
      <c r="BC266">
        <v>13072</v>
      </c>
      <c r="BD266">
        <v>9486</v>
      </c>
      <c r="BE266">
        <v>9222</v>
      </c>
      <c r="BF266">
        <v>1768</v>
      </c>
      <c r="BG266">
        <v>20476</v>
      </c>
      <c r="BH266">
        <v>0</v>
      </c>
      <c r="BI266">
        <v>0</v>
      </c>
      <c r="BJ266">
        <v>0</v>
      </c>
      <c r="BK266">
        <v>0</v>
      </c>
      <c r="BL266" s="2">
        <v>24.82</v>
      </c>
      <c r="BM266" s="2">
        <v>42005.095138888886</v>
      </c>
      <c r="BN266" s="2">
        <v>5.4</v>
      </c>
      <c r="BO266" s="2">
        <v>42005.092361111114</v>
      </c>
      <c r="BP266" s="2">
        <v>6.92</v>
      </c>
      <c r="BQ266" s="2">
        <v>42005.092361111114</v>
      </c>
      <c r="BR266" s="2">
        <v>11.07</v>
      </c>
      <c r="BS266" s="2">
        <v>42005.092361111114</v>
      </c>
      <c r="BT266">
        <v>0</v>
      </c>
      <c r="BU266">
        <v>0</v>
      </c>
      <c r="BV266" t="s">
        <v>135</v>
      </c>
      <c r="BW266">
        <v>0</v>
      </c>
      <c r="BX266">
        <v>0</v>
      </c>
      <c r="BY266" t="s">
        <v>135</v>
      </c>
      <c r="BZ266">
        <v>0</v>
      </c>
      <c r="CA266">
        <v>0</v>
      </c>
      <c r="CB266" t="s">
        <v>135</v>
      </c>
      <c r="CH266" s="2"/>
      <c r="CJ266" s="2"/>
      <c r="CL266" s="2"/>
      <c r="CN266" s="2"/>
      <c r="CQ266" s="2"/>
      <c r="CT266" s="2"/>
      <c r="CW266" s="2"/>
    </row>
    <row r="267" spans="1:101" x14ac:dyDescent="0.25">
      <c r="A267" s="1" t="s">
        <v>163</v>
      </c>
      <c r="B267" s="75" t="s">
        <v>164</v>
      </c>
      <c r="C267">
        <v>0</v>
      </c>
      <c r="D267">
        <v>0</v>
      </c>
      <c r="E267">
        <v>0</v>
      </c>
      <c r="F267">
        <v>604324.56000000006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3.91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7490</v>
      </c>
      <c r="AW267">
        <v>3350</v>
      </c>
      <c r="AX267">
        <v>1219</v>
      </c>
      <c r="AY267">
        <v>12059</v>
      </c>
      <c r="AZ267">
        <v>4202</v>
      </c>
      <c r="BA267">
        <v>7438</v>
      </c>
      <c r="BB267">
        <v>1432</v>
      </c>
      <c r="BC267">
        <v>13072</v>
      </c>
      <c r="BD267">
        <v>9486</v>
      </c>
      <c r="BE267">
        <v>9222</v>
      </c>
      <c r="BF267">
        <v>1768</v>
      </c>
      <c r="BG267">
        <v>20476</v>
      </c>
      <c r="BH267">
        <v>0</v>
      </c>
      <c r="BI267">
        <v>0</v>
      </c>
      <c r="BJ267">
        <v>0</v>
      </c>
      <c r="BK267">
        <v>0</v>
      </c>
      <c r="BL267" s="2">
        <v>24.82</v>
      </c>
      <c r="BM267" s="2">
        <v>42005.095138888886</v>
      </c>
      <c r="BN267" s="2">
        <v>5.4</v>
      </c>
      <c r="BO267" s="2">
        <v>42005.092361111114</v>
      </c>
      <c r="BP267" s="2">
        <v>6.92</v>
      </c>
      <c r="BQ267" s="2">
        <v>42005.092361111114</v>
      </c>
      <c r="BR267" s="2">
        <v>11.07</v>
      </c>
      <c r="BS267" s="2">
        <v>42005.092361111114</v>
      </c>
      <c r="BT267">
        <v>0</v>
      </c>
      <c r="BU267">
        <v>0</v>
      </c>
      <c r="BV267" t="s">
        <v>135</v>
      </c>
      <c r="BW267">
        <v>0</v>
      </c>
      <c r="BX267">
        <v>0</v>
      </c>
      <c r="BY267" t="s">
        <v>135</v>
      </c>
      <c r="BZ267">
        <v>0</v>
      </c>
      <c r="CA267">
        <v>0</v>
      </c>
      <c r="CB267" t="s">
        <v>135</v>
      </c>
      <c r="CH267" s="2"/>
      <c r="CJ267" s="2"/>
      <c r="CL267" s="2"/>
      <c r="CN267" s="2"/>
      <c r="CQ267" s="2"/>
      <c r="CT267" s="2"/>
      <c r="CW267" s="2"/>
    </row>
    <row r="268" spans="1:101" x14ac:dyDescent="0.25">
      <c r="A268" s="1" t="s">
        <v>163</v>
      </c>
      <c r="B268" s="75" t="s">
        <v>164</v>
      </c>
      <c r="C268">
        <v>0</v>
      </c>
      <c r="D268">
        <v>0</v>
      </c>
      <c r="E268">
        <v>0</v>
      </c>
      <c r="F268">
        <v>604324.56000000006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3.91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7490</v>
      </c>
      <c r="AW268">
        <v>3350</v>
      </c>
      <c r="AX268">
        <v>1219</v>
      </c>
      <c r="AY268">
        <v>12059</v>
      </c>
      <c r="AZ268">
        <v>4202</v>
      </c>
      <c r="BA268">
        <v>7438</v>
      </c>
      <c r="BB268">
        <v>1432</v>
      </c>
      <c r="BC268">
        <v>13072</v>
      </c>
      <c r="BD268">
        <v>9486</v>
      </c>
      <c r="BE268">
        <v>9222</v>
      </c>
      <c r="BF268">
        <v>1768</v>
      </c>
      <c r="BG268">
        <v>20476</v>
      </c>
      <c r="BH268">
        <v>0</v>
      </c>
      <c r="BI268">
        <v>0</v>
      </c>
      <c r="BJ268">
        <v>0</v>
      </c>
      <c r="BK268">
        <v>0</v>
      </c>
      <c r="BL268" s="2">
        <v>24.82</v>
      </c>
      <c r="BM268" s="2">
        <v>42005.095138888886</v>
      </c>
      <c r="BN268" s="2">
        <v>5.4</v>
      </c>
      <c r="BO268" s="2">
        <v>42005.092361111114</v>
      </c>
      <c r="BP268" s="2">
        <v>6.92</v>
      </c>
      <c r="BQ268" s="2">
        <v>42005.092361111114</v>
      </c>
      <c r="BR268" s="2">
        <v>11.07</v>
      </c>
      <c r="BS268" s="2">
        <v>42005.092361111114</v>
      </c>
      <c r="BT268">
        <v>0</v>
      </c>
      <c r="BU268">
        <v>0</v>
      </c>
      <c r="BV268" t="s">
        <v>135</v>
      </c>
      <c r="BW268">
        <v>0</v>
      </c>
      <c r="BX268">
        <v>0</v>
      </c>
      <c r="BY268" t="s">
        <v>135</v>
      </c>
      <c r="BZ268">
        <v>0</v>
      </c>
      <c r="CA268">
        <v>0</v>
      </c>
      <c r="CB268" t="s">
        <v>135</v>
      </c>
      <c r="CH268" s="2"/>
      <c r="CJ268" s="2"/>
      <c r="CL268" s="2"/>
      <c r="CN268" s="2"/>
      <c r="CQ268" s="2"/>
      <c r="CT268" s="2"/>
      <c r="CW268" s="2"/>
    </row>
    <row r="269" spans="1:101" x14ac:dyDescent="0.25">
      <c r="A269" s="1" t="s">
        <v>163</v>
      </c>
      <c r="B269" s="75" t="s">
        <v>164</v>
      </c>
      <c r="C269">
        <v>0</v>
      </c>
      <c r="D269">
        <v>0</v>
      </c>
      <c r="E269">
        <v>0</v>
      </c>
      <c r="F269">
        <v>604324.56000000006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3.91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7490</v>
      </c>
      <c r="AW269">
        <v>3350</v>
      </c>
      <c r="AX269">
        <v>1219</v>
      </c>
      <c r="AY269">
        <v>12059</v>
      </c>
      <c r="AZ269">
        <v>4202</v>
      </c>
      <c r="BA269">
        <v>7438</v>
      </c>
      <c r="BB269">
        <v>1432</v>
      </c>
      <c r="BC269">
        <v>13072</v>
      </c>
      <c r="BD269">
        <v>9486</v>
      </c>
      <c r="BE269">
        <v>9222</v>
      </c>
      <c r="BF269">
        <v>1768</v>
      </c>
      <c r="BG269">
        <v>20476</v>
      </c>
      <c r="BH269">
        <v>0</v>
      </c>
      <c r="BI269">
        <v>0</v>
      </c>
      <c r="BJ269">
        <v>0</v>
      </c>
      <c r="BK269">
        <v>0</v>
      </c>
      <c r="BL269" s="2">
        <v>24.82</v>
      </c>
      <c r="BM269" s="2">
        <v>42005.095138888886</v>
      </c>
      <c r="BN269" s="2">
        <v>5.4</v>
      </c>
      <c r="BO269" s="2">
        <v>42005.092361111114</v>
      </c>
      <c r="BP269" s="2">
        <v>6.92</v>
      </c>
      <c r="BQ269" s="2">
        <v>42005.092361111114</v>
      </c>
      <c r="BR269" s="2">
        <v>11.07</v>
      </c>
      <c r="BS269" s="2">
        <v>42005.092361111114</v>
      </c>
      <c r="BT269">
        <v>0</v>
      </c>
      <c r="BU269">
        <v>0</v>
      </c>
      <c r="BV269" t="s">
        <v>135</v>
      </c>
      <c r="BW269">
        <v>0</v>
      </c>
      <c r="BX269">
        <v>0</v>
      </c>
      <c r="BY269" t="s">
        <v>135</v>
      </c>
      <c r="BZ269">
        <v>0</v>
      </c>
      <c r="CA269">
        <v>0</v>
      </c>
      <c r="CB269" t="s">
        <v>135</v>
      </c>
      <c r="CH269" s="2"/>
      <c r="CJ269" s="2"/>
      <c r="CL269" s="2"/>
      <c r="CN269" s="2"/>
      <c r="CQ269" s="2"/>
      <c r="CT269" s="2"/>
      <c r="CW269" s="2"/>
    </row>
    <row r="270" spans="1:101" x14ac:dyDescent="0.25">
      <c r="A270" s="1" t="s">
        <v>163</v>
      </c>
      <c r="B270" s="75" t="s">
        <v>164</v>
      </c>
      <c r="C270">
        <v>0</v>
      </c>
      <c r="D270">
        <v>0</v>
      </c>
      <c r="E270">
        <v>0</v>
      </c>
      <c r="F270">
        <v>604324.56000000006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3.91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7490</v>
      </c>
      <c r="AW270">
        <v>3350</v>
      </c>
      <c r="AX270">
        <v>1219</v>
      </c>
      <c r="AY270">
        <v>12059</v>
      </c>
      <c r="AZ270">
        <v>4202</v>
      </c>
      <c r="BA270">
        <v>7438</v>
      </c>
      <c r="BB270">
        <v>1432</v>
      </c>
      <c r="BC270">
        <v>13072</v>
      </c>
      <c r="BD270">
        <v>9486</v>
      </c>
      <c r="BE270">
        <v>9222</v>
      </c>
      <c r="BF270">
        <v>1768</v>
      </c>
      <c r="BG270">
        <v>20476</v>
      </c>
      <c r="BH270">
        <v>0</v>
      </c>
      <c r="BI270">
        <v>0</v>
      </c>
      <c r="BJ270">
        <v>0</v>
      </c>
      <c r="BK270">
        <v>0</v>
      </c>
      <c r="BL270" s="2">
        <v>24.82</v>
      </c>
      <c r="BM270" s="2">
        <v>42005.095138888886</v>
      </c>
      <c r="BN270" s="2">
        <v>5.4</v>
      </c>
      <c r="BO270" s="2">
        <v>42005.092361111114</v>
      </c>
      <c r="BP270" s="2">
        <v>6.92</v>
      </c>
      <c r="BQ270" s="2">
        <v>42005.092361111114</v>
      </c>
      <c r="BR270" s="2">
        <v>11.07</v>
      </c>
      <c r="BS270" s="2">
        <v>42005.092361111114</v>
      </c>
      <c r="BT270">
        <v>0</v>
      </c>
      <c r="BU270">
        <v>0</v>
      </c>
      <c r="BV270" t="s">
        <v>135</v>
      </c>
      <c r="BW270">
        <v>0</v>
      </c>
      <c r="BX270">
        <v>0</v>
      </c>
      <c r="BY270" t="s">
        <v>135</v>
      </c>
      <c r="BZ270">
        <v>0</v>
      </c>
      <c r="CA270">
        <v>0</v>
      </c>
      <c r="CB270" t="s">
        <v>135</v>
      </c>
      <c r="CH270" s="2"/>
      <c r="CJ270" s="2"/>
      <c r="CL270" s="2"/>
      <c r="CN270" s="2"/>
      <c r="CQ270" s="2"/>
      <c r="CT270" s="2"/>
      <c r="CW270" s="2"/>
    </row>
    <row r="271" spans="1:101" x14ac:dyDescent="0.25">
      <c r="A271" s="1" t="s">
        <v>163</v>
      </c>
      <c r="B271" s="75" t="s">
        <v>164</v>
      </c>
      <c r="C271">
        <v>0</v>
      </c>
      <c r="D271">
        <v>0</v>
      </c>
      <c r="E271">
        <v>0</v>
      </c>
      <c r="F271">
        <v>604324.56000000006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3.91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7490</v>
      </c>
      <c r="AW271">
        <v>3350</v>
      </c>
      <c r="AX271">
        <v>1219</v>
      </c>
      <c r="AY271">
        <v>12059</v>
      </c>
      <c r="AZ271">
        <v>4202</v>
      </c>
      <c r="BA271">
        <v>7438</v>
      </c>
      <c r="BB271">
        <v>1432</v>
      </c>
      <c r="BC271">
        <v>13072</v>
      </c>
      <c r="BD271">
        <v>9486</v>
      </c>
      <c r="BE271">
        <v>9222</v>
      </c>
      <c r="BF271">
        <v>1768</v>
      </c>
      <c r="BG271">
        <v>20476</v>
      </c>
      <c r="BH271">
        <v>0</v>
      </c>
      <c r="BI271">
        <v>0</v>
      </c>
      <c r="BJ271">
        <v>0</v>
      </c>
      <c r="BK271">
        <v>0</v>
      </c>
      <c r="BL271" s="2">
        <v>24.82</v>
      </c>
      <c r="BM271" s="2">
        <v>42005.095138888886</v>
      </c>
      <c r="BN271" s="2">
        <v>5.4</v>
      </c>
      <c r="BO271" s="2">
        <v>42005.092361111114</v>
      </c>
      <c r="BP271" s="2">
        <v>6.92</v>
      </c>
      <c r="BQ271" s="2">
        <v>42005.092361111114</v>
      </c>
      <c r="BR271" s="2">
        <v>11.07</v>
      </c>
      <c r="BS271" s="2">
        <v>42005.092361111114</v>
      </c>
      <c r="BT271">
        <v>0</v>
      </c>
      <c r="BU271">
        <v>0</v>
      </c>
      <c r="BV271" t="s">
        <v>135</v>
      </c>
      <c r="BW271">
        <v>0</v>
      </c>
      <c r="BX271">
        <v>0</v>
      </c>
      <c r="BY271" t="s">
        <v>135</v>
      </c>
      <c r="BZ271">
        <v>0</v>
      </c>
      <c r="CA271">
        <v>0</v>
      </c>
      <c r="CB271" t="s">
        <v>135</v>
      </c>
      <c r="CH271" s="2"/>
      <c r="CJ271" s="2"/>
      <c r="CL271" s="2"/>
      <c r="CN271" s="2"/>
      <c r="CQ271" s="2"/>
      <c r="CT271" s="2"/>
      <c r="CW271" s="2"/>
    </row>
    <row r="272" spans="1:101" x14ac:dyDescent="0.25">
      <c r="A272" s="1" t="s">
        <v>163</v>
      </c>
      <c r="B272" s="75" t="s">
        <v>164</v>
      </c>
      <c r="C272">
        <v>0</v>
      </c>
      <c r="D272">
        <v>0</v>
      </c>
      <c r="E272">
        <v>0</v>
      </c>
      <c r="F272">
        <v>604324.56000000006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3.91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7490</v>
      </c>
      <c r="AW272">
        <v>3350</v>
      </c>
      <c r="AX272">
        <v>1219</v>
      </c>
      <c r="AY272">
        <v>12059</v>
      </c>
      <c r="AZ272">
        <v>4202</v>
      </c>
      <c r="BA272">
        <v>7438</v>
      </c>
      <c r="BB272">
        <v>1432</v>
      </c>
      <c r="BC272">
        <v>13072</v>
      </c>
      <c r="BD272">
        <v>9486</v>
      </c>
      <c r="BE272">
        <v>9222</v>
      </c>
      <c r="BF272">
        <v>1768</v>
      </c>
      <c r="BG272">
        <v>20476</v>
      </c>
      <c r="BH272">
        <v>0</v>
      </c>
      <c r="BI272">
        <v>0</v>
      </c>
      <c r="BJ272">
        <v>0</v>
      </c>
      <c r="BK272">
        <v>0</v>
      </c>
      <c r="BL272" s="2">
        <v>24.82</v>
      </c>
      <c r="BM272" s="2">
        <v>42005.095138888886</v>
      </c>
      <c r="BN272" s="2">
        <v>5.4</v>
      </c>
      <c r="BO272" s="2">
        <v>42005.092361111114</v>
      </c>
      <c r="BP272" s="2">
        <v>6.92</v>
      </c>
      <c r="BQ272" s="2">
        <v>42005.092361111114</v>
      </c>
      <c r="BR272" s="2">
        <v>11.07</v>
      </c>
      <c r="BS272" s="2">
        <v>42005.092361111114</v>
      </c>
      <c r="BT272">
        <v>0</v>
      </c>
      <c r="BU272">
        <v>0</v>
      </c>
      <c r="BV272" t="s">
        <v>135</v>
      </c>
      <c r="BW272">
        <v>0</v>
      </c>
      <c r="BX272">
        <v>0</v>
      </c>
      <c r="BY272" t="s">
        <v>135</v>
      </c>
      <c r="BZ272">
        <v>0</v>
      </c>
      <c r="CA272">
        <v>0</v>
      </c>
      <c r="CB272" t="s">
        <v>135</v>
      </c>
      <c r="CH272" s="2"/>
      <c r="CJ272" s="2"/>
      <c r="CL272" s="2"/>
      <c r="CN272" s="2"/>
      <c r="CQ272" s="2"/>
      <c r="CT272" s="2"/>
      <c r="CW272" s="2"/>
    </row>
    <row r="273" spans="1:101" x14ac:dyDescent="0.25">
      <c r="A273" s="1" t="s">
        <v>163</v>
      </c>
      <c r="B273" s="75" t="s">
        <v>164</v>
      </c>
      <c r="C273">
        <v>0</v>
      </c>
      <c r="D273">
        <v>0</v>
      </c>
      <c r="E273">
        <v>0</v>
      </c>
      <c r="F273">
        <v>604324.56000000006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3.91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7490</v>
      </c>
      <c r="AW273">
        <v>3350</v>
      </c>
      <c r="AX273">
        <v>1219</v>
      </c>
      <c r="AY273">
        <v>12059</v>
      </c>
      <c r="AZ273">
        <v>4202</v>
      </c>
      <c r="BA273">
        <v>7438</v>
      </c>
      <c r="BB273">
        <v>1432</v>
      </c>
      <c r="BC273">
        <v>13072</v>
      </c>
      <c r="BD273">
        <v>9486</v>
      </c>
      <c r="BE273">
        <v>9222</v>
      </c>
      <c r="BF273">
        <v>1768</v>
      </c>
      <c r="BG273">
        <v>20476</v>
      </c>
      <c r="BH273">
        <v>0</v>
      </c>
      <c r="BI273">
        <v>0</v>
      </c>
      <c r="BJ273">
        <v>0</v>
      </c>
      <c r="BK273">
        <v>0</v>
      </c>
      <c r="BL273" s="2">
        <v>24.82</v>
      </c>
      <c r="BM273" s="2">
        <v>42005.095138888886</v>
      </c>
      <c r="BN273" s="2">
        <v>5.4</v>
      </c>
      <c r="BO273" s="2">
        <v>42005.092361111114</v>
      </c>
      <c r="BP273" s="2">
        <v>6.92</v>
      </c>
      <c r="BQ273" s="2">
        <v>42005.092361111114</v>
      </c>
      <c r="BR273" s="2">
        <v>11.07</v>
      </c>
      <c r="BS273" s="2">
        <v>42005.092361111114</v>
      </c>
      <c r="BT273">
        <v>0</v>
      </c>
      <c r="BU273">
        <v>0</v>
      </c>
      <c r="BV273" t="s">
        <v>135</v>
      </c>
      <c r="BW273">
        <v>0</v>
      </c>
      <c r="BX273">
        <v>0</v>
      </c>
      <c r="BY273" t="s">
        <v>135</v>
      </c>
      <c r="BZ273">
        <v>0</v>
      </c>
      <c r="CA273">
        <v>0</v>
      </c>
      <c r="CB273" t="s">
        <v>135</v>
      </c>
      <c r="CH273" s="2"/>
      <c r="CJ273" s="2"/>
      <c r="CL273" s="2"/>
      <c r="CN273" s="2"/>
      <c r="CQ273" s="2"/>
      <c r="CT273" s="2"/>
      <c r="CW273" s="2"/>
    </row>
    <row r="274" spans="1:101" x14ac:dyDescent="0.25">
      <c r="A274" s="1" t="s">
        <v>163</v>
      </c>
      <c r="B274" s="75" t="s">
        <v>164</v>
      </c>
      <c r="C274">
        <v>0</v>
      </c>
      <c r="D274">
        <v>0</v>
      </c>
      <c r="E274">
        <v>0</v>
      </c>
      <c r="F274">
        <v>604324.56000000006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3.91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7490</v>
      </c>
      <c r="AW274">
        <v>3350</v>
      </c>
      <c r="AX274">
        <v>1219</v>
      </c>
      <c r="AY274">
        <v>12059</v>
      </c>
      <c r="AZ274">
        <v>4202</v>
      </c>
      <c r="BA274">
        <v>7438</v>
      </c>
      <c r="BB274">
        <v>1432</v>
      </c>
      <c r="BC274">
        <v>13072</v>
      </c>
      <c r="BD274">
        <v>9486</v>
      </c>
      <c r="BE274">
        <v>9222</v>
      </c>
      <c r="BF274">
        <v>1768</v>
      </c>
      <c r="BG274">
        <v>20476</v>
      </c>
      <c r="BH274">
        <v>0</v>
      </c>
      <c r="BI274">
        <v>0</v>
      </c>
      <c r="BJ274">
        <v>0</v>
      </c>
      <c r="BK274">
        <v>0</v>
      </c>
      <c r="BL274" s="2">
        <v>24.82</v>
      </c>
      <c r="BM274" s="2">
        <v>42005.095138888886</v>
      </c>
      <c r="BN274" s="2">
        <v>5.4</v>
      </c>
      <c r="BO274" s="2">
        <v>42005.092361111114</v>
      </c>
      <c r="BP274" s="2">
        <v>6.92</v>
      </c>
      <c r="BQ274" s="2">
        <v>42005.092361111114</v>
      </c>
      <c r="BR274" s="2">
        <v>11.07</v>
      </c>
      <c r="BS274" s="2">
        <v>42005.092361111114</v>
      </c>
      <c r="BT274">
        <v>0</v>
      </c>
      <c r="BU274">
        <v>0</v>
      </c>
      <c r="BV274" t="s">
        <v>135</v>
      </c>
      <c r="BW274">
        <v>0</v>
      </c>
      <c r="BX274">
        <v>0</v>
      </c>
      <c r="BY274" t="s">
        <v>135</v>
      </c>
      <c r="BZ274">
        <v>0</v>
      </c>
      <c r="CA274">
        <v>0</v>
      </c>
      <c r="CB274" t="s">
        <v>135</v>
      </c>
      <c r="CH274" s="2"/>
      <c r="CJ274" s="2"/>
      <c r="CL274" s="2"/>
      <c r="CN274" s="2"/>
      <c r="CQ274" s="2"/>
      <c r="CT274" s="2"/>
      <c r="CW274" s="2"/>
    </row>
    <row r="275" spans="1:101" x14ac:dyDescent="0.25">
      <c r="A275" s="1" t="s">
        <v>163</v>
      </c>
      <c r="B275" s="75" t="s">
        <v>164</v>
      </c>
      <c r="C275">
        <v>0</v>
      </c>
      <c r="D275">
        <v>0</v>
      </c>
      <c r="E275">
        <v>0</v>
      </c>
      <c r="F275">
        <v>604324.56000000006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3.91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7490</v>
      </c>
      <c r="AW275">
        <v>3350</v>
      </c>
      <c r="AX275">
        <v>1219</v>
      </c>
      <c r="AY275">
        <v>12059</v>
      </c>
      <c r="AZ275">
        <v>4202</v>
      </c>
      <c r="BA275">
        <v>7438</v>
      </c>
      <c r="BB275">
        <v>1432</v>
      </c>
      <c r="BC275">
        <v>13072</v>
      </c>
      <c r="BD275">
        <v>9486</v>
      </c>
      <c r="BE275">
        <v>9222</v>
      </c>
      <c r="BF275">
        <v>1768</v>
      </c>
      <c r="BG275">
        <v>20476</v>
      </c>
      <c r="BH275">
        <v>0</v>
      </c>
      <c r="BI275">
        <v>0</v>
      </c>
      <c r="BJ275">
        <v>0</v>
      </c>
      <c r="BK275">
        <v>0</v>
      </c>
      <c r="BL275" s="2">
        <v>24.82</v>
      </c>
      <c r="BM275" s="2">
        <v>42005.095138888886</v>
      </c>
      <c r="BN275" s="2">
        <v>5.4</v>
      </c>
      <c r="BO275" s="2">
        <v>42005.092361111114</v>
      </c>
      <c r="BP275" s="2">
        <v>6.92</v>
      </c>
      <c r="BQ275" s="2">
        <v>42005.092361111114</v>
      </c>
      <c r="BR275" s="2">
        <v>11.07</v>
      </c>
      <c r="BS275" s="2">
        <v>42005.092361111114</v>
      </c>
      <c r="BT275">
        <v>0</v>
      </c>
      <c r="BU275">
        <v>0</v>
      </c>
      <c r="BV275" t="s">
        <v>135</v>
      </c>
      <c r="BW275">
        <v>0</v>
      </c>
      <c r="BX275">
        <v>0</v>
      </c>
      <c r="BY275" t="s">
        <v>135</v>
      </c>
      <c r="BZ275">
        <v>0</v>
      </c>
      <c r="CA275">
        <v>0</v>
      </c>
      <c r="CB275" t="s">
        <v>135</v>
      </c>
      <c r="CH275" s="2"/>
      <c r="CJ275" s="2"/>
      <c r="CL275" s="2"/>
      <c r="CN275" s="2"/>
      <c r="CQ275" s="2"/>
      <c r="CT275" s="2"/>
      <c r="CW275" s="2"/>
    </row>
    <row r="276" spans="1:101" x14ac:dyDescent="0.25">
      <c r="A276" s="1" t="s">
        <v>163</v>
      </c>
      <c r="B276" s="75" t="s">
        <v>164</v>
      </c>
      <c r="C276">
        <v>0</v>
      </c>
      <c r="D276">
        <v>0</v>
      </c>
      <c r="E276">
        <v>0</v>
      </c>
      <c r="F276">
        <v>604324.56000000006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3.91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7490</v>
      </c>
      <c r="AW276">
        <v>3350</v>
      </c>
      <c r="AX276">
        <v>1219</v>
      </c>
      <c r="AY276">
        <v>12059</v>
      </c>
      <c r="AZ276">
        <v>4202</v>
      </c>
      <c r="BA276">
        <v>7438</v>
      </c>
      <c r="BB276">
        <v>1432</v>
      </c>
      <c r="BC276">
        <v>13072</v>
      </c>
      <c r="BD276">
        <v>9486</v>
      </c>
      <c r="BE276">
        <v>9222</v>
      </c>
      <c r="BF276">
        <v>1768</v>
      </c>
      <c r="BG276">
        <v>20476</v>
      </c>
      <c r="BH276">
        <v>0</v>
      </c>
      <c r="BI276">
        <v>0</v>
      </c>
      <c r="BJ276">
        <v>0</v>
      </c>
      <c r="BK276">
        <v>0</v>
      </c>
      <c r="BL276" s="2">
        <v>24.82</v>
      </c>
      <c r="BM276" s="2">
        <v>42005.095138888886</v>
      </c>
      <c r="BN276" s="2">
        <v>5.4</v>
      </c>
      <c r="BO276" s="2">
        <v>42005.092361111114</v>
      </c>
      <c r="BP276" s="2">
        <v>6.92</v>
      </c>
      <c r="BQ276" s="2">
        <v>42005.092361111114</v>
      </c>
      <c r="BR276" s="2">
        <v>11.07</v>
      </c>
      <c r="BS276" s="2">
        <v>42005.092361111114</v>
      </c>
      <c r="BT276">
        <v>0</v>
      </c>
      <c r="BU276">
        <v>0</v>
      </c>
      <c r="BV276" t="s">
        <v>135</v>
      </c>
      <c r="BW276">
        <v>0</v>
      </c>
      <c r="BX276">
        <v>0</v>
      </c>
      <c r="BY276" t="s">
        <v>135</v>
      </c>
      <c r="BZ276">
        <v>0</v>
      </c>
      <c r="CA276">
        <v>0</v>
      </c>
      <c r="CB276" t="s">
        <v>135</v>
      </c>
      <c r="CH276" s="2"/>
      <c r="CJ276" s="2"/>
      <c r="CL276" s="2"/>
      <c r="CN276" s="2"/>
      <c r="CQ276" s="2"/>
      <c r="CT276" s="2"/>
      <c r="CW276" s="2"/>
    </row>
    <row r="277" spans="1:101" x14ac:dyDescent="0.25">
      <c r="A277" s="1" t="s">
        <v>163</v>
      </c>
      <c r="B277" s="75" t="s">
        <v>164</v>
      </c>
      <c r="C277">
        <v>0</v>
      </c>
      <c r="D277">
        <v>0</v>
      </c>
      <c r="E277">
        <v>0</v>
      </c>
      <c r="F277">
        <v>604324.56000000006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3.91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7490</v>
      </c>
      <c r="AW277">
        <v>3350</v>
      </c>
      <c r="AX277">
        <v>1219</v>
      </c>
      <c r="AY277">
        <v>12059</v>
      </c>
      <c r="AZ277">
        <v>4202</v>
      </c>
      <c r="BA277">
        <v>7438</v>
      </c>
      <c r="BB277">
        <v>1432</v>
      </c>
      <c r="BC277">
        <v>13072</v>
      </c>
      <c r="BD277">
        <v>9486</v>
      </c>
      <c r="BE277">
        <v>9222</v>
      </c>
      <c r="BF277">
        <v>1768</v>
      </c>
      <c r="BG277">
        <v>20476</v>
      </c>
      <c r="BH277">
        <v>0</v>
      </c>
      <c r="BI277">
        <v>0</v>
      </c>
      <c r="BJ277">
        <v>0</v>
      </c>
      <c r="BK277">
        <v>0</v>
      </c>
      <c r="BL277" s="2">
        <v>24.82</v>
      </c>
      <c r="BM277" s="2">
        <v>42005.095138888886</v>
      </c>
      <c r="BN277" s="2">
        <v>5.4</v>
      </c>
      <c r="BO277" s="2">
        <v>42005.092361111114</v>
      </c>
      <c r="BP277" s="2">
        <v>6.92</v>
      </c>
      <c r="BQ277" s="2">
        <v>42005.092361111114</v>
      </c>
      <c r="BR277" s="2">
        <v>11.07</v>
      </c>
      <c r="BS277" s="2">
        <v>42005.092361111114</v>
      </c>
      <c r="BT277">
        <v>0</v>
      </c>
      <c r="BU277">
        <v>0</v>
      </c>
      <c r="BV277" t="s">
        <v>135</v>
      </c>
      <c r="BW277">
        <v>0</v>
      </c>
      <c r="BX277">
        <v>0</v>
      </c>
      <c r="BY277" t="s">
        <v>135</v>
      </c>
      <c r="BZ277">
        <v>0</v>
      </c>
      <c r="CA277">
        <v>0</v>
      </c>
      <c r="CB277" t="s">
        <v>135</v>
      </c>
      <c r="CH277" s="2"/>
      <c r="CJ277" s="2"/>
      <c r="CL277" s="2"/>
      <c r="CN277" s="2"/>
      <c r="CQ277" s="2"/>
      <c r="CT277" s="2"/>
      <c r="CW277" s="2"/>
    </row>
    <row r="278" spans="1:101" x14ac:dyDescent="0.25">
      <c r="A278" s="1" t="s">
        <v>163</v>
      </c>
      <c r="B278" s="75" t="s">
        <v>164</v>
      </c>
      <c r="C278">
        <v>0</v>
      </c>
      <c r="D278">
        <v>0</v>
      </c>
      <c r="E278">
        <v>0</v>
      </c>
      <c r="F278">
        <v>604324.56000000006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3.91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7490</v>
      </c>
      <c r="AW278">
        <v>3350</v>
      </c>
      <c r="AX278">
        <v>1219</v>
      </c>
      <c r="AY278">
        <v>12059</v>
      </c>
      <c r="AZ278">
        <v>4202</v>
      </c>
      <c r="BA278">
        <v>7438</v>
      </c>
      <c r="BB278">
        <v>1432</v>
      </c>
      <c r="BC278">
        <v>13072</v>
      </c>
      <c r="BD278">
        <v>9486</v>
      </c>
      <c r="BE278">
        <v>9222</v>
      </c>
      <c r="BF278">
        <v>1768</v>
      </c>
      <c r="BG278">
        <v>20476</v>
      </c>
      <c r="BH278">
        <v>0</v>
      </c>
      <c r="BI278">
        <v>0</v>
      </c>
      <c r="BJ278">
        <v>0</v>
      </c>
      <c r="BK278">
        <v>0</v>
      </c>
      <c r="BL278" s="2">
        <v>24.82</v>
      </c>
      <c r="BM278" s="2">
        <v>42005.095138888886</v>
      </c>
      <c r="BN278" s="2">
        <v>5.4</v>
      </c>
      <c r="BO278" s="2">
        <v>42005.092361111114</v>
      </c>
      <c r="BP278" s="2">
        <v>6.92</v>
      </c>
      <c r="BQ278" s="2">
        <v>42005.092361111114</v>
      </c>
      <c r="BR278" s="2">
        <v>11.07</v>
      </c>
      <c r="BS278" s="2">
        <v>42005.092361111114</v>
      </c>
      <c r="BT278">
        <v>0</v>
      </c>
      <c r="BU278">
        <v>0</v>
      </c>
      <c r="BV278" t="s">
        <v>135</v>
      </c>
      <c r="BW278">
        <v>0</v>
      </c>
      <c r="BX278">
        <v>0</v>
      </c>
      <c r="BY278" t="s">
        <v>135</v>
      </c>
      <c r="BZ278">
        <v>0</v>
      </c>
      <c r="CA278">
        <v>0</v>
      </c>
      <c r="CB278" t="s">
        <v>135</v>
      </c>
      <c r="CH278" s="2"/>
      <c r="CJ278" s="2"/>
      <c r="CL278" s="2"/>
      <c r="CN278" s="2"/>
      <c r="CQ278" s="2"/>
      <c r="CT278" s="2"/>
      <c r="CW278" s="2"/>
    </row>
    <row r="279" spans="1:101" x14ac:dyDescent="0.25">
      <c r="A279" s="1" t="s">
        <v>163</v>
      </c>
      <c r="B279" s="75" t="s">
        <v>164</v>
      </c>
      <c r="C279">
        <v>0</v>
      </c>
      <c r="D279">
        <v>0</v>
      </c>
      <c r="E279">
        <v>0</v>
      </c>
      <c r="F279">
        <v>604324.56000000006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3.91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7490</v>
      </c>
      <c r="AW279">
        <v>3350</v>
      </c>
      <c r="AX279">
        <v>1219</v>
      </c>
      <c r="AY279">
        <v>12059</v>
      </c>
      <c r="AZ279">
        <v>4202</v>
      </c>
      <c r="BA279">
        <v>7438</v>
      </c>
      <c r="BB279">
        <v>1432</v>
      </c>
      <c r="BC279">
        <v>13072</v>
      </c>
      <c r="BD279">
        <v>9486</v>
      </c>
      <c r="BE279">
        <v>9222</v>
      </c>
      <c r="BF279">
        <v>1768</v>
      </c>
      <c r="BG279">
        <v>20476</v>
      </c>
      <c r="BH279">
        <v>0</v>
      </c>
      <c r="BI279">
        <v>0</v>
      </c>
      <c r="BJ279">
        <v>0</v>
      </c>
      <c r="BK279">
        <v>0</v>
      </c>
      <c r="BL279" s="2">
        <v>24.82</v>
      </c>
      <c r="BM279" s="2">
        <v>42005.095138888886</v>
      </c>
      <c r="BN279" s="2">
        <v>5.4</v>
      </c>
      <c r="BO279" s="2">
        <v>42005.092361111114</v>
      </c>
      <c r="BP279" s="2">
        <v>6.92</v>
      </c>
      <c r="BQ279" s="2">
        <v>42005.092361111114</v>
      </c>
      <c r="BR279" s="2">
        <v>11.07</v>
      </c>
      <c r="BS279" s="2">
        <v>42005.092361111114</v>
      </c>
      <c r="BT279">
        <v>0</v>
      </c>
      <c r="BU279">
        <v>0</v>
      </c>
      <c r="BV279" t="s">
        <v>135</v>
      </c>
      <c r="BW279">
        <v>0</v>
      </c>
      <c r="BX279">
        <v>0</v>
      </c>
      <c r="BY279" t="s">
        <v>135</v>
      </c>
      <c r="BZ279">
        <v>0</v>
      </c>
      <c r="CA279">
        <v>0</v>
      </c>
      <c r="CB279" t="s">
        <v>135</v>
      </c>
      <c r="CH279" s="2"/>
      <c r="CJ279" s="2"/>
      <c r="CL279" s="2"/>
      <c r="CN279" s="2"/>
      <c r="CQ279" s="2"/>
      <c r="CT279" s="2"/>
      <c r="CW279" s="2"/>
    </row>
    <row r="280" spans="1:101" x14ac:dyDescent="0.25">
      <c r="A280" s="1" t="s">
        <v>163</v>
      </c>
      <c r="B280" s="75" t="s">
        <v>164</v>
      </c>
      <c r="C280">
        <v>0</v>
      </c>
      <c r="D280">
        <v>0</v>
      </c>
      <c r="E280">
        <v>0</v>
      </c>
      <c r="F280">
        <v>604324.56000000006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3.91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7490</v>
      </c>
      <c r="AW280">
        <v>3350</v>
      </c>
      <c r="AX280">
        <v>1219</v>
      </c>
      <c r="AY280">
        <v>12059</v>
      </c>
      <c r="AZ280">
        <v>4202</v>
      </c>
      <c r="BA280">
        <v>7438</v>
      </c>
      <c r="BB280">
        <v>1432</v>
      </c>
      <c r="BC280">
        <v>13072</v>
      </c>
      <c r="BD280">
        <v>9486</v>
      </c>
      <c r="BE280">
        <v>9222</v>
      </c>
      <c r="BF280">
        <v>1768</v>
      </c>
      <c r="BG280">
        <v>20476</v>
      </c>
      <c r="BH280">
        <v>0</v>
      </c>
      <c r="BI280">
        <v>0</v>
      </c>
      <c r="BJ280">
        <v>0</v>
      </c>
      <c r="BK280">
        <v>0</v>
      </c>
      <c r="BL280" s="2">
        <v>24.82</v>
      </c>
      <c r="BM280" s="2">
        <v>42005.095138888886</v>
      </c>
      <c r="BN280" s="2">
        <v>5.4</v>
      </c>
      <c r="BO280" s="2">
        <v>42005.092361111114</v>
      </c>
      <c r="BP280" s="2">
        <v>6.92</v>
      </c>
      <c r="BQ280" s="2">
        <v>42005.092361111114</v>
      </c>
      <c r="BR280" s="2">
        <v>11.07</v>
      </c>
      <c r="BS280" s="2">
        <v>42005.092361111114</v>
      </c>
      <c r="BT280">
        <v>0</v>
      </c>
      <c r="BU280">
        <v>0</v>
      </c>
      <c r="BV280" t="s">
        <v>135</v>
      </c>
      <c r="BW280">
        <v>0</v>
      </c>
      <c r="BX280">
        <v>0</v>
      </c>
      <c r="BY280" t="s">
        <v>135</v>
      </c>
      <c r="BZ280">
        <v>0</v>
      </c>
      <c r="CA280">
        <v>0</v>
      </c>
      <c r="CB280" t="s">
        <v>135</v>
      </c>
      <c r="CH280" s="2"/>
      <c r="CJ280" s="2"/>
      <c r="CL280" s="2"/>
      <c r="CN280" s="2"/>
      <c r="CQ280" s="2"/>
      <c r="CT280" s="2"/>
      <c r="CW280" s="2"/>
    </row>
    <row r="281" spans="1:101" x14ac:dyDescent="0.25">
      <c r="A281" s="1" t="s">
        <v>163</v>
      </c>
      <c r="B281" s="75" t="s">
        <v>164</v>
      </c>
      <c r="C281">
        <v>0</v>
      </c>
      <c r="D281">
        <v>0</v>
      </c>
      <c r="E281">
        <v>0</v>
      </c>
      <c r="F281">
        <v>604324.56000000006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3.91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7490</v>
      </c>
      <c r="AW281">
        <v>3350</v>
      </c>
      <c r="AX281">
        <v>1219</v>
      </c>
      <c r="AY281">
        <v>12059</v>
      </c>
      <c r="AZ281">
        <v>4202</v>
      </c>
      <c r="BA281">
        <v>7438</v>
      </c>
      <c r="BB281">
        <v>1432</v>
      </c>
      <c r="BC281">
        <v>13072</v>
      </c>
      <c r="BD281">
        <v>9486</v>
      </c>
      <c r="BE281">
        <v>9222</v>
      </c>
      <c r="BF281">
        <v>1768</v>
      </c>
      <c r="BG281">
        <v>20476</v>
      </c>
      <c r="BH281">
        <v>0</v>
      </c>
      <c r="BI281">
        <v>0</v>
      </c>
      <c r="BJ281">
        <v>0</v>
      </c>
      <c r="BK281">
        <v>0</v>
      </c>
      <c r="BL281" s="2">
        <v>24.82</v>
      </c>
      <c r="BM281" s="2">
        <v>42005.095138888886</v>
      </c>
      <c r="BN281" s="2">
        <v>5.4</v>
      </c>
      <c r="BO281" s="2">
        <v>42005.092361111114</v>
      </c>
      <c r="BP281" s="2">
        <v>6.92</v>
      </c>
      <c r="BQ281" s="2">
        <v>42005.092361111114</v>
      </c>
      <c r="BR281" s="2">
        <v>11.07</v>
      </c>
      <c r="BS281" s="2">
        <v>42005.092361111114</v>
      </c>
      <c r="BT281">
        <v>0</v>
      </c>
      <c r="BU281">
        <v>0</v>
      </c>
      <c r="BV281" t="s">
        <v>135</v>
      </c>
      <c r="BW281">
        <v>0</v>
      </c>
      <c r="BX281">
        <v>0</v>
      </c>
      <c r="BY281" t="s">
        <v>135</v>
      </c>
      <c r="BZ281">
        <v>0</v>
      </c>
      <c r="CA281">
        <v>0</v>
      </c>
      <c r="CB281" t="s">
        <v>135</v>
      </c>
      <c r="CH281" s="2"/>
      <c r="CJ281" s="2"/>
      <c r="CL281" s="2"/>
      <c r="CN281" s="2"/>
      <c r="CQ281" s="2"/>
      <c r="CT281" s="2"/>
      <c r="CW281" s="2"/>
    </row>
    <row r="282" spans="1:101" x14ac:dyDescent="0.25">
      <c r="A282" s="1" t="s">
        <v>163</v>
      </c>
      <c r="B282" s="75" t="s">
        <v>164</v>
      </c>
      <c r="C282">
        <v>0</v>
      </c>
      <c r="D282">
        <v>0</v>
      </c>
      <c r="E282">
        <v>0</v>
      </c>
      <c r="F282">
        <v>604324.56000000006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3.91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7490</v>
      </c>
      <c r="AW282">
        <v>3350</v>
      </c>
      <c r="AX282">
        <v>1219</v>
      </c>
      <c r="AY282">
        <v>12059</v>
      </c>
      <c r="AZ282">
        <v>4202</v>
      </c>
      <c r="BA282">
        <v>7438</v>
      </c>
      <c r="BB282">
        <v>1432</v>
      </c>
      <c r="BC282">
        <v>13072</v>
      </c>
      <c r="BD282">
        <v>9486</v>
      </c>
      <c r="BE282">
        <v>9222</v>
      </c>
      <c r="BF282">
        <v>1768</v>
      </c>
      <c r="BG282">
        <v>20476</v>
      </c>
      <c r="BH282">
        <v>0</v>
      </c>
      <c r="BI282">
        <v>0</v>
      </c>
      <c r="BJ282">
        <v>0</v>
      </c>
      <c r="BK282">
        <v>0</v>
      </c>
      <c r="BL282" s="2">
        <v>24.82</v>
      </c>
      <c r="BM282" s="2">
        <v>42005.095138888886</v>
      </c>
      <c r="BN282" s="2">
        <v>5.4</v>
      </c>
      <c r="BO282" s="2">
        <v>42005.092361111114</v>
      </c>
      <c r="BP282" s="2">
        <v>6.92</v>
      </c>
      <c r="BQ282" s="2">
        <v>42005.092361111114</v>
      </c>
      <c r="BR282" s="2">
        <v>11.07</v>
      </c>
      <c r="BS282" s="2">
        <v>42005.092361111114</v>
      </c>
      <c r="BT282">
        <v>0</v>
      </c>
      <c r="BU282">
        <v>0</v>
      </c>
      <c r="BV282" t="s">
        <v>135</v>
      </c>
      <c r="BW282">
        <v>0</v>
      </c>
      <c r="BX282">
        <v>0</v>
      </c>
      <c r="BY282" t="s">
        <v>135</v>
      </c>
      <c r="BZ282">
        <v>0</v>
      </c>
      <c r="CA282">
        <v>0</v>
      </c>
      <c r="CB282" t="s">
        <v>135</v>
      </c>
      <c r="CH282" s="2"/>
      <c r="CJ282" s="2"/>
      <c r="CL282" s="2"/>
      <c r="CN282" s="2"/>
      <c r="CQ282" s="2"/>
      <c r="CT282" s="2"/>
      <c r="CW282" s="2"/>
    </row>
    <row r="283" spans="1:101" x14ac:dyDescent="0.25">
      <c r="A283" s="1" t="s">
        <v>163</v>
      </c>
      <c r="B283" s="75" t="s">
        <v>164</v>
      </c>
      <c r="C283">
        <v>0</v>
      </c>
      <c r="D283">
        <v>0</v>
      </c>
      <c r="E283">
        <v>0</v>
      </c>
      <c r="F283">
        <v>604324.56000000006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3.91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7490</v>
      </c>
      <c r="AW283">
        <v>3350</v>
      </c>
      <c r="AX283">
        <v>1219</v>
      </c>
      <c r="AY283">
        <v>12059</v>
      </c>
      <c r="AZ283">
        <v>4202</v>
      </c>
      <c r="BA283">
        <v>7438</v>
      </c>
      <c r="BB283">
        <v>1432</v>
      </c>
      <c r="BC283">
        <v>13072</v>
      </c>
      <c r="BD283">
        <v>9486</v>
      </c>
      <c r="BE283">
        <v>9222</v>
      </c>
      <c r="BF283">
        <v>1768</v>
      </c>
      <c r="BG283">
        <v>20476</v>
      </c>
      <c r="BH283">
        <v>0</v>
      </c>
      <c r="BI283">
        <v>0</v>
      </c>
      <c r="BJ283">
        <v>0</v>
      </c>
      <c r="BK283">
        <v>0</v>
      </c>
      <c r="BL283" s="2">
        <v>24.82</v>
      </c>
      <c r="BM283" s="2">
        <v>42005.095138888886</v>
      </c>
      <c r="BN283" s="2">
        <v>5.4</v>
      </c>
      <c r="BO283" s="2">
        <v>42005.092361111114</v>
      </c>
      <c r="BP283" s="2">
        <v>6.92</v>
      </c>
      <c r="BQ283" s="2">
        <v>42005.092361111114</v>
      </c>
      <c r="BR283" s="2">
        <v>11.07</v>
      </c>
      <c r="BS283" s="2">
        <v>42005.092361111114</v>
      </c>
      <c r="BT283">
        <v>0</v>
      </c>
      <c r="BU283">
        <v>0</v>
      </c>
      <c r="BV283" t="s">
        <v>135</v>
      </c>
      <c r="BW283">
        <v>0</v>
      </c>
      <c r="BX283">
        <v>0</v>
      </c>
      <c r="BY283" t="s">
        <v>135</v>
      </c>
      <c r="BZ283">
        <v>0</v>
      </c>
      <c r="CA283">
        <v>0</v>
      </c>
      <c r="CB283" t="s">
        <v>135</v>
      </c>
      <c r="CH283" s="2"/>
      <c r="CJ283" s="2"/>
      <c r="CL283" s="2"/>
      <c r="CN283" s="2"/>
      <c r="CQ283" s="2"/>
      <c r="CT283" s="2"/>
      <c r="CW283" s="2"/>
    </row>
    <row r="284" spans="1:101" x14ac:dyDescent="0.25">
      <c r="A284" s="1" t="s">
        <v>163</v>
      </c>
      <c r="B284" s="75" t="s">
        <v>164</v>
      </c>
      <c r="C284">
        <v>0</v>
      </c>
      <c r="D284">
        <v>0</v>
      </c>
      <c r="E284">
        <v>0</v>
      </c>
      <c r="F284">
        <v>604324.56000000006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3.91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7490</v>
      </c>
      <c r="AW284">
        <v>3350</v>
      </c>
      <c r="AX284">
        <v>1219</v>
      </c>
      <c r="AY284">
        <v>12059</v>
      </c>
      <c r="AZ284">
        <v>4202</v>
      </c>
      <c r="BA284">
        <v>7438</v>
      </c>
      <c r="BB284">
        <v>1432</v>
      </c>
      <c r="BC284">
        <v>13072</v>
      </c>
      <c r="BD284">
        <v>9486</v>
      </c>
      <c r="BE284">
        <v>9222</v>
      </c>
      <c r="BF284">
        <v>1768</v>
      </c>
      <c r="BG284">
        <v>20476</v>
      </c>
      <c r="BH284">
        <v>0</v>
      </c>
      <c r="BI284">
        <v>0</v>
      </c>
      <c r="BJ284">
        <v>0</v>
      </c>
      <c r="BK284">
        <v>0</v>
      </c>
      <c r="BL284" s="2">
        <v>24.82</v>
      </c>
      <c r="BM284" s="2">
        <v>42005.095138888886</v>
      </c>
      <c r="BN284" s="2">
        <v>5.4</v>
      </c>
      <c r="BO284" s="2">
        <v>42005.092361111114</v>
      </c>
      <c r="BP284" s="2">
        <v>6.92</v>
      </c>
      <c r="BQ284" s="2">
        <v>42005.092361111114</v>
      </c>
      <c r="BR284" s="2">
        <v>11.07</v>
      </c>
      <c r="BS284" s="2">
        <v>42005.092361111114</v>
      </c>
      <c r="BT284">
        <v>0</v>
      </c>
      <c r="BU284">
        <v>0</v>
      </c>
      <c r="BV284" t="s">
        <v>135</v>
      </c>
      <c r="BW284">
        <v>0</v>
      </c>
      <c r="BX284">
        <v>0</v>
      </c>
      <c r="BY284" t="s">
        <v>135</v>
      </c>
      <c r="BZ284">
        <v>0</v>
      </c>
      <c r="CA284">
        <v>0</v>
      </c>
      <c r="CB284" t="s">
        <v>135</v>
      </c>
      <c r="CH284" s="2"/>
      <c r="CJ284" s="2"/>
      <c r="CL284" s="2"/>
      <c r="CN284" s="2"/>
      <c r="CQ284" s="2"/>
      <c r="CT284" s="2"/>
      <c r="CW284" s="2"/>
    </row>
    <row r="285" spans="1:101" x14ac:dyDescent="0.25">
      <c r="A285" s="1" t="s">
        <v>163</v>
      </c>
      <c r="B285" s="75" t="s">
        <v>164</v>
      </c>
      <c r="C285">
        <v>0</v>
      </c>
      <c r="D285">
        <v>0</v>
      </c>
      <c r="E285">
        <v>0</v>
      </c>
      <c r="F285">
        <v>604324.56000000006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3.91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7490</v>
      </c>
      <c r="AW285">
        <v>3350</v>
      </c>
      <c r="AX285">
        <v>1219</v>
      </c>
      <c r="AY285">
        <v>12059</v>
      </c>
      <c r="AZ285">
        <v>4202</v>
      </c>
      <c r="BA285">
        <v>7438</v>
      </c>
      <c r="BB285">
        <v>1432</v>
      </c>
      <c r="BC285">
        <v>13072</v>
      </c>
      <c r="BD285">
        <v>9486</v>
      </c>
      <c r="BE285">
        <v>9222</v>
      </c>
      <c r="BF285">
        <v>1768</v>
      </c>
      <c r="BG285">
        <v>20476</v>
      </c>
      <c r="BH285">
        <v>0</v>
      </c>
      <c r="BI285">
        <v>0</v>
      </c>
      <c r="BJ285">
        <v>0</v>
      </c>
      <c r="BK285">
        <v>0</v>
      </c>
      <c r="BL285" s="2">
        <v>24.82</v>
      </c>
      <c r="BM285" s="2">
        <v>42005.095138888886</v>
      </c>
      <c r="BN285" s="2">
        <v>5.4</v>
      </c>
      <c r="BO285" s="2">
        <v>42005.092361111114</v>
      </c>
      <c r="BP285" s="2">
        <v>6.92</v>
      </c>
      <c r="BQ285" s="2">
        <v>42005.092361111114</v>
      </c>
      <c r="BR285" s="2">
        <v>11.07</v>
      </c>
      <c r="BS285" s="2">
        <v>42005.092361111114</v>
      </c>
      <c r="BT285">
        <v>0</v>
      </c>
      <c r="BU285">
        <v>0</v>
      </c>
      <c r="BV285" t="s">
        <v>135</v>
      </c>
      <c r="BW285">
        <v>0</v>
      </c>
      <c r="BX285">
        <v>0</v>
      </c>
      <c r="BY285" t="s">
        <v>135</v>
      </c>
      <c r="BZ285">
        <v>0</v>
      </c>
      <c r="CA285">
        <v>0</v>
      </c>
      <c r="CB285" t="s">
        <v>135</v>
      </c>
      <c r="CH285" s="2"/>
      <c r="CJ285" s="2"/>
      <c r="CL285" s="2"/>
      <c r="CN285" s="2"/>
      <c r="CQ285" s="2"/>
      <c r="CT285" s="2"/>
      <c r="CW285" s="2"/>
    </row>
    <row r="286" spans="1:101" x14ac:dyDescent="0.25">
      <c r="A286" s="1" t="s">
        <v>163</v>
      </c>
      <c r="B286" s="75" t="s">
        <v>164</v>
      </c>
      <c r="C286">
        <v>0</v>
      </c>
      <c r="D286">
        <v>0</v>
      </c>
      <c r="E286">
        <v>0</v>
      </c>
      <c r="F286">
        <v>604324.56000000006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3.91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7490</v>
      </c>
      <c r="AW286">
        <v>3350</v>
      </c>
      <c r="AX286">
        <v>1219</v>
      </c>
      <c r="AY286">
        <v>12059</v>
      </c>
      <c r="AZ286">
        <v>4202</v>
      </c>
      <c r="BA286">
        <v>7438</v>
      </c>
      <c r="BB286">
        <v>1432</v>
      </c>
      <c r="BC286">
        <v>13072</v>
      </c>
      <c r="BD286">
        <v>9486</v>
      </c>
      <c r="BE286">
        <v>9222</v>
      </c>
      <c r="BF286">
        <v>1768</v>
      </c>
      <c r="BG286">
        <v>20476</v>
      </c>
      <c r="BH286">
        <v>0</v>
      </c>
      <c r="BI286">
        <v>0</v>
      </c>
      <c r="BJ286">
        <v>0</v>
      </c>
      <c r="BK286">
        <v>0</v>
      </c>
      <c r="BL286" s="2">
        <v>24.82</v>
      </c>
      <c r="BM286" s="2">
        <v>42005.095138888886</v>
      </c>
      <c r="BN286" s="2">
        <v>5.4</v>
      </c>
      <c r="BO286" s="2">
        <v>42005.092361111114</v>
      </c>
      <c r="BP286" s="2">
        <v>6.92</v>
      </c>
      <c r="BQ286" s="2">
        <v>42005.092361111114</v>
      </c>
      <c r="BR286" s="2">
        <v>11.07</v>
      </c>
      <c r="BS286" s="2">
        <v>42005.092361111114</v>
      </c>
      <c r="BT286">
        <v>0</v>
      </c>
      <c r="BU286">
        <v>0</v>
      </c>
      <c r="BV286" t="s">
        <v>135</v>
      </c>
      <c r="BW286">
        <v>0</v>
      </c>
      <c r="BX286">
        <v>0</v>
      </c>
      <c r="BY286" t="s">
        <v>135</v>
      </c>
      <c r="BZ286">
        <v>0</v>
      </c>
      <c r="CA286">
        <v>0</v>
      </c>
      <c r="CB286" t="s">
        <v>135</v>
      </c>
      <c r="CH286" s="2"/>
      <c r="CJ286" s="2"/>
      <c r="CL286" s="2"/>
      <c r="CN286" s="2"/>
      <c r="CQ286" s="2"/>
      <c r="CT286" s="2"/>
      <c r="CW286" s="2"/>
    </row>
    <row r="287" spans="1:101" x14ac:dyDescent="0.25">
      <c r="A287" s="1" t="s">
        <v>163</v>
      </c>
      <c r="B287" s="75" t="s">
        <v>164</v>
      </c>
      <c r="C287">
        <v>0</v>
      </c>
      <c r="D287">
        <v>0</v>
      </c>
      <c r="E287">
        <v>0</v>
      </c>
      <c r="F287">
        <v>604324.56000000006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3.91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7490</v>
      </c>
      <c r="AW287">
        <v>3350</v>
      </c>
      <c r="AX287">
        <v>1219</v>
      </c>
      <c r="AY287">
        <v>12059</v>
      </c>
      <c r="AZ287">
        <v>4202</v>
      </c>
      <c r="BA287">
        <v>7438</v>
      </c>
      <c r="BB287">
        <v>1432</v>
      </c>
      <c r="BC287">
        <v>13072</v>
      </c>
      <c r="BD287">
        <v>9486</v>
      </c>
      <c r="BE287">
        <v>9222</v>
      </c>
      <c r="BF287">
        <v>1768</v>
      </c>
      <c r="BG287">
        <v>20476</v>
      </c>
      <c r="BH287">
        <v>0</v>
      </c>
      <c r="BI287">
        <v>0</v>
      </c>
      <c r="BJ287">
        <v>0</v>
      </c>
      <c r="BK287">
        <v>0</v>
      </c>
      <c r="BL287" s="2">
        <v>24.82</v>
      </c>
      <c r="BM287" s="2">
        <v>42005.095138888886</v>
      </c>
      <c r="BN287" s="2">
        <v>5.4</v>
      </c>
      <c r="BO287" s="2">
        <v>42005.092361111114</v>
      </c>
      <c r="BP287" s="2">
        <v>6.92</v>
      </c>
      <c r="BQ287" s="2">
        <v>42005.092361111114</v>
      </c>
      <c r="BR287" s="2">
        <v>11.07</v>
      </c>
      <c r="BS287" s="2">
        <v>42005.092361111114</v>
      </c>
      <c r="BT287">
        <v>0</v>
      </c>
      <c r="BU287">
        <v>0</v>
      </c>
      <c r="BV287" t="s">
        <v>135</v>
      </c>
      <c r="BW287">
        <v>0</v>
      </c>
      <c r="BX287">
        <v>0</v>
      </c>
      <c r="BY287" t="s">
        <v>135</v>
      </c>
      <c r="BZ287">
        <v>0</v>
      </c>
      <c r="CA287">
        <v>0</v>
      </c>
      <c r="CB287" t="s">
        <v>135</v>
      </c>
      <c r="CH287" s="2"/>
      <c r="CJ287" s="2"/>
      <c r="CL287" s="2"/>
      <c r="CN287" s="2"/>
      <c r="CQ287" s="2"/>
      <c r="CT287" s="2"/>
      <c r="CW287" s="2"/>
    </row>
    <row r="288" spans="1:101" x14ac:dyDescent="0.25">
      <c r="A288" s="1" t="s">
        <v>163</v>
      </c>
      <c r="B288" s="75" t="s">
        <v>164</v>
      </c>
      <c r="C288">
        <v>0</v>
      </c>
      <c r="D288">
        <v>0</v>
      </c>
      <c r="E288">
        <v>0</v>
      </c>
      <c r="F288">
        <v>604324.56000000006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3.91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7490</v>
      </c>
      <c r="AW288">
        <v>3350</v>
      </c>
      <c r="AX288">
        <v>1219</v>
      </c>
      <c r="AY288">
        <v>12059</v>
      </c>
      <c r="AZ288">
        <v>4202</v>
      </c>
      <c r="BA288">
        <v>7438</v>
      </c>
      <c r="BB288">
        <v>1432</v>
      </c>
      <c r="BC288">
        <v>13072</v>
      </c>
      <c r="BD288">
        <v>9486</v>
      </c>
      <c r="BE288">
        <v>9222</v>
      </c>
      <c r="BF288">
        <v>1768</v>
      </c>
      <c r="BG288">
        <v>20476</v>
      </c>
      <c r="BH288">
        <v>0</v>
      </c>
      <c r="BI288">
        <v>0</v>
      </c>
      <c r="BJ288">
        <v>0</v>
      </c>
      <c r="BK288">
        <v>0</v>
      </c>
      <c r="BL288" s="2">
        <v>24.82</v>
      </c>
      <c r="BM288" s="2">
        <v>42005.095138888886</v>
      </c>
      <c r="BN288" s="2">
        <v>5.4</v>
      </c>
      <c r="BO288" s="2">
        <v>42005.092361111114</v>
      </c>
      <c r="BP288" s="2">
        <v>6.92</v>
      </c>
      <c r="BQ288" s="2">
        <v>42005.092361111114</v>
      </c>
      <c r="BR288" s="2">
        <v>11.07</v>
      </c>
      <c r="BS288" s="2">
        <v>42005.092361111114</v>
      </c>
      <c r="BT288">
        <v>0</v>
      </c>
      <c r="BU288">
        <v>0</v>
      </c>
      <c r="BV288" t="s">
        <v>135</v>
      </c>
      <c r="BW288">
        <v>0</v>
      </c>
      <c r="BX288">
        <v>0</v>
      </c>
      <c r="BY288" t="s">
        <v>135</v>
      </c>
      <c r="BZ288">
        <v>0</v>
      </c>
      <c r="CA288">
        <v>0</v>
      </c>
      <c r="CB288" t="s">
        <v>135</v>
      </c>
      <c r="CH288" s="2"/>
      <c r="CJ288" s="2"/>
      <c r="CL288" s="2"/>
      <c r="CN288" s="2"/>
      <c r="CQ288" s="2"/>
      <c r="CT288" s="2"/>
      <c r="CW288" s="2"/>
    </row>
    <row r="289" spans="1:101" x14ac:dyDescent="0.25">
      <c r="A289" s="1" t="s">
        <v>163</v>
      </c>
      <c r="B289" s="75" t="s">
        <v>164</v>
      </c>
      <c r="C289">
        <v>0</v>
      </c>
      <c r="D289">
        <v>0</v>
      </c>
      <c r="E289">
        <v>0</v>
      </c>
      <c r="F289">
        <v>604324.56000000006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3.91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7490</v>
      </c>
      <c r="AW289">
        <v>3350</v>
      </c>
      <c r="AX289">
        <v>1219</v>
      </c>
      <c r="AY289">
        <v>12059</v>
      </c>
      <c r="AZ289">
        <v>4202</v>
      </c>
      <c r="BA289">
        <v>7438</v>
      </c>
      <c r="BB289">
        <v>1432</v>
      </c>
      <c r="BC289">
        <v>13072</v>
      </c>
      <c r="BD289">
        <v>9486</v>
      </c>
      <c r="BE289">
        <v>9222</v>
      </c>
      <c r="BF289">
        <v>1768</v>
      </c>
      <c r="BG289">
        <v>20476</v>
      </c>
      <c r="BH289">
        <v>0</v>
      </c>
      <c r="BI289">
        <v>0</v>
      </c>
      <c r="BJ289">
        <v>0</v>
      </c>
      <c r="BK289">
        <v>0</v>
      </c>
      <c r="BL289" s="2">
        <v>24.82</v>
      </c>
      <c r="BM289" s="2">
        <v>42005.095138888886</v>
      </c>
      <c r="BN289" s="2">
        <v>5.4</v>
      </c>
      <c r="BO289" s="2">
        <v>42005.092361111114</v>
      </c>
      <c r="BP289" s="2">
        <v>6.92</v>
      </c>
      <c r="BQ289" s="2">
        <v>42005.092361111114</v>
      </c>
      <c r="BR289" s="2">
        <v>11.07</v>
      </c>
      <c r="BS289" s="2">
        <v>42005.092361111114</v>
      </c>
      <c r="BT289">
        <v>0</v>
      </c>
      <c r="BU289">
        <v>0</v>
      </c>
      <c r="BV289" t="s">
        <v>135</v>
      </c>
      <c r="BW289">
        <v>0</v>
      </c>
      <c r="BX289">
        <v>0</v>
      </c>
      <c r="BY289" t="s">
        <v>135</v>
      </c>
      <c r="BZ289">
        <v>0</v>
      </c>
      <c r="CA289">
        <v>0</v>
      </c>
      <c r="CB289" t="s">
        <v>135</v>
      </c>
      <c r="CH289" s="2"/>
      <c r="CJ289" s="2"/>
      <c r="CL289" s="2"/>
      <c r="CN289" s="2"/>
      <c r="CQ289" s="2"/>
      <c r="CT289" s="2"/>
      <c r="CW289" s="2"/>
    </row>
    <row r="290" spans="1:101" x14ac:dyDescent="0.25">
      <c r="A290" s="1" t="s">
        <v>163</v>
      </c>
      <c r="B290" s="75" t="s">
        <v>164</v>
      </c>
      <c r="C290">
        <v>0</v>
      </c>
      <c r="D290">
        <v>0</v>
      </c>
      <c r="E290">
        <v>0</v>
      </c>
      <c r="F290">
        <v>604324.56000000006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3.91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7490</v>
      </c>
      <c r="AW290">
        <v>3350</v>
      </c>
      <c r="AX290">
        <v>1219</v>
      </c>
      <c r="AY290">
        <v>12059</v>
      </c>
      <c r="AZ290">
        <v>4202</v>
      </c>
      <c r="BA290">
        <v>7438</v>
      </c>
      <c r="BB290">
        <v>1432</v>
      </c>
      <c r="BC290">
        <v>13072</v>
      </c>
      <c r="BD290">
        <v>9486</v>
      </c>
      <c r="BE290">
        <v>9222</v>
      </c>
      <c r="BF290">
        <v>1768</v>
      </c>
      <c r="BG290">
        <v>20476</v>
      </c>
      <c r="BH290">
        <v>0</v>
      </c>
      <c r="BI290">
        <v>0</v>
      </c>
      <c r="BJ290">
        <v>0</v>
      </c>
      <c r="BK290">
        <v>0</v>
      </c>
      <c r="BL290" s="2">
        <v>24.82</v>
      </c>
      <c r="BM290" s="2">
        <v>42005.095138888886</v>
      </c>
      <c r="BN290" s="2">
        <v>5.4</v>
      </c>
      <c r="BO290" s="2">
        <v>42005.092361111114</v>
      </c>
      <c r="BP290" s="2">
        <v>6.92</v>
      </c>
      <c r="BQ290" s="2">
        <v>42005.092361111114</v>
      </c>
      <c r="BR290" s="2">
        <v>11.07</v>
      </c>
      <c r="BS290" s="2">
        <v>42005.092361111114</v>
      </c>
      <c r="BT290">
        <v>0</v>
      </c>
      <c r="BU290">
        <v>0</v>
      </c>
      <c r="BV290" t="s">
        <v>135</v>
      </c>
      <c r="BW290">
        <v>0</v>
      </c>
      <c r="BX290">
        <v>0</v>
      </c>
      <c r="BY290" t="s">
        <v>135</v>
      </c>
      <c r="BZ290">
        <v>0</v>
      </c>
      <c r="CA290">
        <v>0</v>
      </c>
      <c r="CB290" t="s">
        <v>135</v>
      </c>
      <c r="CH290" s="2"/>
      <c r="CJ290" s="2"/>
      <c r="CL290" s="2"/>
      <c r="CN290" s="2"/>
      <c r="CQ290" s="2"/>
      <c r="CT290" s="2"/>
      <c r="CW290" s="2"/>
    </row>
    <row r="291" spans="1:101" x14ac:dyDescent="0.25">
      <c r="A291" s="1" t="s">
        <v>163</v>
      </c>
      <c r="B291" s="75" t="s">
        <v>164</v>
      </c>
      <c r="C291">
        <v>0</v>
      </c>
      <c r="D291">
        <v>0</v>
      </c>
      <c r="E291">
        <v>0</v>
      </c>
      <c r="F291">
        <v>604324.56000000006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3.91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7490</v>
      </c>
      <c r="AW291">
        <v>3350</v>
      </c>
      <c r="AX291">
        <v>1219</v>
      </c>
      <c r="AY291">
        <v>12059</v>
      </c>
      <c r="AZ291">
        <v>4202</v>
      </c>
      <c r="BA291">
        <v>7438</v>
      </c>
      <c r="BB291">
        <v>1432</v>
      </c>
      <c r="BC291">
        <v>13072</v>
      </c>
      <c r="BD291">
        <v>9486</v>
      </c>
      <c r="BE291">
        <v>9222</v>
      </c>
      <c r="BF291">
        <v>1768</v>
      </c>
      <c r="BG291">
        <v>20476</v>
      </c>
      <c r="BH291">
        <v>0</v>
      </c>
      <c r="BI291">
        <v>0</v>
      </c>
      <c r="BJ291">
        <v>0</v>
      </c>
      <c r="BK291">
        <v>0</v>
      </c>
      <c r="BL291" s="2">
        <v>24.82</v>
      </c>
      <c r="BM291" s="2">
        <v>42005.095138888886</v>
      </c>
      <c r="BN291" s="2">
        <v>5.4</v>
      </c>
      <c r="BO291" s="2">
        <v>42005.092361111114</v>
      </c>
      <c r="BP291" s="2">
        <v>6.92</v>
      </c>
      <c r="BQ291" s="2">
        <v>42005.092361111114</v>
      </c>
      <c r="BR291" s="2">
        <v>11.07</v>
      </c>
      <c r="BS291" s="2">
        <v>42005.092361111114</v>
      </c>
      <c r="BT291">
        <v>0</v>
      </c>
      <c r="BU291">
        <v>0</v>
      </c>
      <c r="BV291" t="s">
        <v>135</v>
      </c>
      <c r="BW291">
        <v>0</v>
      </c>
      <c r="BX291">
        <v>0</v>
      </c>
      <c r="BY291" t="s">
        <v>135</v>
      </c>
      <c r="BZ291">
        <v>0</v>
      </c>
      <c r="CA291">
        <v>0</v>
      </c>
      <c r="CB291" t="s">
        <v>135</v>
      </c>
      <c r="CH291" s="2"/>
      <c r="CJ291" s="2"/>
      <c r="CL291" s="2"/>
      <c r="CN291" s="2"/>
      <c r="CQ291" s="2"/>
      <c r="CT291" s="2"/>
      <c r="CW291" s="2"/>
    </row>
    <row r="292" spans="1:101" x14ac:dyDescent="0.25">
      <c r="A292" s="1" t="s">
        <v>163</v>
      </c>
      <c r="B292" s="75" t="s">
        <v>164</v>
      </c>
      <c r="C292">
        <v>0</v>
      </c>
      <c r="D292">
        <v>0</v>
      </c>
      <c r="E292">
        <v>0</v>
      </c>
      <c r="F292">
        <v>604324.56000000006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3.91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7490</v>
      </c>
      <c r="AW292">
        <v>3350</v>
      </c>
      <c r="AX292">
        <v>1219</v>
      </c>
      <c r="AY292">
        <v>12059</v>
      </c>
      <c r="AZ292">
        <v>4202</v>
      </c>
      <c r="BA292">
        <v>7438</v>
      </c>
      <c r="BB292">
        <v>1432</v>
      </c>
      <c r="BC292">
        <v>13072</v>
      </c>
      <c r="BD292">
        <v>9486</v>
      </c>
      <c r="BE292">
        <v>9222</v>
      </c>
      <c r="BF292">
        <v>1768</v>
      </c>
      <c r="BG292">
        <v>20476</v>
      </c>
      <c r="BH292">
        <v>0</v>
      </c>
      <c r="BI292">
        <v>0</v>
      </c>
      <c r="BJ292">
        <v>0</v>
      </c>
      <c r="BK292">
        <v>0</v>
      </c>
      <c r="BL292" s="2">
        <v>24.82</v>
      </c>
      <c r="BM292" s="2">
        <v>42005.095138888886</v>
      </c>
      <c r="BN292" s="2">
        <v>5.4</v>
      </c>
      <c r="BO292" s="2">
        <v>42005.092361111114</v>
      </c>
      <c r="BP292" s="2">
        <v>6.92</v>
      </c>
      <c r="BQ292" s="2">
        <v>42005.092361111114</v>
      </c>
      <c r="BR292" s="2">
        <v>11.07</v>
      </c>
      <c r="BS292" s="2">
        <v>42005.092361111114</v>
      </c>
      <c r="BT292">
        <v>0</v>
      </c>
      <c r="BU292">
        <v>0</v>
      </c>
      <c r="BV292" t="s">
        <v>135</v>
      </c>
      <c r="BW292">
        <v>0</v>
      </c>
      <c r="BX292">
        <v>0</v>
      </c>
      <c r="BY292" t="s">
        <v>135</v>
      </c>
      <c r="BZ292">
        <v>0</v>
      </c>
      <c r="CA292">
        <v>0</v>
      </c>
      <c r="CB292" t="s">
        <v>135</v>
      </c>
      <c r="CH292" s="2"/>
      <c r="CJ292" s="2"/>
      <c r="CL292" s="2"/>
      <c r="CN292" s="2"/>
      <c r="CQ292" s="2"/>
      <c r="CT292" s="2"/>
      <c r="CW292" s="2"/>
    </row>
    <row r="293" spans="1:101" x14ac:dyDescent="0.25">
      <c r="A293" s="1" t="s">
        <v>163</v>
      </c>
      <c r="B293" s="75" t="s">
        <v>164</v>
      </c>
      <c r="C293">
        <v>0</v>
      </c>
      <c r="D293">
        <v>0</v>
      </c>
      <c r="E293">
        <v>0</v>
      </c>
      <c r="F293">
        <v>604324.56000000006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3.91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7490</v>
      </c>
      <c r="AW293">
        <v>3350</v>
      </c>
      <c r="AX293">
        <v>1219</v>
      </c>
      <c r="AY293">
        <v>12059</v>
      </c>
      <c r="AZ293">
        <v>4202</v>
      </c>
      <c r="BA293">
        <v>7438</v>
      </c>
      <c r="BB293">
        <v>1432</v>
      </c>
      <c r="BC293">
        <v>13072</v>
      </c>
      <c r="BD293">
        <v>9486</v>
      </c>
      <c r="BE293">
        <v>9222</v>
      </c>
      <c r="BF293">
        <v>1768</v>
      </c>
      <c r="BG293">
        <v>20476</v>
      </c>
      <c r="BH293">
        <v>0</v>
      </c>
      <c r="BI293">
        <v>0</v>
      </c>
      <c r="BJ293">
        <v>0</v>
      </c>
      <c r="BK293">
        <v>0</v>
      </c>
      <c r="BL293" s="2">
        <v>24.82</v>
      </c>
      <c r="BM293" s="2">
        <v>42005.095138888886</v>
      </c>
      <c r="BN293" s="2">
        <v>5.4</v>
      </c>
      <c r="BO293" s="2">
        <v>42005.092361111114</v>
      </c>
      <c r="BP293" s="2">
        <v>6.92</v>
      </c>
      <c r="BQ293" s="2">
        <v>42005.092361111114</v>
      </c>
      <c r="BR293" s="2">
        <v>11.07</v>
      </c>
      <c r="BS293" s="2">
        <v>42005.092361111114</v>
      </c>
      <c r="BT293">
        <v>0</v>
      </c>
      <c r="BU293">
        <v>0</v>
      </c>
      <c r="BV293" t="s">
        <v>135</v>
      </c>
      <c r="BW293">
        <v>0</v>
      </c>
      <c r="BX293">
        <v>0</v>
      </c>
      <c r="BY293" t="s">
        <v>135</v>
      </c>
      <c r="BZ293">
        <v>0</v>
      </c>
      <c r="CA293">
        <v>0</v>
      </c>
      <c r="CB293" t="s">
        <v>135</v>
      </c>
      <c r="CH293" s="2"/>
      <c r="CJ293" s="2"/>
      <c r="CL293" s="2"/>
      <c r="CN293" s="2"/>
      <c r="CQ293" s="2"/>
      <c r="CT293" s="2"/>
      <c r="CW293" s="2"/>
    </row>
    <row r="294" spans="1:101" x14ac:dyDescent="0.25">
      <c r="A294" s="1" t="s">
        <v>163</v>
      </c>
      <c r="B294" s="75" t="s">
        <v>164</v>
      </c>
      <c r="C294">
        <v>0</v>
      </c>
      <c r="D294">
        <v>0</v>
      </c>
      <c r="E294">
        <v>0</v>
      </c>
      <c r="F294">
        <v>604324.56000000006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3.91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7490</v>
      </c>
      <c r="AW294">
        <v>3350</v>
      </c>
      <c r="AX294">
        <v>1219</v>
      </c>
      <c r="AY294">
        <v>12059</v>
      </c>
      <c r="AZ294">
        <v>4202</v>
      </c>
      <c r="BA294">
        <v>7438</v>
      </c>
      <c r="BB294">
        <v>1432</v>
      </c>
      <c r="BC294">
        <v>13072</v>
      </c>
      <c r="BD294">
        <v>9486</v>
      </c>
      <c r="BE294">
        <v>9222</v>
      </c>
      <c r="BF294">
        <v>1768</v>
      </c>
      <c r="BG294">
        <v>20476</v>
      </c>
      <c r="BH294">
        <v>0</v>
      </c>
      <c r="BI294">
        <v>0</v>
      </c>
      <c r="BJ294">
        <v>0</v>
      </c>
      <c r="BK294">
        <v>0</v>
      </c>
      <c r="BL294" s="2">
        <v>24.82</v>
      </c>
      <c r="BM294" s="2">
        <v>42005.095138888886</v>
      </c>
      <c r="BN294" s="2">
        <v>5.4</v>
      </c>
      <c r="BO294" s="2">
        <v>42005.092361111114</v>
      </c>
      <c r="BP294" s="2">
        <v>6.92</v>
      </c>
      <c r="BQ294" s="2">
        <v>42005.092361111114</v>
      </c>
      <c r="BR294" s="2">
        <v>11.07</v>
      </c>
      <c r="BS294" s="2">
        <v>42005.092361111114</v>
      </c>
      <c r="BT294">
        <v>0</v>
      </c>
      <c r="BU294">
        <v>0</v>
      </c>
      <c r="BV294" t="s">
        <v>135</v>
      </c>
      <c r="BW294">
        <v>0</v>
      </c>
      <c r="BX294">
        <v>0</v>
      </c>
      <c r="BY294" t="s">
        <v>135</v>
      </c>
      <c r="BZ294">
        <v>0</v>
      </c>
      <c r="CA294">
        <v>0</v>
      </c>
      <c r="CB294" t="s">
        <v>135</v>
      </c>
      <c r="CH294" s="2"/>
      <c r="CJ294" s="2"/>
      <c r="CL294" s="2"/>
      <c r="CN294" s="2"/>
      <c r="CQ294" s="2"/>
      <c r="CT294" s="2"/>
      <c r="CW294" s="2"/>
    </row>
    <row r="295" spans="1:101" x14ac:dyDescent="0.25">
      <c r="A295" s="1" t="s">
        <v>163</v>
      </c>
      <c r="B295" s="75" t="s">
        <v>164</v>
      </c>
      <c r="C295">
        <v>0</v>
      </c>
      <c r="D295">
        <v>0</v>
      </c>
      <c r="E295">
        <v>0</v>
      </c>
      <c r="F295">
        <v>604324.56000000006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3.91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7490</v>
      </c>
      <c r="AW295">
        <v>3350</v>
      </c>
      <c r="AX295">
        <v>1219</v>
      </c>
      <c r="AY295">
        <v>12059</v>
      </c>
      <c r="AZ295">
        <v>4202</v>
      </c>
      <c r="BA295">
        <v>7438</v>
      </c>
      <c r="BB295">
        <v>1432</v>
      </c>
      <c r="BC295">
        <v>13072</v>
      </c>
      <c r="BD295">
        <v>9486</v>
      </c>
      <c r="BE295">
        <v>9222</v>
      </c>
      <c r="BF295">
        <v>1768</v>
      </c>
      <c r="BG295">
        <v>20476</v>
      </c>
      <c r="BH295">
        <v>0</v>
      </c>
      <c r="BI295">
        <v>0</v>
      </c>
      <c r="BJ295">
        <v>0</v>
      </c>
      <c r="BK295">
        <v>0</v>
      </c>
      <c r="BL295" s="2">
        <v>24.82</v>
      </c>
      <c r="BM295" s="2">
        <v>42005.095138888886</v>
      </c>
      <c r="BN295" s="2">
        <v>5.4</v>
      </c>
      <c r="BO295" s="2">
        <v>42005.092361111114</v>
      </c>
      <c r="BP295" s="2">
        <v>6.92</v>
      </c>
      <c r="BQ295" s="2">
        <v>42005.092361111114</v>
      </c>
      <c r="BR295" s="2">
        <v>11.07</v>
      </c>
      <c r="BS295" s="2">
        <v>42005.092361111114</v>
      </c>
      <c r="BT295">
        <v>0</v>
      </c>
      <c r="BU295">
        <v>0</v>
      </c>
      <c r="BV295" t="s">
        <v>135</v>
      </c>
      <c r="BW295">
        <v>0</v>
      </c>
      <c r="BX295">
        <v>0</v>
      </c>
      <c r="BY295" t="s">
        <v>135</v>
      </c>
      <c r="BZ295">
        <v>0</v>
      </c>
      <c r="CA295">
        <v>0</v>
      </c>
      <c r="CB295" t="s">
        <v>135</v>
      </c>
      <c r="CH295" s="2"/>
      <c r="CJ295" s="2"/>
      <c r="CL295" s="2"/>
      <c r="CN295" s="2"/>
      <c r="CQ295" s="2"/>
      <c r="CT295" s="2"/>
      <c r="CW295" s="2"/>
    </row>
    <row r="296" spans="1:101" x14ac:dyDescent="0.25">
      <c r="A296" s="1" t="s">
        <v>163</v>
      </c>
      <c r="B296" s="75" t="s">
        <v>164</v>
      </c>
      <c r="C296">
        <v>0</v>
      </c>
      <c r="D296">
        <v>0</v>
      </c>
      <c r="E296">
        <v>0</v>
      </c>
      <c r="F296">
        <v>604324.56000000006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3.91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7490</v>
      </c>
      <c r="AW296">
        <v>3350</v>
      </c>
      <c r="AX296">
        <v>1219</v>
      </c>
      <c r="AY296">
        <v>12059</v>
      </c>
      <c r="AZ296">
        <v>4202</v>
      </c>
      <c r="BA296">
        <v>7438</v>
      </c>
      <c r="BB296">
        <v>1432</v>
      </c>
      <c r="BC296">
        <v>13072</v>
      </c>
      <c r="BD296">
        <v>9486</v>
      </c>
      <c r="BE296">
        <v>9222</v>
      </c>
      <c r="BF296">
        <v>1768</v>
      </c>
      <c r="BG296">
        <v>20476</v>
      </c>
      <c r="BH296">
        <v>0</v>
      </c>
      <c r="BI296">
        <v>0</v>
      </c>
      <c r="BJ296">
        <v>0</v>
      </c>
      <c r="BK296">
        <v>0</v>
      </c>
      <c r="BL296" s="2">
        <v>24.82</v>
      </c>
      <c r="BM296" s="2">
        <v>42005.095138888886</v>
      </c>
      <c r="BN296" s="2">
        <v>5.4</v>
      </c>
      <c r="BO296" s="2">
        <v>42005.092361111114</v>
      </c>
      <c r="BP296" s="2">
        <v>6.92</v>
      </c>
      <c r="BQ296" s="2">
        <v>42005.092361111114</v>
      </c>
      <c r="BR296" s="2">
        <v>11.07</v>
      </c>
      <c r="BS296" s="2">
        <v>42005.092361111114</v>
      </c>
      <c r="BT296">
        <v>0</v>
      </c>
      <c r="BU296">
        <v>0</v>
      </c>
      <c r="BV296" t="s">
        <v>135</v>
      </c>
      <c r="BW296">
        <v>0</v>
      </c>
      <c r="BX296">
        <v>0</v>
      </c>
      <c r="BY296" t="s">
        <v>135</v>
      </c>
      <c r="BZ296">
        <v>0</v>
      </c>
      <c r="CA296">
        <v>0</v>
      </c>
      <c r="CB296" t="s">
        <v>135</v>
      </c>
      <c r="CH296" s="2"/>
      <c r="CJ296" s="2"/>
      <c r="CL296" s="2"/>
      <c r="CN296" s="2"/>
      <c r="CQ296" s="2"/>
      <c r="CT296" s="2"/>
      <c r="CW296" s="2"/>
    </row>
    <row r="297" spans="1:101" x14ac:dyDescent="0.25">
      <c r="A297" s="1" t="s">
        <v>163</v>
      </c>
      <c r="B297" s="75" t="s">
        <v>164</v>
      </c>
      <c r="C297">
        <v>0</v>
      </c>
      <c r="D297">
        <v>0</v>
      </c>
      <c r="E297">
        <v>0</v>
      </c>
      <c r="F297">
        <v>604324.56000000006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3.91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7490</v>
      </c>
      <c r="AW297">
        <v>3350</v>
      </c>
      <c r="AX297">
        <v>1219</v>
      </c>
      <c r="AY297">
        <v>12059</v>
      </c>
      <c r="AZ297">
        <v>4202</v>
      </c>
      <c r="BA297">
        <v>7438</v>
      </c>
      <c r="BB297">
        <v>1432</v>
      </c>
      <c r="BC297">
        <v>13072</v>
      </c>
      <c r="BD297">
        <v>9486</v>
      </c>
      <c r="BE297">
        <v>9222</v>
      </c>
      <c r="BF297">
        <v>1768</v>
      </c>
      <c r="BG297">
        <v>20476</v>
      </c>
      <c r="BH297">
        <v>0</v>
      </c>
      <c r="BI297">
        <v>0</v>
      </c>
      <c r="BJ297">
        <v>0</v>
      </c>
      <c r="BK297">
        <v>0</v>
      </c>
      <c r="BL297" s="2">
        <v>24.82</v>
      </c>
      <c r="BM297" s="2">
        <v>42005.095138888886</v>
      </c>
      <c r="BN297" s="2">
        <v>5.4</v>
      </c>
      <c r="BO297" s="2">
        <v>42005.092361111114</v>
      </c>
      <c r="BP297" s="2">
        <v>6.92</v>
      </c>
      <c r="BQ297" s="2">
        <v>42005.092361111114</v>
      </c>
      <c r="BR297" s="2">
        <v>11.07</v>
      </c>
      <c r="BS297" s="2">
        <v>42005.092361111114</v>
      </c>
      <c r="BT297">
        <v>0</v>
      </c>
      <c r="BU297">
        <v>0</v>
      </c>
      <c r="BV297" t="s">
        <v>135</v>
      </c>
      <c r="BW297">
        <v>0</v>
      </c>
      <c r="BX297">
        <v>0</v>
      </c>
      <c r="BY297" t="s">
        <v>135</v>
      </c>
      <c r="BZ297">
        <v>0</v>
      </c>
      <c r="CA297">
        <v>0</v>
      </c>
      <c r="CB297" t="s">
        <v>135</v>
      </c>
      <c r="CH297" s="2"/>
      <c r="CJ297" s="2"/>
      <c r="CL297" s="2"/>
      <c r="CN297" s="2"/>
      <c r="CQ297" s="2"/>
      <c r="CT297" s="2"/>
      <c r="CW297" s="2"/>
    </row>
    <row r="298" spans="1:101" x14ac:dyDescent="0.25">
      <c r="A298" s="1" t="s">
        <v>163</v>
      </c>
      <c r="B298" s="75" t="s">
        <v>164</v>
      </c>
      <c r="C298">
        <v>0</v>
      </c>
      <c r="D298">
        <v>0</v>
      </c>
      <c r="E298">
        <v>0</v>
      </c>
      <c r="F298">
        <v>604324.56000000006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3.91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7490</v>
      </c>
      <c r="AW298">
        <v>3350</v>
      </c>
      <c r="AX298">
        <v>1219</v>
      </c>
      <c r="AY298">
        <v>12059</v>
      </c>
      <c r="AZ298">
        <v>4202</v>
      </c>
      <c r="BA298">
        <v>7438</v>
      </c>
      <c r="BB298">
        <v>1432</v>
      </c>
      <c r="BC298">
        <v>13072</v>
      </c>
      <c r="BD298">
        <v>9486</v>
      </c>
      <c r="BE298">
        <v>9222</v>
      </c>
      <c r="BF298">
        <v>1768</v>
      </c>
      <c r="BG298">
        <v>20476</v>
      </c>
      <c r="BH298">
        <v>0</v>
      </c>
      <c r="BI298">
        <v>0</v>
      </c>
      <c r="BJ298">
        <v>0</v>
      </c>
      <c r="BK298">
        <v>0</v>
      </c>
      <c r="BL298" s="2">
        <v>24.82</v>
      </c>
      <c r="BM298" s="2">
        <v>42005.095138888886</v>
      </c>
      <c r="BN298" s="2">
        <v>5.4</v>
      </c>
      <c r="BO298" s="2">
        <v>42005.092361111114</v>
      </c>
      <c r="BP298" s="2">
        <v>6.92</v>
      </c>
      <c r="BQ298" s="2">
        <v>42005.092361111114</v>
      </c>
      <c r="BR298" s="2">
        <v>11.07</v>
      </c>
      <c r="BS298" s="2">
        <v>42005.092361111114</v>
      </c>
      <c r="BT298">
        <v>0</v>
      </c>
      <c r="BU298">
        <v>0</v>
      </c>
      <c r="BV298" t="s">
        <v>135</v>
      </c>
      <c r="BW298">
        <v>0</v>
      </c>
      <c r="BX298">
        <v>0</v>
      </c>
      <c r="BY298" t="s">
        <v>135</v>
      </c>
      <c r="BZ298">
        <v>0</v>
      </c>
      <c r="CA298">
        <v>0</v>
      </c>
      <c r="CB298" t="s">
        <v>135</v>
      </c>
      <c r="CH298" s="2"/>
      <c r="CJ298" s="2"/>
      <c r="CL298" s="2"/>
      <c r="CN298" s="2"/>
      <c r="CQ298" s="2"/>
      <c r="CT298" s="2"/>
      <c r="CW298" s="2"/>
    </row>
    <row r="299" spans="1:101" x14ac:dyDescent="0.25">
      <c r="A299" s="1" t="s">
        <v>163</v>
      </c>
      <c r="B299" s="75" t="s">
        <v>164</v>
      </c>
      <c r="C299">
        <v>0</v>
      </c>
      <c r="D299">
        <v>0</v>
      </c>
      <c r="E299">
        <v>0</v>
      </c>
      <c r="F299">
        <v>604324.56000000006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3.91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7490</v>
      </c>
      <c r="AW299">
        <v>3350</v>
      </c>
      <c r="AX299">
        <v>1219</v>
      </c>
      <c r="AY299">
        <v>12059</v>
      </c>
      <c r="AZ299">
        <v>4202</v>
      </c>
      <c r="BA299">
        <v>7438</v>
      </c>
      <c r="BB299">
        <v>1432</v>
      </c>
      <c r="BC299">
        <v>13072</v>
      </c>
      <c r="BD299">
        <v>9486</v>
      </c>
      <c r="BE299">
        <v>9222</v>
      </c>
      <c r="BF299">
        <v>1768</v>
      </c>
      <c r="BG299">
        <v>20476</v>
      </c>
      <c r="BH299">
        <v>0</v>
      </c>
      <c r="BI299">
        <v>0</v>
      </c>
      <c r="BJ299">
        <v>0</v>
      </c>
      <c r="BK299">
        <v>0</v>
      </c>
      <c r="BL299" s="2">
        <v>24.82</v>
      </c>
      <c r="BM299" s="2">
        <v>42005.095138888886</v>
      </c>
      <c r="BN299" s="2">
        <v>5.4</v>
      </c>
      <c r="BO299" s="2">
        <v>42005.092361111114</v>
      </c>
      <c r="BP299" s="2">
        <v>6.92</v>
      </c>
      <c r="BQ299" s="2">
        <v>42005.092361111114</v>
      </c>
      <c r="BR299" s="2">
        <v>11.07</v>
      </c>
      <c r="BS299" s="2">
        <v>42005.092361111114</v>
      </c>
      <c r="BT299">
        <v>0</v>
      </c>
      <c r="BU299">
        <v>0</v>
      </c>
      <c r="BV299" t="s">
        <v>135</v>
      </c>
      <c r="BW299">
        <v>0</v>
      </c>
      <c r="BX299">
        <v>0</v>
      </c>
      <c r="BY299" t="s">
        <v>135</v>
      </c>
      <c r="BZ299">
        <v>0</v>
      </c>
      <c r="CA299">
        <v>0</v>
      </c>
      <c r="CB299" t="s">
        <v>135</v>
      </c>
      <c r="CH299" s="2"/>
      <c r="CJ299" s="2"/>
      <c r="CL299" s="2"/>
      <c r="CN299" s="2"/>
      <c r="CQ299" s="2"/>
      <c r="CT299" s="2"/>
      <c r="CW299" s="2"/>
    </row>
    <row r="300" spans="1:101" x14ac:dyDescent="0.25">
      <c r="A300" s="1" t="s">
        <v>163</v>
      </c>
      <c r="B300" s="75" t="s">
        <v>164</v>
      </c>
      <c r="C300">
        <v>0</v>
      </c>
      <c r="D300">
        <v>0</v>
      </c>
      <c r="E300">
        <v>0</v>
      </c>
      <c r="F300">
        <v>604324.56000000006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3.91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7490</v>
      </c>
      <c r="AW300">
        <v>3350</v>
      </c>
      <c r="AX300">
        <v>1219</v>
      </c>
      <c r="AY300">
        <v>12059</v>
      </c>
      <c r="AZ300">
        <v>4202</v>
      </c>
      <c r="BA300">
        <v>7438</v>
      </c>
      <c r="BB300">
        <v>1432</v>
      </c>
      <c r="BC300">
        <v>13072</v>
      </c>
      <c r="BD300">
        <v>9486</v>
      </c>
      <c r="BE300">
        <v>9222</v>
      </c>
      <c r="BF300">
        <v>1768</v>
      </c>
      <c r="BG300">
        <v>20476</v>
      </c>
      <c r="BH300">
        <v>0</v>
      </c>
      <c r="BI300">
        <v>0</v>
      </c>
      <c r="BJ300">
        <v>0</v>
      </c>
      <c r="BK300">
        <v>0</v>
      </c>
      <c r="BL300" s="2">
        <v>24.82</v>
      </c>
      <c r="BM300" s="2">
        <v>42005.095138888886</v>
      </c>
      <c r="BN300" s="2">
        <v>5.4</v>
      </c>
      <c r="BO300" s="2">
        <v>42005.092361111114</v>
      </c>
      <c r="BP300" s="2">
        <v>6.92</v>
      </c>
      <c r="BQ300" s="2">
        <v>42005.092361111114</v>
      </c>
      <c r="BR300" s="2">
        <v>11.07</v>
      </c>
      <c r="BS300" s="2">
        <v>42005.092361111114</v>
      </c>
      <c r="BT300">
        <v>0</v>
      </c>
      <c r="BU300">
        <v>0</v>
      </c>
      <c r="BV300" t="s">
        <v>135</v>
      </c>
      <c r="BW300">
        <v>0</v>
      </c>
      <c r="BX300">
        <v>0</v>
      </c>
      <c r="BY300" t="s">
        <v>135</v>
      </c>
      <c r="BZ300">
        <v>0</v>
      </c>
      <c r="CA300">
        <v>0</v>
      </c>
      <c r="CB300" t="s">
        <v>135</v>
      </c>
      <c r="CH300" s="2"/>
      <c r="CJ300" s="2"/>
      <c r="CL300" s="2"/>
      <c r="CN300" s="2"/>
      <c r="CQ300" s="2"/>
      <c r="CT300" s="2"/>
      <c r="CW300" s="2"/>
    </row>
    <row r="301" spans="1:101" x14ac:dyDescent="0.25">
      <c r="A301" s="1" t="s">
        <v>163</v>
      </c>
      <c r="B301" s="75" t="s">
        <v>164</v>
      </c>
      <c r="C301">
        <v>0</v>
      </c>
      <c r="D301">
        <v>0</v>
      </c>
      <c r="E301">
        <v>0</v>
      </c>
      <c r="F301">
        <v>604324.56000000006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3.91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7490</v>
      </c>
      <c r="AW301">
        <v>3350</v>
      </c>
      <c r="AX301">
        <v>1219</v>
      </c>
      <c r="AY301">
        <v>12059</v>
      </c>
      <c r="AZ301">
        <v>4202</v>
      </c>
      <c r="BA301">
        <v>7438</v>
      </c>
      <c r="BB301">
        <v>1432</v>
      </c>
      <c r="BC301">
        <v>13072</v>
      </c>
      <c r="BD301">
        <v>9486</v>
      </c>
      <c r="BE301">
        <v>9222</v>
      </c>
      <c r="BF301">
        <v>1768</v>
      </c>
      <c r="BG301">
        <v>20476</v>
      </c>
      <c r="BH301">
        <v>0</v>
      </c>
      <c r="BI301">
        <v>0</v>
      </c>
      <c r="BJ301">
        <v>0</v>
      </c>
      <c r="BK301">
        <v>0</v>
      </c>
      <c r="BL301" s="2">
        <v>24.82</v>
      </c>
      <c r="BM301" s="2">
        <v>42005.095138888886</v>
      </c>
      <c r="BN301" s="2">
        <v>5.4</v>
      </c>
      <c r="BO301" s="2">
        <v>42005.092361111114</v>
      </c>
      <c r="BP301" s="2">
        <v>6.92</v>
      </c>
      <c r="BQ301" s="2">
        <v>42005.092361111114</v>
      </c>
      <c r="BR301" s="2">
        <v>11.07</v>
      </c>
      <c r="BS301" s="2">
        <v>42005.092361111114</v>
      </c>
      <c r="BT301">
        <v>0</v>
      </c>
      <c r="BU301">
        <v>0</v>
      </c>
      <c r="BV301" t="s">
        <v>135</v>
      </c>
      <c r="BW301">
        <v>0</v>
      </c>
      <c r="BX301">
        <v>0</v>
      </c>
      <c r="BY301" t="s">
        <v>135</v>
      </c>
      <c r="BZ301">
        <v>0</v>
      </c>
      <c r="CA301">
        <v>0</v>
      </c>
      <c r="CB301" t="s">
        <v>135</v>
      </c>
      <c r="CH301" s="2"/>
      <c r="CJ301" s="2"/>
      <c r="CL301" s="2"/>
      <c r="CN301" s="2"/>
      <c r="CQ301" s="2"/>
      <c r="CT301" s="2"/>
      <c r="CW301" s="2"/>
    </row>
    <row r="302" spans="1:101" x14ac:dyDescent="0.25">
      <c r="A302" s="1" t="s">
        <v>163</v>
      </c>
      <c r="B302" s="75" t="s">
        <v>164</v>
      </c>
      <c r="C302">
        <v>0</v>
      </c>
      <c r="D302">
        <v>0</v>
      </c>
      <c r="E302">
        <v>0</v>
      </c>
      <c r="F302">
        <v>604324.56000000006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3.91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7490</v>
      </c>
      <c r="AW302">
        <v>3350</v>
      </c>
      <c r="AX302">
        <v>1219</v>
      </c>
      <c r="AY302">
        <v>12059</v>
      </c>
      <c r="AZ302">
        <v>4202</v>
      </c>
      <c r="BA302">
        <v>7438</v>
      </c>
      <c r="BB302">
        <v>1432</v>
      </c>
      <c r="BC302">
        <v>13072</v>
      </c>
      <c r="BD302">
        <v>9486</v>
      </c>
      <c r="BE302">
        <v>9222</v>
      </c>
      <c r="BF302">
        <v>1768</v>
      </c>
      <c r="BG302">
        <v>20476</v>
      </c>
      <c r="BH302">
        <v>0</v>
      </c>
      <c r="BI302">
        <v>0</v>
      </c>
      <c r="BJ302">
        <v>0</v>
      </c>
      <c r="BK302">
        <v>0</v>
      </c>
      <c r="BL302" s="2">
        <v>24.82</v>
      </c>
      <c r="BM302" s="2">
        <v>42005.095138888886</v>
      </c>
      <c r="BN302" s="2">
        <v>5.4</v>
      </c>
      <c r="BO302" s="2">
        <v>42005.092361111114</v>
      </c>
      <c r="BP302" s="2">
        <v>6.92</v>
      </c>
      <c r="BQ302" s="2">
        <v>42005.092361111114</v>
      </c>
      <c r="BR302" s="2">
        <v>11.07</v>
      </c>
      <c r="BS302" s="2">
        <v>42005.092361111114</v>
      </c>
      <c r="BT302">
        <v>0</v>
      </c>
      <c r="BU302">
        <v>0</v>
      </c>
      <c r="BV302" t="s">
        <v>135</v>
      </c>
      <c r="BW302">
        <v>0</v>
      </c>
      <c r="BX302">
        <v>0</v>
      </c>
      <c r="BY302" t="s">
        <v>135</v>
      </c>
      <c r="BZ302">
        <v>0</v>
      </c>
      <c r="CA302">
        <v>0</v>
      </c>
      <c r="CB302" t="s">
        <v>135</v>
      </c>
      <c r="CH302" s="2"/>
      <c r="CJ302" s="2"/>
      <c r="CL302" s="2"/>
      <c r="CN302" s="2"/>
      <c r="CQ302" s="2"/>
      <c r="CT302" s="2"/>
      <c r="CW302" s="2"/>
    </row>
    <row r="303" spans="1:101" x14ac:dyDescent="0.25">
      <c r="A303" s="1" t="s">
        <v>163</v>
      </c>
      <c r="B303" s="75" t="s">
        <v>164</v>
      </c>
      <c r="C303">
        <v>0</v>
      </c>
      <c r="D303">
        <v>0</v>
      </c>
      <c r="E303">
        <v>0</v>
      </c>
      <c r="F303">
        <v>604324.56000000006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3.91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7490</v>
      </c>
      <c r="AW303">
        <v>3350</v>
      </c>
      <c r="AX303">
        <v>1219</v>
      </c>
      <c r="AY303">
        <v>12059</v>
      </c>
      <c r="AZ303">
        <v>4202</v>
      </c>
      <c r="BA303">
        <v>7438</v>
      </c>
      <c r="BB303">
        <v>1432</v>
      </c>
      <c r="BC303">
        <v>13072</v>
      </c>
      <c r="BD303">
        <v>9486</v>
      </c>
      <c r="BE303">
        <v>9222</v>
      </c>
      <c r="BF303">
        <v>1768</v>
      </c>
      <c r="BG303">
        <v>20476</v>
      </c>
      <c r="BH303">
        <v>0</v>
      </c>
      <c r="BI303">
        <v>0</v>
      </c>
      <c r="BJ303">
        <v>0</v>
      </c>
      <c r="BK303">
        <v>0</v>
      </c>
      <c r="BL303" s="2">
        <v>24.82</v>
      </c>
      <c r="BM303" s="2">
        <v>42005.095138888886</v>
      </c>
      <c r="BN303" s="2">
        <v>5.4</v>
      </c>
      <c r="BO303" s="2">
        <v>42005.092361111114</v>
      </c>
      <c r="BP303" s="2">
        <v>6.92</v>
      </c>
      <c r="BQ303" s="2">
        <v>42005.092361111114</v>
      </c>
      <c r="BR303" s="2">
        <v>11.07</v>
      </c>
      <c r="BS303" s="2">
        <v>42005.092361111114</v>
      </c>
      <c r="BT303">
        <v>0</v>
      </c>
      <c r="BU303">
        <v>0</v>
      </c>
      <c r="BV303" t="s">
        <v>135</v>
      </c>
      <c r="BW303">
        <v>0</v>
      </c>
      <c r="BX303">
        <v>0</v>
      </c>
      <c r="BY303" t="s">
        <v>135</v>
      </c>
      <c r="BZ303">
        <v>0</v>
      </c>
      <c r="CA303">
        <v>0</v>
      </c>
      <c r="CB303" t="s">
        <v>135</v>
      </c>
      <c r="CH303" s="2"/>
      <c r="CJ303" s="2"/>
      <c r="CL303" s="2"/>
      <c r="CN303" s="2"/>
      <c r="CQ303" s="2"/>
      <c r="CT303" s="2"/>
      <c r="CW303" s="2"/>
    </row>
    <row r="304" spans="1:101" x14ac:dyDescent="0.25">
      <c r="A304" s="1" t="s">
        <v>163</v>
      </c>
      <c r="B304" s="75" t="s">
        <v>164</v>
      </c>
      <c r="C304">
        <v>0</v>
      </c>
      <c r="D304">
        <v>0</v>
      </c>
      <c r="E304">
        <v>0</v>
      </c>
      <c r="F304">
        <v>604324.56000000006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3.91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7490</v>
      </c>
      <c r="AW304">
        <v>3350</v>
      </c>
      <c r="AX304">
        <v>1219</v>
      </c>
      <c r="AY304">
        <v>12059</v>
      </c>
      <c r="AZ304">
        <v>4202</v>
      </c>
      <c r="BA304">
        <v>7438</v>
      </c>
      <c r="BB304">
        <v>1432</v>
      </c>
      <c r="BC304">
        <v>13072</v>
      </c>
      <c r="BD304">
        <v>9486</v>
      </c>
      <c r="BE304">
        <v>9222</v>
      </c>
      <c r="BF304">
        <v>1768</v>
      </c>
      <c r="BG304">
        <v>20476</v>
      </c>
      <c r="BH304">
        <v>0</v>
      </c>
      <c r="BI304">
        <v>0</v>
      </c>
      <c r="BJ304">
        <v>0</v>
      </c>
      <c r="BK304">
        <v>0</v>
      </c>
      <c r="BL304" s="2">
        <v>24.82</v>
      </c>
      <c r="BM304" s="2">
        <v>42005.095138888886</v>
      </c>
      <c r="BN304" s="2">
        <v>5.4</v>
      </c>
      <c r="BO304" s="2">
        <v>42005.092361111114</v>
      </c>
      <c r="BP304" s="2">
        <v>6.92</v>
      </c>
      <c r="BQ304" s="2">
        <v>42005.092361111114</v>
      </c>
      <c r="BR304" s="2">
        <v>11.07</v>
      </c>
      <c r="BS304" s="2">
        <v>42005.092361111114</v>
      </c>
      <c r="BT304">
        <v>0</v>
      </c>
      <c r="BU304">
        <v>0</v>
      </c>
      <c r="BV304" t="s">
        <v>135</v>
      </c>
      <c r="BW304">
        <v>0</v>
      </c>
      <c r="BX304">
        <v>0</v>
      </c>
      <c r="BY304" t="s">
        <v>135</v>
      </c>
      <c r="BZ304">
        <v>0</v>
      </c>
      <c r="CA304">
        <v>0</v>
      </c>
      <c r="CB304" t="s">
        <v>135</v>
      </c>
      <c r="CH304" s="2"/>
      <c r="CJ304" s="2"/>
      <c r="CL304" s="2"/>
      <c r="CN304" s="2"/>
      <c r="CQ304" s="2"/>
      <c r="CT304" s="2"/>
      <c r="CW304" s="2"/>
    </row>
    <row r="305" spans="1:101" x14ac:dyDescent="0.25">
      <c r="A305" s="1" t="s">
        <v>163</v>
      </c>
      <c r="B305" s="75" t="s">
        <v>164</v>
      </c>
      <c r="C305">
        <v>0</v>
      </c>
      <c r="D305">
        <v>0</v>
      </c>
      <c r="E305">
        <v>0</v>
      </c>
      <c r="F305">
        <v>604324.56000000006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3.91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7490</v>
      </c>
      <c r="AW305">
        <v>3350</v>
      </c>
      <c r="AX305">
        <v>1219</v>
      </c>
      <c r="AY305">
        <v>12059</v>
      </c>
      <c r="AZ305">
        <v>4202</v>
      </c>
      <c r="BA305">
        <v>7438</v>
      </c>
      <c r="BB305">
        <v>1432</v>
      </c>
      <c r="BC305">
        <v>13072</v>
      </c>
      <c r="BD305">
        <v>9486</v>
      </c>
      <c r="BE305">
        <v>9222</v>
      </c>
      <c r="BF305">
        <v>1768</v>
      </c>
      <c r="BG305">
        <v>20476</v>
      </c>
      <c r="BH305">
        <v>0</v>
      </c>
      <c r="BI305">
        <v>0</v>
      </c>
      <c r="BJ305">
        <v>0</v>
      </c>
      <c r="BK305">
        <v>0</v>
      </c>
      <c r="BL305" s="2">
        <v>24.82</v>
      </c>
      <c r="BM305" s="2">
        <v>42005.095138888886</v>
      </c>
      <c r="BN305" s="2">
        <v>5.4</v>
      </c>
      <c r="BO305" s="2">
        <v>42005.092361111114</v>
      </c>
      <c r="BP305" s="2">
        <v>6.92</v>
      </c>
      <c r="BQ305" s="2">
        <v>42005.092361111114</v>
      </c>
      <c r="BR305" s="2">
        <v>11.07</v>
      </c>
      <c r="BS305" s="2">
        <v>42005.092361111114</v>
      </c>
      <c r="BT305">
        <v>0</v>
      </c>
      <c r="BU305">
        <v>0</v>
      </c>
      <c r="BV305" t="s">
        <v>135</v>
      </c>
      <c r="BW305">
        <v>0</v>
      </c>
      <c r="BX305">
        <v>0</v>
      </c>
      <c r="BY305" t="s">
        <v>135</v>
      </c>
      <c r="BZ305">
        <v>0</v>
      </c>
      <c r="CA305">
        <v>0</v>
      </c>
      <c r="CB305" t="s">
        <v>135</v>
      </c>
      <c r="CH305" s="2"/>
      <c r="CJ305" s="2"/>
      <c r="CL305" s="2"/>
      <c r="CN305" s="2"/>
      <c r="CQ305" s="2"/>
      <c r="CT305" s="2"/>
      <c r="CW305" s="2"/>
    </row>
    <row r="306" spans="1:101" x14ac:dyDescent="0.25">
      <c r="A306" s="1" t="s">
        <v>163</v>
      </c>
      <c r="B306" s="75" t="s">
        <v>164</v>
      </c>
      <c r="C306">
        <v>0</v>
      </c>
      <c r="D306">
        <v>0</v>
      </c>
      <c r="E306">
        <v>0</v>
      </c>
      <c r="F306">
        <v>604324.56000000006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3.91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7490</v>
      </c>
      <c r="AW306">
        <v>3350</v>
      </c>
      <c r="AX306">
        <v>1219</v>
      </c>
      <c r="AY306">
        <v>12059</v>
      </c>
      <c r="AZ306">
        <v>4202</v>
      </c>
      <c r="BA306">
        <v>7438</v>
      </c>
      <c r="BB306">
        <v>1432</v>
      </c>
      <c r="BC306">
        <v>13072</v>
      </c>
      <c r="BD306">
        <v>9486</v>
      </c>
      <c r="BE306">
        <v>9222</v>
      </c>
      <c r="BF306">
        <v>1768</v>
      </c>
      <c r="BG306">
        <v>20476</v>
      </c>
      <c r="BH306">
        <v>0</v>
      </c>
      <c r="BI306">
        <v>0</v>
      </c>
      <c r="BJ306">
        <v>0</v>
      </c>
      <c r="BK306">
        <v>0</v>
      </c>
      <c r="BL306" s="2">
        <v>24.82</v>
      </c>
      <c r="BM306" s="2">
        <v>42005.095138888886</v>
      </c>
      <c r="BN306" s="2">
        <v>5.4</v>
      </c>
      <c r="BO306" s="2">
        <v>42005.092361111114</v>
      </c>
      <c r="BP306" s="2">
        <v>6.92</v>
      </c>
      <c r="BQ306" s="2">
        <v>42005.092361111114</v>
      </c>
      <c r="BR306" s="2">
        <v>11.07</v>
      </c>
      <c r="BS306" s="2">
        <v>42005.092361111114</v>
      </c>
      <c r="BT306">
        <v>0</v>
      </c>
      <c r="BU306">
        <v>0</v>
      </c>
      <c r="BV306" t="s">
        <v>135</v>
      </c>
      <c r="BW306">
        <v>0</v>
      </c>
      <c r="BX306">
        <v>0</v>
      </c>
      <c r="BY306" t="s">
        <v>135</v>
      </c>
      <c r="BZ306">
        <v>0</v>
      </c>
      <c r="CA306">
        <v>0</v>
      </c>
      <c r="CB306" t="s">
        <v>135</v>
      </c>
      <c r="CH306" s="2"/>
      <c r="CJ306" s="2"/>
      <c r="CL306" s="2"/>
      <c r="CN306" s="2"/>
      <c r="CQ306" s="2"/>
      <c r="CT306" s="2"/>
      <c r="CW306" s="2"/>
    </row>
    <row r="307" spans="1:101" x14ac:dyDescent="0.25">
      <c r="A307" s="1" t="s">
        <v>163</v>
      </c>
      <c r="B307" s="75" t="s">
        <v>164</v>
      </c>
      <c r="C307">
        <v>0</v>
      </c>
      <c r="D307">
        <v>0</v>
      </c>
      <c r="E307">
        <v>0</v>
      </c>
      <c r="F307">
        <v>604324.56000000006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3.91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7490</v>
      </c>
      <c r="AW307">
        <v>3350</v>
      </c>
      <c r="AX307">
        <v>1219</v>
      </c>
      <c r="AY307">
        <v>12059</v>
      </c>
      <c r="AZ307">
        <v>4202</v>
      </c>
      <c r="BA307">
        <v>7438</v>
      </c>
      <c r="BB307">
        <v>1432</v>
      </c>
      <c r="BC307">
        <v>13072</v>
      </c>
      <c r="BD307">
        <v>9486</v>
      </c>
      <c r="BE307">
        <v>9222</v>
      </c>
      <c r="BF307">
        <v>1768</v>
      </c>
      <c r="BG307">
        <v>20476</v>
      </c>
      <c r="BH307">
        <v>0</v>
      </c>
      <c r="BI307">
        <v>0</v>
      </c>
      <c r="BJ307">
        <v>0</v>
      </c>
      <c r="BK307">
        <v>0</v>
      </c>
      <c r="BL307" s="2">
        <v>24.82</v>
      </c>
      <c r="BM307" s="2">
        <v>42005.095138888886</v>
      </c>
      <c r="BN307" s="2">
        <v>5.4</v>
      </c>
      <c r="BO307" s="2">
        <v>42005.092361111114</v>
      </c>
      <c r="BP307" s="2">
        <v>6.92</v>
      </c>
      <c r="BQ307" s="2">
        <v>42005.092361111114</v>
      </c>
      <c r="BR307" s="2">
        <v>11.07</v>
      </c>
      <c r="BS307" s="2">
        <v>42005.092361111114</v>
      </c>
      <c r="BT307">
        <v>0</v>
      </c>
      <c r="BU307">
        <v>0</v>
      </c>
      <c r="BV307" t="s">
        <v>135</v>
      </c>
      <c r="BW307">
        <v>0</v>
      </c>
      <c r="BX307">
        <v>0</v>
      </c>
      <c r="BY307" t="s">
        <v>135</v>
      </c>
      <c r="BZ307">
        <v>0</v>
      </c>
      <c r="CA307">
        <v>0</v>
      </c>
      <c r="CB307" t="s">
        <v>135</v>
      </c>
      <c r="CH307" s="2"/>
      <c r="CJ307" s="2"/>
      <c r="CL307" s="2"/>
      <c r="CN307" s="2"/>
      <c r="CQ307" s="2"/>
      <c r="CT307" s="2"/>
      <c r="CW307" s="2"/>
    </row>
    <row r="308" spans="1:101" x14ac:dyDescent="0.25">
      <c r="A308" s="1" t="s">
        <v>163</v>
      </c>
      <c r="B308" s="75" t="s">
        <v>164</v>
      </c>
      <c r="C308">
        <v>0</v>
      </c>
      <c r="D308">
        <v>0</v>
      </c>
      <c r="E308">
        <v>0</v>
      </c>
      <c r="F308">
        <v>604324.56000000006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3.91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7490</v>
      </c>
      <c r="AW308">
        <v>3350</v>
      </c>
      <c r="AX308">
        <v>1219</v>
      </c>
      <c r="AY308">
        <v>12059</v>
      </c>
      <c r="AZ308">
        <v>4202</v>
      </c>
      <c r="BA308">
        <v>7438</v>
      </c>
      <c r="BB308">
        <v>1432</v>
      </c>
      <c r="BC308">
        <v>13072</v>
      </c>
      <c r="BD308">
        <v>9486</v>
      </c>
      <c r="BE308">
        <v>9222</v>
      </c>
      <c r="BF308">
        <v>1768</v>
      </c>
      <c r="BG308">
        <v>20476</v>
      </c>
      <c r="BH308">
        <v>0</v>
      </c>
      <c r="BI308">
        <v>0</v>
      </c>
      <c r="BJ308">
        <v>0</v>
      </c>
      <c r="BK308">
        <v>0</v>
      </c>
      <c r="BL308" s="2">
        <v>24.82</v>
      </c>
      <c r="BM308" s="2">
        <v>42005.095138888886</v>
      </c>
      <c r="BN308" s="2">
        <v>5.4</v>
      </c>
      <c r="BO308" s="2">
        <v>42005.092361111114</v>
      </c>
      <c r="BP308" s="2">
        <v>6.92</v>
      </c>
      <c r="BQ308" s="2">
        <v>42005.092361111114</v>
      </c>
      <c r="BR308" s="2">
        <v>11.07</v>
      </c>
      <c r="BS308" s="2">
        <v>42005.092361111114</v>
      </c>
      <c r="BT308">
        <v>0</v>
      </c>
      <c r="BU308">
        <v>0</v>
      </c>
      <c r="BV308" t="s">
        <v>135</v>
      </c>
      <c r="BW308">
        <v>0</v>
      </c>
      <c r="BX308">
        <v>0</v>
      </c>
      <c r="BY308" t="s">
        <v>135</v>
      </c>
      <c r="BZ308">
        <v>0</v>
      </c>
      <c r="CA308">
        <v>0</v>
      </c>
      <c r="CB308" t="s">
        <v>135</v>
      </c>
      <c r="CH308" s="2"/>
      <c r="CJ308" s="2"/>
      <c r="CL308" s="2"/>
      <c r="CN308" s="2"/>
      <c r="CQ308" s="2"/>
      <c r="CT308" s="2"/>
      <c r="CW308" s="2"/>
    </row>
    <row r="309" spans="1:101" x14ac:dyDescent="0.25">
      <c r="A309" s="1" t="s">
        <v>163</v>
      </c>
      <c r="B309" s="75" t="s">
        <v>164</v>
      </c>
      <c r="C309">
        <v>0</v>
      </c>
      <c r="D309">
        <v>0</v>
      </c>
      <c r="E309">
        <v>0</v>
      </c>
      <c r="F309">
        <v>604324.56000000006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3.91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7490</v>
      </c>
      <c r="AW309">
        <v>3350</v>
      </c>
      <c r="AX309">
        <v>1219</v>
      </c>
      <c r="AY309">
        <v>12059</v>
      </c>
      <c r="AZ309">
        <v>4202</v>
      </c>
      <c r="BA309">
        <v>7438</v>
      </c>
      <c r="BB309">
        <v>1432</v>
      </c>
      <c r="BC309">
        <v>13072</v>
      </c>
      <c r="BD309">
        <v>9486</v>
      </c>
      <c r="BE309">
        <v>9222</v>
      </c>
      <c r="BF309">
        <v>1768</v>
      </c>
      <c r="BG309">
        <v>20476</v>
      </c>
      <c r="BH309">
        <v>0</v>
      </c>
      <c r="BI309">
        <v>0</v>
      </c>
      <c r="BJ309">
        <v>0</v>
      </c>
      <c r="BK309">
        <v>0</v>
      </c>
      <c r="BL309" s="2">
        <v>24.82</v>
      </c>
      <c r="BM309" s="2">
        <v>42005.095138888886</v>
      </c>
      <c r="BN309" s="2">
        <v>5.4</v>
      </c>
      <c r="BO309" s="2">
        <v>42005.092361111114</v>
      </c>
      <c r="BP309" s="2">
        <v>6.92</v>
      </c>
      <c r="BQ309" s="2">
        <v>42005.092361111114</v>
      </c>
      <c r="BR309" s="2">
        <v>11.07</v>
      </c>
      <c r="BS309" s="2">
        <v>42005.092361111114</v>
      </c>
      <c r="BT309">
        <v>0</v>
      </c>
      <c r="BU309">
        <v>0</v>
      </c>
      <c r="BV309" t="s">
        <v>135</v>
      </c>
      <c r="BW309">
        <v>0</v>
      </c>
      <c r="BX309">
        <v>0</v>
      </c>
      <c r="BY309" t="s">
        <v>135</v>
      </c>
      <c r="BZ309">
        <v>0</v>
      </c>
      <c r="CA309">
        <v>0</v>
      </c>
      <c r="CB309" t="s">
        <v>135</v>
      </c>
      <c r="CH309" s="2"/>
      <c r="CJ309" s="2"/>
      <c r="CL309" s="2"/>
      <c r="CN309" s="2"/>
      <c r="CQ309" s="2"/>
      <c r="CT309" s="2"/>
      <c r="CW309" s="2"/>
    </row>
    <row r="310" spans="1:101" x14ac:dyDescent="0.25">
      <c r="A310" s="1" t="s">
        <v>163</v>
      </c>
      <c r="B310" s="75" t="s">
        <v>164</v>
      </c>
      <c r="C310">
        <v>0</v>
      </c>
      <c r="D310">
        <v>0</v>
      </c>
      <c r="E310">
        <v>0</v>
      </c>
      <c r="F310">
        <v>604324.56000000006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3.91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7490</v>
      </c>
      <c r="AW310">
        <v>3350</v>
      </c>
      <c r="AX310">
        <v>1219</v>
      </c>
      <c r="AY310">
        <v>12059</v>
      </c>
      <c r="AZ310">
        <v>4202</v>
      </c>
      <c r="BA310">
        <v>7438</v>
      </c>
      <c r="BB310">
        <v>1432</v>
      </c>
      <c r="BC310">
        <v>13072</v>
      </c>
      <c r="BD310">
        <v>9486</v>
      </c>
      <c r="BE310">
        <v>9222</v>
      </c>
      <c r="BF310">
        <v>1768</v>
      </c>
      <c r="BG310">
        <v>20476</v>
      </c>
      <c r="BH310">
        <v>0</v>
      </c>
      <c r="BI310">
        <v>0</v>
      </c>
      <c r="BJ310">
        <v>0</v>
      </c>
      <c r="BK310">
        <v>0</v>
      </c>
      <c r="BL310" s="2">
        <v>24.82</v>
      </c>
      <c r="BM310" s="2">
        <v>42005.095138888886</v>
      </c>
      <c r="BN310" s="2">
        <v>5.4</v>
      </c>
      <c r="BO310" s="2">
        <v>42005.092361111114</v>
      </c>
      <c r="BP310" s="2">
        <v>6.92</v>
      </c>
      <c r="BQ310" s="2">
        <v>42005.092361111114</v>
      </c>
      <c r="BR310" s="2">
        <v>11.07</v>
      </c>
      <c r="BS310" s="2">
        <v>42005.092361111114</v>
      </c>
      <c r="BT310">
        <v>0</v>
      </c>
      <c r="BU310">
        <v>0</v>
      </c>
      <c r="BV310" t="s">
        <v>135</v>
      </c>
      <c r="BW310">
        <v>0</v>
      </c>
      <c r="BX310">
        <v>0</v>
      </c>
      <c r="BY310" t="s">
        <v>135</v>
      </c>
      <c r="BZ310">
        <v>0</v>
      </c>
      <c r="CA310">
        <v>0</v>
      </c>
      <c r="CB310" t="s">
        <v>135</v>
      </c>
      <c r="CH310" s="2"/>
      <c r="CJ310" s="2"/>
      <c r="CL310" s="2"/>
      <c r="CN310" s="2"/>
      <c r="CQ310" s="2"/>
      <c r="CT310" s="2"/>
      <c r="CW310" s="2"/>
    </row>
    <row r="311" spans="1:101" x14ac:dyDescent="0.25">
      <c r="A311" s="1" t="s">
        <v>163</v>
      </c>
      <c r="B311" s="75" t="s">
        <v>164</v>
      </c>
      <c r="C311">
        <v>0</v>
      </c>
      <c r="D311">
        <v>0</v>
      </c>
      <c r="E311">
        <v>0</v>
      </c>
      <c r="F311">
        <v>604324.56000000006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3.91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7490</v>
      </c>
      <c r="AW311">
        <v>3350</v>
      </c>
      <c r="AX311">
        <v>1219</v>
      </c>
      <c r="AY311">
        <v>12059</v>
      </c>
      <c r="AZ311">
        <v>4202</v>
      </c>
      <c r="BA311">
        <v>7438</v>
      </c>
      <c r="BB311">
        <v>1432</v>
      </c>
      <c r="BC311">
        <v>13072</v>
      </c>
      <c r="BD311">
        <v>9486</v>
      </c>
      <c r="BE311">
        <v>9222</v>
      </c>
      <c r="BF311">
        <v>1768</v>
      </c>
      <c r="BG311">
        <v>20476</v>
      </c>
      <c r="BH311">
        <v>0</v>
      </c>
      <c r="BI311">
        <v>0</v>
      </c>
      <c r="BJ311">
        <v>0</v>
      </c>
      <c r="BK311">
        <v>0</v>
      </c>
      <c r="BL311" s="2">
        <v>24.82</v>
      </c>
      <c r="BM311" s="2">
        <v>42005.095138888886</v>
      </c>
      <c r="BN311" s="2">
        <v>5.4</v>
      </c>
      <c r="BO311" s="2">
        <v>42005.092361111114</v>
      </c>
      <c r="BP311" s="2">
        <v>6.92</v>
      </c>
      <c r="BQ311" s="2">
        <v>42005.092361111114</v>
      </c>
      <c r="BR311" s="2">
        <v>11.07</v>
      </c>
      <c r="BS311" s="2">
        <v>42005.092361111114</v>
      </c>
      <c r="BT311">
        <v>0</v>
      </c>
      <c r="BU311">
        <v>0</v>
      </c>
      <c r="BV311" t="s">
        <v>135</v>
      </c>
      <c r="BW311">
        <v>0</v>
      </c>
      <c r="BX311">
        <v>0</v>
      </c>
      <c r="BY311" t="s">
        <v>135</v>
      </c>
      <c r="BZ311">
        <v>0</v>
      </c>
      <c r="CA311">
        <v>0</v>
      </c>
      <c r="CB311" t="s">
        <v>135</v>
      </c>
      <c r="CH311" s="2"/>
      <c r="CJ311" s="2"/>
      <c r="CL311" s="2"/>
      <c r="CN311" s="2"/>
      <c r="CQ311" s="2"/>
      <c r="CT311" s="2"/>
      <c r="CW311" s="2"/>
    </row>
    <row r="312" spans="1:101" x14ac:dyDescent="0.25">
      <c r="A312" s="1" t="s">
        <v>163</v>
      </c>
      <c r="B312" s="75" t="s">
        <v>164</v>
      </c>
      <c r="C312">
        <v>0</v>
      </c>
      <c r="D312">
        <v>0</v>
      </c>
      <c r="E312">
        <v>0</v>
      </c>
      <c r="F312">
        <v>604324.56000000006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3.91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7490</v>
      </c>
      <c r="AW312">
        <v>3350</v>
      </c>
      <c r="AX312">
        <v>1219</v>
      </c>
      <c r="AY312">
        <v>12059</v>
      </c>
      <c r="AZ312">
        <v>4202</v>
      </c>
      <c r="BA312">
        <v>7438</v>
      </c>
      <c r="BB312">
        <v>1432</v>
      </c>
      <c r="BC312">
        <v>13072</v>
      </c>
      <c r="BD312">
        <v>9486</v>
      </c>
      <c r="BE312">
        <v>9222</v>
      </c>
      <c r="BF312">
        <v>1768</v>
      </c>
      <c r="BG312">
        <v>20476</v>
      </c>
      <c r="BH312">
        <v>0</v>
      </c>
      <c r="BI312">
        <v>0</v>
      </c>
      <c r="BJ312">
        <v>0</v>
      </c>
      <c r="BK312">
        <v>0</v>
      </c>
      <c r="BL312" s="2">
        <v>24.82</v>
      </c>
      <c r="BM312" s="2">
        <v>42005.095138888886</v>
      </c>
      <c r="BN312" s="2">
        <v>5.4</v>
      </c>
      <c r="BO312" s="2">
        <v>42005.092361111114</v>
      </c>
      <c r="BP312" s="2">
        <v>6.92</v>
      </c>
      <c r="BQ312" s="2">
        <v>42005.092361111114</v>
      </c>
      <c r="BR312" s="2">
        <v>11.07</v>
      </c>
      <c r="BS312" s="2">
        <v>42005.092361111114</v>
      </c>
      <c r="BT312">
        <v>0</v>
      </c>
      <c r="BU312">
        <v>0</v>
      </c>
      <c r="BV312" t="s">
        <v>135</v>
      </c>
      <c r="BW312">
        <v>0</v>
      </c>
      <c r="BX312">
        <v>0</v>
      </c>
      <c r="BY312" t="s">
        <v>135</v>
      </c>
      <c r="BZ312">
        <v>0</v>
      </c>
      <c r="CA312">
        <v>0</v>
      </c>
      <c r="CB312" t="s">
        <v>135</v>
      </c>
      <c r="CH312" s="2"/>
      <c r="CJ312" s="2"/>
      <c r="CL312" s="2"/>
      <c r="CN312" s="2"/>
      <c r="CQ312" s="2"/>
      <c r="CT312" s="2"/>
      <c r="CW312" s="2"/>
    </row>
    <row r="313" spans="1:101" x14ac:dyDescent="0.25">
      <c r="A313" s="1" t="s">
        <v>163</v>
      </c>
      <c r="B313" s="75" t="s">
        <v>164</v>
      </c>
      <c r="C313">
        <v>0</v>
      </c>
      <c r="D313">
        <v>0</v>
      </c>
      <c r="E313">
        <v>0</v>
      </c>
      <c r="F313">
        <v>604324.56000000006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3.91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7490</v>
      </c>
      <c r="AW313">
        <v>3350</v>
      </c>
      <c r="AX313">
        <v>1219</v>
      </c>
      <c r="AY313">
        <v>12059</v>
      </c>
      <c r="AZ313">
        <v>4202</v>
      </c>
      <c r="BA313">
        <v>7438</v>
      </c>
      <c r="BB313">
        <v>1432</v>
      </c>
      <c r="BC313">
        <v>13072</v>
      </c>
      <c r="BD313">
        <v>9486</v>
      </c>
      <c r="BE313">
        <v>9222</v>
      </c>
      <c r="BF313">
        <v>1768</v>
      </c>
      <c r="BG313">
        <v>20476</v>
      </c>
      <c r="BH313">
        <v>0</v>
      </c>
      <c r="BI313">
        <v>0</v>
      </c>
      <c r="BJ313">
        <v>0</v>
      </c>
      <c r="BK313">
        <v>0</v>
      </c>
      <c r="BL313" s="2">
        <v>24.82</v>
      </c>
      <c r="BM313" s="2">
        <v>42005.095138888886</v>
      </c>
      <c r="BN313" s="2">
        <v>5.4</v>
      </c>
      <c r="BO313" s="2">
        <v>42005.092361111114</v>
      </c>
      <c r="BP313" s="2">
        <v>6.92</v>
      </c>
      <c r="BQ313" s="2">
        <v>42005.092361111114</v>
      </c>
      <c r="BR313" s="2">
        <v>11.07</v>
      </c>
      <c r="BS313" s="2">
        <v>42005.092361111114</v>
      </c>
      <c r="BT313">
        <v>0</v>
      </c>
      <c r="BU313">
        <v>0</v>
      </c>
      <c r="BV313" t="s">
        <v>135</v>
      </c>
      <c r="BW313">
        <v>0</v>
      </c>
      <c r="BX313">
        <v>0</v>
      </c>
      <c r="BY313" t="s">
        <v>135</v>
      </c>
      <c r="BZ313">
        <v>0</v>
      </c>
      <c r="CA313">
        <v>0</v>
      </c>
      <c r="CB313" t="s">
        <v>135</v>
      </c>
      <c r="CH313" s="2"/>
      <c r="CJ313" s="2"/>
      <c r="CL313" s="2"/>
      <c r="CN313" s="2"/>
      <c r="CQ313" s="2"/>
      <c r="CT313" s="2"/>
      <c r="CW313" s="2"/>
    </row>
    <row r="314" spans="1:101" x14ac:dyDescent="0.25">
      <c r="A314" s="1" t="s">
        <v>163</v>
      </c>
      <c r="B314" s="75" t="s">
        <v>164</v>
      </c>
      <c r="C314">
        <v>0</v>
      </c>
      <c r="D314">
        <v>0</v>
      </c>
      <c r="E314">
        <v>0</v>
      </c>
      <c r="F314">
        <v>604324.56000000006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3.91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7490</v>
      </c>
      <c r="AW314">
        <v>3350</v>
      </c>
      <c r="AX314">
        <v>1219</v>
      </c>
      <c r="AY314">
        <v>12059</v>
      </c>
      <c r="AZ314">
        <v>4202</v>
      </c>
      <c r="BA314">
        <v>7438</v>
      </c>
      <c r="BB314">
        <v>1432</v>
      </c>
      <c r="BC314">
        <v>13072</v>
      </c>
      <c r="BD314">
        <v>9486</v>
      </c>
      <c r="BE314">
        <v>9222</v>
      </c>
      <c r="BF314">
        <v>1768</v>
      </c>
      <c r="BG314">
        <v>20476</v>
      </c>
      <c r="BH314">
        <v>0</v>
      </c>
      <c r="BI314">
        <v>0</v>
      </c>
      <c r="BJ314">
        <v>0</v>
      </c>
      <c r="BK314">
        <v>0</v>
      </c>
      <c r="BL314" s="2">
        <v>24.82</v>
      </c>
      <c r="BM314" s="2">
        <v>42005.095138888886</v>
      </c>
      <c r="BN314" s="2">
        <v>5.4</v>
      </c>
      <c r="BO314" s="2">
        <v>42005.092361111114</v>
      </c>
      <c r="BP314" s="2">
        <v>6.92</v>
      </c>
      <c r="BQ314" s="2">
        <v>42005.092361111114</v>
      </c>
      <c r="BR314" s="2">
        <v>11.07</v>
      </c>
      <c r="BS314" s="2">
        <v>42005.092361111114</v>
      </c>
      <c r="BT314">
        <v>0</v>
      </c>
      <c r="BU314">
        <v>0</v>
      </c>
      <c r="BV314" t="s">
        <v>135</v>
      </c>
      <c r="BW314">
        <v>0</v>
      </c>
      <c r="BX314">
        <v>0</v>
      </c>
      <c r="BY314" t="s">
        <v>135</v>
      </c>
      <c r="BZ314">
        <v>0</v>
      </c>
      <c r="CA314">
        <v>0</v>
      </c>
      <c r="CB314" t="s">
        <v>135</v>
      </c>
      <c r="CH314" s="2"/>
      <c r="CJ314" s="2"/>
      <c r="CL314" s="2"/>
      <c r="CN314" s="2"/>
      <c r="CQ314" s="2"/>
      <c r="CT314" s="2"/>
      <c r="CW314" s="2"/>
    </row>
    <row r="315" spans="1:101" x14ac:dyDescent="0.25">
      <c r="A315" s="1" t="s">
        <v>163</v>
      </c>
      <c r="B315" s="75" t="s">
        <v>164</v>
      </c>
      <c r="C315">
        <v>0</v>
      </c>
      <c r="D315">
        <v>0</v>
      </c>
      <c r="E315">
        <v>0</v>
      </c>
      <c r="F315">
        <v>604324.56000000006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3.91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7490</v>
      </c>
      <c r="AW315">
        <v>3350</v>
      </c>
      <c r="AX315">
        <v>1219</v>
      </c>
      <c r="AY315">
        <v>12059</v>
      </c>
      <c r="AZ315">
        <v>4202</v>
      </c>
      <c r="BA315">
        <v>7438</v>
      </c>
      <c r="BB315">
        <v>1432</v>
      </c>
      <c r="BC315">
        <v>13072</v>
      </c>
      <c r="BD315">
        <v>9486</v>
      </c>
      <c r="BE315">
        <v>9222</v>
      </c>
      <c r="BF315">
        <v>1768</v>
      </c>
      <c r="BG315">
        <v>20476</v>
      </c>
      <c r="BH315">
        <v>0</v>
      </c>
      <c r="BI315">
        <v>0</v>
      </c>
      <c r="BJ315">
        <v>0</v>
      </c>
      <c r="BK315">
        <v>0</v>
      </c>
      <c r="BL315" s="2">
        <v>24.82</v>
      </c>
      <c r="BM315" s="2">
        <v>42005.095138888886</v>
      </c>
      <c r="BN315" s="2">
        <v>5.4</v>
      </c>
      <c r="BO315" s="2">
        <v>42005.092361111114</v>
      </c>
      <c r="BP315" s="2">
        <v>6.92</v>
      </c>
      <c r="BQ315" s="2">
        <v>42005.092361111114</v>
      </c>
      <c r="BR315" s="2">
        <v>11.07</v>
      </c>
      <c r="BS315" s="2">
        <v>42005.092361111114</v>
      </c>
      <c r="BT315">
        <v>0</v>
      </c>
      <c r="BU315">
        <v>0</v>
      </c>
      <c r="BV315" t="s">
        <v>135</v>
      </c>
      <c r="BW315">
        <v>0</v>
      </c>
      <c r="BX315">
        <v>0</v>
      </c>
      <c r="BY315" t="s">
        <v>135</v>
      </c>
      <c r="BZ315">
        <v>0</v>
      </c>
      <c r="CA315">
        <v>0</v>
      </c>
      <c r="CB315" t="s">
        <v>135</v>
      </c>
      <c r="CH315" s="2"/>
      <c r="CJ315" s="2"/>
      <c r="CL315" s="2"/>
      <c r="CN315" s="2"/>
      <c r="CQ315" s="2"/>
      <c r="CT315" s="2"/>
      <c r="CW315" s="2"/>
    </row>
    <row r="316" spans="1:101" x14ac:dyDescent="0.25">
      <c r="A316" s="1" t="s">
        <v>163</v>
      </c>
      <c r="B316" s="75" t="s">
        <v>164</v>
      </c>
      <c r="C316">
        <v>0</v>
      </c>
      <c r="D316">
        <v>0</v>
      </c>
      <c r="E316">
        <v>0</v>
      </c>
      <c r="F316">
        <v>604324.56000000006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3.91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7490</v>
      </c>
      <c r="AW316">
        <v>3350</v>
      </c>
      <c r="AX316">
        <v>1219</v>
      </c>
      <c r="AY316">
        <v>12059</v>
      </c>
      <c r="AZ316">
        <v>4202</v>
      </c>
      <c r="BA316">
        <v>7438</v>
      </c>
      <c r="BB316">
        <v>1432</v>
      </c>
      <c r="BC316">
        <v>13072</v>
      </c>
      <c r="BD316">
        <v>9486</v>
      </c>
      <c r="BE316">
        <v>9222</v>
      </c>
      <c r="BF316">
        <v>1768</v>
      </c>
      <c r="BG316">
        <v>20476</v>
      </c>
      <c r="BH316">
        <v>0</v>
      </c>
      <c r="BI316">
        <v>0</v>
      </c>
      <c r="BJ316">
        <v>0</v>
      </c>
      <c r="BK316">
        <v>0</v>
      </c>
      <c r="BL316" s="2">
        <v>24.82</v>
      </c>
      <c r="BM316" s="2">
        <v>42005.095138888886</v>
      </c>
      <c r="BN316" s="2">
        <v>5.4</v>
      </c>
      <c r="BO316" s="2">
        <v>42005.092361111114</v>
      </c>
      <c r="BP316" s="2">
        <v>6.92</v>
      </c>
      <c r="BQ316" s="2">
        <v>42005.092361111114</v>
      </c>
      <c r="BR316" s="2">
        <v>11.07</v>
      </c>
      <c r="BS316" s="2">
        <v>42005.092361111114</v>
      </c>
      <c r="BT316">
        <v>0</v>
      </c>
      <c r="BU316">
        <v>0</v>
      </c>
      <c r="BV316" t="s">
        <v>135</v>
      </c>
      <c r="BW316">
        <v>0</v>
      </c>
      <c r="BX316">
        <v>0</v>
      </c>
      <c r="BY316" t="s">
        <v>135</v>
      </c>
      <c r="BZ316">
        <v>0</v>
      </c>
      <c r="CA316">
        <v>0</v>
      </c>
      <c r="CB316" t="s">
        <v>135</v>
      </c>
      <c r="CH316" s="2"/>
      <c r="CJ316" s="2"/>
      <c r="CL316" s="2"/>
      <c r="CN316" s="2"/>
      <c r="CQ316" s="2"/>
      <c r="CT316" s="2"/>
      <c r="CW316" s="2"/>
    </row>
    <row r="317" spans="1:101" x14ac:dyDescent="0.25">
      <c r="A317" s="1" t="s">
        <v>163</v>
      </c>
      <c r="B317" s="75" t="s">
        <v>164</v>
      </c>
      <c r="C317">
        <v>0</v>
      </c>
      <c r="D317">
        <v>0</v>
      </c>
      <c r="E317">
        <v>0</v>
      </c>
      <c r="F317">
        <v>604324.56000000006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3.91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7490</v>
      </c>
      <c r="AW317">
        <v>3350</v>
      </c>
      <c r="AX317">
        <v>1219</v>
      </c>
      <c r="AY317">
        <v>12059</v>
      </c>
      <c r="AZ317">
        <v>4202</v>
      </c>
      <c r="BA317">
        <v>7438</v>
      </c>
      <c r="BB317">
        <v>1432</v>
      </c>
      <c r="BC317">
        <v>13072</v>
      </c>
      <c r="BD317">
        <v>9486</v>
      </c>
      <c r="BE317">
        <v>9222</v>
      </c>
      <c r="BF317">
        <v>1768</v>
      </c>
      <c r="BG317">
        <v>20476</v>
      </c>
      <c r="BH317">
        <v>0</v>
      </c>
      <c r="BI317">
        <v>0</v>
      </c>
      <c r="BJ317">
        <v>0</v>
      </c>
      <c r="BK317">
        <v>0</v>
      </c>
      <c r="BL317" s="2">
        <v>24.82</v>
      </c>
      <c r="BM317" s="2">
        <v>42005.095138888886</v>
      </c>
      <c r="BN317" s="2">
        <v>5.4</v>
      </c>
      <c r="BO317" s="2">
        <v>42005.092361111114</v>
      </c>
      <c r="BP317" s="2">
        <v>6.92</v>
      </c>
      <c r="BQ317" s="2">
        <v>42005.092361111114</v>
      </c>
      <c r="BR317" s="2">
        <v>11.07</v>
      </c>
      <c r="BS317" s="2">
        <v>42005.092361111114</v>
      </c>
      <c r="BT317">
        <v>0</v>
      </c>
      <c r="BU317">
        <v>0</v>
      </c>
      <c r="BV317" t="s">
        <v>135</v>
      </c>
      <c r="BW317">
        <v>0</v>
      </c>
      <c r="BX317">
        <v>0</v>
      </c>
      <c r="BY317" t="s">
        <v>135</v>
      </c>
      <c r="BZ317">
        <v>0</v>
      </c>
      <c r="CA317">
        <v>0</v>
      </c>
      <c r="CB317" t="s">
        <v>135</v>
      </c>
      <c r="CH317" s="2"/>
      <c r="CJ317" s="2"/>
      <c r="CL317" s="2"/>
      <c r="CN317" s="2"/>
      <c r="CQ317" s="2"/>
      <c r="CT317" s="2"/>
      <c r="CW317" s="2"/>
    </row>
    <row r="318" spans="1:101" x14ac:dyDescent="0.25">
      <c r="A318" s="1" t="s">
        <v>163</v>
      </c>
      <c r="B318" s="75" t="s">
        <v>164</v>
      </c>
      <c r="C318">
        <v>0</v>
      </c>
      <c r="D318">
        <v>0</v>
      </c>
      <c r="E318">
        <v>0</v>
      </c>
      <c r="F318">
        <v>604324.56000000006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3.91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7490</v>
      </c>
      <c r="AW318">
        <v>3350</v>
      </c>
      <c r="AX318">
        <v>1219</v>
      </c>
      <c r="AY318">
        <v>12059</v>
      </c>
      <c r="AZ318">
        <v>4202</v>
      </c>
      <c r="BA318">
        <v>7438</v>
      </c>
      <c r="BB318">
        <v>1432</v>
      </c>
      <c r="BC318">
        <v>13072</v>
      </c>
      <c r="BD318">
        <v>9486</v>
      </c>
      <c r="BE318">
        <v>9222</v>
      </c>
      <c r="BF318">
        <v>1768</v>
      </c>
      <c r="BG318">
        <v>20476</v>
      </c>
      <c r="BH318">
        <v>0</v>
      </c>
      <c r="BI318">
        <v>0</v>
      </c>
      <c r="BJ318">
        <v>0</v>
      </c>
      <c r="BK318">
        <v>0</v>
      </c>
      <c r="BL318" s="2">
        <v>24.82</v>
      </c>
      <c r="BM318" s="2">
        <v>42005.095138888886</v>
      </c>
      <c r="BN318" s="2">
        <v>5.4</v>
      </c>
      <c r="BO318" s="2">
        <v>42005.092361111114</v>
      </c>
      <c r="BP318" s="2">
        <v>6.92</v>
      </c>
      <c r="BQ318" s="2">
        <v>42005.092361111114</v>
      </c>
      <c r="BR318" s="2">
        <v>11.07</v>
      </c>
      <c r="BS318" s="2">
        <v>42005.092361111114</v>
      </c>
      <c r="BT318">
        <v>0</v>
      </c>
      <c r="BU318">
        <v>0</v>
      </c>
      <c r="BV318" t="s">
        <v>135</v>
      </c>
      <c r="BW318">
        <v>0</v>
      </c>
      <c r="BX318">
        <v>0</v>
      </c>
      <c r="BY318" t="s">
        <v>135</v>
      </c>
      <c r="BZ318">
        <v>0</v>
      </c>
      <c r="CA318">
        <v>0</v>
      </c>
      <c r="CB318" t="s">
        <v>135</v>
      </c>
      <c r="CH318" s="2"/>
      <c r="CJ318" s="2"/>
      <c r="CL318" s="2"/>
      <c r="CN318" s="2"/>
      <c r="CQ318" s="2"/>
      <c r="CT318" s="2"/>
      <c r="CW318" s="2"/>
    </row>
    <row r="319" spans="1:101" x14ac:dyDescent="0.25">
      <c r="A319" s="1" t="s">
        <v>163</v>
      </c>
      <c r="B319" s="75" t="s">
        <v>164</v>
      </c>
      <c r="C319">
        <v>0</v>
      </c>
      <c r="D319">
        <v>0</v>
      </c>
      <c r="E319">
        <v>0</v>
      </c>
      <c r="F319">
        <v>604324.56000000006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3.91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7490</v>
      </c>
      <c r="AW319">
        <v>3350</v>
      </c>
      <c r="AX319">
        <v>1219</v>
      </c>
      <c r="AY319">
        <v>12059</v>
      </c>
      <c r="AZ319">
        <v>4202</v>
      </c>
      <c r="BA319">
        <v>7438</v>
      </c>
      <c r="BB319">
        <v>1432</v>
      </c>
      <c r="BC319">
        <v>13072</v>
      </c>
      <c r="BD319">
        <v>9486</v>
      </c>
      <c r="BE319">
        <v>9222</v>
      </c>
      <c r="BF319">
        <v>1768</v>
      </c>
      <c r="BG319">
        <v>20476</v>
      </c>
      <c r="BH319">
        <v>0</v>
      </c>
      <c r="BI319">
        <v>0</v>
      </c>
      <c r="BJ319">
        <v>0</v>
      </c>
      <c r="BK319">
        <v>0</v>
      </c>
      <c r="BL319" s="2">
        <v>24.82</v>
      </c>
      <c r="BM319" s="2">
        <v>42005.095138888886</v>
      </c>
      <c r="BN319" s="2">
        <v>5.4</v>
      </c>
      <c r="BO319" s="2">
        <v>42005.092361111114</v>
      </c>
      <c r="BP319" s="2">
        <v>6.92</v>
      </c>
      <c r="BQ319" s="2">
        <v>42005.092361111114</v>
      </c>
      <c r="BR319" s="2">
        <v>11.07</v>
      </c>
      <c r="BS319" s="2">
        <v>42005.092361111114</v>
      </c>
      <c r="BT319">
        <v>0</v>
      </c>
      <c r="BU319">
        <v>0</v>
      </c>
      <c r="BV319" t="s">
        <v>135</v>
      </c>
      <c r="BW319">
        <v>0</v>
      </c>
      <c r="BX319">
        <v>0</v>
      </c>
      <c r="BY319" t="s">
        <v>135</v>
      </c>
      <c r="BZ319">
        <v>0</v>
      </c>
      <c r="CA319">
        <v>0</v>
      </c>
      <c r="CB319" t="s">
        <v>135</v>
      </c>
      <c r="CH319" s="2"/>
      <c r="CJ319" s="2"/>
      <c r="CL319" s="2"/>
      <c r="CN319" s="2"/>
      <c r="CQ319" s="2"/>
      <c r="CT319" s="2"/>
      <c r="CW319" s="2"/>
    </row>
    <row r="320" spans="1:101" x14ac:dyDescent="0.25">
      <c r="A320" s="1" t="s">
        <v>163</v>
      </c>
      <c r="B320" s="75" t="s">
        <v>164</v>
      </c>
      <c r="C320">
        <v>0</v>
      </c>
      <c r="D320">
        <v>0</v>
      </c>
      <c r="E320">
        <v>0</v>
      </c>
      <c r="F320">
        <v>604324.56000000006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3.91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7490</v>
      </c>
      <c r="AW320">
        <v>3350</v>
      </c>
      <c r="AX320">
        <v>1219</v>
      </c>
      <c r="AY320">
        <v>12059</v>
      </c>
      <c r="AZ320">
        <v>4202</v>
      </c>
      <c r="BA320">
        <v>7438</v>
      </c>
      <c r="BB320">
        <v>1432</v>
      </c>
      <c r="BC320">
        <v>13072</v>
      </c>
      <c r="BD320">
        <v>9486</v>
      </c>
      <c r="BE320">
        <v>9222</v>
      </c>
      <c r="BF320">
        <v>1768</v>
      </c>
      <c r="BG320">
        <v>20476</v>
      </c>
      <c r="BH320">
        <v>0</v>
      </c>
      <c r="BI320">
        <v>0</v>
      </c>
      <c r="BJ320">
        <v>0</v>
      </c>
      <c r="BK320">
        <v>0</v>
      </c>
      <c r="BL320" s="2">
        <v>24.82</v>
      </c>
      <c r="BM320" s="2">
        <v>42005.095138888886</v>
      </c>
      <c r="BN320" s="2">
        <v>5.4</v>
      </c>
      <c r="BO320" s="2">
        <v>42005.092361111114</v>
      </c>
      <c r="BP320" s="2">
        <v>6.92</v>
      </c>
      <c r="BQ320" s="2">
        <v>42005.092361111114</v>
      </c>
      <c r="BR320" s="2">
        <v>11.07</v>
      </c>
      <c r="BS320" s="2">
        <v>42005.092361111114</v>
      </c>
      <c r="BT320">
        <v>0</v>
      </c>
      <c r="BU320">
        <v>0</v>
      </c>
      <c r="BV320" t="s">
        <v>135</v>
      </c>
      <c r="BW320">
        <v>0</v>
      </c>
      <c r="BX320">
        <v>0</v>
      </c>
      <c r="BY320" t="s">
        <v>135</v>
      </c>
      <c r="BZ320">
        <v>0</v>
      </c>
      <c r="CA320">
        <v>0</v>
      </c>
      <c r="CB320" t="s">
        <v>135</v>
      </c>
      <c r="CH320" s="2"/>
      <c r="CJ320" s="2"/>
      <c r="CL320" s="2"/>
      <c r="CN320" s="2"/>
      <c r="CQ320" s="2"/>
      <c r="CT320" s="2"/>
      <c r="CW320" s="2"/>
    </row>
    <row r="321" spans="1:101" x14ac:dyDescent="0.25">
      <c r="A321" s="1" t="s">
        <v>163</v>
      </c>
      <c r="B321" s="75" t="s">
        <v>164</v>
      </c>
      <c r="C321">
        <v>0</v>
      </c>
      <c r="D321">
        <v>0</v>
      </c>
      <c r="E321">
        <v>0</v>
      </c>
      <c r="F321">
        <v>604324.56000000006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3.91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7490</v>
      </c>
      <c r="AW321">
        <v>3350</v>
      </c>
      <c r="AX321">
        <v>1219</v>
      </c>
      <c r="AY321">
        <v>12059</v>
      </c>
      <c r="AZ321">
        <v>4202</v>
      </c>
      <c r="BA321">
        <v>7438</v>
      </c>
      <c r="BB321">
        <v>1432</v>
      </c>
      <c r="BC321">
        <v>13072</v>
      </c>
      <c r="BD321">
        <v>9486</v>
      </c>
      <c r="BE321">
        <v>9222</v>
      </c>
      <c r="BF321">
        <v>1768</v>
      </c>
      <c r="BG321">
        <v>20476</v>
      </c>
      <c r="BH321">
        <v>0</v>
      </c>
      <c r="BI321">
        <v>0</v>
      </c>
      <c r="BJ321">
        <v>0</v>
      </c>
      <c r="BK321">
        <v>0</v>
      </c>
      <c r="BL321" s="2">
        <v>24.82</v>
      </c>
      <c r="BM321" s="2">
        <v>42005.095138888886</v>
      </c>
      <c r="BN321" s="2">
        <v>5.4</v>
      </c>
      <c r="BO321" s="2">
        <v>42005.092361111114</v>
      </c>
      <c r="BP321" s="2">
        <v>6.92</v>
      </c>
      <c r="BQ321" s="2">
        <v>42005.092361111114</v>
      </c>
      <c r="BR321" s="2">
        <v>11.07</v>
      </c>
      <c r="BS321" s="2">
        <v>42005.092361111114</v>
      </c>
      <c r="BT321">
        <v>0</v>
      </c>
      <c r="BU321">
        <v>0</v>
      </c>
      <c r="BV321" t="s">
        <v>135</v>
      </c>
      <c r="BW321">
        <v>0</v>
      </c>
      <c r="BX321">
        <v>0</v>
      </c>
      <c r="BY321" t="s">
        <v>135</v>
      </c>
      <c r="BZ321">
        <v>0</v>
      </c>
      <c r="CA321">
        <v>0</v>
      </c>
      <c r="CB321" t="s">
        <v>135</v>
      </c>
      <c r="CH321" s="2"/>
      <c r="CJ321" s="2"/>
      <c r="CL321" s="2"/>
      <c r="CN321" s="2"/>
      <c r="CQ321" s="2"/>
      <c r="CT321" s="2"/>
      <c r="CW321" s="2"/>
    </row>
    <row r="322" spans="1:101" x14ac:dyDescent="0.25">
      <c r="A322" s="1" t="s">
        <v>163</v>
      </c>
      <c r="B322" s="75" t="s">
        <v>164</v>
      </c>
      <c r="C322">
        <v>0</v>
      </c>
      <c r="D322">
        <v>0</v>
      </c>
      <c r="E322">
        <v>0</v>
      </c>
      <c r="F322">
        <v>604324.56000000006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3.91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7490</v>
      </c>
      <c r="AW322">
        <v>3350</v>
      </c>
      <c r="AX322">
        <v>1219</v>
      </c>
      <c r="AY322">
        <v>12059</v>
      </c>
      <c r="AZ322">
        <v>4202</v>
      </c>
      <c r="BA322">
        <v>7438</v>
      </c>
      <c r="BB322">
        <v>1432</v>
      </c>
      <c r="BC322">
        <v>13072</v>
      </c>
      <c r="BD322">
        <v>9486</v>
      </c>
      <c r="BE322">
        <v>9222</v>
      </c>
      <c r="BF322">
        <v>1768</v>
      </c>
      <c r="BG322">
        <v>20476</v>
      </c>
      <c r="BH322">
        <v>0</v>
      </c>
      <c r="BI322">
        <v>0</v>
      </c>
      <c r="BJ322">
        <v>0</v>
      </c>
      <c r="BK322">
        <v>0</v>
      </c>
      <c r="BL322" s="2">
        <v>24.82</v>
      </c>
      <c r="BM322" s="2">
        <v>42005.095138888886</v>
      </c>
      <c r="BN322" s="2">
        <v>5.4</v>
      </c>
      <c r="BO322" s="2">
        <v>42005.092361111114</v>
      </c>
      <c r="BP322" s="2">
        <v>6.92</v>
      </c>
      <c r="BQ322" s="2">
        <v>42005.092361111114</v>
      </c>
      <c r="BR322" s="2">
        <v>11.07</v>
      </c>
      <c r="BS322" s="2">
        <v>42005.092361111114</v>
      </c>
      <c r="BT322">
        <v>0</v>
      </c>
      <c r="BU322">
        <v>0</v>
      </c>
      <c r="BV322" t="s">
        <v>135</v>
      </c>
      <c r="BW322">
        <v>0</v>
      </c>
      <c r="BX322">
        <v>0</v>
      </c>
      <c r="BY322" t="s">
        <v>135</v>
      </c>
      <c r="BZ322">
        <v>0</v>
      </c>
      <c r="CA322">
        <v>0</v>
      </c>
      <c r="CB322" t="s">
        <v>135</v>
      </c>
      <c r="CH322" s="2"/>
      <c r="CJ322" s="2"/>
      <c r="CL322" s="2"/>
      <c r="CN322" s="2"/>
      <c r="CQ322" s="2"/>
      <c r="CT322" s="2"/>
      <c r="CW322" s="2"/>
    </row>
    <row r="323" spans="1:101" x14ac:dyDescent="0.25">
      <c r="A323" s="1" t="s">
        <v>163</v>
      </c>
      <c r="B323" s="75" t="s">
        <v>164</v>
      </c>
      <c r="C323">
        <v>0</v>
      </c>
      <c r="D323">
        <v>0</v>
      </c>
      <c r="E323">
        <v>0</v>
      </c>
      <c r="F323">
        <v>604324.56000000006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3.91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7490</v>
      </c>
      <c r="AW323">
        <v>3350</v>
      </c>
      <c r="AX323">
        <v>1219</v>
      </c>
      <c r="AY323">
        <v>12059</v>
      </c>
      <c r="AZ323">
        <v>4202</v>
      </c>
      <c r="BA323">
        <v>7438</v>
      </c>
      <c r="BB323">
        <v>1432</v>
      </c>
      <c r="BC323">
        <v>13072</v>
      </c>
      <c r="BD323">
        <v>9486</v>
      </c>
      <c r="BE323">
        <v>9222</v>
      </c>
      <c r="BF323">
        <v>1768</v>
      </c>
      <c r="BG323">
        <v>20476</v>
      </c>
      <c r="BH323">
        <v>0</v>
      </c>
      <c r="BI323">
        <v>0</v>
      </c>
      <c r="BJ323">
        <v>0</v>
      </c>
      <c r="BK323">
        <v>0</v>
      </c>
      <c r="BL323" s="2">
        <v>24.82</v>
      </c>
      <c r="BM323" s="2">
        <v>42005.095138888886</v>
      </c>
      <c r="BN323" s="2">
        <v>5.4</v>
      </c>
      <c r="BO323" s="2">
        <v>42005.092361111114</v>
      </c>
      <c r="BP323" s="2">
        <v>6.92</v>
      </c>
      <c r="BQ323" s="2">
        <v>42005.092361111114</v>
      </c>
      <c r="BR323" s="2">
        <v>11.07</v>
      </c>
      <c r="BS323" s="2">
        <v>42005.092361111114</v>
      </c>
      <c r="BT323">
        <v>0</v>
      </c>
      <c r="BU323">
        <v>0</v>
      </c>
      <c r="BV323" t="s">
        <v>135</v>
      </c>
      <c r="BW323">
        <v>0</v>
      </c>
      <c r="BX323">
        <v>0</v>
      </c>
      <c r="BY323" t="s">
        <v>135</v>
      </c>
      <c r="BZ323">
        <v>0</v>
      </c>
      <c r="CA323">
        <v>0</v>
      </c>
      <c r="CB323" t="s">
        <v>135</v>
      </c>
      <c r="CH323" s="2"/>
      <c r="CJ323" s="2"/>
      <c r="CL323" s="2"/>
      <c r="CN323" s="2"/>
      <c r="CQ323" s="2"/>
      <c r="CT323" s="2"/>
      <c r="CW323" s="2"/>
    </row>
    <row r="324" spans="1:101" x14ac:dyDescent="0.25">
      <c r="A324" s="1" t="s">
        <v>163</v>
      </c>
      <c r="B324" s="75" t="s">
        <v>164</v>
      </c>
      <c r="C324">
        <v>0</v>
      </c>
      <c r="D324">
        <v>0</v>
      </c>
      <c r="E324">
        <v>0</v>
      </c>
      <c r="F324">
        <v>604324.56000000006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3.91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7490</v>
      </c>
      <c r="AW324">
        <v>3350</v>
      </c>
      <c r="AX324">
        <v>1219</v>
      </c>
      <c r="AY324">
        <v>12059</v>
      </c>
      <c r="AZ324">
        <v>4202</v>
      </c>
      <c r="BA324">
        <v>7438</v>
      </c>
      <c r="BB324">
        <v>1432</v>
      </c>
      <c r="BC324">
        <v>13072</v>
      </c>
      <c r="BD324">
        <v>9486</v>
      </c>
      <c r="BE324">
        <v>9222</v>
      </c>
      <c r="BF324">
        <v>1768</v>
      </c>
      <c r="BG324">
        <v>20476</v>
      </c>
      <c r="BH324">
        <v>0</v>
      </c>
      <c r="BI324">
        <v>0</v>
      </c>
      <c r="BJ324">
        <v>0</v>
      </c>
      <c r="BK324">
        <v>0</v>
      </c>
      <c r="BL324" s="2">
        <v>24.82</v>
      </c>
      <c r="BM324" s="2">
        <v>42005.095138888886</v>
      </c>
      <c r="BN324" s="2">
        <v>5.4</v>
      </c>
      <c r="BO324" s="2">
        <v>42005.092361111114</v>
      </c>
      <c r="BP324" s="2">
        <v>6.92</v>
      </c>
      <c r="BQ324" s="2">
        <v>42005.092361111114</v>
      </c>
      <c r="BR324" s="2">
        <v>11.07</v>
      </c>
      <c r="BS324" s="2">
        <v>42005.092361111114</v>
      </c>
      <c r="BT324">
        <v>0</v>
      </c>
      <c r="BU324">
        <v>0</v>
      </c>
      <c r="BV324" t="s">
        <v>135</v>
      </c>
      <c r="BW324">
        <v>0</v>
      </c>
      <c r="BX324">
        <v>0</v>
      </c>
      <c r="BY324" t="s">
        <v>135</v>
      </c>
      <c r="BZ324">
        <v>0</v>
      </c>
      <c r="CA324">
        <v>0</v>
      </c>
      <c r="CB324" t="s">
        <v>135</v>
      </c>
      <c r="CH324" s="2"/>
      <c r="CJ324" s="2"/>
      <c r="CL324" s="2"/>
      <c r="CN324" s="2"/>
      <c r="CQ324" s="2"/>
      <c r="CT324" s="2"/>
      <c r="CW324" s="2"/>
    </row>
    <row r="325" spans="1:101" x14ac:dyDescent="0.25">
      <c r="A325" s="1" t="s">
        <v>163</v>
      </c>
      <c r="B325" s="75" t="s">
        <v>164</v>
      </c>
      <c r="C325">
        <v>0</v>
      </c>
      <c r="D325">
        <v>0</v>
      </c>
      <c r="E325">
        <v>0</v>
      </c>
      <c r="F325">
        <v>604324.56000000006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3.91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7490</v>
      </c>
      <c r="AW325">
        <v>3350</v>
      </c>
      <c r="AX325">
        <v>1219</v>
      </c>
      <c r="AY325">
        <v>12059</v>
      </c>
      <c r="AZ325">
        <v>4202</v>
      </c>
      <c r="BA325">
        <v>7438</v>
      </c>
      <c r="BB325">
        <v>1432</v>
      </c>
      <c r="BC325">
        <v>13072</v>
      </c>
      <c r="BD325">
        <v>9486</v>
      </c>
      <c r="BE325">
        <v>9222</v>
      </c>
      <c r="BF325">
        <v>1768</v>
      </c>
      <c r="BG325">
        <v>20476</v>
      </c>
      <c r="BH325">
        <v>0</v>
      </c>
      <c r="BI325">
        <v>0</v>
      </c>
      <c r="BJ325">
        <v>0</v>
      </c>
      <c r="BK325">
        <v>0</v>
      </c>
      <c r="BL325" s="2">
        <v>24.82</v>
      </c>
      <c r="BM325" s="2">
        <v>42005.095138888886</v>
      </c>
      <c r="BN325" s="2">
        <v>5.4</v>
      </c>
      <c r="BO325" s="2">
        <v>42005.092361111114</v>
      </c>
      <c r="BP325" s="2">
        <v>6.92</v>
      </c>
      <c r="BQ325" s="2">
        <v>42005.092361111114</v>
      </c>
      <c r="BR325" s="2">
        <v>11.07</v>
      </c>
      <c r="BS325" s="2">
        <v>42005.092361111114</v>
      </c>
      <c r="BT325">
        <v>0</v>
      </c>
      <c r="BU325">
        <v>0</v>
      </c>
      <c r="BV325" t="s">
        <v>135</v>
      </c>
      <c r="BW325">
        <v>0</v>
      </c>
      <c r="BX325">
        <v>0</v>
      </c>
      <c r="BY325" t="s">
        <v>135</v>
      </c>
      <c r="BZ325">
        <v>0</v>
      </c>
      <c r="CA325">
        <v>0</v>
      </c>
      <c r="CB325" t="s">
        <v>135</v>
      </c>
      <c r="CH325" s="2"/>
      <c r="CJ325" s="2"/>
      <c r="CL325" s="2"/>
      <c r="CN325" s="2"/>
      <c r="CQ325" s="2"/>
      <c r="CT325" s="2"/>
      <c r="CW325" s="2"/>
    </row>
    <row r="326" spans="1:101" x14ac:dyDescent="0.25">
      <c r="A326" s="1" t="s">
        <v>163</v>
      </c>
      <c r="B326" s="75" t="s">
        <v>164</v>
      </c>
      <c r="C326">
        <v>0</v>
      </c>
      <c r="D326">
        <v>0</v>
      </c>
      <c r="E326">
        <v>0</v>
      </c>
      <c r="F326">
        <v>604324.56000000006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3.91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7490</v>
      </c>
      <c r="AW326">
        <v>3350</v>
      </c>
      <c r="AX326">
        <v>1219</v>
      </c>
      <c r="AY326">
        <v>12059</v>
      </c>
      <c r="AZ326">
        <v>4202</v>
      </c>
      <c r="BA326">
        <v>7438</v>
      </c>
      <c r="BB326">
        <v>1432</v>
      </c>
      <c r="BC326">
        <v>13072</v>
      </c>
      <c r="BD326">
        <v>9486</v>
      </c>
      <c r="BE326">
        <v>9222</v>
      </c>
      <c r="BF326">
        <v>1768</v>
      </c>
      <c r="BG326">
        <v>20476</v>
      </c>
      <c r="BH326">
        <v>0</v>
      </c>
      <c r="BI326">
        <v>0</v>
      </c>
      <c r="BJ326">
        <v>0</v>
      </c>
      <c r="BK326">
        <v>0</v>
      </c>
      <c r="BL326" s="2">
        <v>24.82</v>
      </c>
      <c r="BM326" s="2">
        <v>42005.095138888886</v>
      </c>
      <c r="BN326" s="2">
        <v>5.4</v>
      </c>
      <c r="BO326" s="2">
        <v>42005.092361111114</v>
      </c>
      <c r="BP326" s="2">
        <v>6.92</v>
      </c>
      <c r="BQ326" s="2">
        <v>42005.092361111114</v>
      </c>
      <c r="BR326" s="2">
        <v>11.07</v>
      </c>
      <c r="BS326" s="2">
        <v>42005.092361111114</v>
      </c>
      <c r="BT326">
        <v>0</v>
      </c>
      <c r="BU326">
        <v>0</v>
      </c>
      <c r="BV326" t="s">
        <v>135</v>
      </c>
      <c r="BW326">
        <v>0</v>
      </c>
      <c r="BX326">
        <v>0</v>
      </c>
      <c r="BY326" t="s">
        <v>135</v>
      </c>
      <c r="BZ326">
        <v>0</v>
      </c>
      <c r="CA326">
        <v>0</v>
      </c>
      <c r="CB326" t="s">
        <v>135</v>
      </c>
      <c r="CH326" s="2"/>
      <c r="CJ326" s="2"/>
      <c r="CL326" s="2"/>
      <c r="CN326" s="2"/>
      <c r="CQ326" s="2"/>
      <c r="CT326" s="2"/>
      <c r="CW326" s="2"/>
    </row>
    <row r="327" spans="1:101" x14ac:dyDescent="0.25">
      <c r="A327" s="1" t="s">
        <v>163</v>
      </c>
      <c r="B327" s="75" t="s">
        <v>164</v>
      </c>
      <c r="C327">
        <v>0</v>
      </c>
      <c r="D327">
        <v>0</v>
      </c>
      <c r="E327">
        <v>0</v>
      </c>
      <c r="F327">
        <v>604324.56000000006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3.91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7490</v>
      </c>
      <c r="AW327">
        <v>3350</v>
      </c>
      <c r="AX327">
        <v>1219</v>
      </c>
      <c r="AY327">
        <v>12059</v>
      </c>
      <c r="AZ327">
        <v>4202</v>
      </c>
      <c r="BA327">
        <v>7438</v>
      </c>
      <c r="BB327">
        <v>1432</v>
      </c>
      <c r="BC327">
        <v>13072</v>
      </c>
      <c r="BD327">
        <v>9486</v>
      </c>
      <c r="BE327">
        <v>9222</v>
      </c>
      <c r="BF327">
        <v>1768</v>
      </c>
      <c r="BG327">
        <v>20476</v>
      </c>
      <c r="BH327">
        <v>0</v>
      </c>
      <c r="BI327">
        <v>0</v>
      </c>
      <c r="BJ327">
        <v>0</v>
      </c>
      <c r="BK327">
        <v>0</v>
      </c>
      <c r="BL327" s="2">
        <v>24.82</v>
      </c>
      <c r="BM327" s="2">
        <v>42005.095138888886</v>
      </c>
      <c r="BN327" s="2">
        <v>5.4</v>
      </c>
      <c r="BO327" s="2">
        <v>42005.092361111114</v>
      </c>
      <c r="BP327" s="2">
        <v>6.92</v>
      </c>
      <c r="BQ327" s="2">
        <v>42005.092361111114</v>
      </c>
      <c r="BR327" s="2">
        <v>11.07</v>
      </c>
      <c r="BS327" s="2">
        <v>42005.092361111114</v>
      </c>
      <c r="BT327">
        <v>0</v>
      </c>
      <c r="BU327">
        <v>0</v>
      </c>
      <c r="BV327" t="s">
        <v>135</v>
      </c>
      <c r="BW327">
        <v>0</v>
      </c>
      <c r="BX327">
        <v>0</v>
      </c>
      <c r="BY327" t="s">
        <v>135</v>
      </c>
      <c r="BZ327">
        <v>0</v>
      </c>
      <c r="CA327">
        <v>0</v>
      </c>
      <c r="CB327" t="s">
        <v>135</v>
      </c>
      <c r="CH327" s="2"/>
      <c r="CJ327" s="2"/>
      <c r="CL327" s="2"/>
      <c r="CN327" s="2"/>
      <c r="CQ327" s="2"/>
      <c r="CT327" s="2"/>
      <c r="CW327" s="2"/>
    </row>
    <row r="328" spans="1:101" x14ac:dyDescent="0.25">
      <c r="A328" s="1" t="s">
        <v>163</v>
      </c>
      <c r="B328" s="75" t="s">
        <v>164</v>
      </c>
      <c r="C328">
        <v>0</v>
      </c>
      <c r="D328">
        <v>0</v>
      </c>
      <c r="E328">
        <v>0</v>
      </c>
      <c r="F328">
        <v>604324.56000000006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3.91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7490</v>
      </c>
      <c r="AW328">
        <v>3350</v>
      </c>
      <c r="AX328">
        <v>1219</v>
      </c>
      <c r="AY328">
        <v>12059</v>
      </c>
      <c r="AZ328">
        <v>4202</v>
      </c>
      <c r="BA328">
        <v>7438</v>
      </c>
      <c r="BB328">
        <v>1432</v>
      </c>
      <c r="BC328">
        <v>13072</v>
      </c>
      <c r="BD328">
        <v>9486</v>
      </c>
      <c r="BE328">
        <v>9222</v>
      </c>
      <c r="BF328">
        <v>1768</v>
      </c>
      <c r="BG328">
        <v>20476</v>
      </c>
      <c r="BH328">
        <v>0</v>
      </c>
      <c r="BI328">
        <v>0</v>
      </c>
      <c r="BJ328">
        <v>0</v>
      </c>
      <c r="BK328">
        <v>0</v>
      </c>
      <c r="BL328" s="2">
        <v>24.82</v>
      </c>
      <c r="BM328" s="2">
        <v>42005.095138888886</v>
      </c>
      <c r="BN328" s="2">
        <v>5.4</v>
      </c>
      <c r="BO328" s="2">
        <v>42005.092361111114</v>
      </c>
      <c r="BP328" s="2">
        <v>6.92</v>
      </c>
      <c r="BQ328" s="2">
        <v>42005.092361111114</v>
      </c>
      <c r="BR328" s="2">
        <v>11.07</v>
      </c>
      <c r="BS328" s="2">
        <v>42005.092361111114</v>
      </c>
      <c r="BT328">
        <v>0</v>
      </c>
      <c r="BU328">
        <v>0</v>
      </c>
      <c r="BV328" t="s">
        <v>135</v>
      </c>
      <c r="BW328">
        <v>0</v>
      </c>
      <c r="BX328">
        <v>0</v>
      </c>
      <c r="BY328" t="s">
        <v>135</v>
      </c>
      <c r="BZ328">
        <v>0</v>
      </c>
      <c r="CA328">
        <v>0</v>
      </c>
      <c r="CB328" t="s">
        <v>135</v>
      </c>
      <c r="CH328" s="2"/>
      <c r="CJ328" s="2"/>
      <c r="CL328" s="2"/>
      <c r="CN328" s="2"/>
      <c r="CQ328" s="2"/>
      <c r="CT328" s="2"/>
      <c r="CW328" s="2"/>
    </row>
    <row r="329" spans="1:101" x14ac:dyDescent="0.25">
      <c r="A329" s="1" t="s">
        <v>163</v>
      </c>
      <c r="B329" s="75" t="s">
        <v>164</v>
      </c>
      <c r="C329">
        <v>0</v>
      </c>
      <c r="D329">
        <v>0</v>
      </c>
      <c r="E329">
        <v>0</v>
      </c>
      <c r="F329">
        <v>604324.56000000006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3.91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7490</v>
      </c>
      <c r="AW329">
        <v>3350</v>
      </c>
      <c r="AX329">
        <v>1219</v>
      </c>
      <c r="AY329">
        <v>12059</v>
      </c>
      <c r="AZ329">
        <v>4202</v>
      </c>
      <c r="BA329">
        <v>7438</v>
      </c>
      <c r="BB329">
        <v>1432</v>
      </c>
      <c r="BC329">
        <v>13072</v>
      </c>
      <c r="BD329">
        <v>9486</v>
      </c>
      <c r="BE329">
        <v>9222</v>
      </c>
      <c r="BF329">
        <v>1768</v>
      </c>
      <c r="BG329">
        <v>20476</v>
      </c>
      <c r="BH329">
        <v>0</v>
      </c>
      <c r="BI329">
        <v>0</v>
      </c>
      <c r="BJ329">
        <v>0</v>
      </c>
      <c r="BK329">
        <v>0</v>
      </c>
      <c r="BL329" s="2">
        <v>24.82</v>
      </c>
      <c r="BM329" s="2">
        <v>42005.095138888886</v>
      </c>
      <c r="BN329" s="2">
        <v>5.4</v>
      </c>
      <c r="BO329" s="2">
        <v>42005.092361111114</v>
      </c>
      <c r="BP329" s="2">
        <v>6.92</v>
      </c>
      <c r="BQ329" s="2">
        <v>42005.092361111114</v>
      </c>
      <c r="BR329" s="2">
        <v>11.07</v>
      </c>
      <c r="BS329" s="2">
        <v>42005.092361111114</v>
      </c>
      <c r="BT329">
        <v>0</v>
      </c>
      <c r="BU329">
        <v>0</v>
      </c>
      <c r="BV329" t="s">
        <v>135</v>
      </c>
      <c r="BW329">
        <v>0</v>
      </c>
      <c r="BX329">
        <v>0</v>
      </c>
      <c r="BY329" t="s">
        <v>135</v>
      </c>
      <c r="BZ329">
        <v>0</v>
      </c>
      <c r="CA329">
        <v>0</v>
      </c>
      <c r="CB329" t="s">
        <v>135</v>
      </c>
      <c r="CH329" s="2"/>
      <c r="CJ329" s="2"/>
      <c r="CL329" s="2"/>
      <c r="CN329" s="2"/>
      <c r="CQ329" s="2"/>
      <c r="CT329" s="2"/>
      <c r="CW329" s="2"/>
    </row>
    <row r="330" spans="1:101" x14ac:dyDescent="0.25">
      <c r="A330" s="1" t="s">
        <v>163</v>
      </c>
      <c r="B330" s="75" t="s">
        <v>164</v>
      </c>
      <c r="C330">
        <v>0</v>
      </c>
      <c r="D330">
        <v>0</v>
      </c>
      <c r="E330">
        <v>0</v>
      </c>
      <c r="F330">
        <v>604324.56000000006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3.91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7490</v>
      </c>
      <c r="AW330">
        <v>3350</v>
      </c>
      <c r="AX330">
        <v>1219</v>
      </c>
      <c r="AY330">
        <v>12059</v>
      </c>
      <c r="AZ330">
        <v>4202</v>
      </c>
      <c r="BA330">
        <v>7438</v>
      </c>
      <c r="BB330">
        <v>1432</v>
      </c>
      <c r="BC330">
        <v>13072</v>
      </c>
      <c r="BD330">
        <v>9486</v>
      </c>
      <c r="BE330">
        <v>9222</v>
      </c>
      <c r="BF330">
        <v>1768</v>
      </c>
      <c r="BG330">
        <v>20476</v>
      </c>
      <c r="BH330">
        <v>0</v>
      </c>
      <c r="BI330">
        <v>0</v>
      </c>
      <c r="BJ330">
        <v>0</v>
      </c>
      <c r="BK330">
        <v>0</v>
      </c>
      <c r="BL330" s="2">
        <v>24.82</v>
      </c>
      <c r="BM330" s="2">
        <v>42005.095138888886</v>
      </c>
      <c r="BN330" s="2">
        <v>5.4</v>
      </c>
      <c r="BO330" s="2">
        <v>42005.092361111114</v>
      </c>
      <c r="BP330" s="2">
        <v>6.92</v>
      </c>
      <c r="BQ330" s="2">
        <v>42005.092361111114</v>
      </c>
      <c r="BR330" s="2">
        <v>11.07</v>
      </c>
      <c r="BS330" s="2">
        <v>42005.092361111114</v>
      </c>
      <c r="BT330">
        <v>0</v>
      </c>
      <c r="BU330">
        <v>0</v>
      </c>
      <c r="BV330" t="s">
        <v>135</v>
      </c>
      <c r="BW330">
        <v>0</v>
      </c>
      <c r="BX330">
        <v>0</v>
      </c>
      <c r="BY330" t="s">
        <v>135</v>
      </c>
      <c r="BZ330">
        <v>0</v>
      </c>
      <c r="CA330">
        <v>0</v>
      </c>
      <c r="CB330" t="s">
        <v>135</v>
      </c>
      <c r="CH330" s="2"/>
      <c r="CJ330" s="2"/>
      <c r="CL330" s="2"/>
      <c r="CN330" s="2"/>
      <c r="CQ330" s="2"/>
      <c r="CT330" s="2"/>
      <c r="CW330" s="2"/>
    </row>
    <row r="331" spans="1:101" x14ac:dyDescent="0.25">
      <c r="A331" s="1" t="s">
        <v>163</v>
      </c>
      <c r="B331" s="75" t="s">
        <v>164</v>
      </c>
      <c r="C331">
        <v>0</v>
      </c>
      <c r="D331">
        <v>0</v>
      </c>
      <c r="E331">
        <v>0</v>
      </c>
      <c r="F331">
        <v>604324.56000000006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3.91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7490</v>
      </c>
      <c r="AW331">
        <v>3350</v>
      </c>
      <c r="AX331">
        <v>1219</v>
      </c>
      <c r="AY331">
        <v>12059</v>
      </c>
      <c r="AZ331">
        <v>4202</v>
      </c>
      <c r="BA331">
        <v>7438</v>
      </c>
      <c r="BB331">
        <v>1432</v>
      </c>
      <c r="BC331">
        <v>13072</v>
      </c>
      <c r="BD331">
        <v>9486</v>
      </c>
      <c r="BE331">
        <v>9222</v>
      </c>
      <c r="BF331">
        <v>1768</v>
      </c>
      <c r="BG331">
        <v>20476</v>
      </c>
      <c r="BH331">
        <v>0</v>
      </c>
      <c r="BI331">
        <v>0</v>
      </c>
      <c r="BJ331">
        <v>0</v>
      </c>
      <c r="BK331">
        <v>0</v>
      </c>
      <c r="BL331" s="2">
        <v>24.82</v>
      </c>
      <c r="BM331" s="2">
        <v>42005.095138888886</v>
      </c>
      <c r="BN331" s="2">
        <v>5.4</v>
      </c>
      <c r="BO331" s="2">
        <v>42005.092361111114</v>
      </c>
      <c r="BP331" s="2">
        <v>6.92</v>
      </c>
      <c r="BQ331" s="2">
        <v>42005.092361111114</v>
      </c>
      <c r="BR331" s="2">
        <v>11.07</v>
      </c>
      <c r="BS331" s="2">
        <v>42005.092361111114</v>
      </c>
      <c r="BT331">
        <v>0</v>
      </c>
      <c r="BU331">
        <v>0</v>
      </c>
      <c r="BV331" t="s">
        <v>135</v>
      </c>
      <c r="BW331">
        <v>0</v>
      </c>
      <c r="BX331">
        <v>0</v>
      </c>
      <c r="BY331" t="s">
        <v>135</v>
      </c>
      <c r="BZ331">
        <v>0</v>
      </c>
      <c r="CA331">
        <v>0</v>
      </c>
      <c r="CB331" t="s">
        <v>135</v>
      </c>
      <c r="CH331" s="2"/>
      <c r="CJ331" s="2"/>
      <c r="CL331" s="2"/>
      <c r="CN331" s="2"/>
      <c r="CQ331" s="2"/>
      <c r="CT331" s="2"/>
      <c r="CW331" s="2"/>
    </row>
    <row r="332" spans="1:101" x14ac:dyDescent="0.25">
      <c r="A332" s="1" t="s">
        <v>163</v>
      </c>
      <c r="B332" s="75" t="s">
        <v>164</v>
      </c>
      <c r="C332">
        <v>0</v>
      </c>
      <c r="D332">
        <v>0</v>
      </c>
      <c r="E332">
        <v>0</v>
      </c>
      <c r="F332">
        <v>604324.56000000006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3.91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7490</v>
      </c>
      <c r="AW332">
        <v>3350</v>
      </c>
      <c r="AX332">
        <v>1219</v>
      </c>
      <c r="AY332">
        <v>12059</v>
      </c>
      <c r="AZ332">
        <v>4202</v>
      </c>
      <c r="BA332">
        <v>7438</v>
      </c>
      <c r="BB332">
        <v>1432</v>
      </c>
      <c r="BC332">
        <v>13072</v>
      </c>
      <c r="BD332">
        <v>9486</v>
      </c>
      <c r="BE332">
        <v>9222</v>
      </c>
      <c r="BF332">
        <v>1768</v>
      </c>
      <c r="BG332">
        <v>20476</v>
      </c>
      <c r="BH332">
        <v>0</v>
      </c>
      <c r="BI332">
        <v>0</v>
      </c>
      <c r="BJ332">
        <v>0</v>
      </c>
      <c r="BK332">
        <v>0</v>
      </c>
      <c r="BL332" s="2">
        <v>24.82</v>
      </c>
      <c r="BM332" s="2">
        <v>42005.095138888886</v>
      </c>
      <c r="BN332" s="2">
        <v>5.4</v>
      </c>
      <c r="BO332" s="2">
        <v>42005.092361111114</v>
      </c>
      <c r="BP332" s="2">
        <v>6.92</v>
      </c>
      <c r="BQ332" s="2">
        <v>42005.092361111114</v>
      </c>
      <c r="BR332" s="2">
        <v>11.07</v>
      </c>
      <c r="BS332" s="2">
        <v>42005.092361111114</v>
      </c>
      <c r="BT332">
        <v>0</v>
      </c>
      <c r="BU332">
        <v>0</v>
      </c>
      <c r="BV332" t="s">
        <v>135</v>
      </c>
      <c r="BW332">
        <v>0</v>
      </c>
      <c r="BX332">
        <v>0</v>
      </c>
      <c r="BY332" t="s">
        <v>135</v>
      </c>
      <c r="BZ332">
        <v>0</v>
      </c>
      <c r="CA332">
        <v>0</v>
      </c>
      <c r="CB332" t="s">
        <v>135</v>
      </c>
      <c r="CH332" s="2"/>
      <c r="CJ332" s="2"/>
      <c r="CL332" s="2"/>
      <c r="CN332" s="2"/>
      <c r="CQ332" s="2"/>
      <c r="CT332" s="2"/>
      <c r="CW332" s="2"/>
    </row>
    <row r="333" spans="1:101" x14ac:dyDescent="0.25">
      <c r="A333" s="1" t="s">
        <v>163</v>
      </c>
      <c r="B333" s="75" t="s">
        <v>164</v>
      </c>
      <c r="C333">
        <v>0</v>
      </c>
      <c r="D333">
        <v>0</v>
      </c>
      <c r="E333">
        <v>0</v>
      </c>
      <c r="F333">
        <v>604324.56000000006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3.91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7490</v>
      </c>
      <c r="AW333">
        <v>3350</v>
      </c>
      <c r="AX333">
        <v>1219</v>
      </c>
      <c r="AY333">
        <v>12059</v>
      </c>
      <c r="AZ333">
        <v>4202</v>
      </c>
      <c r="BA333">
        <v>7438</v>
      </c>
      <c r="BB333">
        <v>1432</v>
      </c>
      <c r="BC333">
        <v>13072</v>
      </c>
      <c r="BD333">
        <v>9486</v>
      </c>
      <c r="BE333">
        <v>9222</v>
      </c>
      <c r="BF333">
        <v>1768</v>
      </c>
      <c r="BG333">
        <v>20476</v>
      </c>
      <c r="BH333">
        <v>0</v>
      </c>
      <c r="BI333">
        <v>0</v>
      </c>
      <c r="BJ333">
        <v>0</v>
      </c>
      <c r="BK333">
        <v>0</v>
      </c>
      <c r="BL333" s="2">
        <v>24.82</v>
      </c>
      <c r="BM333" s="2">
        <v>42005.095138888886</v>
      </c>
      <c r="BN333" s="2">
        <v>5.4</v>
      </c>
      <c r="BO333" s="2">
        <v>42005.092361111114</v>
      </c>
      <c r="BP333" s="2">
        <v>6.92</v>
      </c>
      <c r="BQ333" s="2">
        <v>42005.092361111114</v>
      </c>
      <c r="BR333" s="2">
        <v>11.07</v>
      </c>
      <c r="BS333" s="2">
        <v>42005.092361111114</v>
      </c>
      <c r="BT333">
        <v>0</v>
      </c>
      <c r="BU333">
        <v>0</v>
      </c>
      <c r="BV333" t="s">
        <v>135</v>
      </c>
      <c r="BW333">
        <v>0</v>
      </c>
      <c r="BX333">
        <v>0</v>
      </c>
      <c r="BY333" t="s">
        <v>135</v>
      </c>
      <c r="BZ333">
        <v>0</v>
      </c>
      <c r="CA333">
        <v>0</v>
      </c>
      <c r="CB333" t="s">
        <v>135</v>
      </c>
      <c r="CH333" s="2"/>
      <c r="CJ333" s="2"/>
      <c r="CL333" s="2"/>
      <c r="CN333" s="2"/>
      <c r="CQ333" s="2"/>
      <c r="CT333" s="2"/>
      <c r="CW333" s="2"/>
    </row>
    <row r="334" spans="1:101" x14ac:dyDescent="0.25">
      <c r="A334" s="1" t="s">
        <v>163</v>
      </c>
      <c r="B334" s="75" t="s">
        <v>164</v>
      </c>
      <c r="C334">
        <v>0</v>
      </c>
      <c r="D334">
        <v>0</v>
      </c>
      <c r="E334">
        <v>0</v>
      </c>
      <c r="F334">
        <v>604324.56000000006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3.91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7490</v>
      </c>
      <c r="AW334">
        <v>3350</v>
      </c>
      <c r="AX334">
        <v>1219</v>
      </c>
      <c r="AY334">
        <v>12059</v>
      </c>
      <c r="AZ334">
        <v>4202</v>
      </c>
      <c r="BA334">
        <v>7438</v>
      </c>
      <c r="BB334">
        <v>1432</v>
      </c>
      <c r="BC334">
        <v>13072</v>
      </c>
      <c r="BD334">
        <v>9486</v>
      </c>
      <c r="BE334">
        <v>9222</v>
      </c>
      <c r="BF334">
        <v>1768</v>
      </c>
      <c r="BG334">
        <v>20476</v>
      </c>
      <c r="BH334">
        <v>0</v>
      </c>
      <c r="BI334">
        <v>0</v>
      </c>
      <c r="BJ334">
        <v>0</v>
      </c>
      <c r="BK334">
        <v>0</v>
      </c>
      <c r="BL334" s="2">
        <v>24.82</v>
      </c>
      <c r="BM334" s="2">
        <v>42005.095138888886</v>
      </c>
      <c r="BN334" s="2">
        <v>5.4</v>
      </c>
      <c r="BO334" s="2">
        <v>42005.092361111114</v>
      </c>
      <c r="BP334" s="2">
        <v>6.92</v>
      </c>
      <c r="BQ334" s="2">
        <v>42005.092361111114</v>
      </c>
      <c r="BR334" s="2">
        <v>11.07</v>
      </c>
      <c r="BS334" s="2">
        <v>42005.092361111114</v>
      </c>
      <c r="BT334">
        <v>0</v>
      </c>
      <c r="BU334">
        <v>0</v>
      </c>
      <c r="BV334" t="s">
        <v>135</v>
      </c>
      <c r="BW334">
        <v>0</v>
      </c>
      <c r="BX334">
        <v>0</v>
      </c>
      <c r="BY334" t="s">
        <v>135</v>
      </c>
      <c r="BZ334">
        <v>0</v>
      </c>
      <c r="CA334">
        <v>0</v>
      </c>
      <c r="CB334" t="s">
        <v>135</v>
      </c>
      <c r="CH334" s="2"/>
      <c r="CJ334" s="2"/>
      <c r="CL334" s="2"/>
      <c r="CN334" s="2"/>
      <c r="CQ334" s="2"/>
      <c r="CT334" s="2"/>
      <c r="CW334" s="2"/>
    </row>
    <row r="335" spans="1:101" x14ac:dyDescent="0.25">
      <c r="A335" s="1" t="s">
        <v>163</v>
      </c>
      <c r="B335" s="75" t="s">
        <v>164</v>
      </c>
      <c r="C335">
        <v>0</v>
      </c>
      <c r="D335">
        <v>0</v>
      </c>
      <c r="E335">
        <v>0</v>
      </c>
      <c r="F335">
        <v>604324.56000000006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3.91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7490</v>
      </c>
      <c r="AW335">
        <v>3350</v>
      </c>
      <c r="AX335">
        <v>1219</v>
      </c>
      <c r="AY335">
        <v>12059</v>
      </c>
      <c r="AZ335">
        <v>4202</v>
      </c>
      <c r="BA335">
        <v>7438</v>
      </c>
      <c r="BB335">
        <v>1432</v>
      </c>
      <c r="BC335">
        <v>13072</v>
      </c>
      <c r="BD335">
        <v>9486</v>
      </c>
      <c r="BE335">
        <v>9222</v>
      </c>
      <c r="BF335">
        <v>1768</v>
      </c>
      <c r="BG335">
        <v>20476</v>
      </c>
      <c r="BH335">
        <v>0</v>
      </c>
      <c r="BI335">
        <v>0</v>
      </c>
      <c r="BJ335">
        <v>0</v>
      </c>
      <c r="BK335">
        <v>0</v>
      </c>
      <c r="BL335" s="2">
        <v>24.82</v>
      </c>
      <c r="BM335" s="2">
        <v>42005.095138888886</v>
      </c>
      <c r="BN335" s="2">
        <v>5.4</v>
      </c>
      <c r="BO335" s="2">
        <v>42005.092361111114</v>
      </c>
      <c r="BP335" s="2">
        <v>6.92</v>
      </c>
      <c r="BQ335" s="2">
        <v>42005.092361111114</v>
      </c>
      <c r="BR335" s="2">
        <v>11.07</v>
      </c>
      <c r="BS335" s="2">
        <v>42005.092361111114</v>
      </c>
      <c r="BT335">
        <v>0</v>
      </c>
      <c r="BU335">
        <v>0</v>
      </c>
      <c r="BV335" t="s">
        <v>135</v>
      </c>
      <c r="BW335">
        <v>0</v>
      </c>
      <c r="BX335">
        <v>0</v>
      </c>
      <c r="BY335" t="s">
        <v>135</v>
      </c>
      <c r="BZ335">
        <v>0</v>
      </c>
      <c r="CA335">
        <v>0</v>
      </c>
      <c r="CB335" t="s">
        <v>135</v>
      </c>
      <c r="CH335" s="2"/>
      <c r="CJ335" s="2"/>
      <c r="CL335" s="2"/>
      <c r="CN335" s="2"/>
      <c r="CQ335" s="2"/>
      <c r="CT335" s="2"/>
      <c r="CW335" s="2"/>
    </row>
    <row r="336" spans="1:101" x14ac:dyDescent="0.25">
      <c r="A336" s="1" t="s">
        <v>163</v>
      </c>
      <c r="B336" s="75" t="s">
        <v>164</v>
      </c>
      <c r="C336">
        <v>0</v>
      </c>
      <c r="D336">
        <v>0</v>
      </c>
      <c r="E336">
        <v>0</v>
      </c>
      <c r="F336">
        <v>604324.56000000006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3.91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7490</v>
      </c>
      <c r="AW336">
        <v>3350</v>
      </c>
      <c r="AX336">
        <v>1219</v>
      </c>
      <c r="AY336">
        <v>12059</v>
      </c>
      <c r="AZ336">
        <v>4202</v>
      </c>
      <c r="BA336">
        <v>7438</v>
      </c>
      <c r="BB336">
        <v>1432</v>
      </c>
      <c r="BC336">
        <v>13072</v>
      </c>
      <c r="BD336">
        <v>9486</v>
      </c>
      <c r="BE336">
        <v>9222</v>
      </c>
      <c r="BF336">
        <v>1768</v>
      </c>
      <c r="BG336">
        <v>20476</v>
      </c>
      <c r="BH336">
        <v>0</v>
      </c>
      <c r="BI336">
        <v>0</v>
      </c>
      <c r="BJ336">
        <v>0</v>
      </c>
      <c r="BK336">
        <v>0</v>
      </c>
      <c r="BL336" s="2">
        <v>24.82</v>
      </c>
      <c r="BM336" s="2">
        <v>42005.095138888886</v>
      </c>
      <c r="BN336" s="2">
        <v>5.4</v>
      </c>
      <c r="BO336" s="2">
        <v>42005.092361111114</v>
      </c>
      <c r="BP336" s="2">
        <v>6.92</v>
      </c>
      <c r="BQ336" s="2">
        <v>42005.092361111114</v>
      </c>
      <c r="BR336" s="2">
        <v>11.07</v>
      </c>
      <c r="BS336" s="2">
        <v>42005.092361111114</v>
      </c>
      <c r="BT336">
        <v>0</v>
      </c>
      <c r="BU336">
        <v>0</v>
      </c>
      <c r="BV336" t="s">
        <v>135</v>
      </c>
      <c r="BW336">
        <v>0</v>
      </c>
      <c r="BX336">
        <v>0</v>
      </c>
      <c r="BY336" t="s">
        <v>135</v>
      </c>
      <c r="BZ336">
        <v>0</v>
      </c>
      <c r="CA336">
        <v>0</v>
      </c>
      <c r="CB336" t="s">
        <v>135</v>
      </c>
      <c r="CH336" s="2"/>
      <c r="CJ336" s="2"/>
      <c r="CL336" s="2"/>
      <c r="CN336" s="2"/>
      <c r="CQ336" s="2"/>
      <c r="CT336" s="2"/>
      <c r="CW336" s="2"/>
    </row>
    <row r="337" spans="1:101" x14ac:dyDescent="0.25">
      <c r="A337" s="1" t="s">
        <v>163</v>
      </c>
      <c r="B337" s="75" t="s">
        <v>164</v>
      </c>
      <c r="C337">
        <v>0</v>
      </c>
      <c r="D337">
        <v>0</v>
      </c>
      <c r="E337">
        <v>0</v>
      </c>
      <c r="F337">
        <v>604324.56000000006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3.91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7490</v>
      </c>
      <c r="AW337">
        <v>3350</v>
      </c>
      <c r="AX337">
        <v>1219</v>
      </c>
      <c r="AY337">
        <v>12059</v>
      </c>
      <c r="AZ337">
        <v>4202</v>
      </c>
      <c r="BA337">
        <v>7438</v>
      </c>
      <c r="BB337">
        <v>1432</v>
      </c>
      <c r="BC337">
        <v>13072</v>
      </c>
      <c r="BD337">
        <v>9486</v>
      </c>
      <c r="BE337">
        <v>9222</v>
      </c>
      <c r="BF337">
        <v>1768</v>
      </c>
      <c r="BG337">
        <v>20476</v>
      </c>
      <c r="BH337">
        <v>0</v>
      </c>
      <c r="BI337">
        <v>0</v>
      </c>
      <c r="BJ337">
        <v>0</v>
      </c>
      <c r="BK337">
        <v>0</v>
      </c>
      <c r="BL337" s="2">
        <v>24.82</v>
      </c>
      <c r="BM337" s="2">
        <v>42005.095138888886</v>
      </c>
      <c r="BN337" s="2">
        <v>5.4</v>
      </c>
      <c r="BO337" s="2">
        <v>42005.092361111114</v>
      </c>
      <c r="BP337" s="2">
        <v>6.92</v>
      </c>
      <c r="BQ337" s="2">
        <v>42005.092361111114</v>
      </c>
      <c r="BR337" s="2">
        <v>11.07</v>
      </c>
      <c r="BS337" s="2">
        <v>42005.092361111114</v>
      </c>
      <c r="BT337">
        <v>0</v>
      </c>
      <c r="BU337">
        <v>0</v>
      </c>
      <c r="BV337" t="s">
        <v>135</v>
      </c>
      <c r="BW337">
        <v>0</v>
      </c>
      <c r="BX337">
        <v>0</v>
      </c>
      <c r="BY337" t="s">
        <v>135</v>
      </c>
      <c r="BZ337">
        <v>0</v>
      </c>
      <c r="CA337">
        <v>0</v>
      </c>
      <c r="CB337" t="s">
        <v>135</v>
      </c>
      <c r="CH337" s="2"/>
      <c r="CJ337" s="2"/>
      <c r="CL337" s="2"/>
      <c r="CN337" s="2"/>
      <c r="CQ337" s="2"/>
      <c r="CT337" s="2"/>
      <c r="CW337" s="2"/>
    </row>
    <row r="338" spans="1:101" x14ac:dyDescent="0.25">
      <c r="A338" s="1" t="s">
        <v>163</v>
      </c>
      <c r="B338" s="75" t="s">
        <v>164</v>
      </c>
      <c r="C338">
        <v>0</v>
      </c>
      <c r="D338">
        <v>0</v>
      </c>
      <c r="E338">
        <v>0</v>
      </c>
      <c r="F338">
        <v>604324.56000000006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3.91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7490</v>
      </c>
      <c r="AW338">
        <v>3350</v>
      </c>
      <c r="AX338">
        <v>1219</v>
      </c>
      <c r="AY338">
        <v>12059</v>
      </c>
      <c r="AZ338">
        <v>4202</v>
      </c>
      <c r="BA338">
        <v>7438</v>
      </c>
      <c r="BB338">
        <v>1432</v>
      </c>
      <c r="BC338">
        <v>13072</v>
      </c>
      <c r="BD338">
        <v>9486</v>
      </c>
      <c r="BE338">
        <v>9222</v>
      </c>
      <c r="BF338">
        <v>1768</v>
      </c>
      <c r="BG338">
        <v>20476</v>
      </c>
      <c r="BH338">
        <v>0</v>
      </c>
      <c r="BI338">
        <v>0</v>
      </c>
      <c r="BJ338">
        <v>0</v>
      </c>
      <c r="BK338">
        <v>0</v>
      </c>
      <c r="BL338" s="2">
        <v>24.82</v>
      </c>
      <c r="BM338" s="2">
        <v>42005.095138888886</v>
      </c>
      <c r="BN338" s="2">
        <v>5.4</v>
      </c>
      <c r="BO338" s="2">
        <v>42005.092361111114</v>
      </c>
      <c r="BP338" s="2">
        <v>6.92</v>
      </c>
      <c r="BQ338" s="2">
        <v>42005.092361111114</v>
      </c>
      <c r="BR338" s="2">
        <v>11.07</v>
      </c>
      <c r="BS338" s="2">
        <v>42005.092361111114</v>
      </c>
      <c r="BT338">
        <v>0</v>
      </c>
      <c r="BU338">
        <v>0</v>
      </c>
      <c r="BV338" t="s">
        <v>135</v>
      </c>
      <c r="BW338">
        <v>0</v>
      </c>
      <c r="BX338">
        <v>0</v>
      </c>
      <c r="BY338" t="s">
        <v>135</v>
      </c>
      <c r="BZ338">
        <v>0</v>
      </c>
      <c r="CA338">
        <v>0</v>
      </c>
      <c r="CB338" t="s">
        <v>135</v>
      </c>
      <c r="CH338" s="2"/>
      <c r="CJ338" s="2"/>
      <c r="CL338" s="2"/>
      <c r="CN338" s="2"/>
      <c r="CQ338" s="2"/>
      <c r="CT338" s="2"/>
      <c r="CW338" s="2"/>
    </row>
    <row r="339" spans="1:101" x14ac:dyDescent="0.25">
      <c r="A339" s="1" t="s">
        <v>163</v>
      </c>
      <c r="B339" s="75" t="s">
        <v>164</v>
      </c>
      <c r="C339">
        <v>0</v>
      </c>
      <c r="D339">
        <v>0</v>
      </c>
      <c r="E339">
        <v>0</v>
      </c>
      <c r="F339">
        <v>604324.56000000006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3.91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7490</v>
      </c>
      <c r="AW339">
        <v>3350</v>
      </c>
      <c r="AX339">
        <v>1219</v>
      </c>
      <c r="AY339">
        <v>12059</v>
      </c>
      <c r="AZ339">
        <v>4202</v>
      </c>
      <c r="BA339">
        <v>7438</v>
      </c>
      <c r="BB339">
        <v>1432</v>
      </c>
      <c r="BC339">
        <v>13072</v>
      </c>
      <c r="BD339">
        <v>9486</v>
      </c>
      <c r="BE339">
        <v>9222</v>
      </c>
      <c r="BF339">
        <v>1768</v>
      </c>
      <c r="BG339">
        <v>20476</v>
      </c>
      <c r="BH339">
        <v>0</v>
      </c>
      <c r="BI339">
        <v>0</v>
      </c>
      <c r="BJ339">
        <v>0</v>
      </c>
      <c r="BK339">
        <v>0</v>
      </c>
      <c r="BL339" s="2">
        <v>24.82</v>
      </c>
      <c r="BM339" s="2">
        <v>42005.095138888886</v>
      </c>
      <c r="BN339" s="2">
        <v>5.4</v>
      </c>
      <c r="BO339" s="2">
        <v>42005.092361111114</v>
      </c>
      <c r="BP339" s="2">
        <v>6.92</v>
      </c>
      <c r="BQ339" s="2">
        <v>42005.092361111114</v>
      </c>
      <c r="BR339" s="2">
        <v>11.07</v>
      </c>
      <c r="BS339" s="2">
        <v>42005.092361111114</v>
      </c>
      <c r="BT339">
        <v>0</v>
      </c>
      <c r="BU339">
        <v>0</v>
      </c>
      <c r="BV339" t="s">
        <v>135</v>
      </c>
      <c r="BW339">
        <v>0</v>
      </c>
      <c r="BX339">
        <v>0</v>
      </c>
      <c r="BY339" t="s">
        <v>135</v>
      </c>
      <c r="BZ339">
        <v>0</v>
      </c>
      <c r="CA339">
        <v>0</v>
      </c>
      <c r="CB339" t="s">
        <v>135</v>
      </c>
      <c r="CH339" s="2"/>
      <c r="CJ339" s="2"/>
      <c r="CL339" s="2"/>
      <c r="CN339" s="2"/>
      <c r="CQ339" s="2"/>
      <c r="CT339" s="2"/>
      <c r="CW339" s="2"/>
    </row>
    <row r="340" spans="1:101" x14ac:dyDescent="0.25">
      <c r="A340" s="1" t="s">
        <v>163</v>
      </c>
      <c r="B340" s="75" t="s">
        <v>164</v>
      </c>
      <c r="C340">
        <v>0</v>
      </c>
      <c r="D340">
        <v>0</v>
      </c>
      <c r="E340">
        <v>0</v>
      </c>
      <c r="F340">
        <v>604324.56000000006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3.91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7490</v>
      </c>
      <c r="AW340">
        <v>3350</v>
      </c>
      <c r="AX340">
        <v>1219</v>
      </c>
      <c r="AY340">
        <v>12059</v>
      </c>
      <c r="AZ340">
        <v>4202</v>
      </c>
      <c r="BA340">
        <v>7438</v>
      </c>
      <c r="BB340">
        <v>1432</v>
      </c>
      <c r="BC340">
        <v>13072</v>
      </c>
      <c r="BD340">
        <v>9486</v>
      </c>
      <c r="BE340">
        <v>9222</v>
      </c>
      <c r="BF340">
        <v>1768</v>
      </c>
      <c r="BG340">
        <v>20476</v>
      </c>
      <c r="BH340">
        <v>0</v>
      </c>
      <c r="BI340">
        <v>0</v>
      </c>
      <c r="BJ340">
        <v>0</v>
      </c>
      <c r="BK340">
        <v>0</v>
      </c>
      <c r="BL340" s="2">
        <v>24.82</v>
      </c>
      <c r="BM340" s="2">
        <v>42005.095138888886</v>
      </c>
      <c r="BN340" s="2">
        <v>5.4</v>
      </c>
      <c r="BO340" s="2">
        <v>42005.092361111114</v>
      </c>
      <c r="BP340" s="2">
        <v>6.92</v>
      </c>
      <c r="BQ340" s="2">
        <v>42005.092361111114</v>
      </c>
      <c r="BR340" s="2">
        <v>11.07</v>
      </c>
      <c r="BS340" s="2">
        <v>42005.092361111114</v>
      </c>
      <c r="BT340">
        <v>0</v>
      </c>
      <c r="BU340">
        <v>0</v>
      </c>
      <c r="BV340" t="s">
        <v>135</v>
      </c>
      <c r="BW340">
        <v>0</v>
      </c>
      <c r="BX340">
        <v>0</v>
      </c>
      <c r="BY340" t="s">
        <v>135</v>
      </c>
      <c r="BZ340">
        <v>0</v>
      </c>
      <c r="CA340">
        <v>0</v>
      </c>
      <c r="CB340" t="s">
        <v>135</v>
      </c>
      <c r="CH340" s="2"/>
      <c r="CJ340" s="2"/>
      <c r="CL340" s="2"/>
      <c r="CN340" s="2"/>
      <c r="CQ340" s="2"/>
      <c r="CT340" s="2"/>
      <c r="CW340" s="2"/>
    </row>
    <row r="341" spans="1:101" x14ac:dyDescent="0.25">
      <c r="A341" s="1" t="s">
        <v>163</v>
      </c>
      <c r="B341" s="75" t="s">
        <v>164</v>
      </c>
      <c r="C341">
        <v>0</v>
      </c>
      <c r="D341">
        <v>0</v>
      </c>
      <c r="E341">
        <v>0</v>
      </c>
      <c r="F341">
        <v>604324.56000000006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3.91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7490</v>
      </c>
      <c r="AW341">
        <v>3350</v>
      </c>
      <c r="AX341">
        <v>1219</v>
      </c>
      <c r="AY341">
        <v>12059</v>
      </c>
      <c r="AZ341">
        <v>4202</v>
      </c>
      <c r="BA341">
        <v>7438</v>
      </c>
      <c r="BB341">
        <v>1432</v>
      </c>
      <c r="BC341">
        <v>13072</v>
      </c>
      <c r="BD341">
        <v>9486</v>
      </c>
      <c r="BE341">
        <v>9222</v>
      </c>
      <c r="BF341">
        <v>1768</v>
      </c>
      <c r="BG341">
        <v>20476</v>
      </c>
      <c r="BH341">
        <v>0</v>
      </c>
      <c r="BI341">
        <v>0</v>
      </c>
      <c r="BJ341">
        <v>0</v>
      </c>
      <c r="BK341">
        <v>0</v>
      </c>
      <c r="BL341" s="2">
        <v>24.82</v>
      </c>
      <c r="BM341" s="2">
        <v>42005.095138888886</v>
      </c>
      <c r="BN341" s="2">
        <v>5.4</v>
      </c>
      <c r="BO341" s="2">
        <v>42005.092361111114</v>
      </c>
      <c r="BP341" s="2">
        <v>6.92</v>
      </c>
      <c r="BQ341" s="2">
        <v>42005.092361111114</v>
      </c>
      <c r="BR341" s="2">
        <v>11.07</v>
      </c>
      <c r="BS341" s="2">
        <v>42005.092361111114</v>
      </c>
      <c r="BT341">
        <v>0</v>
      </c>
      <c r="BU341">
        <v>0</v>
      </c>
      <c r="BV341" t="s">
        <v>135</v>
      </c>
      <c r="BW341">
        <v>0</v>
      </c>
      <c r="BX341">
        <v>0</v>
      </c>
      <c r="BY341" t="s">
        <v>135</v>
      </c>
      <c r="BZ341">
        <v>0</v>
      </c>
      <c r="CA341">
        <v>0</v>
      </c>
      <c r="CB341" t="s">
        <v>135</v>
      </c>
      <c r="CH341" s="2"/>
      <c r="CJ341" s="2"/>
      <c r="CL341" s="2"/>
      <c r="CN341" s="2"/>
      <c r="CQ341" s="2"/>
      <c r="CT341" s="2"/>
      <c r="CW341" s="2"/>
    </row>
    <row r="342" spans="1:101" x14ac:dyDescent="0.25">
      <c r="A342" s="1" t="s">
        <v>163</v>
      </c>
      <c r="B342" s="75" t="s">
        <v>164</v>
      </c>
      <c r="C342">
        <v>0</v>
      </c>
      <c r="D342">
        <v>0</v>
      </c>
      <c r="E342">
        <v>0</v>
      </c>
      <c r="F342">
        <v>604324.56000000006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3.91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7490</v>
      </c>
      <c r="AW342">
        <v>3350</v>
      </c>
      <c r="AX342">
        <v>1219</v>
      </c>
      <c r="AY342">
        <v>12059</v>
      </c>
      <c r="AZ342">
        <v>4202</v>
      </c>
      <c r="BA342">
        <v>7438</v>
      </c>
      <c r="BB342">
        <v>1432</v>
      </c>
      <c r="BC342">
        <v>13072</v>
      </c>
      <c r="BD342">
        <v>9486</v>
      </c>
      <c r="BE342">
        <v>9222</v>
      </c>
      <c r="BF342">
        <v>1768</v>
      </c>
      <c r="BG342">
        <v>20476</v>
      </c>
      <c r="BH342">
        <v>0</v>
      </c>
      <c r="BI342">
        <v>0</v>
      </c>
      <c r="BJ342">
        <v>0</v>
      </c>
      <c r="BK342">
        <v>0</v>
      </c>
      <c r="BL342" s="2">
        <v>24.82</v>
      </c>
      <c r="BM342" s="2">
        <v>42005.095138888886</v>
      </c>
      <c r="BN342" s="2">
        <v>5.4</v>
      </c>
      <c r="BO342" s="2">
        <v>42005.092361111114</v>
      </c>
      <c r="BP342" s="2">
        <v>6.92</v>
      </c>
      <c r="BQ342" s="2">
        <v>42005.092361111114</v>
      </c>
      <c r="BR342" s="2">
        <v>11.07</v>
      </c>
      <c r="BS342" s="2">
        <v>42005.092361111114</v>
      </c>
      <c r="BT342">
        <v>0</v>
      </c>
      <c r="BU342">
        <v>0</v>
      </c>
      <c r="BV342" t="s">
        <v>135</v>
      </c>
      <c r="BW342">
        <v>0</v>
      </c>
      <c r="BX342">
        <v>0</v>
      </c>
      <c r="BY342" t="s">
        <v>135</v>
      </c>
      <c r="BZ342">
        <v>0</v>
      </c>
      <c r="CA342">
        <v>0</v>
      </c>
      <c r="CB342" t="s">
        <v>135</v>
      </c>
      <c r="CH342" s="2"/>
      <c r="CJ342" s="2"/>
      <c r="CL342" s="2"/>
      <c r="CN342" s="2"/>
      <c r="CQ342" s="2"/>
      <c r="CT342" s="2"/>
      <c r="CW342" s="2"/>
    </row>
    <row r="343" spans="1:101" x14ac:dyDescent="0.25">
      <c r="A343" s="1" t="s">
        <v>163</v>
      </c>
      <c r="B343" s="75" t="s">
        <v>164</v>
      </c>
      <c r="C343">
        <v>0</v>
      </c>
      <c r="D343">
        <v>0</v>
      </c>
      <c r="E343">
        <v>0</v>
      </c>
      <c r="F343">
        <v>604324.56000000006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3.91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7490</v>
      </c>
      <c r="AW343">
        <v>3350</v>
      </c>
      <c r="AX343">
        <v>1219</v>
      </c>
      <c r="AY343">
        <v>12059</v>
      </c>
      <c r="AZ343">
        <v>4202</v>
      </c>
      <c r="BA343">
        <v>7438</v>
      </c>
      <c r="BB343">
        <v>1432</v>
      </c>
      <c r="BC343">
        <v>13072</v>
      </c>
      <c r="BD343">
        <v>9486</v>
      </c>
      <c r="BE343">
        <v>9222</v>
      </c>
      <c r="BF343">
        <v>1768</v>
      </c>
      <c r="BG343">
        <v>20476</v>
      </c>
      <c r="BH343">
        <v>0</v>
      </c>
      <c r="BI343">
        <v>0</v>
      </c>
      <c r="BJ343">
        <v>0</v>
      </c>
      <c r="BK343">
        <v>0</v>
      </c>
      <c r="BL343" s="2">
        <v>24.82</v>
      </c>
      <c r="BM343" s="2">
        <v>42005.095138888886</v>
      </c>
      <c r="BN343" s="2">
        <v>5.4</v>
      </c>
      <c r="BO343" s="2">
        <v>42005.092361111114</v>
      </c>
      <c r="BP343" s="2">
        <v>6.92</v>
      </c>
      <c r="BQ343" s="2">
        <v>42005.092361111114</v>
      </c>
      <c r="BR343" s="2">
        <v>11.07</v>
      </c>
      <c r="BS343" s="2">
        <v>42005.092361111114</v>
      </c>
      <c r="BT343">
        <v>0</v>
      </c>
      <c r="BU343">
        <v>0</v>
      </c>
      <c r="BV343" t="s">
        <v>135</v>
      </c>
      <c r="BW343">
        <v>0</v>
      </c>
      <c r="BX343">
        <v>0</v>
      </c>
      <c r="BY343" t="s">
        <v>135</v>
      </c>
      <c r="BZ343">
        <v>0</v>
      </c>
      <c r="CA343">
        <v>0</v>
      </c>
      <c r="CB343" t="s">
        <v>135</v>
      </c>
      <c r="CH343" s="2"/>
      <c r="CJ343" s="2"/>
      <c r="CL343" s="2"/>
      <c r="CN343" s="2"/>
      <c r="CQ343" s="2"/>
      <c r="CT343" s="2"/>
      <c r="CW343" s="2"/>
    </row>
    <row r="344" spans="1:101" x14ac:dyDescent="0.25">
      <c r="A344" s="1" t="s">
        <v>163</v>
      </c>
      <c r="B344" s="75" t="s">
        <v>164</v>
      </c>
      <c r="C344">
        <v>0</v>
      </c>
      <c r="D344">
        <v>0</v>
      </c>
      <c r="E344">
        <v>0</v>
      </c>
      <c r="F344">
        <v>604324.56000000006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3.91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7490</v>
      </c>
      <c r="AW344">
        <v>3350</v>
      </c>
      <c r="AX344">
        <v>1219</v>
      </c>
      <c r="AY344">
        <v>12059</v>
      </c>
      <c r="AZ344">
        <v>4202</v>
      </c>
      <c r="BA344">
        <v>7438</v>
      </c>
      <c r="BB344">
        <v>1432</v>
      </c>
      <c r="BC344">
        <v>13072</v>
      </c>
      <c r="BD344">
        <v>9486</v>
      </c>
      <c r="BE344">
        <v>9222</v>
      </c>
      <c r="BF344">
        <v>1768</v>
      </c>
      <c r="BG344">
        <v>20476</v>
      </c>
      <c r="BH344">
        <v>0</v>
      </c>
      <c r="BI344">
        <v>0</v>
      </c>
      <c r="BJ344">
        <v>0</v>
      </c>
      <c r="BK344">
        <v>0</v>
      </c>
      <c r="BL344" s="2">
        <v>24.82</v>
      </c>
      <c r="BM344" s="2">
        <v>42005.095138888886</v>
      </c>
      <c r="BN344" s="2">
        <v>5.4</v>
      </c>
      <c r="BO344" s="2">
        <v>42005.092361111114</v>
      </c>
      <c r="BP344" s="2">
        <v>6.92</v>
      </c>
      <c r="BQ344" s="2">
        <v>42005.092361111114</v>
      </c>
      <c r="BR344" s="2">
        <v>11.07</v>
      </c>
      <c r="BS344" s="2">
        <v>42005.092361111114</v>
      </c>
      <c r="BT344">
        <v>0</v>
      </c>
      <c r="BU344">
        <v>0</v>
      </c>
      <c r="BV344" t="s">
        <v>135</v>
      </c>
      <c r="BW344">
        <v>0</v>
      </c>
      <c r="BX344">
        <v>0</v>
      </c>
      <c r="BY344" t="s">
        <v>135</v>
      </c>
      <c r="BZ344">
        <v>0</v>
      </c>
      <c r="CA344">
        <v>0</v>
      </c>
      <c r="CB344" t="s">
        <v>135</v>
      </c>
      <c r="CH344" s="2"/>
      <c r="CJ344" s="2"/>
      <c r="CL344" s="2"/>
      <c r="CN344" s="2"/>
      <c r="CQ344" s="2"/>
      <c r="CT344" s="2"/>
      <c r="CW344" s="2"/>
    </row>
    <row r="345" spans="1:101" x14ac:dyDescent="0.25">
      <c r="A345" s="1" t="s">
        <v>163</v>
      </c>
      <c r="B345" s="75" t="s">
        <v>164</v>
      </c>
      <c r="C345">
        <v>0</v>
      </c>
      <c r="D345">
        <v>0</v>
      </c>
      <c r="E345">
        <v>0</v>
      </c>
      <c r="F345">
        <v>604324.56000000006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3.91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7490</v>
      </c>
      <c r="AW345">
        <v>3350</v>
      </c>
      <c r="AX345">
        <v>1219</v>
      </c>
      <c r="AY345">
        <v>12059</v>
      </c>
      <c r="AZ345">
        <v>4202</v>
      </c>
      <c r="BA345">
        <v>7438</v>
      </c>
      <c r="BB345">
        <v>1432</v>
      </c>
      <c r="BC345">
        <v>13072</v>
      </c>
      <c r="BD345">
        <v>9486</v>
      </c>
      <c r="BE345">
        <v>9222</v>
      </c>
      <c r="BF345">
        <v>1768</v>
      </c>
      <c r="BG345">
        <v>20476</v>
      </c>
      <c r="BH345">
        <v>0</v>
      </c>
      <c r="BI345">
        <v>0</v>
      </c>
      <c r="BJ345">
        <v>0</v>
      </c>
      <c r="BK345">
        <v>0</v>
      </c>
      <c r="BL345" s="2">
        <v>24.82</v>
      </c>
      <c r="BM345" s="2">
        <v>42005.095138888886</v>
      </c>
      <c r="BN345" s="2">
        <v>5.4</v>
      </c>
      <c r="BO345" s="2">
        <v>42005.092361111114</v>
      </c>
      <c r="BP345" s="2">
        <v>6.92</v>
      </c>
      <c r="BQ345" s="2">
        <v>42005.092361111114</v>
      </c>
      <c r="BR345" s="2">
        <v>11.07</v>
      </c>
      <c r="BS345" s="2">
        <v>42005.092361111114</v>
      </c>
      <c r="BT345">
        <v>0</v>
      </c>
      <c r="BU345">
        <v>0</v>
      </c>
      <c r="BV345" t="s">
        <v>135</v>
      </c>
      <c r="BW345">
        <v>0</v>
      </c>
      <c r="BX345">
        <v>0</v>
      </c>
      <c r="BY345" t="s">
        <v>135</v>
      </c>
      <c r="BZ345">
        <v>0</v>
      </c>
      <c r="CA345">
        <v>0</v>
      </c>
      <c r="CB345" t="s">
        <v>135</v>
      </c>
      <c r="CH345" s="2"/>
      <c r="CJ345" s="2"/>
      <c r="CL345" s="2"/>
      <c r="CN345" s="2"/>
      <c r="CQ345" s="2"/>
      <c r="CT345" s="2"/>
      <c r="CW345" s="2"/>
    </row>
    <row r="346" spans="1:101" x14ac:dyDescent="0.25">
      <c r="A346" s="1" t="s">
        <v>163</v>
      </c>
      <c r="B346" s="75" t="s">
        <v>164</v>
      </c>
      <c r="C346">
        <v>0</v>
      </c>
      <c r="D346">
        <v>0</v>
      </c>
      <c r="E346">
        <v>0</v>
      </c>
      <c r="F346">
        <v>604324.56000000006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3.91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7490</v>
      </c>
      <c r="AW346">
        <v>3350</v>
      </c>
      <c r="AX346">
        <v>1219</v>
      </c>
      <c r="AY346">
        <v>12059</v>
      </c>
      <c r="AZ346">
        <v>4202</v>
      </c>
      <c r="BA346">
        <v>7438</v>
      </c>
      <c r="BB346">
        <v>1432</v>
      </c>
      <c r="BC346">
        <v>13072</v>
      </c>
      <c r="BD346">
        <v>9486</v>
      </c>
      <c r="BE346">
        <v>9222</v>
      </c>
      <c r="BF346">
        <v>1768</v>
      </c>
      <c r="BG346">
        <v>20476</v>
      </c>
      <c r="BH346">
        <v>0</v>
      </c>
      <c r="BI346">
        <v>0</v>
      </c>
      <c r="BJ346">
        <v>0</v>
      </c>
      <c r="BK346">
        <v>0</v>
      </c>
      <c r="BL346" s="2">
        <v>24.82</v>
      </c>
      <c r="BM346" s="2">
        <v>42005.095138888886</v>
      </c>
      <c r="BN346" s="2">
        <v>5.4</v>
      </c>
      <c r="BO346" s="2">
        <v>42005.092361111114</v>
      </c>
      <c r="BP346" s="2">
        <v>6.92</v>
      </c>
      <c r="BQ346" s="2">
        <v>42005.092361111114</v>
      </c>
      <c r="BR346" s="2">
        <v>11.07</v>
      </c>
      <c r="BS346" s="2">
        <v>42005.092361111114</v>
      </c>
      <c r="BT346">
        <v>0</v>
      </c>
      <c r="BU346">
        <v>0</v>
      </c>
      <c r="BV346" t="s">
        <v>135</v>
      </c>
      <c r="BW346">
        <v>0</v>
      </c>
      <c r="BX346">
        <v>0</v>
      </c>
      <c r="BY346" t="s">
        <v>135</v>
      </c>
      <c r="BZ346">
        <v>0</v>
      </c>
      <c r="CA346">
        <v>0</v>
      </c>
      <c r="CB346" t="s">
        <v>135</v>
      </c>
      <c r="CH346" s="2"/>
      <c r="CJ346" s="2"/>
      <c r="CL346" s="2"/>
      <c r="CN346" s="2"/>
      <c r="CQ346" s="2"/>
      <c r="CT346" s="2"/>
      <c r="CW346" s="2"/>
    </row>
    <row r="347" spans="1:101" x14ac:dyDescent="0.25">
      <c r="A347" s="1" t="s">
        <v>163</v>
      </c>
      <c r="B347" s="75" t="s">
        <v>164</v>
      </c>
      <c r="C347">
        <v>0</v>
      </c>
      <c r="D347">
        <v>0</v>
      </c>
      <c r="E347">
        <v>0</v>
      </c>
      <c r="F347">
        <v>604324.56000000006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3.91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7490</v>
      </c>
      <c r="AW347">
        <v>3350</v>
      </c>
      <c r="AX347">
        <v>1219</v>
      </c>
      <c r="AY347">
        <v>12059</v>
      </c>
      <c r="AZ347">
        <v>4202</v>
      </c>
      <c r="BA347">
        <v>7438</v>
      </c>
      <c r="BB347">
        <v>1432</v>
      </c>
      <c r="BC347">
        <v>13072</v>
      </c>
      <c r="BD347">
        <v>9486</v>
      </c>
      <c r="BE347">
        <v>9222</v>
      </c>
      <c r="BF347">
        <v>1768</v>
      </c>
      <c r="BG347">
        <v>20476</v>
      </c>
      <c r="BH347">
        <v>0</v>
      </c>
      <c r="BI347">
        <v>0</v>
      </c>
      <c r="BJ347">
        <v>0</v>
      </c>
      <c r="BK347">
        <v>0</v>
      </c>
      <c r="BL347" s="2">
        <v>24.82</v>
      </c>
      <c r="BM347" s="2">
        <v>42005.095138888886</v>
      </c>
      <c r="BN347" s="2">
        <v>5.4</v>
      </c>
      <c r="BO347" s="2">
        <v>42005.092361111114</v>
      </c>
      <c r="BP347" s="2">
        <v>6.92</v>
      </c>
      <c r="BQ347" s="2">
        <v>42005.092361111114</v>
      </c>
      <c r="BR347" s="2">
        <v>11.07</v>
      </c>
      <c r="BS347" s="2">
        <v>42005.092361111114</v>
      </c>
      <c r="BT347">
        <v>0</v>
      </c>
      <c r="BU347">
        <v>0</v>
      </c>
      <c r="BV347" t="s">
        <v>135</v>
      </c>
      <c r="BW347">
        <v>0</v>
      </c>
      <c r="BX347">
        <v>0</v>
      </c>
      <c r="BY347" t="s">
        <v>135</v>
      </c>
      <c r="BZ347">
        <v>0</v>
      </c>
      <c r="CA347">
        <v>0</v>
      </c>
      <c r="CB347" t="s">
        <v>135</v>
      </c>
      <c r="CH347" s="2"/>
      <c r="CJ347" s="2"/>
      <c r="CL347" s="2"/>
      <c r="CN347" s="2"/>
      <c r="CQ347" s="2"/>
      <c r="CT347" s="2"/>
      <c r="CW347" s="2"/>
    </row>
    <row r="348" spans="1:101" x14ac:dyDescent="0.25">
      <c r="A348" s="1" t="s">
        <v>163</v>
      </c>
      <c r="B348" s="75" t="s">
        <v>164</v>
      </c>
      <c r="C348">
        <v>0</v>
      </c>
      <c r="D348">
        <v>0</v>
      </c>
      <c r="E348">
        <v>0</v>
      </c>
      <c r="F348">
        <v>604324.56000000006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3.91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7490</v>
      </c>
      <c r="AW348">
        <v>3350</v>
      </c>
      <c r="AX348">
        <v>1219</v>
      </c>
      <c r="AY348">
        <v>12059</v>
      </c>
      <c r="AZ348">
        <v>4202</v>
      </c>
      <c r="BA348">
        <v>7438</v>
      </c>
      <c r="BB348">
        <v>1432</v>
      </c>
      <c r="BC348">
        <v>13072</v>
      </c>
      <c r="BD348">
        <v>9486</v>
      </c>
      <c r="BE348">
        <v>9222</v>
      </c>
      <c r="BF348">
        <v>1768</v>
      </c>
      <c r="BG348">
        <v>20476</v>
      </c>
      <c r="BH348">
        <v>0</v>
      </c>
      <c r="BI348">
        <v>0</v>
      </c>
      <c r="BJ348">
        <v>0</v>
      </c>
      <c r="BK348">
        <v>0</v>
      </c>
      <c r="BL348" s="2">
        <v>24.82</v>
      </c>
      <c r="BM348" s="2">
        <v>42005.095138888886</v>
      </c>
      <c r="BN348" s="2">
        <v>5.4</v>
      </c>
      <c r="BO348" s="2">
        <v>42005.092361111114</v>
      </c>
      <c r="BP348" s="2">
        <v>6.92</v>
      </c>
      <c r="BQ348" s="2">
        <v>42005.092361111114</v>
      </c>
      <c r="BR348" s="2">
        <v>11.07</v>
      </c>
      <c r="BS348" s="2">
        <v>42005.092361111114</v>
      </c>
      <c r="BT348">
        <v>0</v>
      </c>
      <c r="BU348">
        <v>0</v>
      </c>
      <c r="BV348" t="s">
        <v>135</v>
      </c>
      <c r="BW348">
        <v>0</v>
      </c>
      <c r="BX348">
        <v>0</v>
      </c>
      <c r="BY348" t="s">
        <v>135</v>
      </c>
      <c r="BZ348">
        <v>0</v>
      </c>
      <c r="CA348">
        <v>0</v>
      </c>
      <c r="CB348" t="s">
        <v>135</v>
      </c>
      <c r="CH348" s="2"/>
      <c r="CJ348" s="2"/>
      <c r="CL348" s="2"/>
      <c r="CN348" s="2"/>
      <c r="CQ348" s="2"/>
      <c r="CT348" s="2"/>
      <c r="CW348" s="2"/>
    </row>
    <row r="349" spans="1:101" x14ac:dyDescent="0.25">
      <c r="A349" s="1" t="s">
        <v>163</v>
      </c>
      <c r="B349" s="75" t="s">
        <v>164</v>
      </c>
      <c r="C349">
        <v>0</v>
      </c>
      <c r="D349">
        <v>0</v>
      </c>
      <c r="E349">
        <v>0</v>
      </c>
      <c r="F349">
        <v>604324.56000000006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3.91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7490</v>
      </c>
      <c r="AW349">
        <v>3350</v>
      </c>
      <c r="AX349">
        <v>1219</v>
      </c>
      <c r="AY349">
        <v>12059</v>
      </c>
      <c r="AZ349">
        <v>4202</v>
      </c>
      <c r="BA349">
        <v>7438</v>
      </c>
      <c r="BB349">
        <v>1432</v>
      </c>
      <c r="BC349">
        <v>13072</v>
      </c>
      <c r="BD349">
        <v>9486</v>
      </c>
      <c r="BE349">
        <v>9222</v>
      </c>
      <c r="BF349">
        <v>1768</v>
      </c>
      <c r="BG349">
        <v>20476</v>
      </c>
      <c r="BH349">
        <v>0</v>
      </c>
      <c r="BI349">
        <v>0</v>
      </c>
      <c r="BJ349">
        <v>0</v>
      </c>
      <c r="BK349">
        <v>0</v>
      </c>
      <c r="BL349" s="2">
        <v>24.82</v>
      </c>
      <c r="BM349" s="2">
        <v>42005.095138888886</v>
      </c>
      <c r="BN349" s="2">
        <v>5.4</v>
      </c>
      <c r="BO349" s="2">
        <v>42005.092361111114</v>
      </c>
      <c r="BP349" s="2">
        <v>6.92</v>
      </c>
      <c r="BQ349" s="2">
        <v>42005.092361111114</v>
      </c>
      <c r="BR349" s="2">
        <v>11.07</v>
      </c>
      <c r="BS349" s="2">
        <v>42005.092361111114</v>
      </c>
      <c r="BT349">
        <v>0</v>
      </c>
      <c r="BU349">
        <v>0</v>
      </c>
      <c r="BV349" t="s">
        <v>135</v>
      </c>
      <c r="BW349">
        <v>0</v>
      </c>
      <c r="BX349">
        <v>0</v>
      </c>
      <c r="BY349" t="s">
        <v>135</v>
      </c>
      <c r="BZ349">
        <v>0</v>
      </c>
      <c r="CA349">
        <v>0</v>
      </c>
      <c r="CB349" t="s">
        <v>135</v>
      </c>
      <c r="CH349" s="2"/>
      <c r="CJ349" s="2"/>
      <c r="CL349" s="2"/>
      <c r="CN349" s="2"/>
      <c r="CQ349" s="2"/>
      <c r="CT349" s="2"/>
      <c r="CW349" s="2"/>
    </row>
    <row r="350" spans="1:101" x14ac:dyDescent="0.25">
      <c r="A350" s="1" t="s">
        <v>163</v>
      </c>
      <c r="B350" s="75" t="s">
        <v>164</v>
      </c>
      <c r="C350">
        <v>0</v>
      </c>
      <c r="D350">
        <v>0</v>
      </c>
      <c r="E350">
        <v>0</v>
      </c>
      <c r="F350">
        <v>604324.56000000006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3.91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7490</v>
      </c>
      <c r="AW350">
        <v>3350</v>
      </c>
      <c r="AX350">
        <v>1219</v>
      </c>
      <c r="AY350">
        <v>12059</v>
      </c>
      <c r="AZ350">
        <v>4202</v>
      </c>
      <c r="BA350">
        <v>7438</v>
      </c>
      <c r="BB350">
        <v>1432</v>
      </c>
      <c r="BC350">
        <v>13072</v>
      </c>
      <c r="BD350">
        <v>9486</v>
      </c>
      <c r="BE350">
        <v>9222</v>
      </c>
      <c r="BF350">
        <v>1768</v>
      </c>
      <c r="BG350">
        <v>20476</v>
      </c>
      <c r="BH350">
        <v>0</v>
      </c>
      <c r="BI350">
        <v>0</v>
      </c>
      <c r="BJ350">
        <v>0</v>
      </c>
      <c r="BK350">
        <v>0</v>
      </c>
      <c r="BL350" s="2">
        <v>24.82</v>
      </c>
      <c r="BM350" s="2">
        <v>42005.095138888886</v>
      </c>
      <c r="BN350" s="2">
        <v>5.4</v>
      </c>
      <c r="BO350" s="2">
        <v>42005.092361111114</v>
      </c>
      <c r="BP350" s="2">
        <v>6.92</v>
      </c>
      <c r="BQ350" s="2">
        <v>42005.092361111114</v>
      </c>
      <c r="BR350" s="2">
        <v>11.07</v>
      </c>
      <c r="BS350" s="2">
        <v>42005.092361111114</v>
      </c>
      <c r="BT350">
        <v>0</v>
      </c>
      <c r="BU350">
        <v>0</v>
      </c>
      <c r="BV350" t="s">
        <v>135</v>
      </c>
      <c r="BW350">
        <v>0</v>
      </c>
      <c r="BX350">
        <v>0</v>
      </c>
      <c r="BY350" t="s">
        <v>135</v>
      </c>
      <c r="BZ350">
        <v>0</v>
      </c>
      <c r="CA350">
        <v>0</v>
      </c>
      <c r="CB350" t="s">
        <v>135</v>
      </c>
      <c r="CH350" s="2"/>
      <c r="CJ350" s="2"/>
      <c r="CL350" s="2"/>
      <c r="CN350" s="2"/>
      <c r="CQ350" s="2"/>
      <c r="CT350" s="2"/>
      <c r="CW350" s="2"/>
    </row>
    <row r="351" spans="1:101" x14ac:dyDescent="0.25">
      <c r="A351" s="1" t="s">
        <v>163</v>
      </c>
      <c r="B351" s="75" t="s">
        <v>164</v>
      </c>
      <c r="C351">
        <v>0</v>
      </c>
      <c r="D351">
        <v>0</v>
      </c>
      <c r="E351">
        <v>0</v>
      </c>
      <c r="F351">
        <v>604324.56000000006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3.91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7490</v>
      </c>
      <c r="AW351">
        <v>3350</v>
      </c>
      <c r="AX351">
        <v>1219</v>
      </c>
      <c r="AY351">
        <v>12059</v>
      </c>
      <c r="AZ351">
        <v>4202</v>
      </c>
      <c r="BA351">
        <v>7438</v>
      </c>
      <c r="BB351">
        <v>1432</v>
      </c>
      <c r="BC351">
        <v>13072</v>
      </c>
      <c r="BD351">
        <v>9486</v>
      </c>
      <c r="BE351">
        <v>9222</v>
      </c>
      <c r="BF351">
        <v>1768</v>
      </c>
      <c r="BG351">
        <v>20476</v>
      </c>
      <c r="BH351">
        <v>0</v>
      </c>
      <c r="BI351">
        <v>0</v>
      </c>
      <c r="BJ351">
        <v>0</v>
      </c>
      <c r="BK351">
        <v>0</v>
      </c>
      <c r="BL351" s="2">
        <v>24.82</v>
      </c>
      <c r="BM351" s="2">
        <v>42005.095138888886</v>
      </c>
      <c r="BN351" s="2">
        <v>5.4</v>
      </c>
      <c r="BO351" s="2">
        <v>42005.092361111114</v>
      </c>
      <c r="BP351" s="2">
        <v>6.92</v>
      </c>
      <c r="BQ351" s="2">
        <v>42005.092361111114</v>
      </c>
      <c r="BR351" s="2">
        <v>11.07</v>
      </c>
      <c r="BS351" s="2">
        <v>42005.092361111114</v>
      </c>
      <c r="BT351">
        <v>0</v>
      </c>
      <c r="BU351">
        <v>0</v>
      </c>
      <c r="BV351" t="s">
        <v>135</v>
      </c>
      <c r="BW351">
        <v>0</v>
      </c>
      <c r="BX351">
        <v>0</v>
      </c>
      <c r="BY351" t="s">
        <v>135</v>
      </c>
      <c r="BZ351">
        <v>0</v>
      </c>
      <c r="CA351">
        <v>0</v>
      </c>
      <c r="CB351" t="s">
        <v>135</v>
      </c>
      <c r="CH351" s="2"/>
      <c r="CJ351" s="2"/>
      <c r="CL351" s="2"/>
      <c r="CN351" s="2"/>
      <c r="CQ351" s="2"/>
      <c r="CT351" s="2"/>
      <c r="CW351" s="2"/>
    </row>
    <row r="352" spans="1:101" x14ac:dyDescent="0.25">
      <c r="A352" s="1" t="s">
        <v>163</v>
      </c>
      <c r="B352" s="75" t="s">
        <v>164</v>
      </c>
      <c r="C352">
        <v>0</v>
      </c>
      <c r="D352">
        <v>0</v>
      </c>
      <c r="E352">
        <v>0</v>
      </c>
      <c r="F352">
        <v>604324.56000000006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3.91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7490</v>
      </c>
      <c r="AW352">
        <v>3350</v>
      </c>
      <c r="AX352">
        <v>1219</v>
      </c>
      <c r="AY352">
        <v>12059</v>
      </c>
      <c r="AZ352">
        <v>4202</v>
      </c>
      <c r="BA352">
        <v>7438</v>
      </c>
      <c r="BB352">
        <v>1432</v>
      </c>
      <c r="BC352">
        <v>13072</v>
      </c>
      <c r="BD352">
        <v>9486</v>
      </c>
      <c r="BE352">
        <v>9222</v>
      </c>
      <c r="BF352">
        <v>1768</v>
      </c>
      <c r="BG352">
        <v>20476</v>
      </c>
      <c r="BH352">
        <v>0</v>
      </c>
      <c r="BI352">
        <v>0</v>
      </c>
      <c r="BJ352">
        <v>0</v>
      </c>
      <c r="BK352">
        <v>0</v>
      </c>
      <c r="BL352" s="2">
        <v>24.82</v>
      </c>
      <c r="BM352" s="2">
        <v>42005.095138888886</v>
      </c>
      <c r="BN352" s="2">
        <v>5.4</v>
      </c>
      <c r="BO352" s="2">
        <v>42005.092361111114</v>
      </c>
      <c r="BP352" s="2">
        <v>6.92</v>
      </c>
      <c r="BQ352" s="2">
        <v>42005.092361111114</v>
      </c>
      <c r="BR352" s="2">
        <v>11.07</v>
      </c>
      <c r="BS352" s="2">
        <v>42005.092361111114</v>
      </c>
      <c r="BT352">
        <v>0</v>
      </c>
      <c r="BU352">
        <v>0</v>
      </c>
      <c r="BV352" t="s">
        <v>135</v>
      </c>
      <c r="BW352">
        <v>0</v>
      </c>
      <c r="BX352">
        <v>0</v>
      </c>
      <c r="BY352" t="s">
        <v>135</v>
      </c>
      <c r="BZ352">
        <v>0</v>
      </c>
      <c r="CA352">
        <v>0</v>
      </c>
      <c r="CB352" t="s">
        <v>135</v>
      </c>
      <c r="CH352" s="2"/>
      <c r="CJ352" s="2"/>
      <c r="CL352" s="2"/>
      <c r="CN352" s="2"/>
      <c r="CQ352" s="2"/>
      <c r="CT352" s="2"/>
      <c r="CW352" s="2"/>
    </row>
    <row r="353" spans="1:101" x14ac:dyDescent="0.25">
      <c r="A353" s="1" t="s">
        <v>163</v>
      </c>
      <c r="B353" s="75" t="s">
        <v>164</v>
      </c>
      <c r="C353">
        <v>0</v>
      </c>
      <c r="D353">
        <v>0</v>
      </c>
      <c r="E353">
        <v>0</v>
      </c>
      <c r="F353">
        <v>604324.56000000006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3.91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7490</v>
      </c>
      <c r="AW353">
        <v>3350</v>
      </c>
      <c r="AX353">
        <v>1219</v>
      </c>
      <c r="AY353">
        <v>12059</v>
      </c>
      <c r="AZ353">
        <v>4202</v>
      </c>
      <c r="BA353">
        <v>7438</v>
      </c>
      <c r="BB353">
        <v>1432</v>
      </c>
      <c r="BC353">
        <v>13072</v>
      </c>
      <c r="BD353">
        <v>9486</v>
      </c>
      <c r="BE353">
        <v>9222</v>
      </c>
      <c r="BF353">
        <v>1768</v>
      </c>
      <c r="BG353">
        <v>20476</v>
      </c>
      <c r="BH353">
        <v>0</v>
      </c>
      <c r="BI353">
        <v>0</v>
      </c>
      <c r="BJ353">
        <v>0</v>
      </c>
      <c r="BK353">
        <v>0</v>
      </c>
      <c r="BL353" s="2">
        <v>24.82</v>
      </c>
      <c r="BM353" s="2">
        <v>42005.095138888886</v>
      </c>
      <c r="BN353" s="2">
        <v>5.4</v>
      </c>
      <c r="BO353" s="2">
        <v>42005.092361111114</v>
      </c>
      <c r="BP353" s="2">
        <v>6.92</v>
      </c>
      <c r="BQ353" s="2">
        <v>42005.092361111114</v>
      </c>
      <c r="BR353" s="2">
        <v>11.07</v>
      </c>
      <c r="BS353" s="2">
        <v>42005.092361111114</v>
      </c>
      <c r="BT353">
        <v>0</v>
      </c>
      <c r="BU353">
        <v>0</v>
      </c>
      <c r="BV353" t="s">
        <v>135</v>
      </c>
      <c r="BW353">
        <v>0</v>
      </c>
      <c r="BX353">
        <v>0</v>
      </c>
      <c r="BY353" t="s">
        <v>135</v>
      </c>
      <c r="BZ353">
        <v>0</v>
      </c>
      <c r="CA353">
        <v>0</v>
      </c>
      <c r="CB353" t="s">
        <v>135</v>
      </c>
      <c r="CH353" s="2"/>
      <c r="CJ353" s="2"/>
      <c r="CL353" s="2"/>
      <c r="CN353" s="2"/>
      <c r="CQ353" s="2"/>
      <c r="CT353" s="2"/>
      <c r="CW353" s="2"/>
    </row>
    <row r="354" spans="1:101" x14ac:dyDescent="0.25">
      <c r="A354" s="1" t="s">
        <v>163</v>
      </c>
      <c r="B354" s="75" t="s">
        <v>164</v>
      </c>
      <c r="C354">
        <v>0</v>
      </c>
      <c r="D354">
        <v>0</v>
      </c>
      <c r="E354">
        <v>0</v>
      </c>
      <c r="F354">
        <v>604324.56000000006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3.91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7490</v>
      </c>
      <c r="AW354">
        <v>3350</v>
      </c>
      <c r="AX354">
        <v>1219</v>
      </c>
      <c r="AY354">
        <v>12059</v>
      </c>
      <c r="AZ354">
        <v>4202</v>
      </c>
      <c r="BA354">
        <v>7438</v>
      </c>
      <c r="BB354">
        <v>1432</v>
      </c>
      <c r="BC354">
        <v>13072</v>
      </c>
      <c r="BD354">
        <v>9486</v>
      </c>
      <c r="BE354">
        <v>9222</v>
      </c>
      <c r="BF354">
        <v>1768</v>
      </c>
      <c r="BG354">
        <v>20476</v>
      </c>
      <c r="BH354">
        <v>0</v>
      </c>
      <c r="BI354">
        <v>0</v>
      </c>
      <c r="BJ354">
        <v>0</v>
      </c>
      <c r="BK354">
        <v>0</v>
      </c>
      <c r="BL354" s="2">
        <v>24.82</v>
      </c>
      <c r="BM354" s="2">
        <v>42005.095138888886</v>
      </c>
      <c r="BN354" s="2">
        <v>5.4</v>
      </c>
      <c r="BO354" s="2">
        <v>42005.092361111114</v>
      </c>
      <c r="BP354" s="2">
        <v>6.92</v>
      </c>
      <c r="BQ354" s="2">
        <v>42005.092361111114</v>
      </c>
      <c r="BR354" s="2">
        <v>11.07</v>
      </c>
      <c r="BS354" s="2">
        <v>42005.092361111114</v>
      </c>
      <c r="BT354">
        <v>0</v>
      </c>
      <c r="BU354">
        <v>0</v>
      </c>
      <c r="BV354" t="s">
        <v>135</v>
      </c>
      <c r="BW354">
        <v>0</v>
      </c>
      <c r="BX354">
        <v>0</v>
      </c>
      <c r="BY354" t="s">
        <v>135</v>
      </c>
      <c r="BZ354">
        <v>0</v>
      </c>
      <c r="CA354">
        <v>0</v>
      </c>
      <c r="CB354" t="s">
        <v>135</v>
      </c>
      <c r="CH354" s="2"/>
      <c r="CJ354" s="2"/>
      <c r="CL354" s="2"/>
      <c r="CN354" s="2"/>
      <c r="CQ354" s="2"/>
      <c r="CT354" s="2"/>
      <c r="CW354" s="2"/>
    </row>
    <row r="355" spans="1:101" x14ac:dyDescent="0.25">
      <c r="A355" s="1" t="s">
        <v>163</v>
      </c>
      <c r="B355" s="75" t="s">
        <v>164</v>
      </c>
      <c r="C355">
        <v>0</v>
      </c>
      <c r="D355">
        <v>0</v>
      </c>
      <c r="E355">
        <v>0</v>
      </c>
      <c r="F355">
        <v>604324.56000000006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3.91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7490</v>
      </c>
      <c r="AW355">
        <v>3350</v>
      </c>
      <c r="AX355">
        <v>1219</v>
      </c>
      <c r="AY355">
        <v>12059</v>
      </c>
      <c r="AZ355">
        <v>4202</v>
      </c>
      <c r="BA355">
        <v>7438</v>
      </c>
      <c r="BB355">
        <v>1432</v>
      </c>
      <c r="BC355">
        <v>13072</v>
      </c>
      <c r="BD355">
        <v>9486</v>
      </c>
      <c r="BE355">
        <v>9222</v>
      </c>
      <c r="BF355">
        <v>1768</v>
      </c>
      <c r="BG355">
        <v>20476</v>
      </c>
      <c r="BH355">
        <v>0</v>
      </c>
      <c r="BI355">
        <v>0</v>
      </c>
      <c r="BJ355">
        <v>0</v>
      </c>
      <c r="BK355">
        <v>0</v>
      </c>
      <c r="BL355" s="2">
        <v>24.82</v>
      </c>
      <c r="BM355" s="2">
        <v>42005.095138888886</v>
      </c>
      <c r="BN355" s="2">
        <v>5.4</v>
      </c>
      <c r="BO355" s="2">
        <v>42005.092361111114</v>
      </c>
      <c r="BP355" s="2">
        <v>6.92</v>
      </c>
      <c r="BQ355" s="2">
        <v>42005.092361111114</v>
      </c>
      <c r="BR355" s="2">
        <v>11.07</v>
      </c>
      <c r="BS355" s="2">
        <v>42005.092361111114</v>
      </c>
      <c r="BT355">
        <v>0</v>
      </c>
      <c r="BU355">
        <v>0</v>
      </c>
      <c r="BV355" t="s">
        <v>135</v>
      </c>
      <c r="BW355">
        <v>0</v>
      </c>
      <c r="BX355">
        <v>0</v>
      </c>
      <c r="BY355" t="s">
        <v>135</v>
      </c>
      <c r="BZ355">
        <v>0</v>
      </c>
      <c r="CA355">
        <v>0</v>
      </c>
      <c r="CB355" t="s">
        <v>135</v>
      </c>
      <c r="CH355" s="2"/>
      <c r="CJ355" s="2"/>
      <c r="CL355" s="2"/>
      <c r="CN355" s="2"/>
      <c r="CQ355" s="2"/>
      <c r="CT355" s="2"/>
      <c r="CW355" s="2"/>
    </row>
    <row r="356" spans="1:101" x14ac:dyDescent="0.25">
      <c r="A356" s="1" t="s">
        <v>163</v>
      </c>
      <c r="B356" s="75" t="s">
        <v>164</v>
      </c>
      <c r="C356">
        <v>0</v>
      </c>
      <c r="D356">
        <v>0</v>
      </c>
      <c r="E356">
        <v>0</v>
      </c>
      <c r="F356">
        <v>604324.56000000006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3.91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7490</v>
      </c>
      <c r="AW356">
        <v>3350</v>
      </c>
      <c r="AX356">
        <v>1219</v>
      </c>
      <c r="AY356">
        <v>12059</v>
      </c>
      <c r="AZ356">
        <v>4202</v>
      </c>
      <c r="BA356">
        <v>7438</v>
      </c>
      <c r="BB356">
        <v>1432</v>
      </c>
      <c r="BC356">
        <v>13072</v>
      </c>
      <c r="BD356">
        <v>9486</v>
      </c>
      <c r="BE356">
        <v>9222</v>
      </c>
      <c r="BF356">
        <v>1768</v>
      </c>
      <c r="BG356">
        <v>20476</v>
      </c>
      <c r="BH356">
        <v>0</v>
      </c>
      <c r="BI356">
        <v>0</v>
      </c>
      <c r="BJ356">
        <v>0</v>
      </c>
      <c r="BK356">
        <v>0</v>
      </c>
      <c r="BL356" s="2">
        <v>24.82</v>
      </c>
      <c r="BM356" s="2">
        <v>42005.095138888886</v>
      </c>
      <c r="BN356" s="2">
        <v>5.4</v>
      </c>
      <c r="BO356" s="2">
        <v>42005.092361111114</v>
      </c>
      <c r="BP356" s="2">
        <v>6.92</v>
      </c>
      <c r="BQ356" s="2">
        <v>42005.092361111114</v>
      </c>
      <c r="BR356" s="2">
        <v>11.07</v>
      </c>
      <c r="BS356" s="2">
        <v>42005.092361111114</v>
      </c>
      <c r="BT356">
        <v>0</v>
      </c>
      <c r="BU356">
        <v>0</v>
      </c>
      <c r="BV356" t="s">
        <v>135</v>
      </c>
      <c r="BW356">
        <v>0</v>
      </c>
      <c r="BX356">
        <v>0</v>
      </c>
      <c r="BY356" t="s">
        <v>135</v>
      </c>
      <c r="BZ356">
        <v>0</v>
      </c>
      <c r="CA356">
        <v>0</v>
      </c>
      <c r="CB356" t="s">
        <v>135</v>
      </c>
      <c r="CH356" s="2"/>
      <c r="CJ356" s="2"/>
      <c r="CL356" s="2"/>
      <c r="CN356" s="2"/>
      <c r="CQ356" s="2"/>
      <c r="CT356" s="2"/>
      <c r="CW356" s="2"/>
    </row>
    <row r="357" spans="1:101" x14ac:dyDescent="0.25">
      <c r="A357" s="1" t="s">
        <v>163</v>
      </c>
      <c r="B357" s="75" t="s">
        <v>164</v>
      </c>
      <c r="C357">
        <v>0</v>
      </c>
      <c r="D357">
        <v>0</v>
      </c>
      <c r="E357">
        <v>0</v>
      </c>
      <c r="F357">
        <v>604324.56000000006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3.91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7490</v>
      </c>
      <c r="AW357">
        <v>3350</v>
      </c>
      <c r="AX357">
        <v>1219</v>
      </c>
      <c r="AY357">
        <v>12059</v>
      </c>
      <c r="AZ357">
        <v>4202</v>
      </c>
      <c r="BA357">
        <v>7438</v>
      </c>
      <c r="BB357">
        <v>1432</v>
      </c>
      <c r="BC357">
        <v>13072</v>
      </c>
      <c r="BD357">
        <v>9486</v>
      </c>
      <c r="BE357">
        <v>9222</v>
      </c>
      <c r="BF357">
        <v>1768</v>
      </c>
      <c r="BG357">
        <v>20476</v>
      </c>
      <c r="BH357">
        <v>0</v>
      </c>
      <c r="BI357">
        <v>0</v>
      </c>
      <c r="BJ357">
        <v>0</v>
      </c>
      <c r="BK357">
        <v>0</v>
      </c>
      <c r="BL357" s="2">
        <v>24.82</v>
      </c>
      <c r="BM357" s="2">
        <v>42005.095138888886</v>
      </c>
      <c r="BN357" s="2">
        <v>5.4</v>
      </c>
      <c r="BO357" s="2">
        <v>42005.092361111114</v>
      </c>
      <c r="BP357" s="2">
        <v>6.92</v>
      </c>
      <c r="BQ357" s="2">
        <v>42005.092361111114</v>
      </c>
      <c r="BR357" s="2">
        <v>11.07</v>
      </c>
      <c r="BS357" s="2">
        <v>42005.092361111114</v>
      </c>
      <c r="BT357">
        <v>0</v>
      </c>
      <c r="BU357">
        <v>0</v>
      </c>
      <c r="BV357" t="s">
        <v>135</v>
      </c>
      <c r="BW357">
        <v>0</v>
      </c>
      <c r="BX357">
        <v>0</v>
      </c>
      <c r="BY357" t="s">
        <v>135</v>
      </c>
      <c r="BZ357">
        <v>0</v>
      </c>
      <c r="CA357">
        <v>0</v>
      </c>
      <c r="CB357" t="s">
        <v>135</v>
      </c>
      <c r="CH357" s="2"/>
      <c r="CJ357" s="2"/>
      <c r="CL357" s="2"/>
      <c r="CN357" s="2"/>
      <c r="CQ357" s="2"/>
      <c r="CT357" s="2"/>
      <c r="CW357" s="2"/>
    </row>
    <row r="358" spans="1:101" x14ac:dyDescent="0.25">
      <c r="A358" s="1" t="s">
        <v>163</v>
      </c>
      <c r="B358" s="75" t="s">
        <v>164</v>
      </c>
      <c r="C358">
        <v>0</v>
      </c>
      <c r="D358">
        <v>0</v>
      </c>
      <c r="E358">
        <v>0</v>
      </c>
      <c r="F358">
        <v>604324.56000000006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3.91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7490</v>
      </c>
      <c r="AW358">
        <v>3350</v>
      </c>
      <c r="AX358">
        <v>1219</v>
      </c>
      <c r="AY358">
        <v>12059</v>
      </c>
      <c r="AZ358">
        <v>4202</v>
      </c>
      <c r="BA358">
        <v>7438</v>
      </c>
      <c r="BB358">
        <v>1432</v>
      </c>
      <c r="BC358">
        <v>13072</v>
      </c>
      <c r="BD358">
        <v>9486</v>
      </c>
      <c r="BE358">
        <v>9222</v>
      </c>
      <c r="BF358">
        <v>1768</v>
      </c>
      <c r="BG358">
        <v>20476</v>
      </c>
      <c r="BH358">
        <v>0</v>
      </c>
      <c r="BI358">
        <v>0</v>
      </c>
      <c r="BJ358">
        <v>0</v>
      </c>
      <c r="BK358">
        <v>0</v>
      </c>
      <c r="BL358" s="2">
        <v>24.82</v>
      </c>
      <c r="BM358" s="2">
        <v>42005.095138888886</v>
      </c>
      <c r="BN358" s="2">
        <v>5.4</v>
      </c>
      <c r="BO358" s="2">
        <v>42005.092361111114</v>
      </c>
      <c r="BP358" s="2">
        <v>6.92</v>
      </c>
      <c r="BQ358" s="2">
        <v>42005.092361111114</v>
      </c>
      <c r="BR358" s="2">
        <v>11.07</v>
      </c>
      <c r="BS358" s="2">
        <v>42005.092361111114</v>
      </c>
      <c r="BT358">
        <v>0</v>
      </c>
      <c r="BU358">
        <v>0</v>
      </c>
      <c r="BV358" t="s">
        <v>135</v>
      </c>
      <c r="BW358">
        <v>0</v>
      </c>
      <c r="BX358">
        <v>0</v>
      </c>
      <c r="BY358" t="s">
        <v>135</v>
      </c>
      <c r="BZ358">
        <v>0</v>
      </c>
      <c r="CA358">
        <v>0</v>
      </c>
      <c r="CB358" t="s">
        <v>135</v>
      </c>
      <c r="CH358" s="2"/>
      <c r="CJ358" s="2"/>
      <c r="CL358" s="2"/>
      <c r="CN358" s="2"/>
      <c r="CQ358" s="2"/>
      <c r="CT358" s="2"/>
      <c r="CW358" s="2"/>
    </row>
    <row r="359" spans="1:101" x14ac:dyDescent="0.25">
      <c r="A359" s="1" t="s">
        <v>163</v>
      </c>
      <c r="B359" s="75" t="s">
        <v>164</v>
      </c>
      <c r="C359">
        <v>0</v>
      </c>
      <c r="D359">
        <v>0</v>
      </c>
      <c r="E359">
        <v>0</v>
      </c>
      <c r="F359">
        <v>604324.56000000006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3.91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7490</v>
      </c>
      <c r="AW359">
        <v>3350</v>
      </c>
      <c r="AX359">
        <v>1219</v>
      </c>
      <c r="AY359">
        <v>12059</v>
      </c>
      <c r="AZ359">
        <v>4202</v>
      </c>
      <c r="BA359">
        <v>7438</v>
      </c>
      <c r="BB359">
        <v>1432</v>
      </c>
      <c r="BC359">
        <v>13072</v>
      </c>
      <c r="BD359">
        <v>9486</v>
      </c>
      <c r="BE359">
        <v>9222</v>
      </c>
      <c r="BF359">
        <v>1768</v>
      </c>
      <c r="BG359">
        <v>20476</v>
      </c>
      <c r="BH359">
        <v>0</v>
      </c>
      <c r="BI359">
        <v>0</v>
      </c>
      <c r="BJ359">
        <v>0</v>
      </c>
      <c r="BK359">
        <v>0</v>
      </c>
      <c r="BL359" s="2">
        <v>24.82</v>
      </c>
      <c r="BM359" s="2">
        <v>42005.095138888886</v>
      </c>
      <c r="BN359" s="2">
        <v>5.4</v>
      </c>
      <c r="BO359" s="2">
        <v>42005.092361111114</v>
      </c>
      <c r="BP359" s="2">
        <v>6.92</v>
      </c>
      <c r="BQ359" s="2">
        <v>42005.092361111114</v>
      </c>
      <c r="BR359" s="2">
        <v>11.07</v>
      </c>
      <c r="BS359" s="2">
        <v>42005.092361111114</v>
      </c>
      <c r="BT359">
        <v>0</v>
      </c>
      <c r="BU359">
        <v>0</v>
      </c>
      <c r="BV359" t="s">
        <v>135</v>
      </c>
      <c r="BW359">
        <v>0</v>
      </c>
      <c r="BX359">
        <v>0</v>
      </c>
      <c r="BY359" t="s">
        <v>135</v>
      </c>
      <c r="BZ359">
        <v>0</v>
      </c>
      <c r="CA359">
        <v>0</v>
      </c>
      <c r="CB359" t="s">
        <v>135</v>
      </c>
      <c r="CH359" s="2"/>
      <c r="CJ359" s="2"/>
      <c r="CL359" s="2"/>
      <c r="CN359" s="2"/>
      <c r="CQ359" s="2"/>
      <c r="CT359" s="2"/>
      <c r="CW359" s="2"/>
    </row>
    <row r="360" spans="1:101" x14ac:dyDescent="0.25">
      <c r="A360" s="1" t="s">
        <v>163</v>
      </c>
      <c r="B360" s="75" t="s">
        <v>164</v>
      </c>
      <c r="C360">
        <v>0</v>
      </c>
      <c r="D360">
        <v>0</v>
      </c>
      <c r="E360">
        <v>0</v>
      </c>
      <c r="F360">
        <v>604324.56000000006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3.91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7490</v>
      </c>
      <c r="AW360">
        <v>3350</v>
      </c>
      <c r="AX360">
        <v>1219</v>
      </c>
      <c r="AY360">
        <v>12059</v>
      </c>
      <c r="AZ360">
        <v>4202</v>
      </c>
      <c r="BA360">
        <v>7438</v>
      </c>
      <c r="BB360">
        <v>1432</v>
      </c>
      <c r="BC360">
        <v>13072</v>
      </c>
      <c r="BD360">
        <v>9486</v>
      </c>
      <c r="BE360">
        <v>9222</v>
      </c>
      <c r="BF360">
        <v>1768</v>
      </c>
      <c r="BG360">
        <v>20476</v>
      </c>
      <c r="BH360">
        <v>0</v>
      </c>
      <c r="BI360">
        <v>0</v>
      </c>
      <c r="BJ360">
        <v>0</v>
      </c>
      <c r="BK360">
        <v>0</v>
      </c>
      <c r="BL360" s="2">
        <v>24.82</v>
      </c>
      <c r="BM360" s="2">
        <v>42005.095138888886</v>
      </c>
      <c r="BN360" s="2">
        <v>5.4</v>
      </c>
      <c r="BO360" s="2">
        <v>42005.092361111114</v>
      </c>
      <c r="BP360" s="2">
        <v>6.92</v>
      </c>
      <c r="BQ360" s="2">
        <v>42005.092361111114</v>
      </c>
      <c r="BR360" s="2">
        <v>11.07</v>
      </c>
      <c r="BS360" s="2">
        <v>42005.092361111114</v>
      </c>
      <c r="BT360">
        <v>0</v>
      </c>
      <c r="BU360">
        <v>0</v>
      </c>
      <c r="BV360" t="s">
        <v>135</v>
      </c>
      <c r="BW360">
        <v>0</v>
      </c>
      <c r="BX360">
        <v>0</v>
      </c>
      <c r="BY360" t="s">
        <v>135</v>
      </c>
      <c r="BZ360">
        <v>0</v>
      </c>
      <c r="CA360">
        <v>0</v>
      </c>
      <c r="CB360" t="s">
        <v>135</v>
      </c>
      <c r="CH360" s="2"/>
      <c r="CJ360" s="2"/>
      <c r="CL360" s="2"/>
      <c r="CN360" s="2"/>
      <c r="CQ360" s="2"/>
      <c r="CT360" s="2"/>
      <c r="CW360" s="2"/>
    </row>
    <row r="361" spans="1:101" x14ac:dyDescent="0.25">
      <c r="A361" s="1" t="s">
        <v>163</v>
      </c>
      <c r="B361" s="75" t="s">
        <v>164</v>
      </c>
      <c r="C361">
        <v>0</v>
      </c>
      <c r="D361">
        <v>0</v>
      </c>
      <c r="E361">
        <v>0</v>
      </c>
      <c r="F361">
        <v>604324.56000000006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3.91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7490</v>
      </c>
      <c r="AW361">
        <v>3350</v>
      </c>
      <c r="AX361">
        <v>1219</v>
      </c>
      <c r="AY361">
        <v>12059</v>
      </c>
      <c r="AZ361">
        <v>4202</v>
      </c>
      <c r="BA361">
        <v>7438</v>
      </c>
      <c r="BB361">
        <v>1432</v>
      </c>
      <c r="BC361">
        <v>13072</v>
      </c>
      <c r="BD361">
        <v>9486</v>
      </c>
      <c r="BE361">
        <v>9222</v>
      </c>
      <c r="BF361">
        <v>1768</v>
      </c>
      <c r="BG361">
        <v>20476</v>
      </c>
      <c r="BH361">
        <v>0</v>
      </c>
      <c r="BI361">
        <v>0</v>
      </c>
      <c r="BJ361">
        <v>0</v>
      </c>
      <c r="BK361">
        <v>0</v>
      </c>
      <c r="BL361" s="2">
        <v>24.82</v>
      </c>
      <c r="BM361" s="2">
        <v>42005.095138888886</v>
      </c>
      <c r="BN361" s="2">
        <v>5.4</v>
      </c>
      <c r="BO361" s="2">
        <v>42005.092361111114</v>
      </c>
      <c r="BP361" s="2">
        <v>6.92</v>
      </c>
      <c r="BQ361" s="2">
        <v>42005.092361111114</v>
      </c>
      <c r="BR361" s="2">
        <v>11.07</v>
      </c>
      <c r="BS361" s="2">
        <v>42005.092361111114</v>
      </c>
      <c r="BT361">
        <v>0</v>
      </c>
      <c r="BU361">
        <v>0</v>
      </c>
      <c r="BV361" t="s">
        <v>135</v>
      </c>
      <c r="BW361">
        <v>0</v>
      </c>
      <c r="BX361">
        <v>0</v>
      </c>
      <c r="BY361" t="s">
        <v>135</v>
      </c>
      <c r="BZ361">
        <v>0</v>
      </c>
      <c r="CA361">
        <v>0</v>
      </c>
      <c r="CB361" t="s">
        <v>135</v>
      </c>
      <c r="CH361" s="2"/>
      <c r="CJ361" s="2"/>
      <c r="CL361" s="2"/>
      <c r="CN361" s="2"/>
      <c r="CQ361" s="2"/>
      <c r="CT361" s="2"/>
      <c r="CW361" s="2"/>
    </row>
    <row r="362" spans="1:101" x14ac:dyDescent="0.25">
      <c r="A362" s="1" t="s">
        <v>163</v>
      </c>
      <c r="B362" s="75" t="s">
        <v>164</v>
      </c>
      <c r="C362">
        <v>0</v>
      </c>
      <c r="D362">
        <v>0</v>
      </c>
      <c r="E362">
        <v>0</v>
      </c>
      <c r="F362">
        <v>604324.56000000006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3.91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7490</v>
      </c>
      <c r="AW362">
        <v>3350</v>
      </c>
      <c r="AX362">
        <v>1219</v>
      </c>
      <c r="AY362">
        <v>12059</v>
      </c>
      <c r="AZ362">
        <v>4202</v>
      </c>
      <c r="BA362">
        <v>7438</v>
      </c>
      <c r="BB362">
        <v>1432</v>
      </c>
      <c r="BC362">
        <v>13072</v>
      </c>
      <c r="BD362">
        <v>9486</v>
      </c>
      <c r="BE362">
        <v>9222</v>
      </c>
      <c r="BF362">
        <v>1768</v>
      </c>
      <c r="BG362">
        <v>20476</v>
      </c>
      <c r="BH362">
        <v>0</v>
      </c>
      <c r="BI362">
        <v>0</v>
      </c>
      <c r="BJ362">
        <v>0</v>
      </c>
      <c r="BK362">
        <v>0</v>
      </c>
      <c r="BL362" s="2">
        <v>24.82</v>
      </c>
      <c r="BM362" s="2">
        <v>42005.095138888886</v>
      </c>
      <c r="BN362" s="2">
        <v>5.4</v>
      </c>
      <c r="BO362" s="2">
        <v>42005.092361111114</v>
      </c>
      <c r="BP362" s="2">
        <v>6.92</v>
      </c>
      <c r="BQ362" s="2">
        <v>42005.092361111114</v>
      </c>
      <c r="BR362" s="2">
        <v>11.07</v>
      </c>
      <c r="BS362" s="2">
        <v>42005.092361111114</v>
      </c>
      <c r="BT362">
        <v>0</v>
      </c>
      <c r="BU362">
        <v>0</v>
      </c>
      <c r="BV362" t="s">
        <v>135</v>
      </c>
      <c r="BW362">
        <v>0</v>
      </c>
      <c r="BX362">
        <v>0</v>
      </c>
      <c r="BY362" t="s">
        <v>135</v>
      </c>
      <c r="BZ362">
        <v>0</v>
      </c>
      <c r="CA362">
        <v>0</v>
      </c>
      <c r="CB362" t="s">
        <v>135</v>
      </c>
      <c r="CH362" s="2"/>
      <c r="CJ362" s="2"/>
      <c r="CL362" s="2"/>
      <c r="CN362" s="2"/>
      <c r="CQ362" s="2"/>
      <c r="CT362" s="2"/>
      <c r="CW362" s="2"/>
    </row>
    <row r="363" spans="1:101" x14ac:dyDescent="0.25">
      <c r="A363" s="1" t="s">
        <v>163</v>
      </c>
      <c r="B363" s="75" t="s">
        <v>164</v>
      </c>
      <c r="C363">
        <v>0</v>
      </c>
      <c r="D363">
        <v>0</v>
      </c>
      <c r="E363">
        <v>0</v>
      </c>
      <c r="F363">
        <v>604324.56000000006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3.91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7490</v>
      </c>
      <c r="AW363">
        <v>3350</v>
      </c>
      <c r="AX363">
        <v>1219</v>
      </c>
      <c r="AY363">
        <v>12059</v>
      </c>
      <c r="AZ363">
        <v>4202</v>
      </c>
      <c r="BA363">
        <v>7438</v>
      </c>
      <c r="BB363">
        <v>1432</v>
      </c>
      <c r="BC363">
        <v>13072</v>
      </c>
      <c r="BD363">
        <v>9486</v>
      </c>
      <c r="BE363">
        <v>9222</v>
      </c>
      <c r="BF363">
        <v>1768</v>
      </c>
      <c r="BG363">
        <v>20476</v>
      </c>
      <c r="BH363">
        <v>0</v>
      </c>
      <c r="BI363">
        <v>0</v>
      </c>
      <c r="BJ363">
        <v>0</v>
      </c>
      <c r="BK363">
        <v>0</v>
      </c>
      <c r="BL363" s="2">
        <v>24.82</v>
      </c>
      <c r="BM363" s="2">
        <v>42005.095138888886</v>
      </c>
      <c r="BN363" s="2">
        <v>5.4</v>
      </c>
      <c r="BO363" s="2">
        <v>42005.092361111114</v>
      </c>
      <c r="BP363" s="2">
        <v>6.92</v>
      </c>
      <c r="BQ363" s="2">
        <v>42005.092361111114</v>
      </c>
      <c r="BR363" s="2">
        <v>11.07</v>
      </c>
      <c r="BS363" s="2">
        <v>42005.092361111114</v>
      </c>
      <c r="BT363">
        <v>0</v>
      </c>
      <c r="BU363">
        <v>0</v>
      </c>
      <c r="BV363" t="s">
        <v>135</v>
      </c>
      <c r="BW363">
        <v>0</v>
      </c>
      <c r="BX363">
        <v>0</v>
      </c>
      <c r="BY363" t="s">
        <v>135</v>
      </c>
      <c r="BZ363">
        <v>0</v>
      </c>
      <c r="CA363">
        <v>0</v>
      </c>
      <c r="CB363" t="s">
        <v>135</v>
      </c>
      <c r="CH363" s="2"/>
      <c r="CJ363" s="2"/>
      <c r="CL363" s="2"/>
      <c r="CN363" s="2"/>
      <c r="CQ363" s="2"/>
      <c r="CT363" s="2"/>
      <c r="CW363" s="2"/>
    </row>
    <row r="364" spans="1:101" x14ac:dyDescent="0.25">
      <c r="A364" s="1" t="s">
        <v>163</v>
      </c>
      <c r="B364" s="75" t="s">
        <v>164</v>
      </c>
      <c r="C364">
        <v>0</v>
      </c>
      <c r="D364">
        <v>0</v>
      </c>
      <c r="E364">
        <v>0</v>
      </c>
      <c r="F364">
        <v>604324.56000000006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3.91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7490</v>
      </c>
      <c r="AW364">
        <v>3350</v>
      </c>
      <c r="AX364">
        <v>1219</v>
      </c>
      <c r="AY364">
        <v>12059</v>
      </c>
      <c r="AZ364">
        <v>4202</v>
      </c>
      <c r="BA364">
        <v>7438</v>
      </c>
      <c r="BB364">
        <v>1432</v>
      </c>
      <c r="BC364">
        <v>13072</v>
      </c>
      <c r="BD364">
        <v>9486</v>
      </c>
      <c r="BE364">
        <v>9222</v>
      </c>
      <c r="BF364">
        <v>1768</v>
      </c>
      <c r="BG364">
        <v>20476</v>
      </c>
      <c r="BH364">
        <v>0</v>
      </c>
      <c r="BI364">
        <v>0</v>
      </c>
      <c r="BJ364">
        <v>0</v>
      </c>
      <c r="BK364">
        <v>0</v>
      </c>
      <c r="BL364" s="2">
        <v>24.82</v>
      </c>
      <c r="BM364" s="2">
        <v>42005.095138888886</v>
      </c>
      <c r="BN364" s="2">
        <v>5.4</v>
      </c>
      <c r="BO364" s="2">
        <v>42005.092361111114</v>
      </c>
      <c r="BP364" s="2">
        <v>6.92</v>
      </c>
      <c r="BQ364" s="2">
        <v>42005.092361111114</v>
      </c>
      <c r="BR364" s="2">
        <v>11.07</v>
      </c>
      <c r="BS364" s="2">
        <v>42005.092361111114</v>
      </c>
      <c r="BT364">
        <v>0</v>
      </c>
      <c r="BU364">
        <v>0</v>
      </c>
      <c r="BV364" t="s">
        <v>135</v>
      </c>
      <c r="BW364">
        <v>0</v>
      </c>
      <c r="BX364">
        <v>0</v>
      </c>
      <c r="BY364" t="s">
        <v>135</v>
      </c>
      <c r="BZ364">
        <v>0</v>
      </c>
      <c r="CA364">
        <v>0</v>
      </c>
      <c r="CB364" t="s">
        <v>135</v>
      </c>
      <c r="CH364" s="2"/>
      <c r="CJ364" s="2"/>
      <c r="CL364" s="2"/>
      <c r="CN364" s="2"/>
      <c r="CQ364" s="2"/>
      <c r="CT364" s="2"/>
      <c r="CW364" s="2"/>
    </row>
    <row r="365" spans="1:101" x14ac:dyDescent="0.25">
      <c r="A365" s="1" t="s">
        <v>163</v>
      </c>
      <c r="B365" s="75" t="s">
        <v>164</v>
      </c>
      <c r="C365">
        <v>0</v>
      </c>
      <c r="D365">
        <v>0</v>
      </c>
      <c r="E365">
        <v>0</v>
      </c>
      <c r="F365">
        <v>604324.56000000006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3.91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7490</v>
      </c>
      <c r="AW365">
        <v>3350</v>
      </c>
      <c r="AX365">
        <v>1219</v>
      </c>
      <c r="AY365">
        <v>12059</v>
      </c>
      <c r="AZ365">
        <v>4202</v>
      </c>
      <c r="BA365">
        <v>7438</v>
      </c>
      <c r="BB365">
        <v>1432</v>
      </c>
      <c r="BC365">
        <v>13072</v>
      </c>
      <c r="BD365">
        <v>9486</v>
      </c>
      <c r="BE365">
        <v>9222</v>
      </c>
      <c r="BF365">
        <v>1768</v>
      </c>
      <c r="BG365">
        <v>20476</v>
      </c>
      <c r="BH365">
        <v>0</v>
      </c>
      <c r="BI365">
        <v>0</v>
      </c>
      <c r="BJ365">
        <v>0</v>
      </c>
      <c r="BK365">
        <v>0</v>
      </c>
      <c r="BL365" s="2">
        <v>24.82</v>
      </c>
      <c r="BM365" s="2">
        <v>42005.095138888886</v>
      </c>
      <c r="BN365" s="2">
        <v>5.4</v>
      </c>
      <c r="BO365" s="2">
        <v>42005.092361111114</v>
      </c>
      <c r="BP365" s="2">
        <v>6.92</v>
      </c>
      <c r="BQ365" s="2">
        <v>42005.092361111114</v>
      </c>
      <c r="BR365" s="2">
        <v>11.07</v>
      </c>
      <c r="BS365" s="2">
        <v>42005.092361111114</v>
      </c>
      <c r="BT365">
        <v>0</v>
      </c>
      <c r="BU365">
        <v>0</v>
      </c>
      <c r="BV365" t="s">
        <v>135</v>
      </c>
      <c r="BW365">
        <v>0</v>
      </c>
      <c r="BX365">
        <v>0</v>
      </c>
      <c r="BY365" t="s">
        <v>135</v>
      </c>
      <c r="BZ365">
        <v>0</v>
      </c>
      <c r="CA365">
        <v>0</v>
      </c>
      <c r="CB365" t="s">
        <v>135</v>
      </c>
      <c r="CH365" s="2"/>
      <c r="CJ365" s="2"/>
      <c r="CL365" s="2"/>
      <c r="CN365" s="2"/>
      <c r="CQ365" s="2"/>
      <c r="CT365" s="2"/>
      <c r="CW365" s="2"/>
    </row>
    <row r="366" spans="1:101" x14ac:dyDescent="0.25">
      <c r="A366" s="1" t="s">
        <v>163</v>
      </c>
      <c r="B366" s="75" t="s">
        <v>164</v>
      </c>
      <c r="C366">
        <v>0</v>
      </c>
      <c r="D366">
        <v>0</v>
      </c>
      <c r="E366">
        <v>0</v>
      </c>
      <c r="F366">
        <v>604324.56000000006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3.91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7490</v>
      </c>
      <c r="AW366">
        <v>3350</v>
      </c>
      <c r="AX366">
        <v>1219</v>
      </c>
      <c r="AY366">
        <v>12059</v>
      </c>
      <c r="AZ366">
        <v>4202</v>
      </c>
      <c r="BA366">
        <v>7438</v>
      </c>
      <c r="BB366">
        <v>1432</v>
      </c>
      <c r="BC366">
        <v>13072</v>
      </c>
      <c r="BD366">
        <v>9486</v>
      </c>
      <c r="BE366">
        <v>9222</v>
      </c>
      <c r="BF366">
        <v>1768</v>
      </c>
      <c r="BG366">
        <v>20476</v>
      </c>
      <c r="BH366">
        <v>0</v>
      </c>
      <c r="BI366">
        <v>0</v>
      </c>
      <c r="BJ366">
        <v>0</v>
      </c>
      <c r="BK366">
        <v>0</v>
      </c>
      <c r="BL366" s="2">
        <v>24.82</v>
      </c>
      <c r="BM366" s="2">
        <v>42005.095138888886</v>
      </c>
      <c r="BN366" s="2">
        <v>5.4</v>
      </c>
      <c r="BO366" s="2">
        <v>42005.092361111114</v>
      </c>
      <c r="BP366" s="2">
        <v>6.92</v>
      </c>
      <c r="BQ366" s="2">
        <v>42005.092361111114</v>
      </c>
      <c r="BR366" s="2">
        <v>11.07</v>
      </c>
      <c r="BS366" s="2">
        <v>42005.092361111114</v>
      </c>
      <c r="BT366">
        <v>0</v>
      </c>
      <c r="BU366">
        <v>0</v>
      </c>
      <c r="BV366" t="s">
        <v>135</v>
      </c>
      <c r="BW366">
        <v>0</v>
      </c>
      <c r="BX366">
        <v>0</v>
      </c>
      <c r="BY366" t="s">
        <v>135</v>
      </c>
      <c r="BZ366">
        <v>0</v>
      </c>
      <c r="CA366">
        <v>0</v>
      </c>
      <c r="CB366" t="s">
        <v>135</v>
      </c>
      <c r="CH366" s="2"/>
      <c r="CJ366" s="2"/>
      <c r="CL366" s="2"/>
      <c r="CN366" s="2"/>
      <c r="CQ366" s="2"/>
      <c r="CT366" s="2"/>
      <c r="CW366" s="2"/>
    </row>
    <row r="367" spans="1:101" x14ac:dyDescent="0.25">
      <c r="A367" s="1" t="s">
        <v>163</v>
      </c>
      <c r="B367" s="75" t="s">
        <v>164</v>
      </c>
      <c r="C367">
        <v>0</v>
      </c>
      <c r="D367">
        <v>0</v>
      </c>
      <c r="E367">
        <v>0</v>
      </c>
      <c r="F367">
        <v>604324.56000000006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3.91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7490</v>
      </c>
      <c r="AW367">
        <v>3350</v>
      </c>
      <c r="AX367">
        <v>1219</v>
      </c>
      <c r="AY367">
        <v>12059</v>
      </c>
      <c r="AZ367">
        <v>4202</v>
      </c>
      <c r="BA367">
        <v>7438</v>
      </c>
      <c r="BB367">
        <v>1432</v>
      </c>
      <c r="BC367">
        <v>13072</v>
      </c>
      <c r="BD367">
        <v>9486</v>
      </c>
      <c r="BE367">
        <v>9222</v>
      </c>
      <c r="BF367">
        <v>1768</v>
      </c>
      <c r="BG367">
        <v>20476</v>
      </c>
      <c r="BH367">
        <v>0</v>
      </c>
      <c r="BI367">
        <v>0</v>
      </c>
      <c r="BJ367">
        <v>0</v>
      </c>
      <c r="BK367">
        <v>0</v>
      </c>
      <c r="BL367" s="2">
        <v>24.82</v>
      </c>
      <c r="BM367" s="2">
        <v>42005.095138888886</v>
      </c>
      <c r="BN367" s="2">
        <v>5.4</v>
      </c>
      <c r="BO367" s="2">
        <v>42005.092361111114</v>
      </c>
      <c r="BP367" s="2">
        <v>6.92</v>
      </c>
      <c r="BQ367" s="2">
        <v>42005.092361111114</v>
      </c>
      <c r="BR367" s="2">
        <v>11.07</v>
      </c>
      <c r="BS367" s="2">
        <v>42005.092361111114</v>
      </c>
      <c r="BT367">
        <v>0</v>
      </c>
      <c r="BU367">
        <v>0</v>
      </c>
      <c r="BV367" t="s">
        <v>135</v>
      </c>
      <c r="BW367">
        <v>0</v>
      </c>
      <c r="BX367">
        <v>0</v>
      </c>
      <c r="BY367" t="s">
        <v>135</v>
      </c>
      <c r="BZ367">
        <v>0</v>
      </c>
      <c r="CA367">
        <v>0</v>
      </c>
      <c r="CB367" t="s">
        <v>135</v>
      </c>
      <c r="CH367" s="2"/>
      <c r="CJ367" s="2"/>
      <c r="CL367" s="2"/>
      <c r="CN367" s="2"/>
      <c r="CQ367" s="2"/>
      <c r="CT367" s="2"/>
      <c r="CW367" s="2"/>
    </row>
    <row r="368" spans="1:101" x14ac:dyDescent="0.25">
      <c r="A368" s="1" t="s">
        <v>163</v>
      </c>
      <c r="B368" s="75" t="s">
        <v>164</v>
      </c>
      <c r="C368">
        <v>0</v>
      </c>
      <c r="D368">
        <v>0</v>
      </c>
      <c r="E368">
        <v>0</v>
      </c>
      <c r="F368">
        <v>604324.56000000006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3.91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7490</v>
      </c>
      <c r="AW368">
        <v>3350</v>
      </c>
      <c r="AX368">
        <v>1219</v>
      </c>
      <c r="AY368">
        <v>12059</v>
      </c>
      <c r="AZ368">
        <v>4202</v>
      </c>
      <c r="BA368">
        <v>7438</v>
      </c>
      <c r="BB368">
        <v>1432</v>
      </c>
      <c r="BC368">
        <v>13072</v>
      </c>
      <c r="BD368">
        <v>9486</v>
      </c>
      <c r="BE368">
        <v>9222</v>
      </c>
      <c r="BF368">
        <v>1768</v>
      </c>
      <c r="BG368">
        <v>20476</v>
      </c>
      <c r="BH368">
        <v>0</v>
      </c>
      <c r="BI368">
        <v>0</v>
      </c>
      <c r="BJ368">
        <v>0</v>
      </c>
      <c r="BK368">
        <v>0</v>
      </c>
      <c r="BL368" s="2">
        <v>24.82</v>
      </c>
      <c r="BM368" s="2">
        <v>42005.095138888886</v>
      </c>
      <c r="BN368" s="2">
        <v>5.4</v>
      </c>
      <c r="BO368" s="2">
        <v>42005.092361111114</v>
      </c>
      <c r="BP368" s="2">
        <v>6.92</v>
      </c>
      <c r="BQ368" s="2">
        <v>42005.092361111114</v>
      </c>
      <c r="BR368" s="2">
        <v>11.07</v>
      </c>
      <c r="BS368" s="2">
        <v>42005.092361111114</v>
      </c>
      <c r="BT368">
        <v>0</v>
      </c>
      <c r="BU368">
        <v>0</v>
      </c>
      <c r="BV368" t="s">
        <v>135</v>
      </c>
      <c r="BW368">
        <v>0</v>
      </c>
      <c r="BX368">
        <v>0</v>
      </c>
      <c r="BY368" t="s">
        <v>135</v>
      </c>
      <c r="BZ368">
        <v>0</v>
      </c>
      <c r="CA368">
        <v>0</v>
      </c>
      <c r="CB368" t="s">
        <v>135</v>
      </c>
      <c r="CH368" s="2"/>
      <c r="CJ368" s="2"/>
      <c r="CL368" s="2"/>
      <c r="CN368" s="2"/>
      <c r="CQ368" s="2"/>
      <c r="CT368" s="2"/>
      <c r="CW368" s="2"/>
    </row>
    <row r="369" spans="1:101" x14ac:dyDescent="0.25">
      <c r="A369" s="1" t="s">
        <v>163</v>
      </c>
      <c r="B369" s="75" t="s">
        <v>164</v>
      </c>
      <c r="C369">
        <v>0</v>
      </c>
      <c r="D369">
        <v>0</v>
      </c>
      <c r="E369">
        <v>0</v>
      </c>
      <c r="F369">
        <v>604324.56000000006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3.91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7490</v>
      </c>
      <c r="AW369">
        <v>3350</v>
      </c>
      <c r="AX369">
        <v>1219</v>
      </c>
      <c r="AY369">
        <v>12059</v>
      </c>
      <c r="AZ369">
        <v>4202</v>
      </c>
      <c r="BA369">
        <v>7438</v>
      </c>
      <c r="BB369">
        <v>1432</v>
      </c>
      <c r="BC369">
        <v>13072</v>
      </c>
      <c r="BD369">
        <v>9486</v>
      </c>
      <c r="BE369">
        <v>9222</v>
      </c>
      <c r="BF369">
        <v>1768</v>
      </c>
      <c r="BG369">
        <v>20476</v>
      </c>
      <c r="BH369">
        <v>0</v>
      </c>
      <c r="BI369">
        <v>0</v>
      </c>
      <c r="BJ369">
        <v>0</v>
      </c>
      <c r="BK369">
        <v>0</v>
      </c>
      <c r="BL369" s="2">
        <v>24.82</v>
      </c>
      <c r="BM369" s="2">
        <v>42005.095138888886</v>
      </c>
      <c r="BN369" s="2">
        <v>5.4</v>
      </c>
      <c r="BO369" s="2">
        <v>42005.092361111114</v>
      </c>
      <c r="BP369" s="2">
        <v>6.92</v>
      </c>
      <c r="BQ369" s="2">
        <v>42005.092361111114</v>
      </c>
      <c r="BR369" s="2">
        <v>11.07</v>
      </c>
      <c r="BS369" s="2">
        <v>42005.092361111114</v>
      </c>
      <c r="BT369">
        <v>0</v>
      </c>
      <c r="BU369">
        <v>0</v>
      </c>
      <c r="BV369" t="s">
        <v>135</v>
      </c>
      <c r="BW369">
        <v>0</v>
      </c>
      <c r="BX369">
        <v>0</v>
      </c>
      <c r="BY369" t="s">
        <v>135</v>
      </c>
      <c r="BZ369">
        <v>0</v>
      </c>
      <c r="CA369">
        <v>0</v>
      </c>
      <c r="CB369" t="s">
        <v>135</v>
      </c>
      <c r="CH369" s="2"/>
      <c r="CJ369" s="2"/>
      <c r="CL369" s="2"/>
      <c r="CN369" s="2"/>
      <c r="CQ369" s="2"/>
      <c r="CT369" s="2"/>
      <c r="CW369" s="2"/>
    </row>
    <row r="370" spans="1:101" x14ac:dyDescent="0.25">
      <c r="A370" s="1" t="s">
        <v>163</v>
      </c>
      <c r="B370" s="75" t="s">
        <v>164</v>
      </c>
      <c r="C370">
        <v>0</v>
      </c>
      <c r="D370">
        <v>0</v>
      </c>
      <c r="E370">
        <v>0</v>
      </c>
      <c r="F370">
        <v>604324.56000000006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3.91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7490</v>
      </c>
      <c r="AW370">
        <v>3350</v>
      </c>
      <c r="AX370">
        <v>1219</v>
      </c>
      <c r="AY370">
        <v>12059</v>
      </c>
      <c r="AZ370">
        <v>4202</v>
      </c>
      <c r="BA370">
        <v>7438</v>
      </c>
      <c r="BB370">
        <v>1432</v>
      </c>
      <c r="BC370">
        <v>13072</v>
      </c>
      <c r="BD370">
        <v>9486</v>
      </c>
      <c r="BE370">
        <v>9222</v>
      </c>
      <c r="BF370">
        <v>1768</v>
      </c>
      <c r="BG370">
        <v>20476</v>
      </c>
      <c r="BH370">
        <v>0</v>
      </c>
      <c r="BI370">
        <v>0</v>
      </c>
      <c r="BJ370">
        <v>0</v>
      </c>
      <c r="BK370">
        <v>0</v>
      </c>
      <c r="BL370" s="2">
        <v>24.82</v>
      </c>
      <c r="BM370" s="2">
        <v>42005.095138888886</v>
      </c>
      <c r="BN370" s="2">
        <v>5.4</v>
      </c>
      <c r="BO370" s="2">
        <v>42005.092361111114</v>
      </c>
      <c r="BP370" s="2">
        <v>6.92</v>
      </c>
      <c r="BQ370" s="2">
        <v>42005.092361111114</v>
      </c>
      <c r="BR370" s="2">
        <v>11.07</v>
      </c>
      <c r="BS370" s="2">
        <v>42005.092361111114</v>
      </c>
      <c r="BT370">
        <v>0</v>
      </c>
      <c r="BU370">
        <v>0</v>
      </c>
      <c r="BV370" t="s">
        <v>135</v>
      </c>
      <c r="BW370">
        <v>0</v>
      </c>
      <c r="BX370">
        <v>0</v>
      </c>
      <c r="BY370" t="s">
        <v>135</v>
      </c>
      <c r="BZ370">
        <v>0</v>
      </c>
      <c r="CA370">
        <v>0</v>
      </c>
      <c r="CB370" t="s">
        <v>135</v>
      </c>
      <c r="CH370" s="2"/>
      <c r="CJ370" s="2"/>
      <c r="CL370" s="2"/>
      <c r="CN370" s="2"/>
      <c r="CQ370" s="2"/>
      <c r="CT370" s="2"/>
      <c r="CW370" s="2"/>
    </row>
    <row r="371" spans="1:101" x14ac:dyDescent="0.25">
      <c r="A371" s="1" t="s">
        <v>163</v>
      </c>
      <c r="B371" s="75" t="s">
        <v>164</v>
      </c>
      <c r="C371">
        <v>0</v>
      </c>
      <c r="D371">
        <v>0</v>
      </c>
      <c r="E371">
        <v>0</v>
      </c>
      <c r="F371">
        <v>604324.56000000006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3.91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7490</v>
      </c>
      <c r="AW371">
        <v>3350</v>
      </c>
      <c r="AX371">
        <v>1219</v>
      </c>
      <c r="AY371">
        <v>12059</v>
      </c>
      <c r="AZ371">
        <v>4202</v>
      </c>
      <c r="BA371">
        <v>7438</v>
      </c>
      <c r="BB371">
        <v>1432</v>
      </c>
      <c r="BC371">
        <v>13072</v>
      </c>
      <c r="BD371">
        <v>9486</v>
      </c>
      <c r="BE371">
        <v>9222</v>
      </c>
      <c r="BF371">
        <v>1768</v>
      </c>
      <c r="BG371">
        <v>20476</v>
      </c>
      <c r="BH371">
        <v>0</v>
      </c>
      <c r="BI371">
        <v>0</v>
      </c>
      <c r="BJ371">
        <v>0</v>
      </c>
      <c r="BK371">
        <v>0</v>
      </c>
      <c r="BL371" s="2">
        <v>24.82</v>
      </c>
      <c r="BM371" s="2">
        <v>42005.095138888886</v>
      </c>
      <c r="BN371" s="2">
        <v>5.4</v>
      </c>
      <c r="BO371" s="2">
        <v>42005.092361111114</v>
      </c>
      <c r="BP371" s="2">
        <v>6.92</v>
      </c>
      <c r="BQ371" s="2">
        <v>42005.092361111114</v>
      </c>
      <c r="BR371" s="2">
        <v>11.07</v>
      </c>
      <c r="BS371" s="2">
        <v>42005.092361111114</v>
      </c>
      <c r="BT371">
        <v>0</v>
      </c>
      <c r="BU371">
        <v>0</v>
      </c>
      <c r="BV371" t="s">
        <v>135</v>
      </c>
      <c r="BW371">
        <v>0</v>
      </c>
      <c r="BX371">
        <v>0</v>
      </c>
      <c r="BY371" t="s">
        <v>135</v>
      </c>
      <c r="BZ371">
        <v>0</v>
      </c>
      <c r="CA371">
        <v>0</v>
      </c>
      <c r="CB371" t="s">
        <v>135</v>
      </c>
      <c r="CH371" s="2"/>
      <c r="CJ371" s="2"/>
      <c r="CL371" s="2"/>
      <c r="CN371" s="2"/>
      <c r="CQ371" s="2"/>
      <c r="CT371" s="2"/>
      <c r="CW371" s="2"/>
    </row>
    <row r="372" spans="1:101" x14ac:dyDescent="0.25">
      <c r="A372" s="1" t="s">
        <v>163</v>
      </c>
      <c r="B372" s="75" t="s">
        <v>164</v>
      </c>
      <c r="C372">
        <v>0</v>
      </c>
      <c r="D372">
        <v>0</v>
      </c>
      <c r="E372">
        <v>0</v>
      </c>
      <c r="F372">
        <v>604324.56000000006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3.91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7490</v>
      </c>
      <c r="AW372">
        <v>3350</v>
      </c>
      <c r="AX372">
        <v>1219</v>
      </c>
      <c r="AY372">
        <v>12059</v>
      </c>
      <c r="AZ372">
        <v>4202</v>
      </c>
      <c r="BA372">
        <v>7438</v>
      </c>
      <c r="BB372">
        <v>1432</v>
      </c>
      <c r="BC372">
        <v>13072</v>
      </c>
      <c r="BD372">
        <v>9486</v>
      </c>
      <c r="BE372">
        <v>9222</v>
      </c>
      <c r="BF372">
        <v>1768</v>
      </c>
      <c r="BG372">
        <v>20476</v>
      </c>
      <c r="BH372">
        <v>0</v>
      </c>
      <c r="BI372">
        <v>0</v>
      </c>
      <c r="BJ372">
        <v>0</v>
      </c>
      <c r="BK372">
        <v>0</v>
      </c>
      <c r="BL372" s="2">
        <v>24.82</v>
      </c>
      <c r="BM372" s="2">
        <v>42005.095138888886</v>
      </c>
      <c r="BN372" s="2">
        <v>5.4</v>
      </c>
      <c r="BO372" s="2">
        <v>42005.092361111114</v>
      </c>
      <c r="BP372" s="2">
        <v>6.92</v>
      </c>
      <c r="BQ372" s="2">
        <v>42005.092361111114</v>
      </c>
      <c r="BR372" s="2">
        <v>11.07</v>
      </c>
      <c r="BS372" s="2">
        <v>42005.092361111114</v>
      </c>
      <c r="BT372">
        <v>0</v>
      </c>
      <c r="BU372">
        <v>0</v>
      </c>
      <c r="BV372" t="s">
        <v>135</v>
      </c>
      <c r="BW372">
        <v>0</v>
      </c>
      <c r="BX372">
        <v>0</v>
      </c>
      <c r="BY372" t="s">
        <v>135</v>
      </c>
      <c r="BZ372">
        <v>0</v>
      </c>
      <c r="CA372">
        <v>0</v>
      </c>
      <c r="CB372" t="s">
        <v>135</v>
      </c>
      <c r="CH372" s="2"/>
      <c r="CJ372" s="2"/>
      <c r="CL372" s="2"/>
      <c r="CN372" s="2"/>
      <c r="CQ372" s="2"/>
      <c r="CT372" s="2"/>
      <c r="CW372" s="2"/>
    </row>
    <row r="373" spans="1:101" x14ac:dyDescent="0.25">
      <c r="A373" s="1" t="s">
        <v>163</v>
      </c>
      <c r="B373" s="75" t="s">
        <v>164</v>
      </c>
      <c r="C373">
        <v>0</v>
      </c>
      <c r="D373">
        <v>0</v>
      </c>
      <c r="E373">
        <v>0</v>
      </c>
      <c r="F373">
        <v>604324.56000000006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3.91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7490</v>
      </c>
      <c r="AW373">
        <v>3350</v>
      </c>
      <c r="AX373">
        <v>1219</v>
      </c>
      <c r="AY373">
        <v>12059</v>
      </c>
      <c r="AZ373">
        <v>4202</v>
      </c>
      <c r="BA373">
        <v>7438</v>
      </c>
      <c r="BB373">
        <v>1432</v>
      </c>
      <c r="BC373">
        <v>13072</v>
      </c>
      <c r="BD373">
        <v>9486</v>
      </c>
      <c r="BE373">
        <v>9222</v>
      </c>
      <c r="BF373">
        <v>1768</v>
      </c>
      <c r="BG373">
        <v>20476</v>
      </c>
      <c r="BH373">
        <v>0</v>
      </c>
      <c r="BI373">
        <v>0</v>
      </c>
      <c r="BJ373">
        <v>0</v>
      </c>
      <c r="BK373">
        <v>0</v>
      </c>
      <c r="BL373" s="2">
        <v>24.82</v>
      </c>
      <c r="BM373" s="2">
        <v>42005.095138888886</v>
      </c>
      <c r="BN373" s="2">
        <v>5.4</v>
      </c>
      <c r="BO373" s="2">
        <v>42005.092361111114</v>
      </c>
      <c r="BP373" s="2">
        <v>6.92</v>
      </c>
      <c r="BQ373" s="2">
        <v>42005.092361111114</v>
      </c>
      <c r="BR373" s="2">
        <v>11.07</v>
      </c>
      <c r="BS373" s="2">
        <v>42005.092361111114</v>
      </c>
      <c r="BT373">
        <v>0</v>
      </c>
      <c r="BU373">
        <v>0</v>
      </c>
      <c r="BV373" t="s">
        <v>135</v>
      </c>
      <c r="BW373">
        <v>0</v>
      </c>
      <c r="BX373">
        <v>0</v>
      </c>
      <c r="BY373" t="s">
        <v>135</v>
      </c>
      <c r="BZ373">
        <v>0</v>
      </c>
      <c r="CA373">
        <v>0</v>
      </c>
      <c r="CB373" t="s">
        <v>135</v>
      </c>
      <c r="CH373" s="2"/>
      <c r="CJ373" s="2"/>
      <c r="CL373" s="2"/>
      <c r="CN373" s="2"/>
      <c r="CQ373" s="2"/>
      <c r="CT373" s="2"/>
      <c r="CW373" s="2"/>
    </row>
    <row r="374" spans="1:101" x14ac:dyDescent="0.25">
      <c r="A374" s="1" t="s">
        <v>163</v>
      </c>
      <c r="B374" s="75" t="s">
        <v>164</v>
      </c>
      <c r="C374">
        <v>0</v>
      </c>
      <c r="D374">
        <v>0</v>
      </c>
      <c r="E374">
        <v>0</v>
      </c>
      <c r="F374">
        <v>604324.56000000006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3.91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7490</v>
      </c>
      <c r="AW374">
        <v>3350</v>
      </c>
      <c r="AX374">
        <v>1219</v>
      </c>
      <c r="AY374">
        <v>12059</v>
      </c>
      <c r="AZ374">
        <v>4202</v>
      </c>
      <c r="BA374">
        <v>7438</v>
      </c>
      <c r="BB374">
        <v>1432</v>
      </c>
      <c r="BC374">
        <v>13072</v>
      </c>
      <c r="BD374">
        <v>9486</v>
      </c>
      <c r="BE374">
        <v>9222</v>
      </c>
      <c r="BF374">
        <v>1768</v>
      </c>
      <c r="BG374">
        <v>20476</v>
      </c>
      <c r="BH374">
        <v>0</v>
      </c>
      <c r="BI374">
        <v>0</v>
      </c>
      <c r="BJ374">
        <v>0</v>
      </c>
      <c r="BK374">
        <v>0</v>
      </c>
      <c r="BL374" s="2">
        <v>24.82</v>
      </c>
      <c r="BM374" s="2">
        <v>42005.095138888886</v>
      </c>
      <c r="BN374" s="2">
        <v>5.4</v>
      </c>
      <c r="BO374" s="2">
        <v>42005.092361111114</v>
      </c>
      <c r="BP374" s="2">
        <v>6.92</v>
      </c>
      <c r="BQ374" s="2">
        <v>42005.092361111114</v>
      </c>
      <c r="BR374" s="2">
        <v>11.07</v>
      </c>
      <c r="BS374" s="2">
        <v>42005.092361111114</v>
      </c>
      <c r="BT374">
        <v>0</v>
      </c>
      <c r="BU374">
        <v>0</v>
      </c>
      <c r="BV374" t="s">
        <v>135</v>
      </c>
      <c r="BW374">
        <v>0</v>
      </c>
      <c r="BX374">
        <v>0</v>
      </c>
      <c r="BY374" t="s">
        <v>135</v>
      </c>
      <c r="BZ374">
        <v>0</v>
      </c>
      <c r="CA374">
        <v>0</v>
      </c>
      <c r="CB374" t="s">
        <v>135</v>
      </c>
      <c r="CH374" s="2"/>
      <c r="CJ374" s="2"/>
      <c r="CL374" s="2"/>
      <c r="CN374" s="2"/>
      <c r="CQ374" s="2"/>
      <c r="CT374" s="2"/>
      <c r="CW374" s="2"/>
    </row>
    <row r="375" spans="1:101" x14ac:dyDescent="0.25">
      <c r="A375" s="1" t="s">
        <v>163</v>
      </c>
      <c r="B375" s="75" t="s">
        <v>164</v>
      </c>
      <c r="C375">
        <v>0</v>
      </c>
      <c r="D375">
        <v>0</v>
      </c>
      <c r="E375">
        <v>0</v>
      </c>
      <c r="F375">
        <v>604324.56000000006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3.91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7490</v>
      </c>
      <c r="AW375">
        <v>3350</v>
      </c>
      <c r="AX375">
        <v>1219</v>
      </c>
      <c r="AY375">
        <v>12059</v>
      </c>
      <c r="AZ375">
        <v>4202</v>
      </c>
      <c r="BA375">
        <v>7438</v>
      </c>
      <c r="BB375">
        <v>1432</v>
      </c>
      <c r="BC375">
        <v>13072</v>
      </c>
      <c r="BD375">
        <v>9486</v>
      </c>
      <c r="BE375">
        <v>9222</v>
      </c>
      <c r="BF375">
        <v>1768</v>
      </c>
      <c r="BG375">
        <v>20476</v>
      </c>
      <c r="BH375">
        <v>0</v>
      </c>
      <c r="BI375">
        <v>0</v>
      </c>
      <c r="BJ375">
        <v>0</v>
      </c>
      <c r="BK375">
        <v>0</v>
      </c>
      <c r="BL375" s="2">
        <v>24.82</v>
      </c>
      <c r="BM375" s="2">
        <v>42005.095138888886</v>
      </c>
      <c r="BN375" s="2">
        <v>5.4</v>
      </c>
      <c r="BO375" s="2">
        <v>42005.092361111114</v>
      </c>
      <c r="BP375" s="2">
        <v>6.92</v>
      </c>
      <c r="BQ375" s="2">
        <v>42005.092361111114</v>
      </c>
      <c r="BR375" s="2">
        <v>11.07</v>
      </c>
      <c r="BS375" s="2">
        <v>42005.092361111114</v>
      </c>
      <c r="BT375">
        <v>0</v>
      </c>
      <c r="BU375">
        <v>0</v>
      </c>
      <c r="BV375" t="s">
        <v>135</v>
      </c>
      <c r="BW375">
        <v>0</v>
      </c>
      <c r="BX375">
        <v>0</v>
      </c>
      <c r="BY375" t="s">
        <v>135</v>
      </c>
      <c r="BZ375">
        <v>0</v>
      </c>
      <c r="CA375">
        <v>0</v>
      </c>
      <c r="CB375" t="s">
        <v>135</v>
      </c>
      <c r="CH375" s="2"/>
      <c r="CJ375" s="2"/>
      <c r="CL375" s="2"/>
      <c r="CN375" s="2"/>
      <c r="CQ375" s="2"/>
      <c r="CT375" s="2"/>
      <c r="CW375" s="2"/>
    </row>
    <row r="376" spans="1:101" x14ac:dyDescent="0.25">
      <c r="A376" s="1" t="s">
        <v>163</v>
      </c>
      <c r="B376" s="75" t="s">
        <v>164</v>
      </c>
      <c r="C376">
        <v>0</v>
      </c>
      <c r="D376">
        <v>0</v>
      </c>
      <c r="E376">
        <v>0</v>
      </c>
      <c r="F376">
        <v>604324.56000000006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3.91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7490</v>
      </c>
      <c r="AW376">
        <v>3350</v>
      </c>
      <c r="AX376">
        <v>1219</v>
      </c>
      <c r="AY376">
        <v>12059</v>
      </c>
      <c r="AZ376">
        <v>4202</v>
      </c>
      <c r="BA376">
        <v>7438</v>
      </c>
      <c r="BB376">
        <v>1432</v>
      </c>
      <c r="BC376">
        <v>13072</v>
      </c>
      <c r="BD376">
        <v>9486</v>
      </c>
      <c r="BE376">
        <v>9222</v>
      </c>
      <c r="BF376">
        <v>1768</v>
      </c>
      <c r="BG376">
        <v>20476</v>
      </c>
      <c r="BH376">
        <v>0</v>
      </c>
      <c r="BI376">
        <v>0</v>
      </c>
      <c r="BJ376">
        <v>0</v>
      </c>
      <c r="BK376">
        <v>0</v>
      </c>
      <c r="BL376" s="2">
        <v>24.82</v>
      </c>
      <c r="BM376" s="2">
        <v>42005.095138888886</v>
      </c>
      <c r="BN376" s="2">
        <v>5.4</v>
      </c>
      <c r="BO376" s="2">
        <v>42005.092361111114</v>
      </c>
      <c r="BP376" s="2">
        <v>6.92</v>
      </c>
      <c r="BQ376" s="2">
        <v>42005.092361111114</v>
      </c>
      <c r="BR376" s="2">
        <v>11.07</v>
      </c>
      <c r="BS376" s="2">
        <v>42005.092361111114</v>
      </c>
      <c r="BT376">
        <v>0</v>
      </c>
      <c r="BU376">
        <v>0</v>
      </c>
      <c r="BV376" t="s">
        <v>135</v>
      </c>
      <c r="BW376">
        <v>0</v>
      </c>
      <c r="BX376">
        <v>0</v>
      </c>
      <c r="BY376" t="s">
        <v>135</v>
      </c>
      <c r="BZ376">
        <v>0</v>
      </c>
      <c r="CA376">
        <v>0</v>
      </c>
      <c r="CB376" t="s">
        <v>135</v>
      </c>
      <c r="CH376" s="2"/>
      <c r="CJ376" s="2"/>
      <c r="CL376" s="2"/>
      <c r="CN376" s="2"/>
      <c r="CQ376" s="2"/>
      <c r="CT376" s="2"/>
      <c r="CW376" s="2"/>
    </row>
    <row r="377" spans="1:101" x14ac:dyDescent="0.25">
      <c r="A377" s="1" t="s">
        <v>163</v>
      </c>
      <c r="B377" s="75" t="s">
        <v>164</v>
      </c>
      <c r="C377">
        <v>0</v>
      </c>
      <c r="D377">
        <v>0</v>
      </c>
      <c r="E377">
        <v>0</v>
      </c>
      <c r="F377">
        <v>604324.56000000006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3.91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7490</v>
      </c>
      <c r="AW377">
        <v>3350</v>
      </c>
      <c r="AX377">
        <v>1219</v>
      </c>
      <c r="AY377">
        <v>12059</v>
      </c>
      <c r="AZ377">
        <v>4202</v>
      </c>
      <c r="BA377">
        <v>7438</v>
      </c>
      <c r="BB377">
        <v>1432</v>
      </c>
      <c r="BC377">
        <v>13072</v>
      </c>
      <c r="BD377">
        <v>9486</v>
      </c>
      <c r="BE377">
        <v>9222</v>
      </c>
      <c r="BF377">
        <v>1768</v>
      </c>
      <c r="BG377">
        <v>20476</v>
      </c>
      <c r="BH377">
        <v>0</v>
      </c>
      <c r="BI377">
        <v>0</v>
      </c>
      <c r="BJ377">
        <v>0</v>
      </c>
      <c r="BK377">
        <v>0</v>
      </c>
      <c r="BL377" s="2">
        <v>24.82</v>
      </c>
      <c r="BM377" s="2">
        <v>42005.095138888886</v>
      </c>
      <c r="BN377" s="2">
        <v>5.4</v>
      </c>
      <c r="BO377" s="2">
        <v>42005.092361111114</v>
      </c>
      <c r="BP377" s="2">
        <v>6.92</v>
      </c>
      <c r="BQ377" s="2">
        <v>42005.092361111114</v>
      </c>
      <c r="BR377" s="2">
        <v>11.07</v>
      </c>
      <c r="BS377" s="2">
        <v>42005.092361111114</v>
      </c>
      <c r="BT377">
        <v>0</v>
      </c>
      <c r="BU377">
        <v>0</v>
      </c>
      <c r="BV377" t="s">
        <v>135</v>
      </c>
      <c r="BW377">
        <v>0</v>
      </c>
      <c r="BX377">
        <v>0</v>
      </c>
      <c r="BY377" t="s">
        <v>135</v>
      </c>
      <c r="BZ377">
        <v>0</v>
      </c>
      <c r="CA377">
        <v>0</v>
      </c>
      <c r="CB377" t="s">
        <v>135</v>
      </c>
      <c r="CH377" s="2"/>
      <c r="CJ377" s="2"/>
      <c r="CL377" s="2"/>
      <c r="CN377" s="2"/>
      <c r="CQ377" s="2"/>
      <c r="CT377" s="2"/>
      <c r="CW377" s="2"/>
    </row>
    <row r="378" spans="1:101" x14ac:dyDescent="0.25">
      <c r="A378" s="1" t="s">
        <v>163</v>
      </c>
      <c r="B378" s="75" t="s">
        <v>164</v>
      </c>
      <c r="C378">
        <v>0</v>
      </c>
      <c r="D378">
        <v>0</v>
      </c>
      <c r="E378">
        <v>0</v>
      </c>
      <c r="F378">
        <v>604324.56000000006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3.91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7490</v>
      </c>
      <c r="AW378">
        <v>3350</v>
      </c>
      <c r="AX378">
        <v>1219</v>
      </c>
      <c r="AY378">
        <v>12059</v>
      </c>
      <c r="AZ378">
        <v>4202</v>
      </c>
      <c r="BA378">
        <v>7438</v>
      </c>
      <c r="BB378">
        <v>1432</v>
      </c>
      <c r="BC378">
        <v>13072</v>
      </c>
      <c r="BD378">
        <v>9486</v>
      </c>
      <c r="BE378">
        <v>9222</v>
      </c>
      <c r="BF378">
        <v>1768</v>
      </c>
      <c r="BG378">
        <v>20476</v>
      </c>
      <c r="BH378">
        <v>0</v>
      </c>
      <c r="BI378">
        <v>0</v>
      </c>
      <c r="BJ378">
        <v>0</v>
      </c>
      <c r="BK378">
        <v>0</v>
      </c>
      <c r="BL378" s="2">
        <v>24.82</v>
      </c>
      <c r="BM378" s="2">
        <v>42005.095138888886</v>
      </c>
      <c r="BN378" s="2">
        <v>5.4</v>
      </c>
      <c r="BO378" s="2">
        <v>42005.092361111114</v>
      </c>
      <c r="BP378" s="2">
        <v>6.92</v>
      </c>
      <c r="BQ378" s="2">
        <v>42005.092361111114</v>
      </c>
      <c r="BR378" s="2">
        <v>11.07</v>
      </c>
      <c r="BS378" s="2">
        <v>42005.092361111114</v>
      </c>
      <c r="BT378">
        <v>0</v>
      </c>
      <c r="BU378">
        <v>0</v>
      </c>
      <c r="BV378" t="s">
        <v>135</v>
      </c>
      <c r="BW378">
        <v>0</v>
      </c>
      <c r="BX378">
        <v>0</v>
      </c>
      <c r="BY378" t="s">
        <v>135</v>
      </c>
      <c r="BZ378">
        <v>0</v>
      </c>
      <c r="CA378">
        <v>0</v>
      </c>
      <c r="CB378" t="s">
        <v>135</v>
      </c>
      <c r="CH378" s="2"/>
      <c r="CJ378" s="2"/>
      <c r="CL378" s="2"/>
      <c r="CN378" s="2"/>
      <c r="CQ378" s="2"/>
      <c r="CT378" s="2"/>
      <c r="CW378" s="2"/>
    </row>
    <row r="379" spans="1:101" x14ac:dyDescent="0.25">
      <c r="A379" s="1" t="s">
        <v>163</v>
      </c>
      <c r="B379" s="75" t="s">
        <v>164</v>
      </c>
      <c r="C379">
        <v>0</v>
      </c>
      <c r="D379">
        <v>0</v>
      </c>
      <c r="E379">
        <v>0</v>
      </c>
      <c r="F379">
        <v>604324.56000000006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3.91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7490</v>
      </c>
      <c r="AW379">
        <v>3350</v>
      </c>
      <c r="AX379">
        <v>1219</v>
      </c>
      <c r="AY379">
        <v>12059</v>
      </c>
      <c r="AZ379">
        <v>4202</v>
      </c>
      <c r="BA379">
        <v>7438</v>
      </c>
      <c r="BB379">
        <v>1432</v>
      </c>
      <c r="BC379">
        <v>13072</v>
      </c>
      <c r="BD379">
        <v>9486</v>
      </c>
      <c r="BE379">
        <v>9222</v>
      </c>
      <c r="BF379">
        <v>1768</v>
      </c>
      <c r="BG379">
        <v>20476</v>
      </c>
      <c r="BH379">
        <v>0</v>
      </c>
      <c r="BI379">
        <v>0</v>
      </c>
      <c r="BJ379">
        <v>0</v>
      </c>
      <c r="BK379">
        <v>0</v>
      </c>
      <c r="BL379" s="2">
        <v>24.82</v>
      </c>
      <c r="BM379" s="2">
        <v>42005.095138888886</v>
      </c>
      <c r="BN379" s="2">
        <v>5.4</v>
      </c>
      <c r="BO379" s="2">
        <v>42005.092361111114</v>
      </c>
      <c r="BP379" s="2">
        <v>6.92</v>
      </c>
      <c r="BQ379" s="2">
        <v>42005.092361111114</v>
      </c>
      <c r="BR379" s="2">
        <v>11.07</v>
      </c>
      <c r="BS379" s="2">
        <v>42005.092361111114</v>
      </c>
      <c r="BT379">
        <v>0</v>
      </c>
      <c r="BU379">
        <v>0</v>
      </c>
      <c r="BV379" t="s">
        <v>135</v>
      </c>
      <c r="BW379">
        <v>0</v>
      </c>
      <c r="BX379">
        <v>0</v>
      </c>
      <c r="BY379" t="s">
        <v>135</v>
      </c>
      <c r="BZ379">
        <v>0</v>
      </c>
      <c r="CA379">
        <v>0</v>
      </c>
      <c r="CB379" t="s">
        <v>135</v>
      </c>
      <c r="CH379" s="2"/>
      <c r="CJ379" s="2"/>
      <c r="CL379" s="2"/>
      <c r="CN379" s="2"/>
      <c r="CQ379" s="2"/>
      <c r="CT379" s="2"/>
      <c r="CW379" s="2"/>
    </row>
    <row r="380" spans="1:101" x14ac:dyDescent="0.25">
      <c r="A380" s="1" t="s">
        <v>163</v>
      </c>
      <c r="B380" s="75" t="s">
        <v>164</v>
      </c>
      <c r="C380">
        <v>0</v>
      </c>
      <c r="D380">
        <v>0</v>
      </c>
      <c r="E380">
        <v>0</v>
      </c>
      <c r="F380">
        <v>604324.56000000006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3.91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7490</v>
      </c>
      <c r="AW380">
        <v>3350</v>
      </c>
      <c r="AX380">
        <v>1219</v>
      </c>
      <c r="AY380">
        <v>12059</v>
      </c>
      <c r="AZ380">
        <v>4202</v>
      </c>
      <c r="BA380">
        <v>7438</v>
      </c>
      <c r="BB380">
        <v>1432</v>
      </c>
      <c r="BC380">
        <v>13072</v>
      </c>
      <c r="BD380">
        <v>9486</v>
      </c>
      <c r="BE380">
        <v>9222</v>
      </c>
      <c r="BF380">
        <v>1768</v>
      </c>
      <c r="BG380">
        <v>20476</v>
      </c>
      <c r="BH380">
        <v>0</v>
      </c>
      <c r="BI380">
        <v>0</v>
      </c>
      <c r="BJ380">
        <v>0</v>
      </c>
      <c r="BK380">
        <v>0</v>
      </c>
      <c r="BL380" s="2">
        <v>24.82</v>
      </c>
      <c r="BM380" s="2">
        <v>42005.095138888886</v>
      </c>
      <c r="BN380" s="2">
        <v>5.4</v>
      </c>
      <c r="BO380" s="2">
        <v>42005.092361111114</v>
      </c>
      <c r="BP380" s="2">
        <v>6.92</v>
      </c>
      <c r="BQ380" s="2">
        <v>42005.092361111114</v>
      </c>
      <c r="BR380" s="2">
        <v>11.07</v>
      </c>
      <c r="BS380" s="2">
        <v>42005.092361111114</v>
      </c>
      <c r="BT380">
        <v>0</v>
      </c>
      <c r="BU380">
        <v>0</v>
      </c>
      <c r="BV380" t="s">
        <v>135</v>
      </c>
      <c r="BW380">
        <v>0</v>
      </c>
      <c r="BX380">
        <v>0</v>
      </c>
      <c r="BY380" t="s">
        <v>135</v>
      </c>
      <c r="BZ380">
        <v>0</v>
      </c>
      <c r="CA380">
        <v>0</v>
      </c>
      <c r="CB380" t="s">
        <v>135</v>
      </c>
      <c r="CH380" s="2"/>
      <c r="CJ380" s="2"/>
      <c r="CL380" s="2"/>
      <c r="CN380" s="2"/>
      <c r="CQ380" s="2"/>
      <c r="CT380" s="2"/>
      <c r="CW380" s="2"/>
    </row>
    <row r="381" spans="1:101" x14ac:dyDescent="0.25">
      <c r="A381" s="1" t="s">
        <v>163</v>
      </c>
      <c r="B381" s="75" t="s">
        <v>164</v>
      </c>
      <c r="C381">
        <v>0</v>
      </c>
      <c r="D381">
        <v>0</v>
      </c>
      <c r="E381">
        <v>0</v>
      </c>
      <c r="F381">
        <v>604324.56000000006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3.91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7490</v>
      </c>
      <c r="AW381">
        <v>3350</v>
      </c>
      <c r="AX381">
        <v>1219</v>
      </c>
      <c r="AY381">
        <v>12059</v>
      </c>
      <c r="AZ381">
        <v>4202</v>
      </c>
      <c r="BA381">
        <v>7438</v>
      </c>
      <c r="BB381">
        <v>1432</v>
      </c>
      <c r="BC381">
        <v>13072</v>
      </c>
      <c r="BD381">
        <v>9486</v>
      </c>
      <c r="BE381">
        <v>9222</v>
      </c>
      <c r="BF381">
        <v>1768</v>
      </c>
      <c r="BG381">
        <v>20476</v>
      </c>
      <c r="BH381">
        <v>0</v>
      </c>
      <c r="BI381">
        <v>0</v>
      </c>
      <c r="BJ381">
        <v>0</v>
      </c>
      <c r="BK381">
        <v>0</v>
      </c>
      <c r="BL381" s="2">
        <v>24.82</v>
      </c>
      <c r="BM381" s="2">
        <v>42005.095138888886</v>
      </c>
      <c r="BN381" s="2">
        <v>5.4</v>
      </c>
      <c r="BO381" s="2">
        <v>42005.092361111114</v>
      </c>
      <c r="BP381" s="2">
        <v>6.92</v>
      </c>
      <c r="BQ381" s="2">
        <v>42005.092361111114</v>
      </c>
      <c r="BR381" s="2">
        <v>11.07</v>
      </c>
      <c r="BS381" s="2">
        <v>42005.092361111114</v>
      </c>
      <c r="BT381">
        <v>0</v>
      </c>
      <c r="BU381">
        <v>0</v>
      </c>
      <c r="BV381" t="s">
        <v>135</v>
      </c>
      <c r="BW381">
        <v>0</v>
      </c>
      <c r="BX381">
        <v>0</v>
      </c>
      <c r="BY381" t="s">
        <v>135</v>
      </c>
      <c r="BZ381">
        <v>0</v>
      </c>
      <c r="CA381">
        <v>0</v>
      </c>
      <c r="CB381" t="s">
        <v>135</v>
      </c>
      <c r="CH381" s="2"/>
      <c r="CJ381" s="2"/>
      <c r="CL381" s="2"/>
      <c r="CN381" s="2"/>
      <c r="CQ381" s="2"/>
      <c r="CT381" s="2"/>
      <c r="CW381" s="2"/>
    </row>
    <row r="382" spans="1:101" x14ac:dyDescent="0.25">
      <c r="A382" s="1" t="s">
        <v>163</v>
      </c>
      <c r="B382" s="75" t="s">
        <v>164</v>
      </c>
      <c r="C382">
        <v>0</v>
      </c>
      <c r="D382">
        <v>0</v>
      </c>
      <c r="E382">
        <v>0</v>
      </c>
      <c r="F382">
        <v>604324.56000000006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3.91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7490</v>
      </c>
      <c r="AW382">
        <v>3350</v>
      </c>
      <c r="AX382">
        <v>1219</v>
      </c>
      <c r="AY382">
        <v>12059</v>
      </c>
      <c r="AZ382">
        <v>4202</v>
      </c>
      <c r="BA382">
        <v>7438</v>
      </c>
      <c r="BB382">
        <v>1432</v>
      </c>
      <c r="BC382">
        <v>13072</v>
      </c>
      <c r="BD382">
        <v>9486</v>
      </c>
      <c r="BE382">
        <v>9222</v>
      </c>
      <c r="BF382">
        <v>1768</v>
      </c>
      <c r="BG382">
        <v>20476</v>
      </c>
      <c r="BH382">
        <v>0</v>
      </c>
      <c r="BI382">
        <v>0</v>
      </c>
      <c r="BJ382">
        <v>0</v>
      </c>
      <c r="BK382">
        <v>0</v>
      </c>
      <c r="BL382" s="2">
        <v>24.82</v>
      </c>
      <c r="BM382" s="2">
        <v>42005.095138888886</v>
      </c>
      <c r="BN382" s="2">
        <v>5.4</v>
      </c>
      <c r="BO382" s="2">
        <v>42005.092361111114</v>
      </c>
      <c r="BP382" s="2">
        <v>6.92</v>
      </c>
      <c r="BQ382" s="2">
        <v>42005.092361111114</v>
      </c>
      <c r="BR382" s="2">
        <v>11.07</v>
      </c>
      <c r="BS382" s="2">
        <v>42005.092361111114</v>
      </c>
      <c r="BT382">
        <v>0</v>
      </c>
      <c r="BU382">
        <v>0</v>
      </c>
      <c r="BV382" t="s">
        <v>135</v>
      </c>
      <c r="BW382">
        <v>0</v>
      </c>
      <c r="BX382">
        <v>0</v>
      </c>
      <c r="BY382" t="s">
        <v>135</v>
      </c>
      <c r="BZ382">
        <v>0</v>
      </c>
      <c r="CA382">
        <v>0</v>
      </c>
      <c r="CB382" t="s">
        <v>135</v>
      </c>
      <c r="CH382" s="2"/>
      <c r="CJ382" s="2"/>
      <c r="CL382" s="2"/>
      <c r="CN382" s="2"/>
      <c r="CQ382" s="2"/>
      <c r="CT382" s="2"/>
      <c r="CW382" s="2"/>
    </row>
    <row r="383" spans="1:101" x14ac:dyDescent="0.25">
      <c r="A383" s="1" t="s">
        <v>163</v>
      </c>
      <c r="B383" s="75" t="s">
        <v>164</v>
      </c>
      <c r="C383">
        <v>0</v>
      </c>
      <c r="D383">
        <v>0</v>
      </c>
      <c r="E383">
        <v>0</v>
      </c>
      <c r="F383">
        <v>604324.56000000006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3.91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7490</v>
      </c>
      <c r="AW383">
        <v>3350</v>
      </c>
      <c r="AX383">
        <v>1219</v>
      </c>
      <c r="AY383">
        <v>12059</v>
      </c>
      <c r="AZ383">
        <v>4202</v>
      </c>
      <c r="BA383">
        <v>7438</v>
      </c>
      <c r="BB383">
        <v>1432</v>
      </c>
      <c r="BC383">
        <v>13072</v>
      </c>
      <c r="BD383">
        <v>9486</v>
      </c>
      <c r="BE383">
        <v>9222</v>
      </c>
      <c r="BF383">
        <v>1768</v>
      </c>
      <c r="BG383">
        <v>20476</v>
      </c>
      <c r="BH383">
        <v>0</v>
      </c>
      <c r="BI383">
        <v>0</v>
      </c>
      <c r="BJ383">
        <v>0</v>
      </c>
      <c r="BK383">
        <v>0</v>
      </c>
      <c r="BL383" s="2">
        <v>24.82</v>
      </c>
      <c r="BM383" s="2">
        <v>42005.095138888886</v>
      </c>
      <c r="BN383" s="2">
        <v>5.4</v>
      </c>
      <c r="BO383" s="2">
        <v>42005.092361111114</v>
      </c>
      <c r="BP383" s="2">
        <v>6.92</v>
      </c>
      <c r="BQ383" s="2">
        <v>42005.092361111114</v>
      </c>
      <c r="BR383" s="2">
        <v>11.07</v>
      </c>
      <c r="BS383" s="2">
        <v>42005.092361111114</v>
      </c>
      <c r="BT383">
        <v>0</v>
      </c>
      <c r="BU383">
        <v>0</v>
      </c>
      <c r="BV383" t="s">
        <v>135</v>
      </c>
      <c r="BW383">
        <v>0</v>
      </c>
      <c r="BX383">
        <v>0</v>
      </c>
      <c r="BY383" t="s">
        <v>135</v>
      </c>
      <c r="BZ383">
        <v>0</v>
      </c>
      <c r="CA383">
        <v>0</v>
      </c>
      <c r="CB383" t="s">
        <v>135</v>
      </c>
      <c r="CH383" s="2"/>
      <c r="CJ383" s="2"/>
      <c r="CL383" s="2"/>
      <c r="CN383" s="2"/>
      <c r="CQ383" s="2"/>
      <c r="CT383" s="2"/>
      <c r="CW383" s="2"/>
    </row>
    <row r="384" spans="1:101" x14ac:dyDescent="0.25">
      <c r="A384" s="1" t="s">
        <v>163</v>
      </c>
      <c r="B384" s="75" t="s">
        <v>164</v>
      </c>
      <c r="C384">
        <v>0</v>
      </c>
      <c r="D384">
        <v>0</v>
      </c>
      <c r="E384">
        <v>0</v>
      </c>
      <c r="F384">
        <v>604324.56000000006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3.91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7490</v>
      </c>
      <c r="AW384">
        <v>3350</v>
      </c>
      <c r="AX384">
        <v>1219</v>
      </c>
      <c r="AY384">
        <v>12059</v>
      </c>
      <c r="AZ384">
        <v>4202</v>
      </c>
      <c r="BA384">
        <v>7438</v>
      </c>
      <c r="BB384">
        <v>1432</v>
      </c>
      <c r="BC384">
        <v>13072</v>
      </c>
      <c r="BD384">
        <v>9486</v>
      </c>
      <c r="BE384">
        <v>9222</v>
      </c>
      <c r="BF384">
        <v>1768</v>
      </c>
      <c r="BG384">
        <v>20476</v>
      </c>
      <c r="BH384">
        <v>0</v>
      </c>
      <c r="BI384">
        <v>0</v>
      </c>
      <c r="BJ384">
        <v>0</v>
      </c>
      <c r="BK384">
        <v>0</v>
      </c>
      <c r="BL384" s="2">
        <v>24.82</v>
      </c>
      <c r="BM384" s="2">
        <v>42005.095138888886</v>
      </c>
      <c r="BN384" s="2">
        <v>5.4</v>
      </c>
      <c r="BO384" s="2">
        <v>42005.092361111114</v>
      </c>
      <c r="BP384" s="2">
        <v>6.92</v>
      </c>
      <c r="BQ384" s="2">
        <v>42005.092361111114</v>
      </c>
      <c r="BR384" s="2">
        <v>11.07</v>
      </c>
      <c r="BS384" s="2">
        <v>42005.092361111114</v>
      </c>
      <c r="BT384">
        <v>0</v>
      </c>
      <c r="BU384">
        <v>0</v>
      </c>
      <c r="BV384" t="s">
        <v>135</v>
      </c>
      <c r="BW384">
        <v>0</v>
      </c>
      <c r="BX384">
        <v>0</v>
      </c>
      <c r="BY384" t="s">
        <v>135</v>
      </c>
      <c r="BZ384">
        <v>0</v>
      </c>
      <c r="CA384">
        <v>0</v>
      </c>
      <c r="CB384" t="s">
        <v>135</v>
      </c>
      <c r="CH384" s="2"/>
      <c r="CJ384" s="2"/>
      <c r="CL384" s="2"/>
      <c r="CN384" s="2"/>
      <c r="CQ384" s="2"/>
      <c r="CT384" s="2"/>
      <c r="CW384" s="2"/>
    </row>
    <row r="385" spans="1:101" x14ac:dyDescent="0.25">
      <c r="A385" s="1" t="s">
        <v>163</v>
      </c>
      <c r="B385" s="75" t="s">
        <v>164</v>
      </c>
      <c r="C385">
        <v>0</v>
      </c>
      <c r="D385">
        <v>0</v>
      </c>
      <c r="E385">
        <v>0</v>
      </c>
      <c r="F385">
        <v>604324.56000000006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3.91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7490</v>
      </c>
      <c r="AW385">
        <v>3350</v>
      </c>
      <c r="AX385">
        <v>1219</v>
      </c>
      <c r="AY385">
        <v>12059</v>
      </c>
      <c r="AZ385">
        <v>4202</v>
      </c>
      <c r="BA385">
        <v>7438</v>
      </c>
      <c r="BB385">
        <v>1432</v>
      </c>
      <c r="BC385">
        <v>13072</v>
      </c>
      <c r="BD385">
        <v>9486</v>
      </c>
      <c r="BE385">
        <v>9222</v>
      </c>
      <c r="BF385">
        <v>1768</v>
      </c>
      <c r="BG385">
        <v>20476</v>
      </c>
      <c r="BH385">
        <v>0</v>
      </c>
      <c r="BI385">
        <v>0</v>
      </c>
      <c r="BJ385">
        <v>0</v>
      </c>
      <c r="BK385">
        <v>0</v>
      </c>
      <c r="BL385" s="2">
        <v>24.82</v>
      </c>
      <c r="BM385" s="2">
        <v>42005.095138888886</v>
      </c>
      <c r="BN385" s="2">
        <v>5.4</v>
      </c>
      <c r="BO385" s="2">
        <v>42005.092361111114</v>
      </c>
      <c r="BP385" s="2">
        <v>6.92</v>
      </c>
      <c r="BQ385" s="2">
        <v>42005.092361111114</v>
      </c>
      <c r="BR385" s="2">
        <v>11.07</v>
      </c>
      <c r="BS385" s="2">
        <v>42005.092361111114</v>
      </c>
      <c r="BT385">
        <v>0</v>
      </c>
      <c r="BU385">
        <v>0</v>
      </c>
      <c r="BV385" t="s">
        <v>135</v>
      </c>
      <c r="BW385">
        <v>0</v>
      </c>
      <c r="BX385">
        <v>0</v>
      </c>
      <c r="BY385" t="s">
        <v>135</v>
      </c>
      <c r="BZ385">
        <v>0</v>
      </c>
      <c r="CA385">
        <v>0</v>
      </c>
      <c r="CB385" t="s">
        <v>135</v>
      </c>
      <c r="CH385" s="2"/>
      <c r="CJ385" s="2"/>
      <c r="CL385" s="2"/>
      <c r="CN385" s="2"/>
      <c r="CQ385" s="2"/>
      <c r="CT385" s="2"/>
      <c r="CW385" s="2"/>
    </row>
    <row r="386" spans="1:101" x14ac:dyDescent="0.25">
      <c r="A386" s="1" t="s">
        <v>163</v>
      </c>
      <c r="B386" s="75" t="s">
        <v>164</v>
      </c>
      <c r="C386">
        <v>0</v>
      </c>
      <c r="D386">
        <v>0</v>
      </c>
      <c r="E386">
        <v>0</v>
      </c>
      <c r="F386">
        <v>604324.56000000006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3.91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7490</v>
      </c>
      <c r="AW386">
        <v>3350</v>
      </c>
      <c r="AX386">
        <v>1219</v>
      </c>
      <c r="AY386">
        <v>12059</v>
      </c>
      <c r="AZ386">
        <v>4202</v>
      </c>
      <c r="BA386">
        <v>7438</v>
      </c>
      <c r="BB386">
        <v>1432</v>
      </c>
      <c r="BC386">
        <v>13072</v>
      </c>
      <c r="BD386">
        <v>9486</v>
      </c>
      <c r="BE386">
        <v>9222</v>
      </c>
      <c r="BF386">
        <v>1768</v>
      </c>
      <c r="BG386">
        <v>20476</v>
      </c>
      <c r="BH386">
        <v>0</v>
      </c>
      <c r="BI386">
        <v>0</v>
      </c>
      <c r="BJ386">
        <v>0</v>
      </c>
      <c r="BK386">
        <v>0</v>
      </c>
      <c r="BL386" s="2">
        <v>24.82</v>
      </c>
      <c r="BM386" s="2">
        <v>42005.095138888886</v>
      </c>
      <c r="BN386" s="2">
        <v>5.4</v>
      </c>
      <c r="BO386" s="2">
        <v>42005.092361111114</v>
      </c>
      <c r="BP386" s="2">
        <v>6.92</v>
      </c>
      <c r="BQ386" s="2">
        <v>42005.092361111114</v>
      </c>
      <c r="BR386" s="2">
        <v>11.07</v>
      </c>
      <c r="BS386" s="2">
        <v>42005.092361111114</v>
      </c>
      <c r="BT386">
        <v>0</v>
      </c>
      <c r="BU386">
        <v>0</v>
      </c>
      <c r="BV386" t="s">
        <v>135</v>
      </c>
      <c r="BW386">
        <v>0</v>
      </c>
      <c r="BX386">
        <v>0</v>
      </c>
      <c r="BY386" t="s">
        <v>135</v>
      </c>
      <c r="BZ386">
        <v>0</v>
      </c>
      <c r="CA386">
        <v>0</v>
      </c>
      <c r="CB386" t="s">
        <v>135</v>
      </c>
      <c r="CH386" s="2"/>
      <c r="CJ386" s="2"/>
      <c r="CL386" s="2"/>
      <c r="CN386" s="2"/>
      <c r="CQ386" s="2"/>
      <c r="CT386" s="2"/>
      <c r="CW386" s="2"/>
    </row>
    <row r="387" spans="1:101" x14ac:dyDescent="0.25">
      <c r="A387" s="1" t="s">
        <v>163</v>
      </c>
      <c r="B387" s="75" t="s">
        <v>164</v>
      </c>
      <c r="C387">
        <v>0</v>
      </c>
      <c r="D387">
        <v>0</v>
      </c>
      <c r="E387">
        <v>0</v>
      </c>
      <c r="F387">
        <v>604324.56000000006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3.91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7490</v>
      </c>
      <c r="AW387">
        <v>3350</v>
      </c>
      <c r="AX387">
        <v>1219</v>
      </c>
      <c r="AY387">
        <v>12059</v>
      </c>
      <c r="AZ387">
        <v>4202</v>
      </c>
      <c r="BA387">
        <v>7438</v>
      </c>
      <c r="BB387">
        <v>1432</v>
      </c>
      <c r="BC387">
        <v>13072</v>
      </c>
      <c r="BD387">
        <v>9486</v>
      </c>
      <c r="BE387">
        <v>9222</v>
      </c>
      <c r="BF387">
        <v>1768</v>
      </c>
      <c r="BG387">
        <v>20476</v>
      </c>
      <c r="BH387">
        <v>0</v>
      </c>
      <c r="BI387">
        <v>0</v>
      </c>
      <c r="BJ387">
        <v>0</v>
      </c>
      <c r="BK387">
        <v>0</v>
      </c>
      <c r="BL387" s="2">
        <v>24.82</v>
      </c>
      <c r="BM387" s="2">
        <v>42005.095138888886</v>
      </c>
      <c r="BN387" s="2">
        <v>5.4</v>
      </c>
      <c r="BO387" s="2">
        <v>42005.092361111114</v>
      </c>
      <c r="BP387" s="2">
        <v>6.92</v>
      </c>
      <c r="BQ387" s="2">
        <v>42005.092361111114</v>
      </c>
      <c r="BR387" s="2">
        <v>11.07</v>
      </c>
      <c r="BS387" s="2">
        <v>42005.092361111114</v>
      </c>
      <c r="BT387">
        <v>0</v>
      </c>
      <c r="BU387">
        <v>0</v>
      </c>
      <c r="BV387" t="s">
        <v>135</v>
      </c>
      <c r="BW387">
        <v>0</v>
      </c>
      <c r="BX387">
        <v>0</v>
      </c>
      <c r="BY387" t="s">
        <v>135</v>
      </c>
      <c r="BZ387">
        <v>0</v>
      </c>
      <c r="CA387">
        <v>0</v>
      </c>
      <c r="CB387" t="s">
        <v>135</v>
      </c>
      <c r="CH387" s="2"/>
      <c r="CJ387" s="2"/>
      <c r="CL387" s="2"/>
      <c r="CN387" s="2"/>
      <c r="CQ387" s="2"/>
      <c r="CT387" s="2"/>
      <c r="CW387" s="2"/>
    </row>
    <row r="388" spans="1:101" x14ac:dyDescent="0.25">
      <c r="A388" s="1" t="s">
        <v>163</v>
      </c>
      <c r="B388" s="75" t="s">
        <v>164</v>
      </c>
      <c r="C388">
        <v>0</v>
      </c>
      <c r="D388">
        <v>0</v>
      </c>
      <c r="E388">
        <v>0</v>
      </c>
      <c r="F388">
        <v>604324.56000000006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3.91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7490</v>
      </c>
      <c r="AW388">
        <v>3350</v>
      </c>
      <c r="AX388">
        <v>1219</v>
      </c>
      <c r="AY388">
        <v>12059</v>
      </c>
      <c r="AZ388">
        <v>4202</v>
      </c>
      <c r="BA388">
        <v>7438</v>
      </c>
      <c r="BB388">
        <v>1432</v>
      </c>
      <c r="BC388">
        <v>13072</v>
      </c>
      <c r="BD388">
        <v>9486</v>
      </c>
      <c r="BE388">
        <v>9222</v>
      </c>
      <c r="BF388">
        <v>1768</v>
      </c>
      <c r="BG388">
        <v>20476</v>
      </c>
      <c r="BH388">
        <v>0</v>
      </c>
      <c r="BI388">
        <v>0</v>
      </c>
      <c r="BJ388">
        <v>0</v>
      </c>
      <c r="BK388">
        <v>0</v>
      </c>
      <c r="BL388" s="2">
        <v>24.82</v>
      </c>
      <c r="BM388" s="2">
        <v>42005.095138888886</v>
      </c>
      <c r="BN388" s="2">
        <v>5.4</v>
      </c>
      <c r="BO388" s="2">
        <v>42005.092361111114</v>
      </c>
      <c r="BP388" s="2">
        <v>6.92</v>
      </c>
      <c r="BQ388" s="2">
        <v>42005.092361111114</v>
      </c>
      <c r="BR388" s="2">
        <v>11.07</v>
      </c>
      <c r="BS388" s="2">
        <v>42005.092361111114</v>
      </c>
      <c r="BT388">
        <v>0</v>
      </c>
      <c r="BU388">
        <v>0</v>
      </c>
      <c r="BV388" t="s">
        <v>135</v>
      </c>
      <c r="BW388">
        <v>0</v>
      </c>
      <c r="BX388">
        <v>0</v>
      </c>
      <c r="BY388" t="s">
        <v>135</v>
      </c>
      <c r="BZ388">
        <v>0</v>
      </c>
      <c r="CA388">
        <v>0</v>
      </c>
      <c r="CB388" t="s">
        <v>135</v>
      </c>
      <c r="CH388" s="2"/>
      <c r="CJ388" s="2"/>
      <c r="CL388" s="2"/>
      <c r="CN388" s="2"/>
      <c r="CQ388" s="2"/>
      <c r="CT388" s="2"/>
      <c r="CW388" s="2"/>
    </row>
    <row r="389" spans="1:101" x14ac:dyDescent="0.25">
      <c r="A389" s="1" t="s">
        <v>163</v>
      </c>
      <c r="B389" s="75" t="s">
        <v>164</v>
      </c>
      <c r="C389">
        <v>0</v>
      </c>
      <c r="D389">
        <v>0</v>
      </c>
      <c r="E389">
        <v>0</v>
      </c>
      <c r="F389">
        <v>604324.56000000006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3.91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7490</v>
      </c>
      <c r="AW389">
        <v>3350</v>
      </c>
      <c r="AX389">
        <v>1219</v>
      </c>
      <c r="AY389">
        <v>12059</v>
      </c>
      <c r="AZ389">
        <v>4202</v>
      </c>
      <c r="BA389">
        <v>7438</v>
      </c>
      <c r="BB389">
        <v>1432</v>
      </c>
      <c r="BC389">
        <v>13072</v>
      </c>
      <c r="BD389">
        <v>9486</v>
      </c>
      <c r="BE389">
        <v>9222</v>
      </c>
      <c r="BF389">
        <v>1768</v>
      </c>
      <c r="BG389">
        <v>20476</v>
      </c>
      <c r="BH389">
        <v>0</v>
      </c>
      <c r="BI389">
        <v>0</v>
      </c>
      <c r="BJ389">
        <v>0</v>
      </c>
      <c r="BK389">
        <v>0</v>
      </c>
      <c r="BL389" s="2">
        <v>24.82</v>
      </c>
      <c r="BM389" s="2">
        <v>42005.095138888886</v>
      </c>
      <c r="BN389" s="2">
        <v>5.4</v>
      </c>
      <c r="BO389" s="2">
        <v>42005.092361111114</v>
      </c>
      <c r="BP389" s="2">
        <v>6.92</v>
      </c>
      <c r="BQ389" s="2">
        <v>42005.092361111114</v>
      </c>
      <c r="BR389" s="2">
        <v>11.07</v>
      </c>
      <c r="BS389" s="2">
        <v>42005.092361111114</v>
      </c>
      <c r="BT389">
        <v>0</v>
      </c>
      <c r="BU389">
        <v>0</v>
      </c>
      <c r="BV389" t="s">
        <v>135</v>
      </c>
      <c r="BW389">
        <v>0</v>
      </c>
      <c r="BX389">
        <v>0</v>
      </c>
      <c r="BY389" t="s">
        <v>135</v>
      </c>
      <c r="BZ389">
        <v>0</v>
      </c>
      <c r="CA389">
        <v>0</v>
      </c>
      <c r="CB389" t="s">
        <v>135</v>
      </c>
      <c r="CH389" s="2"/>
      <c r="CJ389" s="2"/>
      <c r="CL389" s="2"/>
      <c r="CN389" s="2"/>
      <c r="CQ389" s="2"/>
      <c r="CT389" s="2"/>
      <c r="CW389" s="2"/>
    </row>
    <row r="390" spans="1:101" x14ac:dyDescent="0.25">
      <c r="A390" s="1" t="s">
        <v>163</v>
      </c>
      <c r="B390" s="75" t="s">
        <v>164</v>
      </c>
      <c r="C390">
        <v>0</v>
      </c>
      <c r="D390">
        <v>0</v>
      </c>
      <c r="E390">
        <v>0</v>
      </c>
      <c r="F390">
        <v>604324.56000000006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3.91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7490</v>
      </c>
      <c r="AW390">
        <v>3350</v>
      </c>
      <c r="AX390">
        <v>1219</v>
      </c>
      <c r="AY390">
        <v>12059</v>
      </c>
      <c r="AZ390">
        <v>4202</v>
      </c>
      <c r="BA390">
        <v>7438</v>
      </c>
      <c r="BB390">
        <v>1432</v>
      </c>
      <c r="BC390">
        <v>13072</v>
      </c>
      <c r="BD390">
        <v>9486</v>
      </c>
      <c r="BE390">
        <v>9222</v>
      </c>
      <c r="BF390">
        <v>1768</v>
      </c>
      <c r="BG390">
        <v>20476</v>
      </c>
      <c r="BH390">
        <v>0</v>
      </c>
      <c r="BI390">
        <v>0</v>
      </c>
      <c r="BJ390">
        <v>0</v>
      </c>
      <c r="BK390">
        <v>0</v>
      </c>
      <c r="BL390" s="2">
        <v>24.82</v>
      </c>
      <c r="BM390" s="2">
        <v>42005.095138888886</v>
      </c>
      <c r="BN390" s="2">
        <v>5.4</v>
      </c>
      <c r="BO390" s="2">
        <v>42005.092361111114</v>
      </c>
      <c r="BP390" s="2">
        <v>6.92</v>
      </c>
      <c r="BQ390" s="2">
        <v>42005.092361111114</v>
      </c>
      <c r="BR390" s="2">
        <v>11.07</v>
      </c>
      <c r="BS390" s="2">
        <v>42005.092361111114</v>
      </c>
      <c r="BT390">
        <v>0</v>
      </c>
      <c r="BU390">
        <v>0</v>
      </c>
      <c r="BV390" t="s">
        <v>135</v>
      </c>
      <c r="BW390">
        <v>0</v>
      </c>
      <c r="BX390">
        <v>0</v>
      </c>
      <c r="BY390" t="s">
        <v>135</v>
      </c>
      <c r="BZ390">
        <v>0</v>
      </c>
      <c r="CA390">
        <v>0</v>
      </c>
      <c r="CB390" t="s">
        <v>135</v>
      </c>
      <c r="CH390" s="2"/>
      <c r="CJ390" s="2"/>
      <c r="CL390" s="2"/>
      <c r="CN390" s="2"/>
      <c r="CQ390" s="2"/>
      <c r="CT390" s="2"/>
      <c r="CW390" s="2"/>
    </row>
    <row r="391" spans="1:101" x14ac:dyDescent="0.25">
      <c r="A391" s="1" t="s">
        <v>163</v>
      </c>
      <c r="B391" s="75" t="s">
        <v>164</v>
      </c>
      <c r="C391">
        <v>0</v>
      </c>
      <c r="D391">
        <v>0</v>
      </c>
      <c r="E391">
        <v>0</v>
      </c>
      <c r="F391">
        <v>604324.56000000006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3.91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7490</v>
      </c>
      <c r="AW391">
        <v>3350</v>
      </c>
      <c r="AX391">
        <v>1219</v>
      </c>
      <c r="AY391">
        <v>12059</v>
      </c>
      <c r="AZ391">
        <v>4202</v>
      </c>
      <c r="BA391">
        <v>7438</v>
      </c>
      <c r="BB391">
        <v>1432</v>
      </c>
      <c r="BC391">
        <v>13072</v>
      </c>
      <c r="BD391">
        <v>9486</v>
      </c>
      <c r="BE391">
        <v>9222</v>
      </c>
      <c r="BF391">
        <v>1768</v>
      </c>
      <c r="BG391">
        <v>20476</v>
      </c>
      <c r="BH391">
        <v>0</v>
      </c>
      <c r="BI391">
        <v>0</v>
      </c>
      <c r="BJ391">
        <v>0</v>
      </c>
      <c r="BK391">
        <v>0</v>
      </c>
      <c r="BL391" s="2">
        <v>24.82</v>
      </c>
      <c r="BM391" s="2">
        <v>42005.095138888886</v>
      </c>
      <c r="BN391" s="2">
        <v>5.4</v>
      </c>
      <c r="BO391" s="2">
        <v>42005.092361111114</v>
      </c>
      <c r="BP391" s="2">
        <v>6.92</v>
      </c>
      <c r="BQ391" s="2">
        <v>42005.092361111114</v>
      </c>
      <c r="BR391" s="2">
        <v>11.07</v>
      </c>
      <c r="BS391" s="2">
        <v>42005.092361111114</v>
      </c>
      <c r="BT391">
        <v>0</v>
      </c>
      <c r="BU391">
        <v>0</v>
      </c>
      <c r="BV391" t="s">
        <v>135</v>
      </c>
      <c r="BW391">
        <v>0</v>
      </c>
      <c r="BX391">
        <v>0</v>
      </c>
      <c r="BY391" t="s">
        <v>135</v>
      </c>
      <c r="BZ391">
        <v>0</v>
      </c>
      <c r="CA391">
        <v>0</v>
      </c>
      <c r="CB391" t="s">
        <v>135</v>
      </c>
      <c r="CH391" s="2"/>
      <c r="CJ391" s="2"/>
      <c r="CL391" s="2"/>
      <c r="CN391" s="2"/>
      <c r="CQ391" s="2"/>
      <c r="CT391" s="2"/>
      <c r="CW391" s="2"/>
    </row>
    <row r="392" spans="1:101" x14ac:dyDescent="0.25">
      <c r="A392" s="1" t="s">
        <v>163</v>
      </c>
      <c r="B392" s="75" t="s">
        <v>164</v>
      </c>
      <c r="C392">
        <v>0</v>
      </c>
      <c r="D392">
        <v>0</v>
      </c>
      <c r="E392">
        <v>0</v>
      </c>
      <c r="F392">
        <v>604324.56000000006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3.91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7490</v>
      </c>
      <c r="AW392">
        <v>3350</v>
      </c>
      <c r="AX392">
        <v>1219</v>
      </c>
      <c r="AY392">
        <v>12059</v>
      </c>
      <c r="AZ392">
        <v>4202</v>
      </c>
      <c r="BA392">
        <v>7438</v>
      </c>
      <c r="BB392">
        <v>1432</v>
      </c>
      <c r="BC392">
        <v>13072</v>
      </c>
      <c r="BD392">
        <v>9486</v>
      </c>
      <c r="BE392">
        <v>9222</v>
      </c>
      <c r="BF392">
        <v>1768</v>
      </c>
      <c r="BG392">
        <v>20476</v>
      </c>
      <c r="BH392">
        <v>0</v>
      </c>
      <c r="BI392">
        <v>0</v>
      </c>
      <c r="BJ392">
        <v>0</v>
      </c>
      <c r="BK392">
        <v>0</v>
      </c>
      <c r="BL392" s="2">
        <v>24.82</v>
      </c>
      <c r="BM392" s="2">
        <v>42005.095138888886</v>
      </c>
      <c r="BN392" s="2">
        <v>5.4</v>
      </c>
      <c r="BO392" s="2">
        <v>42005.092361111114</v>
      </c>
      <c r="BP392" s="2">
        <v>6.92</v>
      </c>
      <c r="BQ392" s="2">
        <v>42005.092361111114</v>
      </c>
      <c r="BR392" s="2">
        <v>11.07</v>
      </c>
      <c r="BS392" s="2">
        <v>42005.092361111114</v>
      </c>
      <c r="BT392">
        <v>0</v>
      </c>
      <c r="BU392">
        <v>0</v>
      </c>
      <c r="BV392" t="s">
        <v>135</v>
      </c>
      <c r="BW392">
        <v>0</v>
      </c>
      <c r="BX392">
        <v>0</v>
      </c>
      <c r="BY392" t="s">
        <v>135</v>
      </c>
      <c r="BZ392">
        <v>0</v>
      </c>
      <c r="CA392">
        <v>0</v>
      </c>
      <c r="CB392" t="s">
        <v>135</v>
      </c>
      <c r="CH392" s="2"/>
      <c r="CJ392" s="2"/>
      <c r="CL392" s="2"/>
      <c r="CN392" s="2"/>
      <c r="CQ392" s="2"/>
      <c r="CT392" s="2"/>
      <c r="CW392" s="2"/>
    </row>
    <row r="393" spans="1:101" x14ac:dyDescent="0.25">
      <c r="A393" s="1" t="s">
        <v>163</v>
      </c>
      <c r="B393" s="75" t="s">
        <v>164</v>
      </c>
      <c r="C393">
        <v>0</v>
      </c>
      <c r="D393">
        <v>0</v>
      </c>
      <c r="E393">
        <v>0</v>
      </c>
      <c r="F393">
        <v>604324.56000000006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3.91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7490</v>
      </c>
      <c r="AW393">
        <v>3350</v>
      </c>
      <c r="AX393">
        <v>1219</v>
      </c>
      <c r="AY393">
        <v>12059</v>
      </c>
      <c r="AZ393">
        <v>4202</v>
      </c>
      <c r="BA393">
        <v>7438</v>
      </c>
      <c r="BB393">
        <v>1432</v>
      </c>
      <c r="BC393">
        <v>13072</v>
      </c>
      <c r="BD393">
        <v>9486</v>
      </c>
      <c r="BE393">
        <v>9222</v>
      </c>
      <c r="BF393">
        <v>1768</v>
      </c>
      <c r="BG393">
        <v>20476</v>
      </c>
      <c r="BH393">
        <v>0</v>
      </c>
      <c r="BI393">
        <v>0</v>
      </c>
      <c r="BJ393">
        <v>0</v>
      </c>
      <c r="BK393">
        <v>0</v>
      </c>
      <c r="BL393" s="2">
        <v>24.82</v>
      </c>
      <c r="BM393" s="2">
        <v>42005.095138888886</v>
      </c>
      <c r="BN393" s="2">
        <v>5.4</v>
      </c>
      <c r="BO393" s="2">
        <v>42005.092361111114</v>
      </c>
      <c r="BP393" s="2">
        <v>6.92</v>
      </c>
      <c r="BQ393" s="2">
        <v>42005.092361111114</v>
      </c>
      <c r="BR393" s="2">
        <v>11.07</v>
      </c>
      <c r="BS393" s="2">
        <v>42005.092361111114</v>
      </c>
      <c r="BT393">
        <v>0</v>
      </c>
      <c r="BU393">
        <v>0</v>
      </c>
      <c r="BV393" t="s">
        <v>135</v>
      </c>
      <c r="BW393">
        <v>0</v>
      </c>
      <c r="BX393">
        <v>0</v>
      </c>
      <c r="BY393" t="s">
        <v>135</v>
      </c>
      <c r="BZ393">
        <v>0</v>
      </c>
      <c r="CA393">
        <v>0</v>
      </c>
      <c r="CB393" t="s">
        <v>135</v>
      </c>
      <c r="CH393" s="2"/>
      <c r="CJ393" s="2"/>
      <c r="CL393" s="2"/>
      <c r="CN393" s="2"/>
      <c r="CQ393" s="2"/>
      <c r="CT393" s="2"/>
      <c r="CW393" s="2"/>
    </row>
    <row r="394" spans="1:101" x14ac:dyDescent="0.25">
      <c r="A394" s="1" t="s">
        <v>163</v>
      </c>
      <c r="B394" s="75" t="s">
        <v>164</v>
      </c>
      <c r="C394">
        <v>0</v>
      </c>
      <c r="D394">
        <v>0</v>
      </c>
      <c r="E394">
        <v>0</v>
      </c>
      <c r="F394">
        <v>604324.56000000006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3.91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7490</v>
      </c>
      <c r="AW394">
        <v>3350</v>
      </c>
      <c r="AX394">
        <v>1219</v>
      </c>
      <c r="AY394">
        <v>12059</v>
      </c>
      <c r="AZ394">
        <v>4202</v>
      </c>
      <c r="BA394">
        <v>7438</v>
      </c>
      <c r="BB394">
        <v>1432</v>
      </c>
      <c r="BC394">
        <v>13072</v>
      </c>
      <c r="BD394">
        <v>9486</v>
      </c>
      <c r="BE394">
        <v>9222</v>
      </c>
      <c r="BF394">
        <v>1768</v>
      </c>
      <c r="BG394">
        <v>20476</v>
      </c>
      <c r="BH394">
        <v>0</v>
      </c>
      <c r="BI394">
        <v>0</v>
      </c>
      <c r="BJ394">
        <v>0</v>
      </c>
      <c r="BK394">
        <v>0</v>
      </c>
      <c r="BL394" s="2">
        <v>24.82</v>
      </c>
      <c r="BM394" s="2">
        <v>42005.095138888886</v>
      </c>
      <c r="BN394" s="2">
        <v>5.4</v>
      </c>
      <c r="BO394" s="2">
        <v>42005.092361111114</v>
      </c>
      <c r="BP394" s="2">
        <v>6.92</v>
      </c>
      <c r="BQ394" s="2">
        <v>42005.092361111114</v>
      </c>
      <c r="BR394" s="2">
        <v>11.07</v>
      </c>
      <c r="BS394" s="2">
        <v>42005.092361111114</v>
      </c>
      <c r="BT394">
        <v>0</v>
      </c>
      <c r="BU394">
        <v>0</v>
      </c>
      <c r="BV394" t="s">
        <v>135</v>
      </c>
      <c r="BW394">
        <v>0</v>
      </c>
      <c r="BX394">
        <v>0</v>
      </c>
      <c r="BY394" t="s">
        <v>135</v>
      </c>
      <c r="BZ394">
        <v>0</v>
      </c>
      <c r="CA394">
        <v>0</v>
      </c>
      <c r="CB394" t="s">
        <v>135</v>
      </c>
      <c r="CH394" s="2"/>
      <c r="CJ394" s="2"/>
      <c r="CL394" s="2"/>
      <c r="CN394" s="2"/>
      <c r="CQ394" s="2"/>
      <c r="CT394" s="2"/>
      <c r="CW394" s="2"/>
    </row>
    <row r="395" spans="1:101" x14ac:dyDescent="0.25">
      <c r="A395" s="1" t="s">
        <v>163</v>
      </c>
      <c r="B395" s="75" t="s">
        <v>164</v>
      </c>
      <c r="C395">
        <v>0</v>
      </c>
      <c r="D395">
        <v>0</v>
      </c>
      <c r="E395">
        <v>0</v>
      </c>
      <c r="F395">
        <v>604324.56000000006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3.91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7490</v>
      </c>
      <c r="AW395">
        <v>3350</v>
      </c>
      <c r="AX395">
        <v>1219</v>
      </c>
      <c r="AY395">
        <v>12059</v>
      </c>
      <c r="AZ395">
        <v>4202</v>
      </c>
      <c r="BA395">
        <v>7438</v>
      </c>
      <c r="BB395">
        <v>1432</v>
      </c>
      <c r="BC395">
        <v>13072</v>
      </c>
      <c r="BD395">
        <v>9486</v>
      </c>
      <c r="BE395">
        <v>9222</v>
      </c>
      <c r="BF395">
        <v>1768</v>
      </c>
      <c r="BG395">
        <v>20476</v>
      </c>
      <c r="BH395">
        <v>0</v>
      </c>
      <c r="BI395">
        <v>0</v>
      </c>
      <c r="BJ395">
        <v>0</v>
      </c>
      <c r="BK395">
        <v>0</v>
      </c>
      <c r="BL395" s="2">
        <v>24.82</v>
      </c>
      <c r="BM395" s="2">
        <v>42005.095138888886</v>
      </c>
      <c r="BN395" s="2">
        <v>5.4</v>
      </c>
      <c r="BO395" s="2">
        <v>42005.092361111114</v>
      </c>
      <c r="BP395" s="2">
        <v>6.92</v>
      </c>
      <c r="BQ395" s="2">
        <v>42005.092361111114</v>
      </c>
      <c r="BR395" s="2">
        <v>11.07</v>
      </c>
      <c r="BS395" s="2">
        <v>42005.092361111114</v>
      </c>
      <c r="BT395">
        <v>0</v>
      </c>
      <c r="BU395">
        <v>0</v>
      </c>
      <c r="BV395" t="s">
        <v>135</v>
      </c>
      <c r="BW395">
        <v>0</v>
      </c>
      <c r="BX395">
        <v>0</v>
      </c>
      <c r="BY395" t="s">
        <v>135</v>
      </c>
      <c r="BZ395">
        <v>0</v>
      </c>
      <c r="CA395">
        <v>0</v>
      </c>
      <c r="CB395" t="s">
        <v>135</v>
      </c>
      <c r="CH395" s="2"/>
      <c r="CJ395" s="2"/>
      <c r="CL395" s="2"/>
      <c r="CN395" s="2"/>
      <c r="CQ395" s="2"/>
      <c r="CT395" s="2"/>
      <c r="CW395" s="2"/>
    </row>
    <row r="396" spans="1:101" x14ac:dyDescent="0.25">
      <c r="A396" s="1" t="s">
        <v>163</v>
      </c>
      <c r="B396" s="75" t="s">
        <v>164</v>
      </c>
      <c r="C396">
        <v>0</v>
      </c>
      <c r="D396">
        <v>0</v>
      </c>
      <c r="E396">
        <v>0</v>
      </c>
      <c r="F396">
        <v>604324.56000000006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3.91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7490</v>
      </c>
      <c r="AW396">
        <v>3350</v>
      </c>
      <c r="AX396">
        <v>1219</v>
      </c>
      <c r="AY396">
        <v>12059</v>
      </c>
      <c r="AZ396">
        <v>4202</v>
      </c>
      <c r="BA396">
        <v>7438</v>
      </c>
      <c r="BB396">
        <v>1432</v>
      </c>
      <c r="BC396">
        <v>13072</v>
      </c>
      <c r="BD396">
        <v>9486</v>
      </c>
      <c r="BE396">
        <v>9222</v>
      </c>
      <c r="BF396">
        <v>1768</v>
      </c>
      <c r="BG396">
        <v>20476</v>
      </c>
      <c r="BH396">
        <v>0</v>
      </c>
      <c r="BI396">
        <v>0</v>
      </c>
      <c r="BJ396">
        <v>0</v>
      </c>
      <c r="BK396">
        <v>0</v>
      </c>
      <c r="BL396" s="2">
        <v>24.82</v>
      </c>
      <c r="BM396" s="2">
        <v>42005.095138888886</v>
      </c>
      <c r="BN396" s="2">
        <v>5.4</v>
      </c>
      <c r="BO396" s="2">
        <v>42005.092361111114</v>
      </c>
      <c r="BP396" s="2">
        <v>6.92</v>
      </c>
      <c r="BQ396" s="2">
        <v>42005.092361111114</v>
      </c>
      <c r="BR396" s="2">
        <v>11.07</v>
      </c>
      <c r="BS396" s="2">
        <v>42005.092361111114</v>
      </c>
      <c r="BT396">
        <v>0</v>
      </c>
      <c r="BU396">
        <v>0</v>
      </c>
      <c r="BV396" t="s">
        <v>135</v>
      </c>
      <c r="BW396">
        <v>0</v>
      </c>
      <c r="BX396">
        <v>0</v>
      </c>
      <c r="BY396" t="s">
        <v>135</v>
      </c>
      <c r="BZ396">
        <v>0</v>
      </c>
      <c r="CA396">
        <v>0</v>
      </c>
      <c r="CB396" t="s">
        <v>135</v>
      </c>
      <c r="CH396" s="2"/>
      <c r="CJ396" s="2"/>
      <c r="CL396" s="2"/>
      <c r="CN396" s="2"/>
      <c r="CQ396" s="2"/>
      <c r="CT396" s="2"/>
      <c r="CW396" s="2"/>
    </row>
    <row r="397" spans="1:101" x14ac:dyDescent="0.25">
      <c r="A397" s="1" t="s">
        <v>163</v>
      </c>
      <c r="B397" s="75" t="s">
        <v>164</v>
      </c>
      <c r="C397">
        <v>0</v>
      </c>
      <c r="D397">
        <v>0</v>
      </c>
      <c r="E397">
        <v>0</v>
      </c>
      <c r="F397">
        <v>604324.56000000006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3.91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7490</v>
      </c>
      <c r="AW397">
        <v>3350</v>
      </c>
      <c r="AX397">
        <v>1219</v>
      </c>
      <c r="AY397">
        <v>12059</v>
      </c>
      <c r="AZ397">
        <v>4202</v>
      </c>
      <c r="BA397">
        <v>7438</v>
      </c>
      <c r="BB397">
        <v>1432</v>
      </c>
      <c r="BC397">
        <v>13072</v>
      </c>
      <c r="BD397">
        <v>9486</v>
      </c>
      <c r="BE397">
        <v>9222</v>
      </c>
      <c r="BF397">
        <v>1768</v>
      </c>
      <c r="BG397">
        <v>20476</v>
      </c>
      <c r="BH397">
        <v>0</v>
      </c>
      <c r="BI397">
        <v>0</v>
      </c>
      <c r="BJ397">
        <v>0</v>
      </c>
      <c r="BK397">
        <v>0</v>
      </c>
      <c r="BL397" s="2">
        <v>24.82</v>
      </c>
      <c r="BM397" s="2">
        <v>42005.095138888886</v>
      </c>
      <c r="BN397" s="2">
        <v>5.4</v>
      </c>
      <c r="BO397" s="2">
        <v>42005.092361111114</v>
      </c>
      <c r="BP397" s="2">
        <v>6.92</v>
      </c>
      <c r="BQ397" s="2">
        <v>42005.092361111114</v>
      </c>
      <c r="BR397" s="2">
        <v>11.07</v>
      </c>
      <c r="BS397" s="2">
        <v>42005.092361111114</v>
      </c>
      <c r="BT397">
        <v>0</v>
      </c>
      <c r="BU397">
        <v>0</v>
      </c>
      <c r="BV397" t="s">
        <v>135</v>
      </c>
      <c r="BW397">
        <v>0</v>
      </c>
      <c r="BX397">
        <v>0</v>
      </c>
      <c r="BY397" t="s">
        <v>135</v>
      </c>
      <c r="BZ397">
        <v>0</v>
      </c>
      <c r="CA397">
        <v>0</v>
      </c>
      <c r="CB397" t="s">
        <v>135</v>
      </c>
      <c r="CH397" s="2"/>
      <c r="CJ397" s="2"/>
      <c r="CL397" s="2"/>
      <c r="CN397" s="2"/>
      <c r="CQ397" s="2"/>
      <c r="CT397" s="2"/>
      <c r="CW397" s="2"/>
    </row>
    <row r="398" spans="1:101" x14ac:dyDescent="0.25">
      <c r="A398" s="1" t="s">
        <v>163</v>
      </c>
      <c r="B398" s="75" t="s">
        <v>164</v>
      </c>
      <c r="C398">
        <v>0</v>
      </c>
      <c r="D398">
        <v>0</v>
      </c>
      <c r="E398">
        <v>0</v>
      </c>
      <c r="F398">
        <v>604324.56000000006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3.91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7490</v>
      </c>
      <c r="AW398">
        <v>3350</v>
      </c>
      <c r="AX398">
        <v>1219</v>
      </c>
      <c r="AY398">
        <v>12059</v>
      </c>
      <c r="AZ398">
        <v>4202</v>
      </c>
      <c r="BA398">
        <v>7438</v>
      </c>
      <c r="BB398">
        <v>1432</v>
      </c>
      <c r="BC398">
        <v>13072</v>
      </c>
      <c r="BD398">
        <v>9486</v>
      </c>
      <c r="BE398">
        <v>9222</v>
      </c>
      <c r="BF398">
        <v>1768</v>
      </c>
      <c r="BG398">
        <v>20476</v>
      </c>
      <c r="BH398">
        <v>0</v>
      </c>
      <c r="BI398">
        <v>0</v>
      </c>
      <c r="BJ398">
        <v>0</v>
      </c>
      <c r="BK398">
        <v>0</v>
      </c>
      <c r="BL398" s="2">
        <v>24.82</v>
      </c>
      <c r="BM398" s="2">
        <v>42005.095138888886</v>
      </c>
      <c r="BN398" s="2">
        <v>5.4</v>
      </c>
      <c r="BO398" s="2">
        <v>42005.092361111114</v>
      </c>
      <c r="BP398" s="2">
        <v>6.92</v>
      </c>
      <c r="BQ398" s="2">
        <v>42005.092361111114</v>
      </c>
      <c r="BR398" s="2">
        <v>11.07</v>
      </c>
      <c r="BS398" s="2">
        <v>42005.092361111114</v>
      </c>
      <c r="BT398">
        <v>0</v>
      </c>
      <c r="BU398">
        <v>0</v>
      </c>
      <c r="BV398" t="s">
        <v>135</v>
      </c>
      <c r="BW398">
        <v>0</v>
      </c>
      <c r="BX398">
        <v>0</v>
      </c>
      <c r="BY398" t="s">
        <v>135</v>
      </c>
      <c r="BZ398">
        <v>0</v>
      </c>
      <c r="CA398">
        <v>0</v>
      </c>
      <c r="CB398" t="s">
        <v>135</v>
      </c>
      <c r="CH398" s="2"/>
      <c r="CJ398" s="2"/>
      <c r="CL398" s="2"/>
      <c r="CN398" s="2"/>
      <c r="CQ398" s="2"/>
      <c r="CT398" s="2"/>
      <c r="CW398" s="2"/>
    </row>
    <row r="399" spans="1:101" x14ac:dyDescent="0.25">
      <c r="A399" s="1" t="s">
        <v>163</v>
      </c>
      <c r="B399" s="75" t="s">
        <v>164</v>
      </c>
      <c r="C399">
        <v>0</v>
      </c>
      <c r="D399">
        <v>0</v>
      </c>
      <c r="E399">
        <v>0</v>
      </c>
      <c r="F399">
        <v>604324.56000000006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3.91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7490</v>
      </c>
      <c r="AW399">
        <v>3350</v>
      </c>
      <c r="AX399">
        <v>1219</v>
      </c>
      <c r="AY399">
        <v>12059</v>
      </c>
      <c r="AZ399">
        <v>4202</v>
      </c>
      <c r="BA399">
        <v>7438</v>
      </c>
      <c r="BB399">
        <v>1432</v>
      </c>
      <c r="BC399">
        <v>13072</v>
      </c>
      <c r="BD399">
        <v>9486</v>
      </c>
      <c r="BE399">
        <v>9222</v>
      </c>
      <c r="BF399">
        <v>1768</v>
      </c>
      <c r="BG399">
        <v>20476</v>
      </c>
      <c r="BH399">
        <v>0</v>
      </c>
      <c r="BI399">
        <v>0</v>
      </c>
      <c r="BJ399">
        <v>0</v>
      </c>
      <c r="BK399">
        <v>0</v>
      </c>
      <c r="BL399" s="2">
        <v>24.82</v>
      </c>
      <c r="BM399" s="2">
        <v>42005.095138888886</v>
      </c>
      <c r="BN399" s="2">
        <v>5.4</v>
      </c>
      <c r="BO399" s="2">
        <v>42005.092361111114</v>
      </c>
      <c r="BP399" s="2">
        <v>6.92</v>
      </c>
      <c r="BQ399" s="2">
        <v>42005.092361111114</v>
      </c>
      <c r="BR399" s="2">
        <v>11.07</v>
      </c>
      <c r="BS399" s="2">
        <v>42005.092361111114</v>
      </c>
      <c r="BT399">
        <v>0</v>
      </c>
      <c r="BU399">
        <v>0</v>
      </c>
      <c r="BV399" t="s">
        <v>135</v>
      </c>
      <c r="BW399">
        <v>0</v>
      </c>
      <c r="BX399">
        <v>0</v>
      </c>
      <c r="BY399" t="s">
        <v>135</v>
      </c>
      <c r="BZ399">
        <v>0</v>
      </c>
      <c r="CA399">
        <v>0</v>
      </c>
      <c r="CB399" t="s">
        <v>135</v>
      </c>
      <c r="CH399" s="2"/>
      <c r="CJ399" s="2"/>
      <c r="CL399" s="2"/>
      <c r="CN399" s="2"/>
      <c r="CQ399" s="2"/>
      <c r="CT399" s="2"/>
      <c r="CW399" s="2"/>
    </row>
    <row r="400" spans="1:101" x14ac:dyDescent="0.25">
      <c r="A400" s="1" t="s">
        <v>163</v>
      </c>
      <c r="B400" s="75" t="s">
        <v>164</v>
      </c>
      <c r="C400">
        <v>0</v>
      </c>
      <c r="D400">
        <v>0</v>
      </c>
      <c r="E400">
        <v>0</v>
      </c>
      <c r="F400">
        <v>604324.56000000006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3.91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7490</v>
      </c>
      <c r="AW400">
        <v>3350</v>
      </c>
      <c r="AX400">
        <v>1219</v>
      </c>
      <c r="AY400">
        <v>12059</v>
      </c>
      <c r="AZ400">
        <v>4202</v>
      </c>
      <c r="BA400">
        <v>7438</v>
      </c>
      <c r="BB400">
        <v>1432</v>
      </c>
      <c r="BC400">
        <v>13072</v>
      </c>
      <c r="BD400">
        <v>9486</v>
      </c>
      <c r="BE400">
        <v>9222</v>
      </c>
      <c r="BF400">
        <v>1768</v>
      </c>
      <c r="BG400">
        <v>20476</v>
      </c>
      <c r="BH400">
        <v>0</v>
      </c>
      <c r="BI400">
        <v>0</v>
      </c>
      <c r="BJ400">
        <v>0</v>
      </c>
      <c r="BK400">
        <v>0</v>
      </c>
      <c r="BL400" s="2">
        <v>24.82</v>
      </c>
      <c r="BM400" s="2">
        <v>42005.095138888886</v>
      </c>
      <c r="BN400" s="2">
        <v>5.4</v>
      </c>
      <c r="BO400" s="2">
        <v>42005.092361111114</v>
      </c>
      <c r="BP400" s="2">
        <v>6.92</v>
      </c>
      <c r="BQ400" s="2">
        <v>42005.092361111114</v>
      </c>
      <c r="BR400" s="2">
        <v>11.07</v>
      </c>
      <c r="BS400" s="2">
        <v>42005.092361111114</v>
      </c>
      <c r="BT400">
        <v>0</v>
      </c>
      <c r="BU400">
        <v>0</v>
      </c>
      <c r="BV400" t="s">
        <v>135</v>
      </c>
      <c r="BW400">
        <v>0</v>
      </c>
      <c r="BX400">
        <v>0</v>
      </c>
      <c r="BY400" t="s">
        <v>135</v>
      </c>
      <c r="BZ400">
        <v>0</v>
      </c>
      <c r="CA400">
        <v>0</v>
      </c>
      <c r="CB400" t="s">
        <v>135</v>
      </c>
      <c r="CH400" s="2"/>
      <c r="CJ400" s="2"/>
      <c r="CL400" s="2"/>
      <c r="CN400" s="2"/>
      <c r="CQ400" s="2"/>
      <c r="CT400" s="2"/>
      <c r="CW400" s="2"/>
    </row>
    <row r="401" spans="1:101" x14ac:dyDescent="0.25">
      <c r="A401" s="1" t="s">
        <v>163</v>
      </c>
      <c r="B401" s="75" t="s">
        <v>164</v>
      </c>
      <c r="C401">
        <v>0</v>
      </c>
      <c r="D401">
        <v>0</v>
      </c>
      <c r="E401">
        <v>0</v>
      </c>
      <c r="F401">
        <v>604324.56000000006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3.91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7490</v>
      </c>
      <c r="AW401">
        <v>3350</v>
      </c>
      <c r="AX401">
        <v>1219</v>
      </c>
      <c r="AY401">
        <v>12059</v>
      </c>
      <c r="AZ401">
        <v>4202</v>
      </c>
      <c r="BA401">
        <v>7438</v>
      </c>
      <c r="BB401">
        <v>1432</v>
      </c>
      <c r="BC401">
        <v>13072</v>
      </c>
      <c r="BD401">
        <v>9486</v>
      </c>
      <c r="BE401">
        <v>9222</v>
      </c>
      <c r="BF401">
        <v>1768</v>
      </c>
      <c r="BG401">
        <v>20476</v>
      </c>
      <c r="BH401">
        <v>0</v>
      </c>
      <c r="BI401">
        <v>0</v>
      </c>
      <c r="BJ401">
        <v>0</v>
      </c>
      <c r="BK401">
        <v>0</v>
      </c>
      <c r="BL401" s="2">
        <v>24.82</v>
      </c>
      <c r="BM401" s="2">
        <v>42005.095138888886</v>
      </c>
      <c r="BN401" s="2">
        <v>5.4</v>
      </c>
      <c r="BO401" s="2">
        <v>42005.092361111114</v>
      </c>
      <c r="BP401" s="2">
        <v>6.92</v>
      </c>
      <c r="BQ401" s="2">
        <v>42005.092361111114</v>
      </c>
      <c r="BR401" s="2">
        <v>11.07</v>
      </c>
      <c r="BS401" s="2">
        <v>42005.092361111114</v>
      </c>
      <c r="BT401">
        <v>0</v>
      </c>
      <c r="BU401">
        <v>0</v>
      </c>
      <c r="BV401" t="s">
        <v>135</v>
      </c>
      <c r="BW401">
        <v>0</v>
      </c>
      <c r="BX401">
        <v>0</v>
      </c>
      <c r="BY401" t="s">
        <v>135</v>
      </c>
      <c r="BZ401">
        <v>0</v>
      </c>
      <c r="CA401">
        <v>0</v>
      </c>
      <c r="CB401" t="s">
        <v>135</v>
      </c>
      <c r="CH401" s="2"/>
      <c r="CJ401" s="2"/>
      <c r="CL401" s="2"/>
      <c r="CN401" s="2"/>
      <c r="CQ401" s="2"/>
      <c r="CT401" s="2"/>
      <c r="CW401" s="2"/>
    </row>
    <row r="402" spans="1:101" x14ac:dyDescent="0.25">
      <c r="A402" s="1" t="s">
        <v>163</v>
      </c>
      <c r="B402" s="75" t="s">
        <v>164</v>
      </c>
      <c r="C402">
        <v>0</v>
      </c>
      <c r="D402">
        <v>0</v>
      </c>
      <c r="E402">
        <v>0</v>
      </c>
      <c r="F402">
        <v>604324.56000000006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3.91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7490</v>
      </c>
      <c r="AW402">
        <v>3350</v>
      </c>
      <c r="AX402">
        <v>1219</v>
      </c>
      <c r="AY402">
        <v>12059</v>
      </c>
      <c r="AZ402">
        <v>4202</v>
      </c>
      <c r="BA402">
        <v>7438</v>
      </c>
      <c r="BB402">
        <v>1432</v>
      </c>
      <c r="BC402">
        <v>13072</v>
      </c>
      <c r="BD402">
        <v>9486</v>
      </c>
      <c r="BE402">
        <v>9222</v>
      </c>
      <c r="BF402">
        <v>1768</v>
      </c>
      <c r="BG402">
        <v>20476</v>
      </c>
      <c r="BH402">
        <v>0</v>
      </c>
      <c r="BI402">
        <v>0</v>
      </c>
      <c r="BJ402">
        <v>0</v>
      </c>
      <c r="BK402">
        <v>0</v>
      </c>
      <c r="BL402" s="2">
        <v>24.82</v>
      </c>
      <c r="BM402" s="2">
        <v>42005.095138888886</v>
      </c>
      <c r="BN402" s="2">
        <v>5.4</v>
      </c>
      <c r="BO402" s="2">
        <v>42005.092361111114</v>
      </c>
      <c r="BP402" s="2">
        <v>6.92</v>
      </c>
      <c r="BQ402" s="2">
        <v>42005.092361111114</v>
      </c>
      <c r="BR402" s="2">
        <v>11.07</v>
      </c>
      <c r="BS402" s="2">
        <v>42005.092361111114</v>
      </c>
      <c r="BT402">
        <v>0</v>
      </c>
      <c r="BU402">
        <v>0</v>
      </c>
      <c r="BV402" t="s">
        <v>135</v>
      </c>
      <c r="BW402">
        <v>0</v>
      </c>
      <c r="BX402">
        <v>0</v>
      </c>
      <c r="BY402" t="s">
        <v>135</v>
      </c>
      <c r="BZ402">
        <v>0</v>
      </c>
      <c r="CA402">
        <v>0</v>
      </c>
      <c r="CB402" t="s">
        <v>135</v>
      </c>
      <c r="CH402" s="2"/>
      <c r="CJ402" s="2"/>
      <c r="CL402" s="2"/>
      <c r="CN402" s="2"/>
      <c r="CQ402" s="2"/>
      <c r="CT402" s="2"/>
      <c r="CW402" s="2"/>
    </row>
    <row r="403" spans="1:101" x14ac:dyDescent="0.25">
      <c r="A403" s="1" t="s">
        <v>163</v>
      </c>
      <c r="B403" s="75" t="s">
        <v>164</v>
      </c>
      <c r="C403">
        <v>0</v>
      </c>
      <c r="D403">
        <v>0</v>
      </c>
      <c r="E403">
        <v>0</v>
      </c>
      <c r="F403">
        <v>604324.56000000006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3.91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7490</v>
      </c>
      <c r="AW403">
        <v>3350</v>
      </c>
      <c r="AX403">
        <v>1219</v>
      </c>
      <c r="AY403">
        <v>12059</v>
      </c>
      <c r="AZ403">
        <v>4202</v>
      </c>
      <c r="BA403">
        <v>7438</v>
      </c>
      <c r="BB403">
        <v>1432</v>
      </c>
      <c r="BC403">
        <v>13072</v>
      </c>
      <c r="BD403">
        <v>9486</v>
      </c>
      <c r="BE403">
        <v>9222</v>
      </c>
      <c r="BF403">
        <v>1768</v>
      </c>
      <c r="BG403">
        <v>20476</v>
      </c>
      <c r="BH403">
        <v>0</v>
      </c>
      <c r="BI403">
        <v>0</v>
      </c>
      <c r="BJ403">
        <v>0</v>
      </c>
      <c r="BK403">
        <v>0</v>
      </c>
      <c r="BL403" s="2">
        <v>24.82</v>
      </c>
      <c r="BM403" s="2">
        <v>42005.095138888886</v>
      </c>
      <c r="BN403" s="2">
        <v>5.4</v>
      </c>
      <c r="BO403" s="2">
        <v>42005.092361111114</v>
      </c>
      <c r="BP403" s="2">
        <v>6.92</v>
      </c>
      <c r="BQ403" s="2">
        <v>42005.092361111114</v>
      </c>
      <c r="BR403" s="2">
        <v>11.07</v>
      </c>
      <c r="BS403" s="2">
        <v>42005.092361111114</v>
      </c>
      <c r="BT403">
        <v>0</v>
      </c>
      <c r="BU403">
        <v>0</v>
      </c>
      <c r="BV403" t="s">
        <v>135</v>
      </c>
      <c r="BW403">
        <v>0</v>
      </c>
      <c r="BX403">
        <v>0</v>
      </c>
      <c r="BY403" t="s">
        <v>135</v>
      </c>
      <c r="BZ403">
        <v>0</v>
      </c>
      <c r="CA403">
        <v>0</v>
      </c>
      <c r="CB403" t="s">
        <v>135</v>
      </c>
      <c r="CH403" s="2"/>
      <c r="CJ403" s="2"/>
      <c r="CL403" s="2"/>
      <c r="CN403" s="2"/>
      <c r="CQ403" s="2"/>
      <c r="CT403" s="2"/>
      <c r="CW403" s="2"/>
    </row>
    <row r="404" spans="1:101" x14ac:dyDescent="0.25">
      <c r="A404" s="1" t="s">
        <v>163</v>
      </c>
      <c r="B404" s="75" t="s">
        <v>164</v>
      </c>
      <c r="C404">
        <v>0</v>
      </c>
      <c r="D404">
        <v>0</v>
      </c>
      <c r="E404">
        <v>0</v>
      </c>
      <c r="F404">
        <v>604324.56000000006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3.91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7490</v>
      </c>
      <c r="AW404">
        <v>3350</v>
      </c>
      <c r="AX404">
        <v>1219</v>
      </c>
      <c r="AY404">
        <v>12059</v>
      </c>
      <c r="AZ404">
        <v>4202</v>
      </c>
      <c r="BA404">
        <v>7438</v>
      </c>
      <c r="BB404">
        <v>1432</v>
      </c>
      <c r="BC404">
        <v>13072</v>
      </c>
      <c r="BD404">
        <v>9486</v>
      </c>
      <c r="BE404">
        <v>9222</v>
      </c>
      <c r="BF404">
        <v>1768</v>
      </c>
      <c r="BG404">
        <v>20476</v>
      </c>
      <c r="BH404">
        <v>0</v>
      </c>
      <c r="BI404">
        <v>0</v>
      </c>
      <c r="BJ404">
        <v>0</v>
      </c>
      <c r="BK404">
        <v>0</v>
      </c>
      <c r="BL404" s="2">
        <v>24.82</v>
      </c>
      <c r="BM404" s="2">
        <v>42005.095138888886</v>
      </c>
      <c r="BN404" s="2">
        <v>5.4</v>
      </c>
      <c r="BO404" s="2">
        <v>42005.092361111114</v>
      </c>
      <c r="BP404" s="2">
        <v>6.92</v>
      </c>
      <c r="BQ404" s="2">
        <v>42005.092361111114</v>
      </c>
      <c r="BR404" s="2">
        <v>11.07</v>
      </c>
      <c r="BS404" s="2">
        <v>42005.092361111114</v>
      </c>
      <c r="BT404">
        <v>0</v>
      </c>
      <c r="BU404">
        <v>0</v>
      </c>
      <c r="BV404" t="s">
        <v>135</v>
      </c>
      <c r="BW404">
        <v>0</v>
      </c>
      <c r="BX404">
        <v>0</v>
      </c>
      <c r="BY404" t="s">
        <v>135</v>
      </c>
      <c r="BZ404">
        <v>0</v>
      </c>
      <c r="CA404">
        <v>0</v>
      </c>
      <c r="CB404" t="s">
        <v>135</v>
      </c>
      <c r="CH404" s="2"/>
      <c r="CJ404" s="2"/>
      <c r="CL404" s="2"/>
      <c r="CN404" s="2"/>
      <c r="CQ404" s="2"/>
      <c r="CT404" s="2"/>
      <c r="CW404" s="2"/>
    </row>
    <row r="405" spans="1:101" x14ac:dyDescent="0.25">
      <c r="A405" s="1" t="s">
        <v>163</v>
      </c>
      <c r="B405" s="75" t="s">
        <v>164</v>
      </c>
      <c r="C405">
        <v>0</v>
      </c>
      <c r="D405">
        <v>0</v>
      </c>
      <c r="E405">
        <v>0</v>
      </c>
      <c r="F405">
        <v>604324.56000000006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3.91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7490</v>
      </c>
      <c r="AW405">
        <v>3350</v>
      </c>
      <c r="AX405">
        <v>1219</v>
      </c>
      <c r="AY405">
        <v>12059</v>
      </c>
      <c r="AZ405">
        <v>4202</v>
      </c>
      <c r="BA405">
        <v>7438</v>
      </c>
      <c r="BB405">
        <v>1432</v>
      </c>
      <c r="BC405">
        <v>13072</v>
      </c>
      <c r="BD405">
        <v>9486</v>
      </c>
      <c r="BE405">
        <v>9222</v>
      </c>
      <c r="BF405">
        <v>1768</v>
      </c>
      <c r="BG405">
        <v>20476</v>
      </c>
      <c r="BH405">
        <v>0</v>
      </c>
      <c r="BI405">
        <v>0</v>
      </c>
      <c r="BJ405">
        <v>0</v>
      </c>
      <c r="BK405">
        <v>0</v>
      </c>
      <c r="BL405" s="2">
        <v>24.82</v>
      </c>
      <c r="BM405" s="2">
        <v>42005.095138888886</v>
      </c>
      <c r="BN405" s="2">
        <v>5.4</v>
      </c>
      <c r="BO405" s="2">
        <v>42005.092361111114</v>
      </c>
      <c r="BP405" s="2">
        <v>6.92</v>
      </c>
      <c r="BQ405" s="2">
        <v>42005.092361111114</v>
      </c>
      <c r="BR405" s="2">
        <v>11.07</v>
      </c>
      <c r="BS405" s="2">
        <v>42005.092361111114</v>
      </c>
      <c r="BT405">
        <v>0</v>
      </c>
      <c r="BU405">
        <v>0</v>
      </c>
      <c r="BV405" t="s">
        <v>135</v>
      </c>
      <c r="BW405">
        <v>0</v>
      </c>
      <c r="BX405">
        <v>0</v>
      </c>
      <c r="BY405" t="s">
        <v>135</v>
      </c>
      <c r="BZ405">
        <v>0</v>
      </c>
      <c r="CA405">
        <v>0</v>
      </c>
      <c r="CB405" t="s">
        <v>135</v>
      </c>
      <c r="CH405" s="2"/>
      <c r="CJ405" s="2"/>
      <c r="CL405" s="2"/>
      <c r="CN405" s="2"/>
      <c r="CQ405" s="2"/>
      <c r="CT405" s="2"/>
      <c r="CW405" s="2"/>
    </row>
    <row r="406" spans="1:101" x14ac:dyDescent="0.25">
      <c r="A406" s="1" t="s">
        <v>163</v>
      </c>
      <c r="B406" s="75" t="s">
        <v>164</v>
      </c>
      <c r="C406">
        <v>0</v>
      </c>
      <c r="D406">
        <v>0</v>
      </c>
      <c r="E406">
        <v>0</v>
      </c>
      <c r="F406">
        <v>604324.56000000006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3.91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7490</v>
      </c>
      <c r="AW406">
        <v>3350</v>
      </c>
      <c r="AX406">
        <v>1219</v>
      </c>
      <c r="AY406">
        <v>12059</v>
      </c>
      <c r="AZ406">
        <v>4202</v>
      </c>
      <c r="BA406">
        <v>7438</v>
      </c>
      <c r="BB406">
        <v>1432</v>
      </c>
      <c r="BC406">
        <v>13072</v>
      </c>
      <c r="BD406">
        <v>9486</v>
      </c>
      <c r="BE406">
        <v>9222</v>
      </c>
      <c r="BF406">
        <v>1768</v>
      </c>
      <c r="BG406">
        <v>20476</v>
      </c>
      <c r="BH406">
        <v>0</v>
      </c>
      <c r="BI406">
        <v>0</v>
      </c>
      <c r="BJ406">
        <v>0</v>
      </c>
      <c r="BK406">
        <v>0</v>
      </c>
      <c r="BL406" s="2">
        <v>24.82</v>
      </c>
      <c r="BM406" s="2">
        <v>42005.095138888886</v>
      </c>
      <c r="BN406" s="2">
        <v>5.4</v>
      </c>
      <c r="BO406" s="2">
        <v>42005.092361111114</v>
      </c>
      <c r="BP406" s="2">
        <v>6.92</v>
      </c>
      <c r="BQ406" s="2">
        <v>42005.092361111114</v>
      </c>
      <c r="BR406" s="2">
        <v>11.07</v>
      </c>
      <c r="BS406" s="2">
        <v>42005.092361111114</v>
      </c>
      <c r="BT406">
        <v>0</v>
      </c>
      <c r="BU406">
        <v>0</v>
      </c>
      <c r="BV406" t="s">
        <v>135</v>
      </c>
      <c r="BW406">
        <v>0</v>
      </c>
      <c r="BX406">
        <v>0</v>
      </c>
      <c r="BY406" t="s">
        <v>135</v>
      </c>
      <c r="BZ406">
        <v>0</v>
      </c>
      <c r="CA406">
        <v>0</v>
      </c>
      <c r="CB406" t="s">
        <v>135</v>
      </c>
      <c r="CH406" s="2"/>
      <c r="CJ406" s="2"/>
      <c r="CL406" s="2"/>
      <c r="CN406" s="2"/>
      <c r="CQ406" s="2"/>
      <c r="CT406" s="2"/>
      <c r="CW406" s="2"/>
    </row>
    <row r="407" spans="1:101" x14ac:dyDescent="0.25">
      <c r="A407" s="1" t="s">
        <v>163</v>
      </c>
      <c r="B407" s="75" t="s">
        <v>164</v>
      </c>
      <c r="C407">
        <v>0</v>
      </c>
      <c r="D407">
        <v>0</v>
      </c>
      <c r="E407">
        <v>0</v>
      </c>
      <c r="F407">
        <v>604324.56000000006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3.91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7490</v>
      </c>
      <c r="AW407">
        <v>3350</v>
      </c>
      <c r="AX407">
        <v>1219</v>
      </c>
      <c r="AY407">
        <v>12059</v>
      </c>
      <c r="AZ407">
        <v>4202</v>
      </c>
      <c r="BA407">
        <v>7438</v>
      </c>
      <c r="BB407">
        <v>1432</v>
      </c>
      <c r="BC407">
        <v>13072</v>
      </c>
      <c r="BD407">
        <v>9486</v>
      </c>
      <c r="BE407">
        <v>9222</v>
      </c>
      <c r="BF407">
        <v>1768</v>
      </c>
      <c r="BG407">
        <v>20476</v>
      </c>
      <c r="BH407">
        <v>0</v>
      </c>
      <c r="BI407">
        <v>0</v>
      </c>
      <c r="BJ407">
        <v>0</v>
      </c>
      <c r="BK407">
        <v>0</v>
      </c>
      <c r="BL407" s="2">
        <v>24.82</v>
      </c>
      <c r="BM407" s="2">
        <v>42005.095138888886</v>
      </c>
      <c r="BN407" s="2">
        <v>5.4</v>
      </c>
      <c r="BO407" s="2">
        <v>42005.092361111114</v>
      </c>
      <c r="BP407" s="2">
        <v>6.92</v>
      </c>
      <c r="BQ407" s="2">
        <v>42005.092361111114</v>
      </c>
      <c r="BR407" s="2">
        <v>11.07</v>
      </c>
      <c r="BS407" s="2">
        <v>42005.092361111114</v>
      </c>
      <c r="BT407">
        <v>0</v>
      </c>
      <c r="BU407">
        <v>0</v>
      </c>
      <c r="BV407" t="s">
        <v>135</v>
      </c>
      <c r="BW407">
        <v>0</v>
      </c>
      <c r="BX407">
        <v>0</v>
      </c>
      <c r="BY407" t="s">
        <v>135</v>
      </c>
      <c r="BZ407">
        <v>0</v>
      </c>
      <c r="CA407">
        <v>0</v>
      </c>
      <c r="CB407" t="s">
        <v>135</v>
      </c>
      <c r="CH407" s="2"/>
      <c r="CJ407" s="2"/>
      <c r="CL407" s="2"/>
      <c r="CN407" s="2"/>
      <c r="CQ407" s="2"/>
      <c r="CT407" s="2"/>
      <c r="CW407" s="2"/>
    </row>
    <row r="408" spans="1:101" x14ac:dyDescent="0.25">
      <c r="A408" s="1" t="s">
        <v>163</v>
      </c>
      <c r="B408" s="75" t="s">
        <v>164</v>
      </c>
      <c r="C408">
        <v>0</v>
      </c>
      <c r="D408">
        <v>0</v>
      </c>
      <c r="E408">
        <v>0</v>
      </c>
      <c r="F408">
        <v>604324.56000000006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3.91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7490</v>
      </c>
      <c r="AW408">
        <v>3350</v>
      </c>
      <c r="AX408">
        <v>1219</v>
      </c>
      <c r="AY408">
        <v>12059</v>
      </c>
      <c r="AZ408">
        <v>4202</v>
      </c>
      <c r="BA408">
        <v>7438</v>
      </c>
      <c r="BB408">
        <v>1432</v>
      </c>
      <c r="BC408">
        <v>13072</v>
      </c>
      <c r="BD408">
        <v>9486</v>
      </c>
      <c r="BE408">
        <v>9222</v>
      </c>
      <c r="BF408">
        <v>1768</v>
      </c>
      <c r="BG408">
        <v>20476</v>
      </c>
      <c r="BH408">
        <v>0</v>
      </c>
      <c r="BI408">
        <v>0</v>
      </c>
      <c r="BJ408">
        <v>0</v>
      </c>
      <c r="BK408">
        <v>0</v>
      </c>
      <c r="BL408" s="2">
        <v>24.82</v>
      </c>
      <c r="BM408" s="2">
        <v>42005.095138888886</v>
      </c>
      <c r="BN408" s="2">
        <v>5.4</v>
      </c>
      <c r="BO408" s="2">
        <v>42005.092361111114</v>
      </c>
      <c r="BP408" s="2">
        <v>6.92</v>
      </c>
      <c r="BQ408" s="2">
        <v>42005.092361111114</v>
      </c>
      <c r="BR408" s="2">
        <v>11.07</v>
      </c>
      <c r="BS408" s="2">
        <v>42005.092361111114</v>
      </c>
      <c r="BT408">
        <v>0</v>
      </c>
      <c r="BU408">
        <v>0</v>
      </c>
      <c r="BV408" t="s">
        <v>135</v>
      </c>
      <c r="BW408">
        <v>0</v>
      </c>
      <c r="BX408">
        <v>0</v>
      </c>
      <c r="BY408" t="s">
        <v>135</v>
      </c>
      <c r="BZ408">
        <v>0</v>
      </c>
      <c r="CA408">
        <v>0</v>
      </c>
      <c r="CB408" t="s">
        <v>135</v>
      </c>
      <c r="CH408" s="2"/>
      <c r="CJ408" s="2"/>
      <c r="CL408" s="2"/>
      <c r="CN408" s="2"/>
      <c r="CQ408" s="2"/>
      <c r="CT408" s="2"/>
      <c r="CW408" s="2"/>
    </row>
    <row r="409" spans="1:101" x14ac:dyDescent="0.25">
      <c r="A409" s="1" t="s">
        <v>163</v>
      </c>
      <c r="B409" s="75" t="s">
        <v>164</v>
      </c>
      <c r="C409">
        <v>0</v>
      </c>
      <c r="D409">
        <v>0</v>
      </c>
      <c r="E409">
        <v>0</v>
      </c>
      <c r="F409">
        <v>604324.56000000006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3.91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7490</v>
      </c>
      <c r="AW409">
        <v>3350</v>
      </c>
      <c r="AX409">
        <v>1219</v>
      </c>
      <c r="AY409">
        <v>12059</v>
      </c>
      <c r="AZ409">
        <v>4202</v>
      </c>
      <c r="BA409">
        <v>7438</v>
      </c>
      <c r="BB409">
        <v>1432</v>
      </c>
      <c r="BC409">
        <v>13072</v>
      </c>
      <c r="BD409">
        <v>9486</v>
      </c>
      <c r="BE409">
        <v>9222</v>
      </c>
      <c r="BF409">
        <v>1768</v>
      </c>
      <c r="BG409">
        <v>20476</v>
      </c>
      <c r="BH409">
        <v>0</v>
      </c>
      <c r="BI409">
        <v>0</v>
      </c>
      <c r="BJ409">
        <v>0</v>
      </c>
      <c r="BK409">
        <v>0</v>
      </c>
      <c r="BL409" s="2">
        <v>24.82</v>
      </c>
      <c r="BM409" s="2">
        <v>42005.095138888886</v>
      </c>
      <c r="BN409" s="2">
        <v>5.4</v>
      </c>
      <c r="BO409" s="2">
        <v>42005.092361111114</v>
      </c>
      <c r="BP409" s="2">
        <v>6.92</v>
      </c>
      <c r="BQ409" s="2">
        <v>42005.092361111114</v>
      </c>
      <c r="BR409" s="2">
        <v>11.07</v>
      </c>
      <c r="BS409" s="2">
        <v>42005.092361111114</v>
      </c>
      <c r="BT409">
        <v>0</v>
      </c>
      <c r="BU409">
        <v>0</v>
      </c>
      <c r="BV409" t="s">
        <v>135</v>
      </c>
      <c r="BW409">
        <v>0</v>
      </c>
      <c r="BX409">
        <v>0</v>
      </c>
      <c r="BY409" t="s">
        <v>135</v>
      </c>
      <c r="BZ409">
        <v>0</v>
      </c>
      <c r="CA409">
        <v>0</v>
      </c>
      <c r="CB409" t="s">
        <v>135</v>
      </c>
      <c r="CH409" s="2"/>
      <c r="CJ409" s="2"/>
      <c r="CL409" s="2"/>
      <c r="CN409" s="2"/>
      <c r="CQ409" s="2"/>
      <c r="CT409" s="2"/>
      <c r="CW409" s="2"/>
    </row>
    <row r="410" spans="1:101" x14ac:dyDescent="0.25">
      <c r="A410" s="1" t="s">
        <v>163</v>
      </c>
      <c r="B410" s="75" t="s">
        <v>164</v>
      </c>
      <c r="C410">
        <v>0</v>
      </c>
      <c r="D410">
        <v>0</v>
      </c>
      <c r="E410">
        <v>0</v>
      </c>
      <c r="F410">
        <v>604324.56000000006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3.91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7490</v>
      </c>
      <c r="AW410">
        <v>3350</v>
      </c>
      <c r="AX410">
        <v>1219</v>
      </c>
      <c r="AY410">
        <v>12059</v>
      </c>
      <c r="AZ410">
        <v>4202</v>
      </c>
      <c r="BA410">
        <v>7438</v>
      </c>
      <c r="BB410">
        <v>1432</v>
      </c>
      <c r="BC410">
        <v>13072</v>
      </c>
      <c r="BD410">
        <v>9486</v>
      </c>
      <c r="BE410">
        <v>9222</v>
      </c>
      <c r="BF410">
        <v>1768</v>
      </c>
      <c r="BG410">
        <v>20476</v>
      </c>
      <c r="BH410">
        <v>0</v>
      </c>
      <c r="BI410">
        <v>0</v>
      </c>
      <c r="BJ410">
        <v>0</v>
      </c>
      <c r="BK410">
        <v>0</v>
      </c>
      <c r="BL410" s="2">
        <v>24.82</v>
      </c>
      <c r="BM410" s="2">
        <v>42005.095138888886</v>
      </c>
      <c r="BN410" s="2">
        <v>5.4</v>
      </c>
      <c r="BO410" s="2">
        <v>42005.092361111114</v>
      </c>
      <c r="BP410" s="2">
        <v>6.92</v>
      </c>
      <c r="BQ410" s="2">
        <v>42005.092361111114</v>
      </c>
      <c r="BR410" s="2">
        <v>11.07</v>
      </c>
      <c r="BS410" s="2">
        <v>42005.092361111114</v>
      </c>
      <c r="BT410">
        <v>0</v>
      </c>
      <c r="BU410">
        <v>0</v>
      </c>
      <c r="BV410" t="s">
        <v>135</v>
      </c>
      <c r="BW410">
        <v>0</v>
      </c>
      <c r="BX410">
        <v>0</v>
      </c>
      <c r="BY410" t="s">
        <v>135</v>
      </c>
      <c r="BZ410">
        <v>0</v>
      </c>
      <c r="CA410">
        <v>0</v>
      </c>
      <c r="CB410" t="s">
        <v>135</v>
      </c>
      <c r="CH410" s="2"/>
      <c r="CJ410" s="2"/>
      <c r="CL410" s="2"/>
      <c r="CN410" s="2"/>
      <c r="CQ410" s="2"/>
      <c r="CT410" s="2"/>
      <c r="CW410" s="2"/>
    </row>
    <row r="411" spans="1:101" x14ac:dyDescent="0.25">
      <c r="A411" s="1" t="s">
        <v>163</v>
      </c>
      <c r="B411" s="75" t="s">
        <v>164</v>
      </c>
      <c r="C411">
        <v>0</v>
      </c>
      <c r="D411">
        <v>0</v>
      </c>
      <c r="E411">
        <v>0</v>
      </c>
      <c r="F411">
        <v>604324.56000000006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3.91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7490</v>
      </c>
      <c r="AW411">
        <v>3350</v>
      </c>
      <c r="AX411">
        <v>1219</v>
      </c>
      <c r="AY411">
        <v>12059</v>
      </c>
      <c r="AZ411">
        <v>4202</v>
      </c>
      <c r="BA411">
        <v>7438</v>
      </c>
      <c r="BB411">
        <v>1432</v>
      </c>
      <c r="BC411">
        <v>13072</v>
      </c>
      <c r="BD411">
        <v>9486</v>
      </c>
      <c r="BE411">
        <v>9222</v>
      </c>
      <c r="BF411">
        <v>1768</v>
      </c>
      <c r="BG411">
        <v>20476</v>
      </c>
      <c r="BH411">
        <v>0</v>
      </c>
      <c r="BI411">
        <v>0</v>
      </c>
      <c r="BJ411">
        <v>0</v>
      </c>
      <c r="BK411">
        <v>0</v>
      </c>
      <c r="BL411" s="2">
        <v>24.82</v>
      </c>
      <c r="BM411" s="2">
        <v>42005.095138888886</v>
      </c>
      <c r="BN411" s="2">
        <v>5.4</v>
      </c>
      <c r="BO411" s="2">
        <v>42005.092361111114</v>
      </c>
      <c r="BP411" s="2">
        <v>6.92</v>
      </c>
      <c r="BQ411" s="2">
        <v>42005.092361111114</v>
      </c>
      <c r="BR411" s="2">
        <v>11.07</v>
      </c>
      <c r="BS411" s="2">
        <v>42005.092361111114</v>
      </c>
      <c r="BT411">
        <v>0</v>
      </c>
      <c r="BU411">
        <v>0</v>
      </c>
      <c r="BV411" t="s">
        <v>135</v>
      </c>
      <c r="BW411">
        <v>0</v>
      </c>
      <c r="BX411">
        <v>0</v>
      </c>
      <c r="BY411" t="s">
        <v>135</v>
      </c>
      <c r="BZ411">
        <v>0</v>
      </c>
      <c r="CA411">
        <v>0</v>
      </c>
      <c r="CB411" t="s">
        <v>135</v>
      </c>
      <c r="CH411" s="2"/>
      <c r="CJ411" s="2"/>
      <c r="CL411" s="2"/>
      <c r="CN411" s="2"/>
      <c r="CQ411" s="2"/>
      <c r="CT411" s="2"/>
      <c r="CW411" s="2"/>
    </row>
    <row r="412" spans="1:101" x14ac:dyDescent="0.25">
      <c r="A412" s="1" t="s">
        <v>163</v>
      </c>
      <c r="B412" s="75" t="s">
        <v>164</v>
      </c>
      <c r="C412">
        <v>0</v>
      </c>
      <c r="D412">
        <v>0</v>
      </c>
      <c r="E412">
        <v>0</v>
      </c>
      <c r="F412">
        <v>604324.56000000006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3.91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7490</v>
      </c>
      <c r="AW412">
        <v>3350</v>
      </c>
      <c r="AX412">
        <v>1219</v>
      </c>
      <c r="AY412">
        <v>12059</v>
      </c>
      <c r="AZ412">
        <v>4202</v>
      </c>
      <c r="BA412">
        <v>7438</v>
      </c>
      <c r="BB412">
        <v>1432</v>
      </c>
      <c r="BC412">
        <v>13072</v>
      </c>
      <c r="BD412">
        <v>9486</v>
      </c>
      <c r="BE412">
        <v>9222</v>
      </c>
      <c r="BF412">
        <v>1768</v>
      </c>
      <c r="BG412">
        <v>20476</v>
      </c>
      <c r="BH412">
        <v>0</v>
      </c>
      <c r="BI412">
        <v>0</v>
      </c>
      <c r="BJ412">
        <v>0</v>
      </c>
      <c r="BK412">
        <v>0</v>
      </c>
      <c r="BL412" s="2">
        <v>24.82</v>
      </c>
      <c r="BM412" s="2">
        <v>42005.095138888886</v>
      </c>
      <c r="BN412" s="2">
        <v>5.4</v>
      </c>
      <c r="BO412" s="2">
        <v>42005.092361111114</v>
      </c>
      <c r="BP412" s="2">
        <v>6.92</v>
      </c>
      <c r="BQ412" s="2">
        <v>42005.092361111114</v>
      </c>
      <c r="BR412" s="2">
        <v>11.07</v>
      </c>
      <c r="BS412" s="2">
        <v>42005.092361111114</v>
      </c>
      <c r="BT412">
        <v>0</v>
      </c>
      <c r="BU412">
        <v>0</v>
      </c>
      <c r="BV412" t="s">
        <v>135</v>
      </c>
      <c r="BW412">
        <v>0</v>
      </c>
      <c r="BX412">
        <v>0</v>
      </c>
      <c r="BY412" t="s">
        <v>135</v>
      </c>
      <c r="BZ412">
        <v>0</v>
      </c>
      <c r="CA412">
        <v>0</v>
      </c>
      <c r="CB412" t="s">
        <v>135</v>
      </c>
      <c r="CH412" s="2"/>
      <c r="CJ412" s="2"/>
      <c r="CL412" s="2"/>
      <c r="CN412" s="2"/>
      <c r="CQ412" s="2"/>
      <c r="CT412" s="2"/>
      <c r="CW412" s="2"/>
    </row>
    <row r="413" spans="1:101" x14ac:dyDescent="0.25">
      <c r="A413" s="1" t="s">
        <v>163</v>
      </c>
      <c r="B413" s="75" t="s">
        <v>164</v>
      </c>
      <c r="C413">
        <v>0</v>
      </c>
      <c r="D413">
        <v>0</v>
      </c>
      <c r="E413">
        <v>0</v>
      </c>
      <c r="F413">
        <v>604324.56000000006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3.91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7490</v>
      </c>
      <c r="AW413">
        <v>3350</v>
      </c>
      <c r="AX413">
        <v>1219</v>
      </c>
      <c r="AY413">
        <v>12059</v>
      </c>
      <c r="AZ413">
        <v>4202</v>
      </c>
      <c r="BA413">
        <v>7438</v>
      </c>
      <c r="BB413">
        <v>1432</v>
      </c>
      <c r="BC413">
        <v>13072</v>
      </c>
      <c r="BD413">
        <v>9486</v>
      </c>
      <c r="BE413">
        <v>9222</v>
      </c>
      <c r="BF413">
        <v>1768</v>
      </c>
      <c r="BG413">
        <v>20476</v>
      </c>
      <c r="BH413">
        <v>0</v>
      </c>
      <c r="BI413">
        <v>0</v>
      </c>
      <c r="BJ413">
        <v>0</v>
      </c>
      <c r="BK413">
        <v>0</v>
      </c>
      <c r="BL413" s="2">
        <v>24.82</v>
      </c>
      <c r="BM413" s="2">
        <v>42005.095138888886</v>
      </c>
      <c r="BN413" s="2">
        <v>5.4</v>
      </c>
      <c r="BO413" s="2">
        <v>42005.092361111114</v>
      </c>
      <c r="BP413" s="2">
        <v>6.92</v>
      </c>
      <c r="BQ413" s="2">
        <v>42005.092361111114</v>
      </c>
      <c r="BR413" s="2">
        <v>11.07</v>
      </c>
      <c r="BS413" s="2">
        <v>42005.092361111114</v>
      </c>
      <c r="BT413">
        <v>0</v>
      </c>
      <c r="BU413">
        <v>0</v>
      </c>
      <c r="BV413" t="s">
        <v>135</v>
      </c>
      <c r="BW413">
        <v>0</v>
      </c>
      <c r="BX413">
        <v>0</v>
      </c>
      <c r="BY413" t="s">
        <v>135</v>
      </c>
      <c r="BZ413">
        <v>0</v>
      </c>
      <c r="CA413">
        <v>0</v>
      </c>
      <c r="CB413" t="s">
        <v>135</v>
      </c>
      <c r="CH413" s="2"/>
      <c r="CJ413" s="2"/>
      <c r="CL413" s="2"/>
      <c r="CN413" s="2"/>
      <c r="CQ413" s="2"/>
      <c r="CT413" s="2"/>
      <c r="CW413" s="2"/>
    </row>
    <row r="414" spans="1:101" x14ac:dyDescent="0.25">
      <c r="A414" s="1" t="s">
        <v>163</v>
      </c>
      <c r="B414" s="75" t="s">
        <v>164</v>
      </c>
      <c r="C414">
        <v>0</v>
      </c>
      <c r="D414">
        <v>0</v>
      </c>
      <c r="E414">
        <v>0</v>
      </c>
      <c r="F414">
        <v>604324.56000000006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3.91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7490</v>
      </c>
      <c r="AW414">
        <v>3350</v>
      </c>
      <c r="AX414">
        <v>1219</v>
      </c>
      <c r="AY414">
        <v>12059</v>
      </c>
      <c r="AZ414">
        <v>4202</v>
      </c>
      <c r="BA414">
        <v>7438</v>
      </c>
      <c r="BB414">
        <v>1432</v>
      </c>
      <c r="BC414">
        <v>13072</v>
      </c>
      <c r="BD414">
        <v>9486</v>
      </c>
      <c r="BE414">
        <v>9222</v>
      </c>
      <c r="BF414">
        <v>1768</v>
      </c>
      <c r="BG414">
        <v>20476</v>
      </c>
      <c r="BH414">
        <v>0</v>
      </c>
      <c r="BI414">
        <v>0</v>
      </c>
      <c r="BJ414">
        <v>0</v>
      </c>
      <c r="BK414">
        <v>0</v>
      </c>
      <c r="BL414" s="2">
        <v>24.82</v>
      </c>
      <c r="BM414" s="2">
        <v>42005.095138888886</v>
      </c>
      <c r="BN414" s="2">
        <v>5.4</v>
      </c>
      <c r="BO414" s="2">
        <v>42005.092361111114</v>
      </c>
      <c r="BP414" s="2">
        <v>6.92</v>
      </c>
      <c r="BQ414" s="2">
        <v>42005.092361111114</v>
      </c>
      <c r="BR414" s="2">
        <v>11.07</v>
      </c>
      <c r="BS414" s="2">
        <v>42005.092361111114</v>
      </c>
      <c r="BT414">
        <v>0</v>
      </c>
      <c r="BU414">
        <v>0</v>
      </c>
      <c r="BV414" t="s">
        <v>135</v>
      </c>
      <c r="BW414">
        <v>0</v>
      </c>
      <c r="BX414">
        <v>0</v>
      </c>
      <c r="BY414" t="s">
        <v>135</v>
      </c>
      <c r="BZ414">
        <v>0</v>
      </c>
      <c r="CA414">
        <v>0</v>
      </c>
      <c r="CB414" t="s">
        <v>135</v>
      </c>
      <c r="CH414" s="2"/>
      <c r="CJ414" s="2"/>
      <c r="CL414" s="2"/>
      <c r="CN414" s="2"/>
      <c r="CQ414" s="2"/>
      <c r="CT414" s="2"/>
      <c r="CW414" s="2"/>
    </row>
    <row r="415" spans="1:101" x14ac:dyDescent="0.25">
      <c r="A415" s="1" t="s">
        <v>163</v>
      </c>
      <c r="B415" s="75" t="s">
        <v>164</v>
      </c>
      <c r="C415">
        <v>0</v>
      </c>
      <c r="D415">
        <v>0</v>
      </c>
      <c r="E415">
        <v>0</v>
      </c>
      <c r="F415">
        <v>604324.56000000006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3.91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7490</v>
      </c>
      <c r="AW415">
        <v>3350</v>
      </c>
      <c r="AX415">
        <v>1219</v>
      </c>
      <c r="AY415">
        <v>12059</v>
      </c>
      <c r="AZ415">
        <v>4202</v>
      </c>
      <c r="BA415">
        <v>7438</v>
      </c>
      <c r="BB415">
        <v>1432</v>
      </c>
      <c r="BC415">
        <v>13072</v>
      </c>
      <c r="BD415">
        <v>9486</v>
      </c>
      <c r="BE415">
        <v>9222</v>
      </c>
      <c r="BF415">
        <v>1768</v>
      </c>
      <c r="BG415">
        <v>20476</v>
      </c>
      <c r="BH415">
        <v>0</v>
      </c>
      <c r="BI415">
        <v>0</v>
      </c>
      <c r="BJ415">
        <v>0</v>
      </c>
      <c r="BK415">
        <v>0</v>
      </c>
      <c r="BL415" s="2">
        <v>24.82</v>
      </c>
      <c r="BM415" s="2">
        <v>42005.095138888886</v>
      </c>
      <c r="BN415" s="2">
        <v>5.4</v>
      </c>
      <c r="BO415" s="2">
        <v>42005.092361111114</v>
      </c>
      <c r="BP415" s="2">
        <v>6.92</v>
      </c>
      <c r="BQ415" s="2">
        <v>42005.092361111114</v>
      </c>
      <c r="BR415" s="2">
        <v>11.07</v>
      </c>
      <c r="BS415" s="2">
        <v>42005.092361111114</v>
      </c>
      <c r="BT415">
        <v>0</v>
      </c>
      <c r="BU415">
        <v>0</v>
      </c>
      <c r="BV415" t="s">
        <v>135</v>
      </c>
      <c r="BW415">
        <v>0</v>
      </c>
      <c r="BX415">
        <v>0</v>
      </c>
      <c r="BY415" t="s">
        <v>135</v>
      </c>
      <c r="BZ415">
        <v>0</v>
      </c>
      <c r="CA415">
        <v>0</v>
      </c>
      <c r="CB415" t="s">
        <v>135</v>
      </c>
      <c r="CH415" s="2"/>
      <c r="CJ415" s="2"/>
      <c r="CL415" s="2"/>
      <c r="CN415" s="2"/>
      <c r="CQ415" s="2"/>
      <c r="CT415" s="2"/>
      <c r="CW415" s="2"/>
    </row>
    <row r="416" spans="1:101" x14ac:dyDescent="0.25">
      <c r="A416" s="1" t="s">
        <v>163</v>
      </c>
      <c r="B416" s="75" t="s">
        <v>164</v>
      </c>
      <c r="C416">
        <v>0</v>
      </c>
      <c r="D416">
        <v>0</v>
      </c>
      <c r="E416">
        <v>0</v>
      </c>
      <c r="F416">
        <v>604324.56000000006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3.91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7490</v>
      </c>
      <c r="AW416">
        <v>3350</v>
      </c>
      <c r="AX416">
        <v>1219</v>
      </c>
      <c r="AY416">
        <v>12059</v>
      </c>
      <c r="AZ416">
        <v>4202</v>
      </c>
      <c r="BA416">
        <v>7438</v>
      </c>
      <c r="BB416">
        <v>1432</v>
      </c>
      <c r="BC416">
        <v>13072</v>
      </c>
      <c r="BD416">
        <v>9486</v>
      </c>
      <c r="BE416">
        <v>9222</v>
      </c>
      <c r="BF416">
        <v>1768</v>
      </c>
      <c r="BG416">
        <v>20476</v>
      </c>
      <c r="BH416">
        <v>0</v>
      </c>
      <c r="BI416">
        <v>0</v>
      </c>
      <c r="BJ416">
        <v>0</v>
      </c>
      <c r="BK416">
        <v>0</v>
      </c>
      <c r="BL416" s="2">
        <v>24.82</v>
      </c>
      <c r="BM416" s="2">
        <v>42005.095138888886</v>
      </c>
      <c r="BN416" s="2">
        <v>5.4</v>
      </c>
      <c r="BO416" s="2">
        <v>42005.092361111114</v>
      </c>
      <c r="BP416" s="2">
        <v>6.92</v>
      </c>
      <c r="BQ416" s="2">
        <v>42005.092361111114</v>
      </c>
      <c r="BR416" s="2">
        <v>11.07</v>
      </c>
      <c r="BS416" s="2">
        <v>42005.092361111114</v>
      </c>
      <c r="BT416">
        <v>0</v>
      </c>
      <c r="BU416">
        <v>0</v>
      </c>
      <c r="BV416" t="s">
        <v>135</v>
      </c>
      <c r="BW416">
        <v>0</v>
      </c>
      <c r="BX416">
        <v>0</v>
      </c>
      <c r="BY416" t="s">
        <v>135</v>
      </c>
      <c r="BZ416">
        <v>0</v>
      </c>
      <c r="CA416">
        <v>0</v>
      </c>
      <c r="CB416" t="s">
        <v>135</v>
      </c>
      <c r="CH416" s="2"/>
      <c r="CJ416" s="2"/>
      <c r="CL416" s="2"/>
      <c r="CN416" s="2"/>
      <c r="CQ416" s="2"/>
      <c r="CT416" s="2"/>
      <c r="CW416" s="2"/>
    </row>
    <row r="417" spans="1:101" x14ac:dyDescent="0.25">
      <c r="A417" s="1" t="s">
        <v>163</v>
      </c>
      <c r="B417" s="75" t="s">
        <v>164</v>
      </c>
      <c r="C417">
        <v>0</v>
      </c>
      <c r="D417">
        <v>0</v>
      </c>
      <c r="E417">
        <v>0</v>
      </c>
      <c r="F417">
        <v>604324.56000000006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3.91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7490</v>
      </c>
      <c r="AW417">
        <v>3350</v>
      </c>
      <c r="AX417">
        <v>1219</v>
      </c>
      <c r="AY417">
        <v>12059</v>
      </c>
      <c r="AZ417">
        <v>4202</v>
      </c>
      <c r="BA417">
        <v>7438</v>
      </c>
      <c r="BB417">
        <v>1432</v>
      </c>
      <c r="BC417">
        <v>13072</v>
      </c>
      <c r="BD417">
        <v>9486</v>
      </c>
      <c r="BE417">
        <v>9222</v>
      </c>
      <c r="BF417">
        <v>1768</v>
      </c>
      <c r="BG417">
        <v>20476</v>
      </c>
      <c r="BH417">
        <v>0</v>
      </c>
      <c r="BI417">
        <v>0</v>
      </c>
      <c r="BJ417">
        <v>0</v>
      </c>
      <c r="BK417">
        <v>0</v>
      </c>
      <c r="BL417" s="2">
        <v>24.82</v>
      </c>
      <c r="BM417" s="2">
        <v>42005.095138888886</v>
      </c>
      <c r="BN417" s="2">
        <v>5.4</v>
      </c>
      <c r="BO417" s="2">
        <v>42005.092361111114</v>
      </c>
      <c r="BP417" s="2">
        <v>6.92</v>
      </c>
      <c r="BQ417" s="2">
        <v>42005.092361111114</v>
      </c>
      <c r="BR417" s="2">
        <v>11.07</v>
      </c>
      <c r="BS417" s="2">
        <v>42005.092361111114</v>
      </c>
      <c r="BT417">
        <v>0</v>
      </c>
      <c r="BU417">
        <v>0</v>
      </c>
      <c r="BV417" t="s">
        <v>135</v>
      </c>
      <c r="BW417">
        <v>0</v>
      </c>
      <c r="BX417">
        <v>0</v>
      </c>
      <c r="BY417" t="s">
        <v>135</v>
      </c>
      <c r="BZ417">
        <v>0</v>
      </c>
      <c r="CA417">
        <v>0</v>
      </c>
      <c r="CB417" t="s">
        <v>135</v>
      </c>
      <c r="CH417" s="2"/>
      <c r="CJ417" s="2"/>
      <c r="CL417" s="2"/>
      <c r="CN417" s="2"/>
      <c r="CQ417" s="2"/>
      <c r="CT417" s="2"/>
      <c r="CW417" s="2"/>
    </row>
    <row r="418" spans="1:101" x14ac:dyDescent="0.25">
      <c r="A418" s="1" t="s">
        <v>163</v>
      </c>
      <c r="B418" s="75" t="s">
        <v>164</v>
      </c>
      <c r="C418">
        <v>0</v>
      </c>
      <c r="D418">
        <v>0</v>
      </c>
      <c r="E418">
        <v>0</v>
      </c>
      <c r="F418">
        <v>604324.56000000006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3.91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7490</v>
      </c>
      <c r="AW418">
        <v>3350</v>
      </c>
      <c r="AX418">
        <v>1219</v>
      </c>
      <c r="AY418">
        <v>12059</v>
      </c>
      <c r="AZ418">
        <v>4202</v>
      </c>
      <c r="BA418">
        <v>7438</v>
      </c>
      <c r="BB418">
        <v>1432</v>
      </c>
      <c r="BC418">
        <v>13072</v>
      </c>
      <c r="BD418">
        <v>9486</v>
      </c>
      <c r="BE418">
        <v>9222</v>
      </c>
      <c r="BF418">
        <v>1768</v>
      </c>
      <c r="BG418">
        <v>20476</v>
      </c>
      <c r="BH418">
        <v>0</v>
      </c>
      <c r="BI418">
        <v>0</v>
      </c>
      <c r="BJ418">
        <v>0</v>
      </c>
      <c r="BK418">
        <v>0</v>
      </c>
      <c r="BL418" s="2">
        <v>24.82</v>
      </c>
      <c r="BM418" s="2">
        <v>42005.095138888886</v>
      </c>
      <c r="BN418" s="2">
        <v>5.4</v>
      </c>
      <c r="BO418" s="2">
        <v>42005.092361111114</v>
      </c>
      <c r="BP418" s="2">
        <v>6.92</v>
      </c>
      <c r="BQ418" s="2">
        <v>42005.092361111114</v>
      </c>
      <c r="BR418" s="2">
        <v>11.07</v>
      </c>
      <c r="BS418" s="2">
        <v>42005.092361111114</v>
      </c>
      <c r="BT418">
        <v>0</v>
      </c>
      <c r="BU418">
        <v>0</v>
      </c>
      <c r="BV418" t="s">
        <v>135</v>
      </c>
      <c r="BW418">
        <v>0</v>
      </c>
      <c r="BX418">
        <v>0</v>
      </c>
      <c r="BY418" t="s">
        <v>135</v>
      </c>
      <c r="BZ418">
        <v>0</v>
      </c>
      <c r="CA418">
        <v>0</v>
      </c>
      <c r="CB418" t="s">
        <v>135</v>
      </c>
      <c r="CH418" s="2"/>
      <c r="CJ418" s="2"/>
      <c r="CL418" s="2"/>
      <c r="CN418" s="2"/>
      <c r="CQ418" s="2"/>
      <c r="CT418" s="2"/>
      <c r="CW418" s="2"/>
    </row>
    <row r="419" spans="1:101" x14ac:dyDescent="0.25">
      <c r="A419" s="1" t="s">
        <v>163</v>
      </c>
      <c r="B419" s="75" t="s">
        <v>164</v>
      </c>
      <c r="C419">
        <v>0</v>
      </c>
      <c r="D419">
        <v>0</v>
      </c>
      <c r="E419">
        <v>0</v>
      </c>
      <c r="F419">
        <v>604324.56000000006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3.91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7490</v>
      </c>
      <c r="AW419">
        <v>3350</v>
      </c>
      <c r="AX419">
        <v>1219</v>
      </c>
      <c r="AY419">
        <v>12059</v>
      </c>
      <c r="AZ419">
        <v>4202</v>
      </c>
      <c r="BA419">
        <v>7438</v>
      </c>
      <c r="BB419">
        <v>1432</v>
      </c>
      <c r="BC419">
        <v>13072</v>
      </c>
      <c r="BD419">
        <v>9486</v>
      </c>
      <c r="BE419">
        <v>9222</v>
      </c>
      <c r="BF419">
        <v>1768</v>
      </c>
      <c r="BG419">
        <v>20476</v>
      </c>
      <c r="BH419">
        <v>0</v>
      </c>
      <c r="BI419">
        <v>0</v>
      </c>
      <c r="BJ419">
        <v>0</v>
      </c>
      <c r="BK419">
        <v>0</v>
      </c>
      <c r="BL419" s="2">
        <v>24.82</v>
      </c>
      <c r="BM419" s="2">
        <v>42005.095138888886</v>
      </c>
      <c r="BN419" s="2">
        <v>5.4</v>
      </c>
      <c r="BO419" s="2">
        <v>42005.092361111114</v>
      </c>
      <c r="BP419" s="2">
        <v>6.92</v>
      </c>
      <c r="BQ419" s="2">
        <v>42005.092361111114</v>
      </c>
      <c r="BR419" s="2">
        <v>11.07</v>
      </c>
      <c r="BS419" s="2">
        <v>42005.092361111114</v>
      </c>
      <c r="BT419">
        <v>0</v>
      </c>
      <c r="BU419">
        <v>0</v>
      </c>
      <c r="BV419" t="s">
        <v>135</v>
      </c>
      <c r="BW419">
        <v>0</v>
      </c>
      <c r="BX419">
        <v>0</v>
      </c>
      <c r="BY419" t="s">
        <v>135</v>
      </c>
      <c r="BZ419">
        <v>0</v>
      </c>
      <c r="CA419">
        <v>0</v>
      </c>
      <c r="CB419" t="s">
        <v>135</v>
      </c>
      <c r="CH419" s="2"/>
      <c r="CJ419" s="2"/>
      <c r="CL419" s="2"/>
      <c r="CN419" s="2"/>
      <c r="CQ419" s="2"/>
      <c r="CT419" s="2"/>
      <c r="CW419" s="2"/>
    </row>
    <row r="420" spans="1:101" x14ac:dyDescent="0.25">
      <c r="A420" s="1" t="s">
        <v>163</v>
      </c>
      <c r="B420" s="75" t="s">
        <v>164</v>
      </c>
      <c r="C420">
        <v>0</v>
      </c>
      <c r="D420">
        <v>0</v>
      </c>
      <c r="E420">
        <v>0</v>
      </c>
      <c r="F420">
        <v>604324.56000000006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3.91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7490</v>
      </c>
      <c r="AW420">
        <v>3350</v>
      </c>
      <c r="AX420">
        <v>1219</v>
      </c>
      <c r="AY420">
        <v>12059</v>
      </c>
      <c r="AZ420">
        <v>4202</v>
      </c>
      <c r="BA420">
        <v>7438</v>
      </c>
      <c r="BB420">
        <v>1432</v>
      </c>
      <c r="BC420">
        <v>13072</v>
      </c>
      <c r="BD420">
        <v>9486</v>
      </c>
      <c r="BE420">
        <v>9222</v>
      </c>
      <c r="BF420">
        <v>1768</v>
      </c>
      <c r="BG420">
        <v>20476</v>
      </c>
      <c r="BH420">
        <v>0</v>
      </c>
      <c r="BI420">
        <v>0</v>
      </c>
      <c r="BJ420">
        <v>0</v>
      </c>
      <c r="BK420">
        <v>0</v>
      </c>
      <c r="BL420" s="2">
        <v>24.82</v>
      </c>
      <c r="BM420" s="2">
        <v>42005.095138888886</v>
      </c>
      <c r="BN420" s="2">
        <v>5.4</v>
      </c>
      <c r="BO420" s="2">
        <v>42005.092361111114</v>
      </c>
      <c r="BP420" s="2">
        <v>6.92</v>
      </c>
      <c r="BQ420" s="2">
        <v>42005.092361111114</v>
      </c>
      <c r="BR420" s="2">
        <v>11.07</v>
      </c>
      <c r="BS420" s="2">
        <v>42005.092361111114</v>
      </c>
      <c r="BT420">
        <v>0</v>
      </c>
      <c r="BU420">
        <v>0</v>
      </c>
      <c r="BV420" t="s">
        <v>135</v>
      </c>
      <c r="BW420">
        <v>0</v>
      </c>
      <c r="BX420">
        <v>0</v>
      </c>
      <c r="BY420" t="s">
        <v>135</v>
      </c>
      <c r="BZ420">
        <v>0</v>
      </c>
      <c r="CA420">
        <v>0</v>
      </c>
      <c r="CB420" t="s">
        <v>135</v>
      </c>
      <c r="CH420" s="2"/>
      <c r="CJ420" s="2"/>
      <c r="CL420" s="2"/>
      <c r="CN420" s="2"/>
      <c r="CQ420" s="2"/>
      <c r="CT420" s="2"/>
      <c r="CW420" s="2"/>
    </row>
    <row r="421" spans="1:101" x14ac:dyDescent="0.25">
      <c r="A421" s="1" t="s">
        <v>163</v>
      </c>
      <c r="B421" s="75" t="s">
        <v>164</v>
      </c>
      <c r="C421">
        <v>0</v>
      </c>
      <c r="D421">
        <v>0</v>
      </c>
      <c r="E421">
        <v>0</v>
      </c>
      <c r="F421">
        <v>604324.56000000006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3.91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7490</v>
      </c>
      <c r="AW421">
        <v>3350</v>
      </c>
      <c r="AX421">
        <v>1219</v>
      </c>
      <c r="AY421">
        <v>12059</v>
      </c>
      <c r="AZ421">
        <v>4202</v>
      </c>
      <c r="BA421">
        <v>7438</v>
      </c>
      <c r="BB421">
        <v>1432</v>
      </c>
      <c r="BC421">
        <v>13072</v>
      </c>
      <c r="BD421">
        <v>9486</v>
      </c>
      <c r="BE421">
        <v>9222</v>
      </c>
      <c r="BF421">
        <v>1768</v>
      </c>
      <c r="BG421">
        <v>20476</v>
      </c>
      <c r="BH421">
        <v>0</v>
      </c>
      <c r="BI421">
        <v>0</v>
      </c>
      <c r="BJ421">
        <v>0</v>
      </c>
      <c r="BK421">
        <v>0</v>
      </c>
      <c r="BL421" s="2">
        <v>24.82</v>
      </c>
      <c r="BM421" s="2">
        <v>42005.095138888886</v>
      </c>
      <c r="BN421" s="2">
        <v>5.4</v>
      </c>
      <c r="BO421" s="2">
        <v>42005.092361111114</v>
      </c>
      <c r="BP421" s="2">
        <v>6.92</v>
      </c>
      <c r="BQ421" s="2">
        <v>42005.092361111114</v>
      </c>
      <c r="BR421" s="2">
        <v>11.07</v>
      </c>
      <c r="BS421" s="2">
        <v>42005.092361111114</v>
      </c>
      <c r="BT421">
        <v>0</v>
      </c>
      <c r="BU421">
        <v>0</v>
      </c>
      <c r="BV421" t="s">
        <v>135</v>
      </c>
      <c r="BW421">
        <v>0</v>
      </c>
      <c r="BX421">
        <v>0</v>
      </c>
      <c r="BY421" t="s">
        <v>135</v>
      </c>
      <c r="BZ421">
        <v>0</v>
      </c>
      <c r="CA421">
        <v>0</v>
      </c>
      <c r="CB421" t="s">
        <v>135</v>
      </c>
      <c r="CH421" s="2"/>
      <c r="CJ421" s="2"/>
      <c r="CL421" s="2"/>
      <c r="CN421" s="2"/>
      <c r="CQ421" s="2"/>
      <c r="CT421" s="2"/>
      <c r="CW421" s="2"/>
    </row>
    <row r="422" spans="1:101" x14ac:dyDescent="0.25">
      <c r="A422" s="1" t="s">
        <v>163</v>
      </c>
      <c r="B422" s="75" t="s">
        <v>164</v>
      </c>
      <c r="C422">
        <v>0</v>
      </c>
      <c r="D422">
        <v>0</v>
      </c>
      <c r="E422">
        <v>0</v>
      </c>
      <c r="F422">
        <v>604324.56000000006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3.91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7490</v>
      </c>
      <c r="AW422">
        <v>3350</v>
      </c>
      <c r="AX422">
        <v>1219</v>
      </c>
      <c r="AY422">
        <v>12059</v>
      </c>
      <c r="AZ422">
        <v>4202</v>
      </c>
      <c r="BA422">
        <v>7438</v>
      </c>
      <c r="BB422">
        <v>1432</v>
      </c>
      <c r="BC422">
        <v>13072</v>
      </c>
      <c r="BD422">
        <v>9486</v>
      </c>
      <c r="BE422">
        <v>9222</v>
      </c>
      <c r="BF422">
        <v>1768</v>
      </c>
      <c r="BG422">
        <v>20476</v>
      </c>
      <c r="BH422">
        <v>0</v>
      </c>
      <c r="BI422">
        <v>0</v>
      </c>
      <c r="BJ422">
        <v>0</v>
      </c>
      <c r="BK422">
        <v>0</v>
      </c>
      <c r="BL422" s="2">
        <v>24.82</v>
      </c>
      <c r="BM422" s="2">
        <v>42005.095138888886</v>
      </c>
      <c r="BN422" s="2">
        <v>5.4</v>
      </c>
      <c r="BO422" s="2">
        <v>42005.092361111114</v>
      </c>
      <c r="BP422" s="2">
        <v>6.92</v>
      </c>
      <c r="BQ422" s="2">
        <v>42005.092361111114</v>
      </c>
      <c r="BR422" s="2">
        <v>11.07</v>
      </c>
      <c r="BS422" s="2">
        <v>42005.092361111114</v>
      </c>
      <c r="BT422">
        <v>0</v>
      </c>
      <c r="BU422">
        <v>0</v>
      </c>
      <c r="BV422" t="s">
        <v>135</v>
      </c>
      <c r="BW422">
        <v>0</v>
      </c>
      <c r="BX422">
        <v>0</v>
      </c>
      <c r="BY422" t="s">
        <v>135</v>
      </c>
      <c r="BZ422">
        <v>0</v>
      </c>
      <c r="CA422">
        <v>0</v>
      </c>
      <c r="CB422" t="s">
        <v>135</v>
      </c>
      <c r="CH422" s="2"/>
      <c r="CJ422" s="2"/>
      <c r="CL422" s="2"/>
      <c r="CN422" s="2"/>
      <c r="CQ422" s="2"/>
      <c r="CT422" s="2"/>
      <c r="CW422" s="2"/>
    </row>
    <row r="423" spans="1:101" x14ac:dyDescent="0.25">
      <c r="A423" s="1" t="s">
        <v>163</v>
      </c>
      <c r="B423" s="75" t="s">
        <v>164</v>
      </c>
      <c r="C423">
        <v>0</v>
      </c>
      <c r="D423">
        <v>0</v>
      </c>
      <c r="E423">
        <v>0</v>
      </c>
      <c r="F423">
        <v>604324.56000000006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3.91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7490</v>
      </c>
      <c r="AW423">
        <v>3350</v>
      </c>
      <c r="AX423">
        <v>1219</v>
      </c>
      <c r="AY423">
        <v>12059</v>
      </c>
      <c r="AZ423">
        <v>4202</v>
      </c>
      <c r="BA423">
        <v>7438</v>
      </c>
      <c r="BB423">
        <v>1432</v>
      </c>
      <c r="BC423">
        <v>13072</v>
      </c>
      <c r="BD423">
        <v>9486</v>
      </c>
      <c r="BE423">
        <v>9222</v>
      </c>
      <c r="BF423">
        <v>1768</v>
      </c>
      <c r="BG423">
        <v>20476</v>
      </c>
      <c r="BH423">
        <v>0</v>
      </c>
      <c r="BI423">
        <v>0</v>
      </c>
      <c r="BJ423">
        <v>0</v>
      </c>
      <c r="BK423">
        <v>0</v>
      </c>
      <c r="BL423" s="2">
        <v>24.82</v>
      </c>
      <c r="BM423" s="2">
        <v>42005.095138888886</v>
      </c>
      <c r="BN423" s="2">
        <v>5.4</v>
      </c>
      <c r="BO423" s="2">
        <v>42005.092361111114</v>
      </c>
      <c r="BP423" s="2">
        <v>6.92</v>
      </c>
      <c r="BQ423" s="2">
        <v>42005.092361111114</v>
      </c>
      <c r="BR423" s="2">
        <v>11.07</v>
      </c>
      <c r="BS423" s="2">
        <v>42005.092361111114</v>
      </c>
      <c r="BT423">
        <v>0</v>
      </c>
      <c r="BU423">
        <v>0</v>
      </c>
      <c r="BV423" t="s">
        <v>135</v>
      </c>
      <c r="BW423">
        <v>0</v>
      </c>
      <c r="BX423">
        <v>0</v>
      </c>
      <c r="BY423" t="s">
        <v>135</v>
      </c>
      <c r="BZ423">
        <v>0</v>
      </c>
      <c r="CA423">
        <v>0</v>
      </c>
      <c r="CB423" t="s">
        <v>135</v>
      </c>
      <c r="CH423" s="2"/>
      <c r="CJ423" s="2"/>
      <c r="CL423" s="2"/>
      <c r="CN423" s="2"/>
      <c r="CQ423" s="2"/>
      <c r="CT423" s="2"/>
      <c r="CW423" s="2"/>
    </row>
    <row r="424" spans="1:101" x14ac:dyDescent="0.25">
      <c r="A424" s="1" t="s">
        <v>163</v>
      </c>
      <c r="B424" s="75" t="s">
        <v>164</v>
      </c>
      <c r="C424">
        <v>0</v>
      </c>
      <c r="D424">
        <v>0</v>
      </c>
      <c r="E424">
        <v>0</v>
      </c>
      <c r="F424">
        <v>604324.56000000006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3.91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7490</v>
      </c>
      <c r="AW424">
        <v>3350</v>
      </c>
      <c r="AX424">
        <v>1219</v>
      </c>
      <c r="AY424">
        <v>12059</v>
      </c>
      <c r="AZ424">
        <v>4202</v>
      </c>
      <c r="BA424">
        <v>7438</v>
      </c>
      <c r="BB424">
        <v>1432</v>
      </c>
      <c r="BC424">
        <v>13072</v>
      </c>
      <c r="BD424">
        <v>9486</v>
      </c>
      <c r="BE424">
        <v>9222</v>
      </c>
      <c r="BF424">
        <v>1768</v>
      </c>
      <c r="BG424">
        <v>20476</v>
      </c>
      <c r="BH424">
        <v>0</v>
      </c>
      <c r="BI424">
        <v>0</v>
      </c>
      <c r="BJ424">
        <v>0</v>
      </c>
      <c r="BK424">
        <v>0</v>
      </c>
      <c r="BL424" s="2">
        <v>24.82</v>
      </c>
      <c r="BM424" s="2">
        <v>42005.095138888886</v>
      </c>
      <c r="BN424" s="2">
        <v>5.4</v>
      </c>
      <c r="BO424" s="2">
        <v>42005.092361111114</v>
      </c>
      <c r="BP424" s="2">
        <v>6.92</v>
      </c>
      <c r="BQ424" s="2">
        <v>42005.092361111114</v>
      </c>
      <c r="BR424" s="2">
        <v>11.07</v>
      </c>
      <c r="BS424" s="2">
        <v>42005.092361111114</v>
      </c>
      <c r="BT424">
        <v>0</v>
      </c>
      <c r="BU424">
        <v>0</v>
      </c>
      <c r="BV424" t="s">
        <v>135</v>
      </c>
      <c r="BW424">
        <v>0</v>
      </c>
      <c r="BX424">
        <v>0</v>
      </c>
      <c r="BY424" t="s">
        <v>135</v>
      </c>
      <c r="BZ424">
        <v>0</v>
      </c>
      <c r="CA424">
        <v>0</v>
      </c>
      <c r="CB424" t="s">
        <v>135</v>
      </c>
      <c r="CH424" s="2"/>
      <c r="CJ424" s="2"/>
      <c r="CL424" s="2"/>
      <c r="CN424" s="2"/>
      <c r="CQ424" s="2"/>
      <c r="CT424" s="2"/>
      <c r="CW424" s="2"/>
    </row>
    <row r="425" spans="1:101" x14ac:dyDescent="0.25">
      <c r="A425" s="1" t="s">
        <v>163</v>
      </c>
      <c r="B425" s="75" t="s">
        <v>164</v>
      </c>
      <c r="C425">
        <v>0</v>
      </c>
      <c r="D425">
        <v>0</v>
      </c>
      <c r="E425">
        <v>0</v>
      </c>
      <c r="F425">
        <v>604324.56000000006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3.91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7490</v>
      </c>
      <c r="AW425">
        <v>3350</v>
      </c>
      <c r="AX425">
        <v>1219</v>
      </c>
      <c r="AY425">
        <v>12059</v>
      </c>
      <c r="AZ425">
        <v>4202</v>
      </c>
      <c r="BA425">
        <v>7438</v>
      </c>
      <c r="BB425">
        <v>1432</v>
      </c>
      <c r="BC425">
        <v>13072</v>
      </c>
      <c r="BD425">
        <v>9486</v>
      </c>
      <c r="BE425">
        <v>9222</v>
      </c>
      <c r="BF425">
        <v>1768</v>
      </c>
      <c r="BG425">
        <v>20476</v>
      </c>
      <c r="BH425">
        <v>0</v>
      </c>
      <c r="BI425">
        <v>0</v>
      </c>
      <c r="BJ425">
        <v>0</v>
      </c>
      <c r="BK425">
        <v>0</v>
      </c>
      <c r="BL425" s="2">
        <v>24.82</v>
      </c>
      <c r="BM425" s="2">
        <v>42005.095138888886</v>
      </c>
      <c r="BN425" s="2">
        <v>5.4</v>
      </c>
      <c r="BO425" s="2">
        <v>42005.092361111114</v>
      </c>
      <c r="BP425" s="2">
        <v>6.92</v>
      </c>
      <c r="BQ425" s="2">
        <v>42005.092361111114</v>
      </c>
      <c r="BR425" s="2">
        <v>11.07</v>
      </c>
      <c r="BS425" s="2">
        <v>42005.092361111114</v>
      </c>
      <c r="BT425">
        <v>0</v>
      </c>
      <c r="BU425">
        <v>0</v>
      </c>
      <c r="BV425" t="s">
        <v>135</v>
      </c>
      <c r="BW425">
        <v>0</v>
      </c>
      <c r="BX425">
        <v>0</v>
      </c>
      <c r="BY425" t="s">
        <v>135</v>
      </c>
      <c r="BZ425">
        <v>0</v>
      </c>
      <c r="CA425">
        <v>0</v>
      </c>
      <c r="CB425" t="s">
        <v>135</v>
      </c>
      <c r="CH425" s="2"/>
      <c r="CJ425" s="2"/>
      <c r="CL425" s="2"/>
      <c r="CN425" s="2"/>
      <c r="CQ425" s="2"/>
      <c r="CT425" s="2"/>
      <c r="CW425" s="2"/>
    </row>
    <row r="426" spans="1:101" x14ac:dyDescent="0.25">
      <c r="A426" s="1" t="s">
        <v>163</v>
      </c>
      <c r="B426" s="75" t="s">
        <v>164</v>
      </c>
      <c r="C426">
        <v>0</v>
      </c>
      <c r="D426">
        <v>0</v>
      </c>
      <c r="E426">
        <v>0</v>
      </c>
      <c r="F426">
        <v>604324.56000000006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3.91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7490</v>
      </c>
      <c r="AW426">
        <v>3350</v>
      </c>
      <c r="AX426">
        <v>1219</v>
      </c>
      <c r="AY426">
        <v>12059</v>
      </c>
      <c r="AZ426">
        <v>4202</v>
      </c>
      <c r="BA426">
        <v>7438</v>
      </c>
      <c r="BB426">
        <v>1432</v>
      </c>
      <c r="BC426">
        <v>13072</v>
      </c>
      <c r="BD426">
        <v>9486</v>
      </c>
      <c r="BE426">
        <v>9222</v>
      </c>
      <c r="BF426">
        <v>1768</v>
      </c>
      <c r="BG426">
        <v>20476</v>
      </c>
      <c r="BH426">
        <v>0</v>
      </c>
      <c r="BI426">
        <v>0</v>
      </c>
      <c r="BJ426">
        <v>0</v>
      </c>
      <c r="BK426">
        <v>0</v>
      </c>
      <c r="BL426" s="2">
        <v>24.82</v>
      </c>
      <c r="BM426" s="2">
        <v>42005.095138888886</v>
      </c>
      <c r="BN426" s="2">
        <v>5.4</v>
      </c>
      <c r="BO426" s="2">
        <v>42005.092361111114</v>
      </c>
      <c r="BP426" s="2">
        <v>6.92</v>
      </c>
      <c r="BQ426" s="2">
        <v>42005.092361111114</v>
      </c>
      <c r="BR426" s="2">
        <v>11.07</v>
      </c>
      <c r="BS426" s="2">
        <v>42005.092361111114</v>
      </c>
      <c r="BT426">
        <v>0</v>
      </c>
      <c r="BU426">
        <v>0</v>
      </c>
      <c r="BV426" t="s">
        <v>135</v>
      </c>
      <c r="BW426">
        <v>0</v>
      </c>
      <c r="BX426">
        <v>0</v>
      </c>
      <c r="BY426" t="s">
        <v>135</v>
      </c>
      <c r="BZ426">
        <v>0</v>
      </c>
      <c r="CA426">
        <v>0</v>
      </c>
      <c r="CB426" t="s">
        <v>135</v>
      </c>
      <c r="CH426" s="2"/>
      <c r="CJ426" s="2"/>
      <c r="CL426" s="2"/>
      <c r="CN426" s="2"/>
      <c r="CQ426" s="2"/>
      <c r="CT426" s="2"/>
      <c r="CW426" s="2"/>
    </row>
    <row r="427" spans="1:101" x14ac:dyDescent="0.25">
      <c r="A427" s="1" t="s">
        <v>163</v>
      </c>
      <c r="B427" s="75" t="s">
        <v>164</v>
      </c>
      <c r="C427">
        <v>0</v>
      </c>
      <c r="D427">
        <v>0</v>
      </c>
      <c r="E427">
        <v>0</v>
      </c>
      <c r="F427">
        <v>604324.56000000006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3.91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7490</v>
      </c>
      <c r="AW427">
        <v>3350</v>
      </c>
      <c r="AX427">
        <v>1219</v>
      </c>
      <c r="AY427">
        <v>12059</v>
      </c>
      <c r="AZ427">
        <v>4202</v>
      </c>
      <c r="BA427">
        <v>7438</v>
      </c>
      <c r="BB427">
        <v>1432</v>
      </c>
      <c r="BC427">
        <v>13072</v>
      </c>
      <c r="BD427">
        <v>9486</v>
      </c>
      <c r="BE427">
        <v>9222</v>
      </c>
      <c r="BF427">
        <v>1768</v>
      </c>
      <c r="BG427">
        <v>20476</v>
      </c>
      <c r="BH427">
        <v>0</v>
      </c>
      <c r="BI427">
        <v>0</v>
      </c>
      <c r="BJ427">
        <v>0</v>
      </c>
      <c r="BK427">
        <v>0</v>
      </c>
      <c r="BL427" s="2">
        <v>24.82</v>
      </c>
      <c r="BM427" s="2">
        <v>42005.095138888886</v>
      </c>
      <c r="BN427" s="2">
        <v>5.4</v>
      </c>
      <c r="BO427" s="2">
        <v>42005.092361111114</v>
      </c>
      <c r="BP427" s="2">
        <v>6.92</v>
      </c>
      <c r="BQ427" s="2">
        <v>42005.092361111114</v>
      </c>
      <c r="BR427" s="2">
        <v>11.07</v>
      </c>
      <c r="BS427" s="2">
        <v>42005.092361111114</v>
      </c>
      <c r="BT427">
        <v>0</v>
      </c>
      <c r="BU427">
        <v>0</v>
      </c>
      <c r="BV427" t="s">
        <v>135</v>
      </c>
      <c r="BW427">
        <v>0</v>
      </c>
      <c r="BX427">
        <v>0</v>
      </c>
      <c r="BY427" t="s">
        <v>135</v>
      </c>
      <c r="BZ427">
        <v>0</v>
      </c>
      <c r="CA427">
        <v>0</v>
      </c>
      <c r="CB427" t="s">
        <v>135</v>
      </c>
      <c r="CH427" s="2"/>
      <c r="CJ427" s="2"/>
      <c r="CL427" s="2"/>
      <c r="CN427" s="2"/>
      <c r="CQ427" s="2"/>
      <c r="CT427" s="2"/>
      <c r="CW427" s="2"/>
    </row>
    <row r="428" spans="1:101" x14ac:dyDescent="0.25">
      <c r="A428" s="1" t="s">
        <v>163</v>
      </c>
      <c r="B428" s="75" t="s">
        <v>164</v>
      </c>
      <c r="C428">
        <v>0</v>
      </c>
      <c r="D428">
        <v>0</v>
      </c>
      <c r="E428">
        <v>0</v>
      </c>
      <c r="F428">
        <v>604324.56000000006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3.91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7490</v>
      </c>
      <c r="AW428">
        <v>3350</v>
      </c>
      <c r="AX428">
        <v>1219</v>
      </c>
      <c r="AY428">
        <v>12059</v>
      </c>
      <c r="AZ428">
        <v>4202</v>
      </c>
      <c r="BA428">
        <v>7438</v>
      </c>
      <c r="BB428">
        <v>1432</v>
      </c>
      <c r="BC428">
        <v>13072</v>
      </c>
      <c r="BD428">
        <v>9486</v>
      </c>
      <c r="BE428">
        <v>9222</v>
      </c>
      <c r="BF428">
        <v>1768</v>
      </c>
      <c r="BG428">
        <v>20476</v>
      </c>
      <c r="BH428">
        <v>0</v>
      </c>
      <c r="BI428">
        <v>0</v>
      </c>
      <c r="BJ428">
        <v>0</v>
      </c>
      <c r="BK428">
        <v>0</v>
      </c>
      <c r="BL428" s="2">
        <v>24.82</v>
      </c>
      <c r="BM428" s="2">
        <v>42005.095138888886</v>
      </c>
      <c r="BN428" s="2">
        <v>5.4</v>
      </c>
      <c r="BO428" s="2">
        <v>42005.092361111114</v>
      </c>
      <c r="BP428" s="2">
        <v>6.92</v>
      </c>
      <c r="BQ428" s="2">
        <v>42005.092361111114</v>
      </c>
      <c r="BR428" s="2">
        <v>11.07</v>
      </c>
      <c r="BS428" s="2">
        <v>42005.092361111114</v>
      </c>
      <c r="BT428">
        <v>0</v>
      </c>
      <c r="BU428">
        <v>0</v>
      </c>
      <c r="BV428" t="s">
        <v>135</v>
      </c>
      <c r="BW428">
        <v>0</v>
      </c>
      <c r="BX428">
        <v>0</v>
      </c>
      <c r="BY428" t="s">
        <v>135</v>
      </c>
      <c r="BZ428">
        <v>0</v>
      </c>
      <c r="CA428">
        <v>0</v>
      </c>
      <c r="CB428" t="s">
        <v>135</v>
      </c>
      <c r="CH428" s="2"/>
      <c r="CJ428" s="2"/>
      <c r="CL428" s="2"/>
      <c r="CN428" s="2"/>
      <c r="CQ428" s="2"/>
      <c r="CT428" s="2"/>
      <c r="CW428" s="2"/>
    </row>
    <row r="429" spans="1:101" x14ac:dyDescent="0.25">
      <c r="A429" s="1" t="s">
        <v>163</v>
      </c>
      <c r="B429" s="75" t="s">
        <v>164</v>
      </c>
      <c r="C429">
        <v>0</v>
      </c>
      <c r="D429">
        <v>0</v>
      </c>
      <c r="E429">
        <v>0</v>
      </c>
      <c r="F429">
        <v>604324.56000000006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3.91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7490</v>
      </c>
      <c r="AW429">
        <v>3350</v>
      </c>
      <c r="AX429">
        <v>1219</v>
      </c>
      <c r="AY429">
        <v>12059</v>
      </c>
      <c r="AZ429">
        <v>4202</v>
      </c>
      <c r="BA429">
        <v>7438</v>
      </c>
      <c r="BB429">
        <v>1432</v>
      </c>
      <c r="BC429">
        <v>13072</v>
      </c>
      <c r="BD429">
        <v>9486</v>
      </c>
      <c r="BE429">
        <v>9222</v>
      </c>
      <c r="BF429">
        <v>1768</v>
      </c>
      <c r="BG429">
        <v>20476</v>
      </c>
      <c r="BH429">
        <v>0</v>
      </c>
      <c r="BI429">
        <v>0</v>
      </c>
      <c r="BJ429">
        <v>0</v>
      </c>
      <c r="BK429">
        <v>0</v>
      </c>
      <c r="BL429" s="2">
        <v>24.82</v>
      </c>
      <c r="BM429" s="2">
        <v>42005.095138888886</v>
      </c>
      <c r="BN429" s="2">
        <v>5.4</v>
      </c>
      <c r="BO429" s="2">
        <v>42005.092361111114</v>
      </c>
      <c r="BP429" s="2">
        <v>6.92</v>
      </c>
      <c r="BQ429" s="2">
        <v>42005.092361111114</v>
      </c>
      <c r="BR429" s="2">
        <v>11.07</v>
      </c>
      <c r="BS429" s="2">
        <v>42005.092361111114</v>
      </c>
      <c r="BT429">
        <v>0</v>
      </c>
      <c r="BU429">
        <v>0</v>
      </c>
      <c r="BV429" t="s">
        <v>135</v>
      </c>
      <c r="BW429">
        <v>0</v>
      </c>
      <c r="BX429">
        <v>0</v>
      </c>
      <c r="BY429" t="s">
        <v>135</v>
      </c>
      <c r="BZ429">
        <v>0</v>
      </c>
      <c r="CA429">
        <v>0</v>
      </c>
      <c r="CB429" t="s">
        <v>135</v>
      </c>
      <c r="CH429" s="2"/>
      <c r="CJ429" s="2"/>
      <c r="CL429" s="2"/>
      <c r="CN429" s="2"/>
      <c r="CQ429" s="2"/>
      <c r="CT429" s="2"/>
      <c r="CW429" s="2"/>
    </row>
    <row r="430" spans="1:101" x14ac:dyDescent="0.25">
      <c r="A430" s="1" t="s">
        <v>163</v>
      </c>
      <c r="B430" s="75" t="s">
        <v>164</v>
      </c>
      <c r="C430">
        <v>0</v>
      </c>
      <c r="D430">
        <v>0</v>
      </c>
      <c r="E430">
        <v>0</v>
      </c>
      <c r="F430">
        <v>604324.56000000006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3.91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7490</v>
      </c>
      <c r="AW430">
        <v>3350</v>
      </c>
      <c r="AX430">
        <v>1219</v>
      </c>
      <c r="AY430">
        <v>12059</v>
      </c>
      <c r="AZ430">
        <v>4202</v>
      </c>
      <c r="BA430">
        <v>7438</v>
      </c>
      <c r="BB430">
        <v>1432</v>
      </c>
      <c r="BC430">
        <v>13072</v>
      </c>
      <c r="BD430">
        <v>9486</v>
      </c>
      <c r="BE430">
        <v>9222</v>
      </c>
      <c r="BF430">
        <v>1768</v>
      </c>
      <c r="BG430">
        <v>20476</v>
      </c>
      <c r="BH430">
        <v>0</v>
      </c>
      <c r="BI430">
        <v>0</v>
      </c>
      <c r="BJ430">
        <v>0</v>
      </c>
      <c r="BK430">
        <v>0</v>
      </c>
      <c r="BL430" s="2">
        <v>24.82</v>
      </c>
      <c r="BM430" s="2">
        <v>42005.095138888886</v>
      </c>
      <c r="BN430" s="2">
        <v>5.4</v>
      </c>
      <c r="BO430" s="2">
        <v>42005.092361111114</v>
      </c>
      <c r="BP430" s="2">
        <v>6.92</v>
      </c>
      <c r="BQ430" s="2">
        <v>42005.092361111114</v>
      </c>
      <c r="BR430" s="2">
        <v>11.07</v>
      </c>
      <c r="BS430" s="2">
        <v>42005.092361111114</v>
      </c>
      <c r="BT430">
        <v>0</v>
      </c>
      <c r="BU430">
        <v>0</v>
      </c>
      <c r="BV430" t="s">
        <v>135</v>
      </c>
      <c r="BW430">
        <v>0</v>
      </c>
      <c r="BX430">
        <v>0</v>
      </c>
      <c r="BY430" t="s">
        <v>135</v>
      </c>
      <c r="BZ430">
        <v>0</v>
      </c>
      <c r="CA430">
        <v>0</v>
      </c>
      <c r="CB430" t="s">
        <v>135</v>
      </c>
      <c r="CH430" s="2"/>
      <c r="CJ430" s="2"/>
      <c r="CL430" s="2"/>
      <c r="CN430" s="2"/>
      <c r="CQ430" s="2"/>
      <c r="CT430" s="2"/>
      <c r="CW430" s="2"/>
    </row>
    <row r="431" spans="1:101" x14ac:dyDescent="0.25">
      <c r="A431" s="1" t="s">
        <v>163</v>
      </c>
      <c r="B431" s="75" t="s">
        <v>164</v>
      </c>
      <c r="C431">
        <v>0</v>
      </c>
      <c r="D431">
        <v>0</v>
      </c>
      <c r="E431">
        <v>0</v>
      </c>
      <c r="F431">
        <v>604324.56000000006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3.91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7490</v>
      </c>
      <c r="AW431">
        <v>3350</v>
      </c>
      <c r="AX431">
        <v>1219</v>
      </c>
      <c r="AY431">
        <v>12059</v>
      </c>
      <c r="AZ431">
        <v>4202</v>
      </c>
      <c r="BA431">
        <v>7438</v>
      </c>
      <c r="BB431">
        <v>1432</v>
      </c>
      <c r="BC431">
        <v>13072</v>
      </c>
      <c r="BD431">
        <v>9486</v>
      </c>
      <c r="BE431">
        <v>9222</v>
      </c>
      <c r="BF431">
        <v>1768</v>
      </c>
      <c r="BG431">
        <v>20476</v>
      </c>
      <c r="BH431">
        <v>0</v>
      </c>
      <c r="BI431">
        <v>0</v>
      </c>
      <c r="BJ431">
        <v>0</v>
      </c>
      <c r="BK431">
        <v>0</v>
      </c>
      <c r="BL431" s="2">
        <v>24.82</v>
      </c>
      <c r="BM431" s="2">
        <v>42005.095138888886</v>
      </c>
      <c r="BN431" s="2">
        <v>5.4</v>
      </c>
      <c r="BO431" s="2">
        <v>42005.092361111114</v>
      </c>
      <c r="BP431" s="2">
        <v>6.92</v>
      </c>
      <c r="BQ431" s="2">
        <v>42005.092361111114</v>
      </c>
      <c r="BR431" s="2">
        <v>11.07</v>
      </c>
      <c r="BS431" s="2">
        <v>42005.092361111114</v>
      </c>
      <c r="BT431">
        <v>0</v>
      </c>
      <c r="BU431">
        <v>0</v>
      </c>
      <c r="BV431" t="s">
        <v>135</v>
      </c>
      <c r="BW431">
        <v>0</v>
      </c>
      <c r="BX431">
        <v>0</v>
      </c>
      <c r="BY431" t="s">
        <v>135</v>
      </c>
      <c r="BZ431">
        <v>0</v>
      </c>
      <c r="CA431">
        <v>0</v>
      </c>
      <c r="CB431" t="s">
        <v>135</v>
      </c>
      <c r="CH431" s="2"/>
      <c r="CJ431" s="2"/>
      <c r="CL431" s="2"/>
      <c r="CN431" s="2"/>
      <c r="CQ431" s="2"/>
      <c r="CT431" s="2"/>
      <c r="CW431" s="2"/>
    </row>
    <row r="432" spans="1:101" x14ac:dyDescent="0.25">
      <c r="A432" s="1" t="s">
        <v>163</v>
      </c>
      <c r="B432" s="75" t="s">
        <v>164</v>
      </c>
      <c r="C432">
        <v>0</v>
      </c>
      <c r="D432">
        <v>0</v>
      </c>
      <c r="E432">
        <v>0</v>
      </c>
      <c r="F432">
        <v>604324.56000000006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3.91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7490</v>
      </c>
      <c r="AW432">
        <v>3350</v>
      </c>
      <c r="AX432">
        <v>1219</v>
      </c>
      <c r="AY432">
        <v>12059</v>
      </c>
      <c r="AZ432">
        <v>4202</v>
      </c>
      <c r="BA432">
        <v>7438</v>
      </c>
      <c r="BB432">
        <v>1432</v>
      </c>
      <c r="BC432">
        <v>13072</v>
      </c>
      <c r="BD432">
        <v>9486</v>
      </c>
      <c r="BE432">
        <v>9222</v>
      </c>
      <c r="BF432">
        <v>1768</v>
      </c>
      <c r="BG432">
        <v>20476</v>
      </c>
      <c r="BH432">
        <v>0</v>
      </c>
      <c r="BI432">
        <v>0</v>
      </c>
      <c r="BJ432">
        <v>0</v>
      </c>
      <c r="BK432">
        <v>0</v>
      </c>
      <c r="BL432" s="2">
        <v>24.82</v>
      </c>
      <c r="BM432" s="2">
        <v>42005.095138888886</v>
      </c>
      <c r="BN432" s="2">
        <v>5.4</v>
      </c>
      <c r="BO432" s="2">
        <v>42005.092361111114</v>
      </c>
      <c r="BP432" s="2">
        <v>6.92</v>
      </c>
      <c r="BQ432" s="2">
        <v>42005.092361111114</v>
      </c>
      <c r="BR432" s="2">
        <v>11.07</v>
      </c>
      <c r="BS432" s="2">
        <v>42005.092361111114</v>
      </c>
      <c r="BT432">
        <v>0</v>
      </c>
      <c r="BU432">
        <v>0</v>
      </c>
      <c r="BV432" t="s">
        <v>135</v>
      </c>
      <c r="BW432">
        <v>0</v>
      </c>
      <c r="BX432">
        <v>0</v>
      </c>
      <c r="BY432" t="s">
        <v>135</v>
      </c>
      <c r="BZ432">
        <v>0</v>
      </c>
      <c r="CA432">
        <v>0</v>
      </c>
      <c r="CB432" t="s">
        <v>135</v>
      </c>
      <c r="CH432" s="2"/>
      <c r="CJ432" s="2"/>
      <c r="CL432" s="2"/>
      <c r="CN432" s="2"/>
      <c r="CQ432" s="2"/>
      <c r="CT432" s="2"/>
      <c r="CW432" s="2"/>
    </row>
    <row r="433" spans="1:101" x14ac:dyDescent="0.25">
      <c r="A433" s="1" t="s">
        <v>163</v>
      </c>
      <c r="B433" s="75" t="s">
        <v>164</v>
      </c>
      <c r="C433">
        <v>0</v>
      </c>
      <c r="D433">
        <v>0</v>
      </c>
      <c r="E433">
        <v>0</v>
      </c>
      <c r="F433">
        <v>604324.56000000006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3.91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7490</v>
      </c>
      <c r="AW433">
        <v>3350</v>
      </c>
      <c r="AX433">
        <v>1219</v>
      </c>
      <c r="AY433">
        <v>12059</v>
      </c>
      <c r="AZ433">
        <v>4202</v>
      </c>
      <c r="BA433">
        <v>7438</v>
      </c>
      <c r="BB433">
        <v>1432</v>
      </c>
      <c r="BC433">
        <v>13072</v>
      </c>
      <c r="BD433">
        <v>9486</v>
      </c>
      <c r="BE433">
        <v>9222</v>
      </c>
      <c r="BF433">
        <v>1768</v>
      </c>
      <c r="BG433">
        <v>20476</v>
      </c>
      <c r="BH433">
        <v>0</v>
      </c>
      <c r="BI433">
        <v>0</v>
      </c>
      <c r="BJ433">
        <v>0</v>
      </c>
      <c r="BK433">
        <v>0</v>
      </c>
      <c r="BL433" s="2">
        <v>24.82</v>
      </c>
      <c r="BM433" s="2">
        <v>42005.095138888886</v>
      </c>
      <c r="BN433" s="2">
        <v>5.4</v>
      </c>
      <c r="BO433" s="2">
        <v>42005.092361111114</v>
      </c>
      <c r="BP433" s="2">
        <v>6.92</v>
      </c>
      <c r="BQ433" s="2">
        <v>42005.092361111114</v>
      </c>
      <c r="BR433" s="2">
        <v>11.07</v>
      </c>
      <c r="BS433" s="2">
        <v>42005.092361111114</v>
      </c>
      <c r="BT433">
        <v>0</v>
      </c>
      <c r="BU433">
        <v>0</v>
      </c>
      <c r="BV433" t="s">
        <v>135</v>
      </c>
      <c r="BW433">
        <v>0</v>
      </c>
      <c r="BX433">
        <v>0</v>
      </c>
      <c r="BY433" t="s">
        <v>135</v>
      </c>
      <c r="BZ433">
        <v>0</v>
      </c>
      <c r="CA433">
        <v>0</v>
      </c>
      <c r="CB433" t="s">
        <v>135</v>
      </c>
      <c r="CH433" s="2"/>
      <c r="CJ433" s="2"/>
      <c r="CL433" s="2"/>
      <c r="CN433" s="2"/>
      <c r="CQ433" s="2"/>
      <c r="CT433" s="2"/>
      <c r="CW433" s="2"/>
    </row>
    <row r="434" spans="1:101" x14ac:dyDescent="0.25">
      <c r="A434" s="1" t="s">
        <v>163</v>
      </c>
      <c r="B434" s="75" t="s">
        <v>164</v>
      </c>
      <c r="C434">
        <v>0</v>
      </c>
      <c r="D434">
        <v>0</v>
      </c>
      <c r="E434">
        <v>0</v>
      </c>
      <c r="F434">
        <v>604324.56000000006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3.91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7490</v>
      </c>
      <c r="AW434">
        <v>3350</v>
      </c>
      <c r="AX434">
        <v>1219</v>
      </c>
      <c r="AY434">
        <v>12059</v>
      </c>
      <c r="AZ434">
        <v>4202</v>
      </c>
      <c r="BA434">
        <v>7438</v>
      </c>
      <c r="BB434">
        <v>1432</v>
      </c>
      <c r="BC434">
        <v>13072</v>
      </c>
      <c r="BD434">
        <v>9486</v>
      </c>
      <c r="BE434">
        <v>9222</v>
      </c>
      <c r="BF434">
        <v>1768</v>
      </c>
      <c r="BG434">
        <v>20476</v>
      </c>
      <c r="BH434">
        <v>0</v>
      </c>
      <c r="BI434">
        <v>0</v>
      </c>
      <c r="BJ434">
        <v>0</v>
      </c>
      <c r="BK434">
        <v>0</v>
      </c>
      <c r="BL434" s="2">
        <v>24.82</v>
      </c>
      <c r="BM434" s="2">
        <v>42005.095138888886</v>
      </c>
      <c r="BN434" s="2">
        <v>5.4</v>
      </c>
      <c r="BO434" s="2">
        <v>42005.092361111114</v>
      </c>
      <c r="BP434" s="2">
        <v>6.92</v>
      </c>
      <c r="BQ434" s="2">
        <v>42005.092361111114</v>
      </c>
      <c r="BR434" s="2">
        <v>11.07</v>
      </c>
      <c r="BS434" s="2">
        <v>42005.092361111114</v>
      </c>
      <c r="BT434">
        <v>0</v>
      </c>
      <c r="BU434">
        <v>0</v>
      </c>
      <c r="BV434" t="s">
        <v>135</v>
      </c>
      <c r="BW434">
        <v>0</v>
      </c>
      <c r="BX434">
        <v>0</v>
      </c>
      <c r="BY434" t="s">
        <v>135</v>
      </c>
      <c r="BZ434">
        <v>0</v>
      </c>
      <c r="CA434">
        <v>0</v>
      </c>
      <c r="CB434" t="s">
        <v>135</v>
      </c>
      <c r="CH434" s="2"/>
      <c r="CJ434" s="2"/>
      <c r="CL434" s="2"/>
      <c r="CN434" s="2"/>
      <c r="CQ434" s="2"/>
      <c r="CT434" s="2"/>
      <c r="CW434" s="2"/>
    </row>
    <row r="435" spans="1:101" x14ac:dyDescent="0.25">
      <c r="A435" s="1" t="s">
        <v>163</v>
      </c>
      <c r="B435" s="75" t="s">
        <v>164</v>
      </c>
      <c r="C435">
        <v>0</v>
      </c>
      <c r="D435">
        <v>0</v>
      </c>
      <c r="E435">
        <v>0</v>
      </c>
      <c r="F435">
        <v>604324.56000000006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3.91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7490</v>
      </c>
      <c r="AW435">
        <v>3350</v>
      </c>
      <c r="AX435">
        <v>1219</v>
      </c>
      <c r="AY435">
        <v>12059</v>
      </c>
      <c r="AZ435">
        <v>4202</v>
      </c>
      <c r="BA435">
        <v>7438</v>
      </c>
      <c r="BB435">
        <v>1432</v>
      </c>
      <c r="BC435">
        <v>13072</v>
      </c>
      <c r="BD435">
        <v>9486</v>
      </c>
      <c r="BE435">
        <v>9222</v>
      </c>
      <c r="BF435">
        <v>1768</v>
      </c>
      <c r="BG435">
        <v>20476</v>
      </c>
      <c r="BH435">
        <v>0</v>
      </c>
      <c r="BI435">
        <v>0</v>
      </c>
      <c r="BJ435">
        <v>0</v>
      </c>
      <c r="BK435">
        <v>0</v>
      </c>
      <c r="BL435" s="2">
        <v>24.82</v>
      </c>
      <c r="BM435" s="2">
        <v>42005.095138888886</v>
      </c>
      <c r="BN435" s="2">
        <v>5.4</v>
      </c>
      <c r="BO435" s="2">
        <v>42005.092361111114</v>
      </c>
      <c r="BP435" s="2">
        <v>6.92</v>
      </c>
      <c r="BQ435" s="2">
        <v>42005.092361111114</v>
      </c>
      <c r="BR435" s="2">
        <v>11.07</v>
      </c>
      <c r="BS435" s="2">
        <v>42005.092361111114</v>
      </c>
      <c r="BT435">
        <v>0</v>
      </c>
      <c r="BU435">
        <v>0</v>
      </c>
      <c r="BV435" t="s">
        <v>135</v>
      </c>
      <c r="BW435">
        <v>0</v>
      </c>
      <c r="BX435">
        <v>0</v>
      </c>
      <c r="BY435" t="s">
        <v>135</v>
      </c>
      <c r="BZ435">
        <v>0</v>
      </c>
      <c r="CA435">
        <v>0</v>
      </c>
      <c r="CB435" t="s">
        <v>135</v>
      </c>
      <c r="CH435" s="2"/>
      <c r="CJ435" s="2"/>
      <c r="CL435" s="2"/>
      <c r="CN435" s="2"/>
      <c r="CQ435" s="2"/>
      <c r="CT435" s="2"/>
      <c r="CW435" s="2"/>
    </row>
    <row r="436" spans="1:101" x14ac:dyDescent="0.25">
      <c r="A436" s="1" t="s">
        <v>163</v>
      </c>
      <c r="B436" s="75" t="s">
        <v>164</v>
      </c>
      <c r="C436">
        <v>0</v>
      </c>
      <c r="D436">
        <v>0</v>
      </c>
      <c r="E436">
        <v>0</v>
      </c>
      <c r="F436">
        <v>604324.56000000006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3.91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7490</v>
      </c>
      <c r="AW436">
        <v>3350</v>
      </c>
      <c r="AX436">
        <v>1219</v>
      </c>
      <c r="AY436">
        <v>12059</v>
      </c>
      <c r="AZ436">
        <v>4202</v>
      </c>
      <c r="BA436">
        <v>7438</v>
      </c>
      <c r="BB436">
        <v>1432</v>
      </c>
      <c r="BC436">
        <v>13072</v>
      </c>
      <c r="BD436">
        <v>9486</v>
      </c>
      <c r="BE436">
        <v>9222</v>
      </c>
      <c r="BF436">
        <v>1768</v>
      </c>
      <c r="BG436">
        <v>20476</v>
      </c>
      <c r="BH436">
        <v>0</v>
      </c>
      <c r="BI436">
        <v>0</v>
      </c>
      <c r="BJ436">
        <v>0</v>
      </c>
      <c r="BK436">
        <v>0</v>
      </c>
      <c r="BL436" s="2">
        <v>24.82</v>
      </c>
      <c r="BM436" s="2">
        <v>42005.095138888886</v>
      </c>
      <c r="BN436" s="2">
        <v>5.4</v>
      </c>
      <c r="BO436" s="2">
        <v>42005.092361111114</v>
      </c>
      <c r="BP436" s="2">
        <v>6.92</v>
      </c>
      <c r="BQ436" s="2">
        <v>42005.092361111114</v>
      </c>
      <c r="BR436" s="2">
        <v>11.07</v>
      </c>
      <c r="BS436" s="2">
        <v>42005.092361111114</v>
      </c>
      <c r="BT436">
        <v>0</v>
      </c>
      <c r="BU436">
        <v>0</v>
      </c>
      <c r="BV436" t="s">
        <v>135</v>
      </c>
      <c r="BW436">
        <v>0</v>
      </c>
      <c r="BX436">
        <v>0</v>
      </c>
      <c r="BY436" t="s">
        <v>135</v>
      </c>
      <c r="BZ436">
        <v>0</v>
      </c>
      <c r="CA436">
        <v>0</v>
      </c>
      <c r="CB436" t="s">
        <v>135</v>
      </c>
      <c r="CH436" s="2"/>
      <c r="CJ436" s="2"/>
      <c r="CL436" s="2"/>
      <c r="CN436" s="2"/>
      <c r="CQ436" s="2"/>
      <c r="CT436" s="2"/>
      <c r="CW436" s="2"/>
    </row>
    <row r="437" spans="1:101" x14ac:dyDescent="0.25">
      <c r="A437" s="1" t="s">
        <v>163</v>
      </c>
      <c r="B437" s="75" t="s">
        <v>164</v>
      </c>
      <c r="C437">
        <v>0</v>
      </c>
      <c r="D437">
        <v>0</v>
      </c>
      <c r="E437">
        <v>0</v>
      </c>
      <c r="F437">
        <v>604324.56000000006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3.91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7490</v>
      </c>
      <c r="AW437">
        <v>3350</v>
      </c>
      <c r="AX437">
        <v>1219</v>
      </c>
      <c r="AY437">
        <v>12059</v>
      </c>
      <c r="AZ437">
        <v>4202</v>
      </c>
      <c r="BA437">
        <v>7438</v>
      </c>
      <c r="BB437">
        <v>1432</v>
      </c>
      <c r="BC437">
        <v>13072</v>
      </c>
      <c r="BD437">
        <v>9486</v>
      </c>
      <c r="BE437">
        <v>9222</v>
      </c>
      <c r="BF437">
        <v>1768</v>
      </c>
      <c r="BG437">
        <v>20476</v>
      </c>
      <c r="BH437">
        <v>0</v>
      </c>
      <c r="BI437">
        <v>0</v>
      </c>
      <c r="BJ437">
        <v>0</v>
      </c>
      <c r="BK437">
        <v>0</v>
      </c>
      <c r="BL437" s="2">
        <v>24.82</v>
      </c>
      <c r="BM437" s="2">
        <v>42005.095138888886</v>
      </c>
      <c r="BN437" s="2">
        <v>5.4</v>
      </c>
      <c r="BO437" s="2">
        <v>42005.092361111114</v>
      </c>
      <c r="BP437" s="2">
        <v>6.92</v>
      </c>
      <c r="BQ437" s="2">
        <v>42005.092361111114</v>
      </c>
      <c r="BR437" s="2">
        <v>11.07</v>
      </c>
      <c r="BS437" s="2">
        <v>42005.092361111114</v>
      </c>
      <c r="BT437">
        <v>0</v>
      </c>
      <c r="BU437">
        <v>0</v>
      </c>
      <c r="BV437" t="s">
        <v>135</v>
      </c>
      <c r="BW437">
        <v>0</v>
      </c>
      <c r="BX437">
        <v>0</v>
      </c>
      <c r="BY437" t="s">
        <v>135</v>
      </c>
      <c r="BZ437">
        <v>0</v>
      </c>
      <c r="CA437">
        <v>0</v>
      </c>
      <c r="CB437" t="s">
        <v>135</v>
      </c>
      <c r="CH437" s="2"/>
      <c r="CJ437" s="2"/>
      <c r="CL437" s="2"/>
      <c r="CN437" s="2"/>
      <c r="CQ437" s="2"/>
      <c r="CT437" s="2"/>
      <c r="CW437" s="2"/>
    </row>
    <row r="438" spans="1:101" x14ac:dyDescent="0.25">
      <c r="A438" s="1" t="s">
        <v>163</v>
      </c>
      <c r="B438" s="75" t="s">
        <v>164</v>
      </c>
      <c r="C438">
        <v>0</v>
      </c>
      <c r="D438">
        <v>0</v>
      </c>
      <c r="E438">
        <v>0</v>
      </c>
      <c r="F438">
        <v>604324.56000000006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3.91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7490</v>
      </c>
      <c r="AW438">
        <v>3350</v>
      </c>
      <c r="AX438">
        <v>1219</v>
      </c>
      <c r="AY438">
        <v>12059</v>
      </c>
      <c r="AZ438">
        <v>4202</v>
      </c>
      <c r="BA438">
        <v>7438</v>
      </c>
      <c r="BB438">
        <v>1432</v>
      </c>
      <c r="BC438">
        <v>13072</v>
      </c>
      <c r="BD438">
        <v>9486</v>
      </c>
      <c r="BE438">
        <v>9222</v>
      </c>
      <c r="BF438">
        <v>1768</v>
      </c>
      <c r="BG438">
        <v>20476</v>
      </c>
      <c r="BH438">
        <v>0</v>
      </c>
      <c r="BI438">
        <v>0</v>
      </c>
      <c r="BJ438">
        <v>0</v>
      </c>
      <c r="BK438">
        <v>0</v>
      </c>
      <c r="BL438" s="2">
        <v>24.82</v>
      </c>
      <c r="BM438" s="2">
        <v>42005.095138888886</v>
      </c>
      <c r="BN438" s="2">
        <v>5.4</v>
      </c>
      <c r="BO438" s="2">
        <v>42005.092361111114</v>
      </c>
      <c r="BP438" s="2">
        <v>6.92</v>
      </c>
      <c r="BQ438" s="2">
        <v>42005.092361111114</v>
      </c>
      <c r="BR438" s="2">
        <v>11.07</v>
      </c>
      <c r="BS438" s="2">
        <v>42005.092361111114</v>
      </c>
      <c r="BT438">
        <v>0</v>
      </c>
      <c r="BU438">
        <v>0</v>
      </c>
      <c r="BV438" t="s">
        <v>135</v>
      </c>
      <c r="BW438">
        <v>0</v>
      </c>
      <c r="BX438">
        <v>0</v>
      </c>
      <c r="BY438" t="s">
        <v>135</v>
      </c>
      <c r="BZ438">
        <v>0</v>
      </c>
      <c r="CA438">
        <v>0</v>
      </c>
      <c r="CB438" t="s">
        <v>135</v>
      </c>
      <c r="CH438" s="2"/>
      <c r="CJ438" s="2"/>
      <c r="CL438" s="2"/>
      <c r="CN438" s="2"/>
      <c r="CQ438" s="2"/>
      <c r="CT438" s="2"/>
      <c r="CW438" s="2"/>
    </row>
    <row r="439" spans="1:101" x14ac:dyDescent="0.25">
      <c r="A439" s="1" t="s">
        <v>163</v>
      </c>
      <c r="B439" s="75" t="s">
        <v>164</v>
      </c>
      <c r="C439">
        <v>0</v>
      </c>
      <c r="D439">
        <v>0</v>
      </c>
      <c r="E439">
        <v>0</v>
      </c>
      <c r="F439">
        <v>604324.56000000006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3.91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7490</v>
      </c>
      <c r="AW439">
        <v>3350</v>
      </c>
      <c r="AX439">
        <v>1219</v>
      </c>
      <c r="AY439">
        <v>12059</v>
      </c>
      <c r="AZ439">
        <v>4202</v>
      </c>
      <c r="BA439">
        <v>7438</v>
      </c>
      <c r="BB439">
        <v>1432</v>
      </c>
      <c r="BC439">
        <v>13072</v>
      </c>
      <c r="BD439">
        <v>9486</v>
      </c>
      <c r="BE439">
        <v>9222</v>
      </c>
      <c r="BF439">
        <v>1768</v>
      </c>
      <c r="BG439">
        <v>20476</v>
      </c>
      <c r="BH439">
        <v>0</v>
      </c>
      <c r="BI439">
        <v>0</v>
      </c>
      <c r="BJ439">
        <v>0</v>
      </c>
      <c r="BK439">
        <v>0</v>
      </c>
      <c r="BL439" s="2">
        <v>24.82</v>
      </c>
      <c r="BM439" s="2">
        <v>42005.095138888886</v>
      </c>
      <c r="BN439" s="2">
        <v>5.4</v>
      </c>
      <c r="BO439" s="2">
        <v>42005.092361111114</v>
      </c>
      <c r="BP439" s="2">
        <v>6.92</v>
      </c>
      <c r="BQ439" s="2">
        <v>42005.092361111114</v>
      </c>
      <c r="BR439" s="2">
        <v>11.07</v>
      </c>
      <c r="BS439" s="2">
        <v>42005.092361111114</v>
      </c>
      <c r="BT439">
        <v>0</v>
      </c>
      <c r="BU439">
        <v>0</v>
      </c>
      <c r="BV439" t="s">
        <v>135</v>
      </c>
      <c r="BW439">
        <v>0</v>
      </c>
      <c r="BX439">
        <v>0</v>
      </c>
      <c r="BY439" t="s">
        <v>135</v>
      </c>
      <c r="BZ439">
        <v>0</v>
      </c>
      <c r="CA439">
        <v>0</v>
      </c>
      <c r="CB439" t="s">
        <v>135</v>
      </c>
      <c r="CH439" s="2"/>
      <c r="CJ439" s="2"/>
      <c r="CL439" s="2"/>
      <c r="CN439" s="2"/>
      <c r="CQ439" s="2"/>
      <c r="CT439" s="2"/>
      <c r="CW439" s="2"/>
    </row>
    <row r="440" spans="1:101" x14ac:dyDescent="0.25">
      <c r="A440" s="1" t="s">
        <v>163</v>
      </c>
      <c r="B440" s="75" t="s">
        <v>164</v>
      </c>
      <c r="C440">
        <v>0</v>
      </c>
      <c r="D440">
        <v>0</v>
      </c>
      <c r="E440">
        <v>0</v>
      </c>
      <c r="F440">
        <v>604324.56000000006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3.91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7490</v>
      </c>
      <c r="AW440">
        <v>3350</v>
      </c>
      <c r="AX440">
        <v>1219</v>
      </c>
      <c r="AY440">
        <v>12059</v>
      </c>
      <c r="AZ440">
        <v>4202</v>
      </c>
      <c r="BA440">
        <v>7438</v>
      </c>
      <c r="BB440">
        <v>1432</v>
      </c>
      <c r="BC440">
        <v>13072</v>
      </c>
      <c r="BD440">
        <v>9486</v>
      </c>
      <c r="BE440">
        <v>9222</v>
      </c>
      <c r="BF440">
        <v>1768</v>
      </c>
      <c r="BG440">
        <v>20476</v>
      </c>
      <c r="BH440">
        <v>0</v>
      </c>
      <c r="BI440">
        <v>0</v>
      </c>
      <c r="BJ440">
        <v>0</v>
      </c>
      <c r="BK440">
        <v>0</v>
      </c>
      <c r="BL440" s="2">
        <v>24.82</v>
      </c>
      <c r="BM440" s="2">
        <v>42005.095138888886</v>
      </c>
      <c r="BN440" s="2">
        <v>5.4</v>
      </c>
      <c r="BO440" s="2">
        <v>42005.092361111114</v>
      </c>
      <c r="BP440" s="2">
        <v>6.92</v>
      </c>
      <c r="BQ440" s="2">
        <v>42005.092361111114</v>
      </c>
      <c r="BR440" s="2">
        <v>11.07</v>
      </c>
      <c r="BS440" s="2">
        <v>42005.092361111114</v>
      </c>
      <c r="BT440">
        <v>0</v>
      </c>
      <c r="BU440">
        <v>0</v>
      </c>
      <c r="BV440" t="s">
        <v>135</v>
      </c>
      <c r="BW440">
        <v>0</v>
      </c>
      <c r="BX440">
        <v>0</v>
      </c>
      <c r="BY440" t="s">
        <v>135</v>
      </c>
      <c r="BZ440">
        <v>0</v>
      </c>
      <c r="CA440">
        <v>0</v>
      </c>
      <c r="CB440" t="s">
        <v>135</v>
      </c>
      <c r="CH440" s="2"/>
      <c r="CJ440" s="2"/>
      <c r="CL440" s="2"/>
      <c r="CN440" s="2"/>
      <c r="CQ440" s="2"/>
      <c r="CT440" s="2"/>
      <c r="CW440" s="2"/>
    </row>
    <row r="441" spans="1:101" x14ac:dyDescent="0.25">
      <c r="A441" s="1" t="s">
        <v>163</v>
      </c>
      <c r="B441" s="75" t="s">
        <v>164</v>
      </c>
      <c r="C441">
        <v>0</v>
      </c>
      <c r="D441">
        <v>0</v>
      </c>
      <c r="E441">
        <v>0</v>
      </c>
      <c r="F441">
        <v>604324.56000000006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3.91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7490</v>
      </c>
      <c r="AW441">
        <v>3350</v>
      </c>
      <c r="AX441">
        <v>1219</v>
      </c>
      <c r="AY441">
        <v>12059</v>
      </c>
      <c r="AZ441">
        <v>4202</v>
      </c>
      <c r="BA441">
        <v>7438</v>
      </c>
      <c r="BB441">
        <v>1432</v>
      </c>
      <c r="BC441">
        <v>13072</v>
      </c>
      <c r="BD441">
        <v>9486</v>
      </c>
      <c r="BE441">
        <v>9222</v>
      </c>
      <c r="BF441">
        <v>1768</v>
      </c>
      <c r="BG441">
        <v>20476</v>
      </c>
      <c r="BH441">
        <v>0</v>
      </c>
      <c r="BI441">
        <v>0</v>
      </c>
      <c r="BJ441">
        <v>0</v>
      </c>
      <c r="BK441">
        <v>0</v>
      </c>
      <c r="BL441" s="2">
        <v>24.82</v>
      </c>
      <c r="BM441" s="2">
        <v>42005.095138888886</v>
      </c>
      <c r="BN441" s="2">
        <v>5.4</v>
      </c>
      <c r="BO441" s="2">
        <v>42005.092361111114</v>
      </c>
      <c r="BP441" s="2">
        <v>6.92</v>
      </c>
      <c r="BQ441" s="2">
        <v>42005.092361111114</v>
      </c>
      <c r="BR441" s="2">
        <v>11.07</v>
      </c>
      <c r="BS441" s="2">
        <v>42005.092361111114</v>
      </c>
      <c r="BT441">
        <v>0</v>
      </c>
      <c r="BU441">
        <v>0</v>
      </c>
      <c r="BV441" t="s">
        <v>135</v>
      </c>
      <c r="BW441">
        <v>0</v>
      </c>
      <c r="BX441">
        <v>0</v>
      </c>
      <c r="BY441" t="s">
        <v>135</v>
      </c>
      <c r="BZ441">
        <v>0</v>
      </c>
      <c r="CA441">
        <v>0</v>
      </c>
      <c r="CB441" t="s">
        <v>135</v>
      </c>
      <c r="CH441" s="2"/>
      <c r="CJ441" s="2"/>
      <c r="CL441" s="2"/>
      <c r="CN441" s="2"/>
      <c r="CQ441" s="2"/>
      <c r="CT441" s="2"/>
      <c r="CW441" s="2"/>
    </row>
    <row r="442" spans="1:101" x14ac:dyDescent="0.25">
      <c r="A442" s="1" t="s">
        <v>163</v>
      </c>
      <c r="B442" s="75" t="s">
        <v>164</v>
      </c>
      <c r="C442">
        <v>0</v>
      </c>
      <c r="D442">
        <v>0</v>
      </c>
      <c r="E442">
        <v>0</v>
      </c>
      <c r="F442">
        <v>604324.56000000006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3.91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7490</v>
      </c>
      <c r="AW442">
        <v>3350</v>
      </c>
      <c r="AX442">
        <v>1219</v>
      </c>
      <c r="AY442">
        <v>12059</v>
      </c>
      <c r="AZ442">
        <v>4202</v>
      </c>
      <c r="BA442">
        <v>7438</v>
      </c>
      <c r="BB442">
        <v>1432</v>
      </c>
      <c r="BC442">
        <v>13072</v>
      </c>
      <c r="BD442">
        <v>9486</v>
      </c>
      <c r="BE442">
        <v>9222</v>
      </c>
      <c r="BF442">
        <v>1768</v>
      </c>
      <c r="BG442">
        <v>20476</v>
      </c>
      <c r="BH442">
        <v>0</v>
      </c>
      <c r="BI442">
        <v>0</v>
      </c>
      <c r="BJ442">
        <v>0</v>
      </c>
      <c r="BK442">
        <v>0</v>
      </c>
      <c r="BL442" s="2">
        <v>24.82</v>
      </c>
      <c r="BM442" s="2">
        <v>42005.095138888886</v>
      </c>
      <c r="BN442" s="2">
        <v>5.4</v>
      </c>
      <c r="BO442" s="2">
        <v>42005.092361111114</v>
      </c>
      <c r="BP442" s="2">
        <v>6.92</v>
      </c>
      <c r="BQ442" s="2">
        <v>42005.092361111114</v>
      </c>
      <c r="BR442" s="2">
        <v>11.07</v>
      </c>
      <c r="BS442" s="2">
        <v>42005.092361111114</v>
      </c>
      <c r="BT442">
        <v>0</v>
      </c>
      <c r="BU442">
        <v>0</v>
      </c>
      <c r="BV442" t="s">
        <v>135</v>
      </c>
      <c r="BW442">
        <v>0</v>
      </c>
      <c r="BX442">
        <v>0</v>
      </c>
      <c r="BY442" t="s">
        <v>135</v>
      </c>
      <c r="BZ442">
        <v>0</v>
      </c>
      <c r="CA442">
        <v>0</v>
      </c>
      <c r="CB442" t="s">
        <v>135</v>
      </c>
      <c r="CH442" s="2"/>
      <c r="CJ442" s="2"/>
      <c r="CL442" s="2"/>
      <c r="CN442" s="2"/>
      <c r="CQ442" s="2"/>
      <c r="CT442" s="2"/>
      <c r="CW442" s="2"/>
    </row>
    <row r="443" spans="1:101" x14ac:dyDescent="0.25">
      <c r="A443" s="1" t="s">
        <v>163</v>
      </c>
      <c r="B443" s="75" t="s">
        <v>164</v>
      </c>
      <c r="C443">
        <v>0</v>
      </c>
      <c r="D443">
        <v>0</v>
      </c>
      <c r="E443">
        <v>0</v>
      </c>
      <c r="F443">
        <v>604324.56000000006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3.91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7490</v>
      </c>
      <c r="AW443">
        <v>3350</v>
      </c>
      <c r="AX443">
        <v>1219</v>
      </c>
      <c r="AY443">
        <v>12059</v>
      </c>
      <c r="AZ443">
        <v>4202</v>
      </c>
      <c r="BA443">
        <v>7438</v>
      </c>
      <c r="BB443">
        <v>1432</v>
      </c>
      <c r="BC443">
        <v>13072</v>
      </c>
      <c r="BD443">
        <v>9486</v>
      </c>
      <c r="BE443">
        <v>9222</v>
      </c>
      <c r="BF443">
        <v>1768</v>
      </c>
      <c r="BG443">
        <v>20476</v>
      </c>
      <c r="BH443">
        <v>0</v>
      </c>
      <c r="BI443">
        <v>0</v>
      </c>
      <c r="BJ443">
        <v>0</v>
      </c>
      <c r="BK443">
        <v>0</v>
      </c>
      <c r="BL443" s="2">
        <v>24.82</v>
      </c>
      <c r="BM443" s="2">
        <v>42005.095138888886</v>
      </c>
      <c r="BN443" s="2">
        <v>5.4</v>
      </c>
      <c r="BO443" s="2">
        <v>42005.092361111114</v>
      </c>
      <c r="BP443" s="2">
        <v>6.92</v>
      </c>
      <c r="BQ443" s="2">
        <v>42005.092361111114</v>
      </c>
      <c r="BR443" s="2">
        <v>11.07</v>
      </c>
      <c r="BS443" s="2">
        <v>42005.092361111114</v>
      </c>
      <c r="BT443">
        <v>0</v>
      </c>
      <c r="BU443">
        <v>0</v>
      </c>
      <c r="BV443" t="s">
        <v>135</v>
      </c>
      <c r="BW443">
        <v>0</v>
      </c>
      <c r="BX443">
        <v>0</v>
      </c>
      <c r="BY443" t="s">
        <v>135</v>
      </c>
      <c r="BZ443">
        <v>0</v>
      </c>
      <c r="CA443">
        <v>0</v>
      </c>
      <c r="CB443" t="s">
        <v>135</v>
      </c>
      <c r="CH443" s="2"/>
      <c r="CJ443" s="2"/>
      <c r="CL443" s="2"/>
      <c r="CN443" s="2"/>
      <c r="CQ443" s="2"/>
      <c r="CT443" s="2"/>
      <c r="CW443" s="2"/>
    </row>
    <row r="444" spans="1:101" x14ac:dyDescent="0.25">
      <c r="A444" s="1" t="s">
        <v>163</v>
      </c>
      <c r="B444" s="75" t="s">
        <v>164</v>
      </c>
      <c r="C444">
        <v>0</v>
      </c>
      <c r="D444">
        <v>0</v>
      </c>
      <c r="E444">
        <v>0</v>
      </c>
      <c r="F444">
        <v>604324.56000000006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3.91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7490</v>
      </c>
      <c r="AW444">
        <v>3350</v>
      </c>
      <c r="AX444">
        <v>1219</v>
      </c>
      <c r="AY444">
        <v>12059</v>
      </c>
      <c r="AZ444">
        <v>4202</v>
      </c>
      <c r="BA444">
        <v>7438</v>
      </c>
      <c r="BB444">
        <v>1432</v>
      </c>
      <c r="BC444">
        <v>13072</v>
      </c>
      <c r="BD444">
        <v>9486</v>
      </c>
      <c r="BE444">
        <v>9222</v>
      </c>
      <c r="BF444">
        <v>1768</v>
      </c>
      <c r="BG444">
        <v>20476</v>
      </c>
      <c r="BH444">
        <v>0</v>
      </c>
      <c r="BI444">
        <v>0</v>
      </c>
      <c r="BJ444">
        <v>0</v>
      </c>
      <c r="BK444">
        <v>0</v>
      </c>
      <c r="BL444" s="2">
        <v>24.82</v>
      </c>
      <c r="BM444" s="2">
        <v>42005.095138888886</v>
      </c>
      <c r="BN444" s="2">
        <v>5.4</v>
      </c>
      <c r="BO444" s="2">
        <v>42005.092361111114</v>
      </c>
      <c r="BP444" s="2">
        <v>6.92</v>
      </c>
      <c r="BQ444" s="2">
        <v>42005.092361111114</v>
      </c>
      <c r="BR444" s="2">
        <v>11.07</v>
      </c>
      <c r="BS444" s="2">
        <v>42005.092361111114</v>
      </c>
      <c r="BT444">
        <v>0</v>
      </c>
      <c r="BU444">
        <v>0</v>
      </c>
      <c r="BV444" t="s">
        <v>135</v>
      </c>
      <c r="BW444">
        <v>0</v>
      </c>
      <c r="BX444">
        <v>0</v>
      </c>
      <c r="BY444" t="s">
        <v>135</v>
      </c>
      <c r="BZ444">
        <v>0</v>
      </c>
      <c r="CA444">
        <v>0</v>
      </c>
      <c r="CB444" t="s">
        <v>135</v>
      </c>
      <c r="CH444" s="2"/>
      <c r="CJ444" s="2"/>
      <c r="CL444" s="2"/>
      <c r="CN444" s="2"/>
      <c r="CQ444" s="2"/>
      <c r="CT444" s="2"/>
      <c r="CW444" s="2"/>
    </row>
    <row r="445" spans="1:101" x14ac:dyDescent="0.25">
      <c r="A445" s="1" t="s">
        <v>163</v>
      </c>
      <c r="B445" s="75" t="s">
        <v>164</v>
      </c>
      <c r="C445">
        <v>0</v>
      </c>
      <c r="D445">
        <v>0</v>
      </c>
      <c r="E445">
        <v>0</v>
      </c>
      <c r="F445">
        <v>604324.56000000006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3.91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7490</v>
      </c>
      <c r="AW445">
        <v>3350</v>
      </c>
      <c r="AX445">
        <v>1219</v>
      </c>
      <c r="AY445">
        <v>12059</v>
      </c>
      <c r="AZ445">
        <v>4202</v>
      </c>
      <c r="BA445">
        <v>7438</v>
      </c>
      <c r="BB445">
        <v>1432</v>
      </c>
      <c r="BC445">
        <v>13072</v>
      </c>
      <c r="BD445">
        <v>9486</v>
      </c>
      <c r="BE445">
        <v>9222</v>
      </c>
      <c r="BF445">
        <v>1768</v>
      </c>
      <c r="BG445">
        <v>20476</v>
      </c>
      <c r="BH445">
        <v>0</v>
      </c>
      <c r="BI445">
        <v>0</v>
      </c>
      <c r="BJ445">
        <v>0</v>
      </c>
      <c r="BK445">
        <v>0</v>
      </c>
      <c r="BL445" s="2">
        <v>24.82</v>
      </c>
      <c r="BM445" s="2">
        <v>42005.095138888886</v>
      </c>
      <c r="BN445" s="2">
        <v>5.4</v>
      </c>
      <c r="BO445" s="2">
        <v>42005.092361111114</v>
      </c>
      <c r="BP445" s="2">
        <v>6.92</v>
      </c>
      <c r="BQ445" s="2">
        <v>42005.092361111114</v>
      </c>
      <c r="BR445" s="2">
        <v>11.07</v>
      </c>
      <c r="BS445" s="2">
        <v>42005.092361111114</v>
      </c>
      <c r="BT445">
        <v>0</v>
      </c>
      <c r="BU445">
        <v>0</v>
      </c>
      <c r="BV445" t="s">
        <v>135</v>
      </c>
      <c r="BW445">
        <v>0</v>
      </c>
      <c r="BX445">
        <v>0</v>
      </c>
      <c r="BY445" t="s">
        <v>135</v>
      </c>
      <c r="BZ445">
        <v>0</v>
      </c>
      <c r="CA445">
        <v>0</v>
      </c>
      <c r="CB445" t="s">
        <v>135</v>
      </c>
      <c r="CH445" s="2"/>
      <c r="CJ445" s="2"/>
      <c r="CL445" s="2"/>
      <c r="CN445" s="2"/>
      <c r="CQ445" s="2"/>
      <c r="CT445" s="2"/>
      <c r="CW445" s="2"/>
    </row>
    <row r="446" spans="1:101" x14ac:dyDescent="0.25">
      <c r="A446" s="1" t="s">
        <v>163</v>
      </c>
      <c r="B446" s="75" t="s">
        <v>164</v>
      </c>
      <c r="C446">
        <v>0</v>
      </c>
      <c r="D446">
        <v>0</v>
      </c>
      <c r="E446">
        <v>0</v>
      </c>
      <c r="F446">
        <v>604324.56000000006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3.91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7490</v>
      </c>
      <c r="AW446">
        <v>3350</v>
      </c>
      <c r="AX446">
        <v>1219</v>
      </c>
      <c r="AY446">
        <v>12059</v>
      </c>
      <c r="AZ446">
        <v>4202</v>
      </c>
      <c r="BA446">
        <v>7438</v>
      </c>
      <c r="BB446">
        <v>1432</v>
      </c>
      <c r="BC446">
        <v>13072</v>
      </c>
      <c r="BD446">
        <v>9486</v>
      </c>
      <c r="BE446">
        <v>9222</v>
      </c>
      <c r="BF446">
        <v>1768</v>
      </c>
      <c r="BG446">
        <v>20476</v>
      </c>
      <c r="BH446">
        <v>0</v>
      </c>
      <c r="BI446">
        <v>0</v>
      </c>
      <c r="BJ446">
        <v>0</v>
      </c>
      <c r="BK446">
        <v>0</v>
      </c>
      <c r="BL446" s="2">
        <v>24.82</v>
      </c>
      <c r="BM446" s="2">
        <v>42005.095138888886</v>
      </c>
      <c r="BN446" s="2">
        <v>5.4</v>
      </c>
      <c r="BO446" s="2">
        <v>42005.092361111114</v>
      </c>
      <c r="BP446" s="2">
        <v>6.92</v>
      </c>
      <c r="BQ446" s="2">
        <v>42005.092361111114</v>
      </c>
      <c r="BR446" s="2">
        <v>11.07</v>
      </c>
      <c r="BS446" s="2">
        <v>42005.092361111114</v>
      </c>
      <c r="BT446">
        <v>0</v>
      </c>
      <c r="BU446">
        <v>0</v>
      </c>
      <c r="BV446" t="s">
        <v>135</v>
      </c>
      <c r="BW446">
        <v>0</v>
      </c>
      <c r="BX446">
        <v>0</v>
      </c>
      <c r="BY446" t="s">
        <v>135</v>
      </c>
      <c r="BZ446">
        <v>0</v>
      </c>
      <c r="CA446">
        <v>0</v>
      </c>
      <c r="CB446" t="s">
        <v>135</v>
      </c>
      <c r="CH446" s="2"/>
      <c r="CJ446" s="2"/>
      <c r="CL446" s="2"/>
      <c r="CN446" s="2"/>
      <c r="CQ446" s="2"/>
      <c r="CT446" s="2"/>
      <c r="CW446" s="2"/>
    </row>
    <row r="447" spans="1:101" x14ac:dyDescent="0.25">
      <c r="A447" s="1" t="s">
        <v>163</v>
      </c>
      <c r="B447" s="75" t="s">
        <v>164</v>
      </c>
      <c r="C447">
        <v>0</v>
      </c>
      <c r="D447">
        <v>0</v>
      </c>
      <c r="E447">
        <v>0</v>
      </c>
      <c r="F447">
        <v>604324.56000000006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3.91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7490</v>
      </c>
      <c r="AW447">
        <v>3350</v>
      </c>
      <c r="AX447">
        <v>1219</v>
      </c>
      <c r="AY447">
        <v>12059</v>
      </c>
      <c r="AZ447">
        <v>4202</v>
      </c>
      <c r="BA447">
        <v>7438</v>
      </c>
      <c r="BB447">
        <v>1432</v>
      </c>
      <c r="BC447">
        <v>13072</v>
      </c>
      <c r="BD447">
        <v>9486</v>
      </c>
      <c r="BE447">
        <v>9222</v>
      </c>
      <c r="BF447">
        <v>1768</v>
      </c>
      <c r="BG447">
        <v>20476</v>
      </c>
      <c r="BH447">
        <v>0</v>
      </c>
      <c r="BI447">
        <v>0</v>
      </c>
      <c r="BJ447">
        <v>0</v>
      </c>
      <c r="BK447">
        <v>0</v>
      </c>
      <c r="BL447" s="2">
        <v>24.82</v>
      </c>
      <c r="BM447" s="2">
        <v>42005.095138888886</v>
      </c>
      <c r="BN447" s="2">
        <v>5.4</v>
      </c>
      <c r="BO447" s="2">
        <v>42005.092361111114</v>
      </c>
      <c r="BP447" s="2">
        <v>6.92</v>
      </c>
      <c r="BQ447" s="2">
        <v>42005.092361111114</v>
      </c>
      <c r="BR447" s="2">
        <v>11.07</v>
      </c>
      <c r="BS447" s="2">
        <v>42005.092361111114</v>
      </c>
      <c r="BT447">
        <v>0</v>
      </c>
      <c r="BU447">
        <v>0</v>
      </c>
      <c r="BV447" t="s">
        <v>135</v>
      </c>
      <c r="BW447">
        <v>0</v>
      </c>
      <c r="BX447">
        <v>0</v>
      </c>
      <c r="BY447" t="s">
        <v>135</v>
      </c>
      <c r="BZ447">
        <v>0</v>
      </c>
      <c r="CA447">
        <v>0</v>
      </c>
      <c r="CB447" t="s">
        <v>135</v>
      </c>
      <c r="CH447" s="2"/>
      <c r="CJ447" s="2"/>
      <c r="CL447" s="2"/>
      <c r="CN447" s="2"/>
      <c r="CQ447" s="2"/>
      <c r="CT447" s="2"/>
      <c r="CW447" s="2"/>
    </row>
    <row r="448" spans="1:101" x14ac:dyDescent="0.25">
      <c r="A448" s="1" t="s">
        <v>163</v>
      </c>
      <c r="B448" s="75" t="s">
        <v>164</v>
      </c>
      <c r="C448">
        <v>0</v>
      </c>
      <c r="D448">
        <v>0</v>
      </c>
      <c r="E448">
        <v>0</v>
      </c>
      <c r="F448">
        <v>604324.56000000006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3.91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7490</v>
      </c>
      <c r="AW448">
        <v>3350</v>
      </c>
      <c r="AX448">
        <v>1219</v>
      </c>
      <c r="AY448">
        <v>12059</v>
      </c>
      <c r="AZ448">
        <v>4202</v>
      </c>
      <c r="BA448">
        <v>7438</v>
      </c>
      <c r="BB448">
        <v>1432</v>
      </c>
      <c r="BC448">
        <v>13072</v>
      </c>
      <c r="BD448">
        <v>9486</v>
      </c>
      <c r="BE448">
        <v>9222</v>
      </c>
      <c r="BF448">
        <v>1768</v>
      </c>
      <c r="BG448">
        <v>20476</v>
      </c>
      <c r="BH448">
        <v>0</v>
      </c>
      <c r="BI448">
        <v>0</v>
      </c>
      <c r="BJ448">
        <v>0</v>
      </c>
      <c r="BK448">
        <v>0</v>
      </c>
      <c r="BL448" s="2">
        <v>24.82</v>
      </c>
      <c r="BM448" s="2">
        <v>42005.095138888886</v>
      </c>
      <c r="BN448" s="2">
        <v>5.4</v>
      </c>
      <c r="BO448" s="2">
        <v>42005.092361111114</v>
      </c>
      <c r="BP448" s="2">
        <v>6.92</v>
      </c>
      <c r="BQ448" s="2">
        <v>42005.092361111114</v>
      </c>
      <c r="BR448" s="2">
        <v>11.07</v>
      </c>
      <c r="BS448" s="2">
        <v>42005.092361111114</v>
      </c>
      <c r="BT448">
        <v>0</v>
      </c>
      <c r="BU448">
        <v>0</v>
      </c>
      <c r="BV448" t="s">
        <v>135</v>
      </c>
      <c r="BW448">
        <v>0</v>
      </c>
      <c r="BX448">
        <v>0</v>
      </c>
      <c r="BY448" t="s">
        <v>135</v>
      </c>
      <c r="BZ448">
        <v>0</v>
      </c>
      <c r="CA448">
        <v>0</v>
      </c>
      <c r="CB448" t="s">
        <v>135</v>
      </c>
      <c r="CH448" s="2"/>
      <c r="CJ448" s="2"/>
      <c r="CL448" s="2"/>
      <c r="CN448" s="2"/>
      <c r="CQ448" s="2"/>
      <c r="CT448" s="2"/>
      <c r="CW448" s="2"/>
    </row>
    <row r="449" spans="1:101" x14ac:dyDescent="0.25">
      <c r="A449" s="1" t="s">
        <v>163</v>
      </c>
      <c r="B449" s="75" t="s">
        <v>164</v>
      </c>
      <c r="C449">
        <v>0</v>
      </c>
      <c r="D449">
        <v>0</v>
      </c>
      <c r="E449">
        <v>0</v>
      </c>
      <c r="F449">
        <v>604324.56000000006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3.91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7490</v>
      </c>
      <c r="AW449">
        <v>3350</v>
      </c>
      <c r="AX449">
        <v>1219</v>
      </c>
      <c r="AY449">
        <v>12059</v>
      </c>
      <c r="AZ449">
        <v>4202</v>
      </c>
      <c r="BA449">
        <v>7438</v>
      </c>
      <c r="BB449">
        <v>1432</v>
      </c>
      <c r="BC449">
        <v>13072</v>
      </c>
      <c r="BD449">
        <v>9486</v>
      </c>
      <c r="BE449">
        <v>9222</v>
      </c>
      <c r="BF449">
        <v>1768</v>
      </c>
      <c r="BG449">
        <v>20476</v>
      </c>
      <c r="BH449">
        <v>0</v>
      </c>
      <c r="BI449">
        <v>0</v>
      </c>
      <c r="BJ449">
        <v>0</v>
      </c>
      <c r="BK449">
        <v>0</v>
      </c>
      <c r="BL449" s="2">
        <v>24.82</v>
      </c>
      <c r="BM449" s="2">
        <v>42005.095138888886</v>
      </c>
      <c r="BN449" s="2">
        <v>5.4</v>
      </c>
      <c r="BO449" s="2">
        <v>42005.092361111114</v>
      </c>
      <c r="BP449" s="2">
        <v>6.92</v>
      </c>
      <c r="BQ449" s="2">
        <v>42005.092361111114</v>
      </c>
      <c r="BR449" s="2">
        <v>11.07</v>
      </c>
      <c r="BS449" s="2">
        <v>42005.092361111114</v>
      </c>
      <c r="BT449">
        <v>0</v>
      </c>
      <c r="BU449">
        <v>0</v>
      </c>
      <c r="BV449" t="s">
        <v>135</v>
      </c>
      <c r="BW449">
        <v>0</v>
      </c>
      <c r="BX449">
        <v>0</v>
      </c>
      <c r="BY449" t="s">
        <v>135</v>
      </c>
      <c r="BZ449">
        <v>0</v>
      </c>
      <c r="CA449">
        <v>0</v>
      </c>
      <c r="CB449" t="s">
        <v>135</v>
      </c>
      <c r="CH449" s="2"/>
      <c r="CJ449" s="2"/>
      <c r="CL449" s="2"/>
      <c r="CN449" s="2"/>
      <c r="CQ449" s="2"/>
      <c r="CT449" s="2"/>
      <c r="CW449" s="2"/>
    </row>
    <row r="450" spans="1:101" x14ac:dyDescent="0.25">
      <c r="A450" s="1" t="s">
        <v>163</v>
      </c>
      <c r="B450" s="75" t="s">
        <v>164</v>
      </c>
      <c r="C450">
        <v>0</v>
      </c>
      <c r="D450">
        <v>0</v>
      </c>
      <c r="E450">
        <v>0</v>
      </c>
      <c r="F450">
        <v>604324.56000000006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3.91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7490</v>
      </c>
      <c r="AW450">
        <v>3350</v>
      </c>
      <c r="AX450">
        <v>1219</v>
      </c>
      <c r="AY450">
        <v>12059</v>
      </c>
      <c r="AZ450">
        <v>4202</v>
      </c>
      <c r="BA450">
        <v>7438</v>
      </c>
      <c r="BB450">
        <v>1432</v>
      </c>
      <c r="BC450">
        <v>13072</v>
      </c>
      <c r="BD450">
        <v>9486</v>
      </c>
      <c r="BE450">
        <v>9222</v>
      </c>
      <c r="BF450">
        <v>1768</v>
      </c>
      <c r="BG450">
        <v>20476</v>
      </c>
      <c r="BH450">
        <v>0</v>
      </c>
      <c r="BI450">
        <v>0</v>
      </c>
      <c r="BJ450">
        <v>0</v>
      </c>
      <c r="BK450">
        <v>0</v>
      </c>
      <c r="BL450" s="2">
        <v>24.82</v>
      </c>
      <c r="BM450" s="2">
        <v>42005.095138888886</v>
      </c>
      <c r="BN450" s="2">
        <v>5.4</v>
      </c>
      <c r="BO450" s="2">
        <v>42005.092361111114</v>
      </c>
      <c r="BP450" s="2">
        <v>6.92</v>
      </c>
      <c r="BQ450" s="2">
        <v>42005.092361111114</v>
      </c>
      <c r="BR450" s="2">
        <v>11.07</v>
      </c>
      <c r="BS450" s="2">
        <v>42005.092361111114</v>
      </c>
      <c r="BT450">
        <v>0</v>
      </c>
      <c r="BU450">
        <v>0</v>
      </c>
      <c r="BV450" t="s">
        <v>135</v>
      </c>
      <c r="BW450">
        <v>0</v>
      </c>
      <c r="BX450">
        <v>0</v>
      </c>
      <c r="BY450" t="s">
        <v>135</v>
      </c>
      <c r="BZ450">
        <v>0</v>
      </c>
      <c r="CA450">
        <v>0</v>
      </c>
      <c r="CB450" t="s">
        <v>135</v>
      </c>
      <c r="CH450" s="2"/>
      <c r="CJ450" s="2"/>
      <c r="CL450" s="2"/>
      <c r="CN450" s="2"/>
      <c r="CQ450" s="2"/>
      <c r="CT450" s="2"/>
      <c r="CW450" s="2"/>
    </row>
    <row r="451" spans="1:101" x14ac:dyDescent="0.25">
      <c r="A451" s="1" t="s">
        <v>163</v>
      </c>
      <c r="B451" s="75" t="s">
        <v>164</v>
      </c>
      <c r="C451">
        <v>0</v>
      </c>
      <c r="D451">
        <v>0</v>
      </c>
      <c r="E451">
        <v>0</v>
      </c>
      <c r="F451">
        <v>604324.56000000006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3.91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7490</v>
      </c>
      <c r="AW451">
        <v>3350</v>
      </c>
      <c r="AX451">
        <v>1219</v>
      </c>
      <c r="AY451">
        <v>12059</v>
      </c>
      <c r="AZ451">
        <v>4202</v>
      </c>
      <c r="BA451">
        <v>7438</v>
      </c>
      <c r="BB451">
        <v>1432</v>
      </c>
      <c r="BC451">
        <v>13072</v>
      </c>
      <c r="BD451">
        <v>9486</v>
      </c>
      <c r="BE451">
        <v>9222</v>
      </c>
      <c r="BF451">
        <v>1768</v>
      </c>
      <c r="BG451">
        <v>20476</v>
      </c>
      <c r="BH451">
        <v>0</v>
      </c>
      <c r="BI451">
        <v>0</v>
      </c>
      <c r="BJ451">
        <v>0</v>
      </c>
      <c r="BK451">
        <v>0</v>
      </c>
      <c r="BL451" s="2">
        <v>24.82</v>
      </c>
      <c r="BM451" s="2">
        <v>42005.095138888886</v>
      </c>
      <c r="BN451" s="2">
        <v>5.4</v>
      </c>
      <c r="BO451" s="2">
        <v>42005.092361111114</v>
      </c>
      <c r="BP451" s="2">
        <v>6.92</v>
      </c>
      <c r="BQ451" s="2">
        <v>42005.092361111114</v>
      </c>
      <c r="BR451" s="2">
        <v>11.07</v>
      </c>
      <c r="BS451" s="2">
        <v>42005.092361111114</v>
      </c>
      <c r="BT451">
        <v>0</v>
      </c>
      <c r="BU451">
        <v>0</v>
      </c>
      <c r="BV451" t="s">
        <v>135</v>
      </c>
      <c r="BW451">
        <v>0</v>
      </c>
      <c r="BX451">
        <v>0</v>
      </c>
      <c r="BY451" t="s">
        <v>135</v>
      </c>
      <c r="BZ451">
        <v>0</v>
      </c>
      <c r="CA451">
        <v>0</v>
      </c>
      <c r="CB451" t="s">
        <v>135</v>
      </c>
      <c r="CH451" s="2"/>
      <c r="CJ451" s="2"/>
      <c r="CL451" s="2"/>
      <c r="CN451" s="2"/>
      <c r="CQ451" s="2"/>
      <c r="CT451" s="2"/>
      <c r="CW451" s="2"/>
    </row>
    <row r="452" spans="1:101" x14ac:dyDescent="0.25">
      <c r="A452" s="1" t="s">
        <v>163</v>
      </c>
      <c r="B452" s="75" t="s">
        <v>164</v>
      </c>
      <c r="C452">
        <v>0</v>
      </c>
      <c r="D452">
        <v>0</v>
      </c>
      <c r="E452">
        <v>0</v>
      </c>
      <c r="F452">
        <v>604324.56000000006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3.91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7490</v>
      </c>
      <c r="AW452">
        <v>3350</v>
      </c>
      <c r="AX452">
        <v>1219</v>
      </c>
      <c r="AY452">
        <v>12059</v>
      </c>
      <c r="AZ452">
        <v>4202</v>
      </c>
      <c r="BA452">
        <v>7438</v>
      </c>
      <c r="BB452">
        <v>1432</v>
      </c>
      <c r="BC452">
        <v>13072</v>
      </c>
      <c r="BD452">
        <v>9486</v>
      </c>
      <c r="BE452">
        <v>9222</v>
      </c>
      <c r="BF452">
        <v>1768</v>
      </c>
      <c r="BG452">
        <v>20476</v>
      </c>
      <c r="BH452">
        <v>0</v>
      </c>
      <c r="BI452">
        <v>0</v>
      </c>
      <c r="BJ452">
        <v>0</v>
      </c>
      <c r="BK452">
        <v>0</v>
      </c>
      <c r="BL452" s="2">
        <v>24.82</v>
      </c>
      <c r="BM452" s="2">
        <v>42005.095138888886</v>
      </c>
      <c r="BN452" s="2">
        <v>5.4</v>
      </c>
      <c r="BO452" s="2">
        <v>42005.092361111114</v>
      </c>
      <c r="BP452" s="2">
        <v>6.92</v>
      </c>
      <c r="BQ452" s="2">
        <v>42005.092361111114</v>
      </c>
      <c r="BR452" s="2">
        <v>11.07</v>
      </c>
      <c r="BS452" s="2">
        <v>42005.092361111114</v>
      </c>
      <c r="BT452">
        <v>0</v>
      </c>
      <c r="BU452">
        <v>0</v>
      </c>
      <c r="BV452" t="s">
        <v>135</v>
      </c>
      <c r="BW452">
        <v>0</v>
      </c>
      <c r="BX452">
        <v>0</v>
      </c>
      <c r="BY452" t="s">
        <v>135</v>
      </c>
      <c r="BZ452">
        <v>0</v>
      </c>
      <c r="CA452">
        <v>0</v>
      </c>
      <c r="CB452" t="s">
        <v>135</v>
      </c>
      <c r="CH452" s="2"/>
      <c r="CJ452" s="2"/>
      <c r="CL452" s="2"/>
      <c r="CN452" s="2"/>
      <c r="CQ452" s="2"/>
      <c r="CT452" s="2"/>
      <c r="CW452" s="2"/>
    </row>
    <row r="453" spans="1:101" x14ac:dyDescent="0.25">
      <c r="A453" s="1" t="s">
        <v>163</v>
      </c>
      <c r="B453" s="75" t="s">
        <v>164</v>
      </c>
      <c r="C453">
        <v>0</v>
      </c>
      <c r="D453">
        <v>0</v>
      </c>
      <c r="E453">
        <v>0</v>
      </c>
      <c r="F453">
        <v>604324.56000000006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3.91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7490</v>
      </c>
      <c r="AW453">
        <v>3350</v>
      </c>
      <c r="AX453">
        <v>1219</v>
      </c>
      <c r="AY453">
        <v>12059</v>
      </c>
      <c r="AZ453">
        <v>4202</v>
      </c>
      <c r="BA453">
        <v>7438</v>
      </c>
      <c r="BB453">
        <v>1432</v>
      </c>
      <c r="BC453">
        <v>13072</v>
      </c>
      <c r="BD453">
        <v>9486</v>
      </c>
      <c r="BE453">
        <v>9222</v>
      </c>
      <c r="BF453">
        <v>1768</v>
      </c>
      <c r="BG453">
        <v>20476</v>
      </c>
      <c r="BH453">
        <v>0</v>
      </c>
      <c r="BI453">
        <v>0</v>
      </c>
      <c r="BJ453">
        <v>0</v>
      </c>
      <c r="BK453">
        <v>0</v>
      </c>
      <c r="BL453" s="2">
        <v>24.82</v>
      </c>
      <c r="BM453" s="2">
        <v>42005.095138888886</v>
      </c>
      <c r="BN453" s="2">
        <v>5.4</v>
      </c>
      <c r="BO453" s="2">
        <v>42005.092361111114</v>
      </c>
      <c r="BP453" s="2">
        <v>6.92</v>
      </c>
      <c r="BQ453" s="2">
        <v>42005.092361111114</v>
      </c>
      <c r="BR453" s="2">
        <v>11.07</v>
      </c>
      <c r="BS453" s="2">
        <v>42005.092361111114</v>
      </c>
      <c r="BT453">
        <v>0</v>
      </c>
      <c r="BU453">
        <v>0</v>
      </c>
      <c r="BV453" t="s">
        <v>135</v>
      </c>
      <c r="BW453">
        <v>0</v>
      </c>
      <c r="BX453">
        <v>0</v>
      </c>
      <c r="BY453" t="s">
        <v>135</v>
      </c>
      <c r="BZ453">
        <v>0</v>
      </c>
      <c r="CA453">
        <v>0</v>
      </c>
      <c r="CB453" t="s">
        <v>135</v>
      </c>
      <c r="CH453" s="2"/>
      <c r="CJ453" s="2"/>
      <c r="CL453" s="2"/>
      <c r="CN453" s="2"/>
      <c r="CQ453" s="2"/>
      <c r="CT453" s="2"/>
      <c r="CW453" s="2"/>
    </row>
    <row r="454" spans="1:101" x14ac:dyDescent="0.25">
      <c r="A454" s="1" t="s">
        <v>163</v>
      </c>
      <c r="B454" s="75" t="s">
        <v>164</v>
      </c>
      <c r="C454">
        <v>0</v>
      </c>
      <c r="D454">
        <v>0</v>
      </c>
      <c r="E454">
        <v>0</v>
      </c>
      <c r="F454">
        <v>604324.56000000006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3.91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7490</v>
      </c>
      <c r="AW454">
        <v>3350</v>
      </c>
      <c r="AX454">
        <v>1219</v>
      </c>
      <c r="AY454">
        <v>12059</v>
      </c>
      <c r="AZ454">
        <v>4202</v>
      </c>
      <c r="BA454">
        <v>7438</v>
      </c>
      <c r="BB454">
        <v>1432</v>
      </c>
      <c r="BC454">
        <v>13072</v>
      </c>
      <c r="BD454">
        <v>9486</v>
      </c>
      <c r="BE454">
        <v>9222</v>
      </c>
      <c r="BF454">
        <v>1768</v>
      </c>
      <c r="BG454">
        <v>20476</v>
      </c>
      <c r="BH454">
        <v>0</v>
      </c>
      <c r="BI454">
        <v>0</v>
      </c>
      <c r="BJ454">
        <v>0</v>
      </c>
      <c r="BK454">
        <v>0</v>
      </c>
      <c r="BL454" s="2">
        <v>24.82</v>
      </c>
      <c r="BM454" s="2">
        <v>42005.095138888886</v>
      </c>
      <c r="BN454" s="2">
        <v>5.4</v>
      </c>
      <c r="BO454" s="2">
        <v>42005.092361111114</v>
      </c>
      <c r="BP454" s="2">
        <v>6.92</v>
      </c>
      <c r="BQ454" s="2">
        <v>42005.092361111114</v>
      </c>
      <c r="BR454" s="2">
        <v>11.07</v>
      </c>
      <c r="BS454" s="2">
        <v>42005.092361111114</v>
      </c>
      <c r="BT454">
        <v>0</v>
      </c>
      <c r="BU454">
        <v>0</v>
      </c>
      <c r="BV454" t="s">
        <v>135</v>
      </c>
      <c r="BW454">
        <v>0</v>
      </c>
      <c r="BX454">
        <v>0</v>
      </c>
      <c r="BY454" t="s">
        <v>135</v>
      </c>
      <c r="BZ454">
        <v>0</v>
      </c>
      <c r="CA454">
        <v>0</v>
      </c>
      <c r="CB454" t="s">
        <v>135</v>
      </c>
      <c r="CH454" s="2"/>
      <c r="CJ454" s="2"/>
      <c r="CL454" s="2"/>
      <c r="CN454" s="2"/>
      <c r="CQ454" s="2"/>
      <c r="CT454" s="2"/>
      <c r="CW454" s="2"/>
    </row>
    <row r="455" spans="1:101" x14ac:dyDescent="0.25">
      <c r="A455" s="1" t="s">
        <v>163</v>
      </c>
      <c r="B455" s="75" t="s">
        <v>164</v>
      </c>
      <c r="C455">
        <v>0</v>
      </c>
      <c r="D455">
        <v>0</v>
      </c>
      <c r="E455">
        <v>0</v>
      </c>
      <c r="F455">
        <v>604324.56000000006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3.91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7490</v>
      </c>
      <c r="AW455">
        <v>3350</v>
      </c>
      <c r="AX455">
        <v>1219</v>
      </c>
      <c r="AY455">
        <v>12059</v>
      </c>
      <c r="AZ455">
        <v>4202</v>
      </c>
      <c r="BA455">
        <v>7438</v>
      </c>
      <c r="BB455">
        <v>1432</v>
      </c>
      <c r="BC455">
        <v>13072</v>
      </c>
      <c r="BD455">
        <v>9486</v>
      </c>
      <c r="BE455">
        <v>9222</v>
      </c>
      <c r="BF455">
        <v>1768</v>
      </c>
      <c r="BG455">
        <v>20476</v>
      </c>
      <c r="BH455">
        <v>0</v>
      </c>
      <c r="BI455">
        <v>0</v>
      </c>
      <c r="BJ455">
        <v>0</v>
      </c>
      <c r="BK455">
        <v>0</v>
      </c>
      <c r="BL455" s="2">
        <v>24.82</v>
      </c>
      <c r="BM455" s="2">
        <v>42005.095138888886</v>
      </c>
      <c r="BN455" s="2">
        <v>5.4</v>
      </c>
      <c r="BO455" s="2">
        <v>42005.092361111114</v>
      </c>
      <c r="BP455" s="2">
        <v>6.92</v>
      </c>
      <c r="BQ455" s="2">
        <v>42005.092361111114</v>
      </c>
      <c r="BR455" s="2">
        <v>11.07</v>
      </c>
      <c r="BS455" s="2">
        <v>42005.092361111114</v>
      </c>
      <c r="BT455">
        <v>0</v>
      </c>
      <c r="BU455">
        <v>0</v>
      </c>
      <c r="BV455" t="s">
        <v>135</v>
      </c>
      <c r="BW455">
        <v>0</v>
      </c>
      <c r="BX455">
        <v>0</v>
      </c>
      <c r="BY455" t="s">
        <v>135</v>
      </c>
      <c r="BZ455">
        <v>0</v>
      </c>
      <c r="CA455">
        <v>0</v>
      </c>
      <c r="CB455" t="s">
        <v>135</v>
      </c>
      <c r="CH455" s="2"/>
      <c r="CJ455" s="2"/>
      <c r="CL455" s="2"/>
      <c r="CN455" s="2"/>
      <c r="CQ455" s="2"/>
      <c r="CT455" s="2"/>
      <c r="CW455" s="2"/>
    </row>
    <row r="456" spans="1:101" x14ac:dyDescent="0.25">
      <c r="A456" s="1" t="s">
        <v>163</v>
      </c>
      <c r="B456" s="75" t="s">
        <v>164</v>
      </c>
      <c r="C456">
        <v>0</v>
      </c>
      <c r="D456">
        <v>0</v>
      </c>
      <c r="E456">
        <v>0</v>
      </c>
      <c r="F456">
        <v>604324.56000000006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3.91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7490</v>
      </c>
      <c r="AW456">
        <v>3350</v>
      </c>
      <c r="AX456">
        <v>1219</v>
      </c>
      <c r="AY456">
        <v>12059</v>
      </c>
      <c r="AZ456">
        <v>4202</v>
      </c>
      <c r="BA456">
        <v>7438</v>
      </c>
      <c r="BB456">
        <v>1432</v>
      </c>
      <c r="BC456">
        <v>13072</v>
      </c>
      <c r="BD456">
        <v>9486</v>
      </c>
      <c r="BE456">
        <v>9222</v>
      </c>
      <c r="BF456">
        <v>1768</v>
      </c>
      <c r="BG456">
        <v>20476</v>
      </c>
      <c r="BH456">
        <v>0</v>
      </c>
      <c r="BI456">
        <v>0</v>
      </c>
      <c r="BJ456">
        <v>0</v>
      </c>
      <c r="BK456">
        <v>0</v>
      </c>
      <c r="BL456" s="2">
        <v>24.82</v>
      </c>
      <c r="BM456" s="2">
        <v>42005.095138888886</v>
      </c>
      <c r="BN456" s="2">
        <v>5.4</v>
      </c>
      <c r="BO456" s="2">
        <v>42005.092361111114</v>
      </c>
      <c r="BP456" s="2">
        <v>6.92</v>
      </c>
      <c r="BQ456" s="2">
        <v>42005.092361111114</v>
      </c>
      <c r="BR456" s="2">
        <v>11.07</v>
      </c>
      <c r="BS456" s="2">
        <v>42005.092361111114</v>
      </c>
      <c r="BT456">
        <v>0</v>
      </c>
      <c r="BU456">
        <v>0</v>
      </c>
      <c r="BV456" t="s">
        <v>135</v>
      </c>
      <c r="BW456">
        <v>0</v>
      </c>
      <c r="BX456">
        <v>0</v>
      </c>
      <c r="BY456" t="s">
        <v>135</v>
      </c>
      <c r="BZ456">
        <v>0</v>
      </c>
      <c r="CA456">
        <v>0</v>
      </c>
      <c r="CB456" t="s">
        <v>135</v>
      </c>
      <c r="CH456" s="2"/>
      <c r="CJ456" s="2"/>
      <c r="CL456" s="2"/>
      <c r="CN456" s="2"/>
      <c r="CQ456" s="2"/>
      <c r="CT456" s="2"/>
      <c r="CW456" s="2"/>
    </row>
    <row r="457" spans="1:101" x14ac:dyDescent="0.25">
      <c r="A457" s="1" t="s">
        <v>163</v>
      </c>
      <c r="B457" s="75" t="s">
        <v>164</v>
      </c>
      <c r="C457">
        <v>0</v>
      </c>
      <c r="D457">
        <v>0</v>
      </c>
      <c r="E457">
        <v>0</v>
      </c>
      <c r="F457">
        <v>604324.56000000006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3.91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7490</v>
      </c>
      <c r="AW457">
        <v>3350</v>
      </c>
      <c r="AX457">
        <v>1219</v>
      </c>
      <c r="AY457">
        <v>12059</v>
      </c>
      <c r="AZ457">
        <v>4202</v>
      </c>
      <c r="BA457">
        <v>7438</v>
      </c>
      <c r="BB457">
        <v>1432</v>
      </c>
      <c r="BC457">
        <v>13072</v>
      </c>
      <c r="BD457">
        <v>9486</v>
      </c>
      <c r="BE457">
        <v>9222</v>
      </c>
      <c r="BF457">
        <v>1768</v>
      </c>
      <c r="BG457">
        <v>20476</v>
      </c>
      <c r="BH457">
        <v>0</v>
      </c>
      <c r="BI457">
        <v>0</v>
      </c>
      <c r="BJ457">
        <v>0</v>
      </c>
      <c r="BK457">
        <v>0</v>
      </c>
      <c r="BL457" s="2">
        <v>24.82</v>
      </c>
      <c r="BM457" s="2">
        <v>42005.095138888886</v>
      </c>
      <c r="BN457" s="2">
        <v>5.4</v>
      </c>
      <c r="BO457" s="2">
        <v>42005.092361111114</v>
      </c>
      <c r="BP457" s="2">
        <v>6.92</v>
      </c>
      <c r="BQ457" s="2">
        <v>42005.092361111114</v>
      </c>
      <c r="BR457" s="2">
        <v>11.07</v>
      </c>
      <c r="BS457" s="2">
        <v>42005.092361111114</v>
      </c>
      <c r="BT457">
        <v>0</v>
      </c>
      <c r="BU457">
        <v>0</v>
      </c>
      <c r="BV457" t="s">
        <v>135</v>
      </c>
      <c r="BW457">
        <v>0</v>
      </c>
      <c r="BX457">
        <v>0</v>
      </c>
      <c r="BY457" t="s">
        <v>135</v>
      </c>
      <c r="BZ457">
        <v>0</v>
      </c>
      <c r="CA457">
        <v>0</v>
      </c>
      <c r="CB457" t="s">
        <v>135</v>
      </c>
      <c r="CH457" s="2"/>
      <c r="CJ457" s="2"/>
      <c r="CL457" s="2"/>
      <c r="CN457" s="2"/>
      <c r="CQ457" s="2"/>
      <c r="CT457" s="2"/>
      <c r="CW457" s="2"/>
    </row>
    <row r="458" spans="1:101" x14ac:dyDescent="0.25">
      <c r="A458" s="1" t="s">
        <v>163</v>
      </c>
      <c r="B458" s="75" t="s">
        <v>164</v>
      </c>
      <c r="C458">
        <v>0</v>
      </c>
      <c r="D458">
        <v>0</v>
      </c>
      <c r="E458">
        <v>0</v>
      </c>
      <c r="F458">
        <v>604324.56000000006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3.91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7490</v>
      </c>
      <c r="AW458">
        <v>3350</v>
      </c>
      <c r="AX458">
        <v>1219</v>
      </c>
      <c r="AY458">
        <v>12059</v>
      </c>
      <c r="AZ458">
        <v>4202</v>
      </c>
      <c r="BA458">
        <v>7438</v>
      </c>
      <c r="BB458">
        <v>1432</v>
      </c>
      <c r="BC458">
        <v>13072</v>
      </c>
      <c r="BD458">
        <v>9486</v>
      </c>
      <c r="BE458">
        <v>9222</v>
      </c>
      <c r="BF458">
        <v>1768</v>
      </c>
      <c r="BG458">
        <v>20476</v>
      </c>
      <c r="BH458">
        <v>0</v>
      </c>
      <c r="BI458">
        <v>0</v>
      </c>
      <c r="BJ458">
        <v>0</v>
      </c>
      <c r="BK458">
        <v>0</v>
      </c>
      <c r="BL458" s="2">
        <v>24.82</v>
      </c>
      <c r="BM458" s="2">
        <v>42005.095138888886</v>
      </c>
      <c r="BN458" s="2">
        <v>5.4</v>
      </c>
      <c r="BO458" s="2">
        <v>42005.092361111114</v>
      </c>
      <c r="BP458" s="2">
        <v>6.92</v>
      </c>
      <c r="BQ458" s="2">
        <v>42005.092361111114</v>
      </c>
      <c r="BR458" s="2">
        <v>11.07</v>
      </c>
      <c r="BS458" s="2">
        <v>42005.092361111114</v>
      </c>
      <c r="BT458">
        <v>0</v>
      </c>
      <c r="BU458">
        <v>0</v>
      </c>
      <c r="BV458" t="s">
        <v>135</v>
      </c>
      <c r="BW458">
        <v>0</v>
      </c>
      <c r="BX458">
        <v>0</v>
      </c>
      <c r="BY458" t="s">
        <v>135</v>
      </c>
      <c r="BZ458">
        <v>0</v>
      </c>
      <c r="CA458">
        <v>0</v>
      </c>
      <c r="CB458" t="s">
        <v>135</v>
      </c>
      <c r="CH458" s="2"/>
      <c r="CJ458" s="2"/>
      <c r="CL458" s="2"/>
      <c r="CN458" s="2"/>
      <c r="CQ458" s="2"/>
      <c r="CT458" s="2"/>
      <c r="CW458" s="2"/>
    </row>
    <row r="459" spans="1:101" x14ac:dyDescent="0.25">
      <c r="A459" s="1" t="s">
        <v>163</v>
      </c>
      <c r="B459" s="75" t="s">
        <v>164</v>
      </c>
      <c r="C459">
        <v>0</v>
      </c>
      <c r="D459">
        <v>0</v>
      </c>
      <c r="E459">
        <v>0</v>
      </c>
      <c r="F459">
        <v>604324.56000000006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3.91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7490</v>
      </c>
      <c r="AW459">
        <v>3350</v>
      </c>
      <c r="AX459">
        <v>1219</v>
      </c>
      <c r="AY459">
        <v>12059</v>
      </c>
      <c r="AZ459">
        <v>4202</v>
      </c>
      <c r="BA459">
        <v>7438</v>
      </c>
      <c r="BB459">
        <v>1432</v>
      </c>
      <c r="BC459">
        <v>13072</v>
      </c>
      <c r="BD459">
        <v>9486</v>
      </c>
      <c r="BE459">
        <v>9222</v>
      </c>
      <c r="BF459">
        <v>1768</v>
      </c>
      <c r="BG459">
        <v>20476</v>
      </c>
      <c r="BH459">
        <v>0</v>
      </c>
      <c r="BI459">
        <v>0</v>
      </c>
      <c r="BJ459">
        <v>0</v>
      </c>
      <c r="BK459">
        <v>0</v>
      </c>
      <c r="BL459" s="2">
        <v>24.82</v>
      </c>
      <c r="BM459" s="2">
        <v>42005.095138888886</v>
      </c>
      <c r="BN459" s="2">
        <v>5.4</v>
      </c>
      <c r="BO459" s="2">
        <v>42005.092361111114</v>
      </c>
      <c r="BP459" s="2">
        <v>6.92</v>
      </c>
      <c r="BQ459" s="2">
        <v>42005.092361111114</v>
      </c>
      <c r="BR459" s="2">
        <v>11.07</v>
      </c>
      <c r="BS459" s="2">
        <v>42005.092361111114</v>
      </c>
      <c r="BT459">
        <v>0</v>
      </c>
      <c r="BU459">
        <v>0</v>
      </c>
      <c r="BV459" t="s">
        <v>135</v>
      </c>
      <c r="BW459">
        <v>0</v>
      </c>
      <c r="BX459">
        <v>0</v>
      </c>
      <c r="BY459" t="s">
        <v>135</v>
      </c>
      <c r="BZ459">
        <v>0</v>
      </c>
      <c r="CA459">
        <v>0</v>
      </c>
      <c r="CB459" t="s">
        <v>135</v>
      </c>
      <c r="CH459" s="2"/>
      <c r="CJ459" s="2"/>
      <c r="CL459" s="2"/>
      <c r="CN459" s="2"/>
      <c r="CQ459" s="2"/>
      <c r="CT459" s="2"/>
      <c r="CW459" s="2"/>
    </row>
    <row r="460" spans="1:101" x14ac:dyDescent="0.25">
      <c r="A460" s="1" t="s">
        <v>163</v>
      </c>
      <c r="B460" s="75" t="s">
        <v>164</v>
      </c>
      <c r="C460">
        <v>0</v>
      </c>
      <c r="D460">
        <v>0</v>
      </c>
      <c r="E460">
        <v>0</v>
      </c>
      <c r="F460">
        <v>604324.56000000006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3.91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7490</v>
      </c>
      <c r="AW460">
        <v>3350</v>
      </c>
      <c r="AX460">
        <v>1219</v>
      </c>
      <c r="AY460">
        <v>12059</v>
      </c>
      <c r="AZ460">
        <v>4202</v>
      </c>
      <c r="BA460">
        <v>7438</v>
      </c>
      <c r="BB460">
        <v>1432</v>
      </c>
      <c r="BC460">
        <v>13072</v>
      </c>
      <c r="BD460">
        <v>9486</v>
      </c>
      <c r="BE460">
        <v>9222</v>
      </c>
      <c r="BF460">
        <v>1768</v>
      </c>
      <c r="BG460">
        <v>20476</v>
      </c>
      <c r="BH460">
        <v>0</v>
      </c>
      <c r="BI460">
        <v>0</v>
      </c>
      <c r="BJ460">
        <v>0</v>
      </c>
      <c r="BK460">
        <v>0</v>
      </c>
      <c r="BL460" s="2">
        <v>24.82</v>
      </c>
      <c r="BM460" s="2">
        <v>42005.095138888886</v>
      </c>
      <c r="BN460" s="2">
        <v>5.4</v>
      </c>
      <c r="BO460" s="2">
        <v>42005.092361111114</v>
      </c>
      <c r="BP460" s="2">
        <v>6.92</v>
      </c>
      <c r="BQ460" s="2">
        <v>42005.092361111114</v>
      </c>
      <c r="BR460" s="2">
        <v>11.07</v>
      </c>
      <c r="BS460" s="2">
        <v>42005.092361111114</v>
      </c>
      <c r="BT460">
        <v>0</v>
      </c>
      <c r="BU460">
        <v>0</v>
      </c>
      <c r="BV460" t="s">
        <v>135</v>
      </c>
      <c r="BW460">
        <v>0</v>
      </c>
      <c r="BX460">
        <v>0</v>
      </c>
      <c r="BY460" t="s">
        <v>135</v>
      </c>
      <c r="BZ460">
        <v>0</v>
      </c>
      <c r="CA460">
        <v>0</v>
      </c>
      <c r="CB460" t="s">
        <v>135</v>
      </c>
      <c r="CH460" s="2"/>
      <c r="CJ460" s="2"/>
      <c r="CL460" s="2"/>
      <c r="CN460" s="2"/>
      <c r="CQ460" s="2"/>
      <c r="CT460" s="2"/>
      <c r="CW460" s="2"/>
    </row>
    <row r="461" spans="1:101" x14ac:dyDescent="0.25">
      <c r="A461" s="1" t="s">
        <v>163</v>
      </c>
      <c r="B461" s="75" t="s">
        <v>164</v>
      </c>
      <c r="C461">
        <v>0</v>
      </c>
      <c r="D461">
        <v>0</v>
      </c>
      <c r="E461">
        <v>0</v>
      </c>
      <c r="F461">
        <v>604324.56000000006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3.91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7490</v>
      </c>
      <c r="AW461">
        <v>3350</v>
      </c>
      <c r="AX461">
        <v>1219</v>
      </c>
      <c r="AY461">
        <v>12059</v>
      </c>
      <c r="AZ461">
        <v>4202</v>
      </c>
      <c r="BA461">
        <v>7438</v>
      </c>
      <c r="BB461">
        <v>1432</v>
      </c>
      <c r="BC461">
        <v>13072</v>
      </c>
      <c r="BD461">
        <v>9486</v>
      </c>
      <c r="BE461">
        <v>9222</v>
      </c>
      <c r="BF461">
        <v>1768</v>
      </c>
      <c r="BG461">
        <v>20476</v>
      </c>
      <c r="BH461">
        <v>0</v>
      </c>
      <c r="BI461">
        <v>0</v>
      </c>
      <c r="BJ461">
        <v>0</v>
      </c>
      <c r="BK461">
        <v>0</v>
      </c>
      <c r="BL461" s="2">
        <v>24.82</v>
      </c>
      <c r="BM461" s="2">
        <v>42005.095138888886</v>
      </c>
      <c r="BN461" s="2">
        <v>5.4</v>
      </c>
      <c r="BO461" s="2">
        <v>42005.092361111114</v>
      </c>
      <c r="BP461" s="2">
        <v>6.92</v>
      </c>
      <c r="BQ461" s="2">
        <v>42005.092361111114</v>
      </c>
      <c r="BR461" s="2">
        <v>11.07</v>
      </c>
      <c r="BS461" s="2">
        <v>42005.092361111114</v>
      </c>
      <c r="BT461">
        <v>0</v>
      </c>
      <c r="BU461">
        <v>0</v>
      </c>
      <c r="BV461" t="s">
        <v>135</v>
      </c>
      <c r="BW461">
        <v>0</v>
      </c>
      <c r="BX461">
        <v>0</v>
      </c>
      <c r="BY461" t="s">
        <v>135</v>
      </c>
      <c r="BZ461">
        <v>0</v>
      </c>
      <c r="CA461">
        <v>0</v>
      </c>
      <c r="CB461" t="s">
        <v>135</v>
      </c>
      <c r="CH461" s="2"/>
      <c r="CJ461" s="2"/>
      <c r="CL461" s="2"/>
      <c r="CN461" s="2"/>
      <c r="CQ461" s="2"/>
      <c r="CT461" s="2"/>
      <c r="CW461" s="2"/>
    </row>
    <row r="462" spans="1:101" x14ac:dyDescent="0.25">
      <c r="A462" s="1" t="s">
        <v>163</v>
      </c>
      <c r="B462" s="75" t="s">
        <v>164</v>
      </c>
      <c r="C462">
        <v>0</v>
      </c>
      <c r="D462">
        <v>0</v>
      </c>
      <c r="E462">
        <v>0</v>
      </c>
      <c r="F462">
        <v>604324.56000000006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3.91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7490</v>
      </c>
      <c r="AW462">
        <v>3350</v>
      </c>
      <c r="AX462">
        <v>1219</v>
      </c>
      <c r="AY462">
        <v>12059</v>
      </c>
      <c r="AZ462">
        <v>4202</v>
      </c>
      <c r="BA462">
        <v>7438</v>
      </c>
      <c r="BB462">
        <v>1432</v>
      </c>
      <c r="BC462">
        <v>13072</v>
      </c>
      <c r="BD462">
        <v>9486</v>
      </c>
      <c r="BE462">
        <v>9222</v>
      </c>
      <c r="BF462">
        <v>1768</v>
      </c>
      <c r="BG462">
        <v>20476</v>
      </c>
      <c r="BH462">
        <v>0</v>
      </c>
      <c r="BI462">
        <v>0</v>
      </c>
      <c r="BJ462">
        <v>0</v>
      </c>
      <c r="BK462">
        <v>0</v>
      </c>
      <c r="BL462" s="2">
        <v>24.82</v>
      </c>
      <c r="BM462" s="2">
        <v>42005.095138888886</v>
      </c>
      <c r="BN462" s="2">
        <v>5.4</v>
      </c>
      <c r="BO462" s="2">
        <v>42005.092361111114</v>
      </c>
      <c r="BP462" s="2">
        <v>6.92</v>
      </c>
      <c r="BQ462" s="2">
        <v>42005.092361111114</v>
      </c>
      <c r="BR462" s="2">
        <v>11.07</v>
      </c>
      <c r="BS462" s="2">
        <v>42005.092361111114</v>
      </c>
      <c r="BT462">
        <v>0</v>
      </c>
      <c r="BU462">
        <v>0</v>
      </c>
      <c r="BV462" t="s">
        <v>135</v>
      </c>
      <c r="BW462">
        <v>0</v>
      </c>
      <c r="BX462">
        <v>0</v>
      </c>
      <c r="BY462" t="s">
        <v>135</v>
      </c>
      <c r="BZ462">
        <v>0</v>
      </c>
      <c r="CA462">
        <v>0</v>
      </c>
      <c r="CB462" t="s">
        <v>135</v>
      </c>
      <c r="CH462" s="2"/>
      <c r="CJ462" s="2"/>
      <c r="CL462" s="2"/>
      <c r="CN462" s="2"/>
      <c r="CQ462" s="2"/>
      <c r="CT462" s="2"/>
      <c r="CW462" s="2"/>
    </row>
    <row r="463" spans="1:101" x14ac:dyDescent="0.25">
      <c r="A463" s="1" t="s">
        <v>163</v>
      </c>
      <c r="B463" s="75" t="s">
        <v>164</v>
      </c>
      <c r="C463">
        <v>0</v>
      </c>
      <c r="D463">
        <v>0</v>
      </c>
      <c r="E463">
        <v>0</v>
      </c>
      <c r="F463">
        <v>604324.56000000006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3.91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7490</v>
      </c>
      <c r="AW463">
        <v>3350</v>
      </c>
      <c r="AX463">
        <v>1219</v>
      </c>
      <c r="AY463">
        <v>12059</v>
      </c>
      <c r="AZ463">
        <v>4202</v>
      </c>
      <c r="BA463">
        <v>7438</v>
      </c>
      <c r="BB463">
        <v>1432</v>
      </c>
      <c r="BC463">
        <v>13072</v>
      </c>
      <c r="BD463">
        <v>9486</v>
      </c>
      <c r="BE463">
        <v>9222</v>
      </c>
      <c r="BF463">
        <v>1768</v>
      </c>
      <c r="BG463">
        <v>20476</v>
      </c>
      <c r="BH463">
        <v>0</v>
      </c>
      <c r="BI463">
        <v>0</v>
      </c>
      <c r="BJ463">
        <v>0</v>
      </c>
      <c r="BK463">
        <v>0</v>
      </c>
      <c r="BL463" s="2">
        <v>24.82</v>
      </c>
      <c r="BM463" s="2">
        <v>42005.095138888886</v>
      </c>
      <c r="BN463" s="2">
        <v>5.4</v>
      </c>
      <c r="BO463" s="2">
        <v>42005.092361111114</v>
      </c>
      <c r="BP463" s="2">
        <v>6.92</v>
      </c>
      <c r="BQ463" s="2">
        <v>42005.092361111114</v>
      </c>
      <c r="BR463" s="2">
        <v>11.07</v>
      </c>
      <c r="BS463" s="2">
        <v>42005.092361111114</v>
      </c>
      <c r="BT463">
        <v>0</v>
      </c>
      <c r="BU463">
        <v>0</v>
      </c>
      <c r="BV463" t="s">
        <v>135</v>
      </c>
      <c r="BW463">
        <v>0</v>
      </c>
      <c r="BX463">
        <v>0</v>
      </c>
      <c r="BY463" t="s">
        <v>135</v>
      </c>
      <c r="BZ463">
        <v>0</v>
      </c>
      <c r="CA463">
        <v>0</v>
      </c>
      <c r="CB463" t="s">
        <v>135</v>
      </c>
      <c r="CH463" s="2"/>
      <c r="CJ463" s="2"/>
      <c r="CL463" s="2"/>
      <c r="CN463" s="2"/>
      <c r="CQ463" s="2"/>
      <c r="CT463" s="2"/>
      <c r="CW463" s="2"/>
    </row>
    <row r="464" spans="1:101" x14ac:dyDescent="0.25">
      <c r="A464" s="1" t="s">
        <v>163</v>
      </c>
      <c r="B464" s="75" t="s">
        <v>164</v>
      </c>
      <c r="C464">
        <v>0</v>
      </c>
      <c r="D464">
        <v>0</v>
      </c>
      <c r="E464">
        <v>0</v>
      </c>
      <c r="F464">
        <v>604324.56000000006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3.91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7490</v>
      </c>
      <c r="AW464">
        <v>3350</v>
      </c>
      <c r="AX464">
        <v>1219</v>
      </c>
      <c r="AY464">
        <v>12059</v>
      </c>
      <c r="AZ464">
        <v>4202</v>
      </c>
      <c r="BA464">
        <v>7438</v>
      </c>
      <c r="BB464">
        <v>1432</v>
      </c>
      <c r="BC464">
        <v>13072</v>
      </c>
      <c r="BD464">
        <v>9486</v>
      </c>
      <c r="BE464">
        <v>9222</v>
      </c>
      <c r="BF464">
        <v>1768</v>
      </c>
      <c r="BG464">
        <v>20476</v>
      </c>
      <c r="BH464">
        <v>0</v>
      </c>
      <c r="BI464">
        <v>0</v>
      </c>
      <c r="BJ464">
        <v>0</v>
      </c>
      <c r="BK464">
        <v>0</v>
      </c>
      <c r="BL464" s="2">
        <v>24.82</v>
      </c>
      <c r="BM464" s="2">
        <v>42005.095138888886</v>
      </c>
      <c r="BN464" s="2">
        <v>5.4</v>
      </c>
      <c r="BO464" s="2">
        <v>42005.092361111114</v>
      </c>
      <c r="BP464" s="2">
        <v>6.92</v>
      </c>
      <c r="BQ464" s="2">
        <v>42005.092361111114</v>
      </c>
      <c r="BR464" s="2">
        <v>11.07</v>
      </c>
      <c r="BS464" s="2">
        <v>42005.092361111114</v>
      </c>
      <c r="BT464">
        <v>0</v>
      </c>
      <c r="BU464">
        <v>0</v>
      </c>
      <c r="BV464" t="s">
        <v>135</v>
      </c>
      <c r="BW464">
        <v>0</v>
      </c>
      <c r="BX464">
        <v>0</v>
      </c>
      <c r="BY464" t="s">
        <v>135</v>
      </c>
      <c r="BZ464">
        <v>0</v>
      </c>
      <c r="CA464">
        <v>0</v>
      </c>
      <c r="CB464" t="s">
        <v>135</v>
      </c>
      <c r="CH464" s="2"/>
      <c r="CJ464" s="2"/>
      <c r="CL464" s="2"/>
      <c r="CN464" s="2"/>
      <c r="CQ464" s="2"/>
      <c r="CT464" s="2"/>
      <c r="CW464" s="2"/>
    </row>
    <row r="465" spans="1:101" x14ac:dyDescent="0.25">
      <c r="A465" s="1" t="s">
        <v>163</v>
      </c>
      <c r="B465" s="75" t="s">
        <v>164</v>
      </c>
      <c r="C465">
        <v>0</v>
      </c>
      <c r="D465">
        <v>0</v>
      </c>
      <c r="E465">
        <v>0</v>
      </c>
      <c r="F465">
        <v>604324.56000000006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3.91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7490</v>
      </c>
      <c r="AW465">
        <v>3350</v>
      </c>
      <c r="AX465">
        <v>1219</v>
      </c>
      <c r="AY465">
        <v>12059</v>
      </c>
      <c r="AZ465">
        <v>4202</v>
      </c>
      <c r="BA465">
        <v>7438</v>
      </c>
      <c r="BB465">
        <v>1432</v>
      </c>
      <c r="BC465">
        <v>13072</v>
      </c>
      <c r="BD465">
        <v>9486</v>
      </c>
      <c r="BE465">
        <v>9222</v>
      </c>
      <c r="BF465">
        <v>1768</v>
      </c>
      <c r="BG465">
        <v>20476</v>
      </c>
      <c r="BH465">
        <v>0</v>
      </c>
      <c r="BI465">
        <v>0</v>
      </c>
      <c r="BJ465">
        <v>0</v>
      </c>
      <c r="BK465">
        <v>0</v>
      </c>
      <c r="BL465" s="2">
        <v>24.82</v>
      </c>
      <c r="BM465" s="2">
        <v>42005.095138888886</v>
      </c>
      <c r="BN465" s="2">
        <v>5.4</v>
      </c>
      <c r="BO465" s="2">
        <v>42005.092361111114</v>
      </c>
      <c r="BP465" s="2">
        <v>6.92</v>
      </c>
      <c r="BQ465" s="2">
        <v>42005.092361111114</v>
      </c>
      <c r="BR465" s="2">
        <v>11.07</v>
      </c>
      <c r="BS465" s="2">
        <v>42005.092361111114</v>
      </c>
      <c r="BT465">
        <v>0</v>
      </c>
      <c r="BU465">
        <v>0</v>
      </c>
      <c r="BV465" t="s">
        <v>135</v>
      </c>
      <c r="BW465">
        <v>0</v>
      </c>
      <c r="BX465">
        <v>0</v>
      </c>
      <c r="BY465" t="s">
        <v>135</v>
      </c>
      <c r="BZ465">
        <v>0</v>
      </c>
      <c r="CA465">
        <v>0</v>
      </c>
      <c r="CB465" t="s">
        <v>135</v>
      </c>
      <c r="CH465" s="2"/>
      <c r="CJ465" s="2"/>
      <c r="CL465" s="2"/>
      <c r="CN465" s="2"/>
      <c r="CQ465" s="2"/>
      <c r="CT465" s="2"/>
      <c r="CW465" s="2"/>
    </row>
    <row r="466" spans="1:101" x14ac:dyDescent="0.25">
      <c r="A466" s="1" t="s">
        <v>163</v>
      </c>
      <c r="B466" s="75" t="s">
        <v>164</v>
      </c>
      <c r="C466">
        <v>0</v>
      </c>
      <c r="D466">
        <v>0</v>
      </c>
      <c r="E466">
        <v>0</v>
      </c>
      <c r="F466">
        <v>604324.56000000006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3.91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7490</v>
      </c>
      <c r="AW466">
        <v>3350</v>
      </c>
      <c r="AX466">
        <v>1219</v>
      </c>
      <c r="AY466">
        <v>12059</v>
      </c>
      <c r="AZ466">
        <v>4202</v>
      </c>
      <c r="BA466">
        <v>7438</v>
      </c>
      <c r="BB466">
        <v>1432</v>
      </c>
      <c r="BC466">
        <v>13072</v>
      </c>
      <c r="BD466">
        <v>9486</v>
      </c>
      <c r="BE466">
        <v>9222</v>
      </c>
      <c r="BF466">
        <v>1768</v>
      </c>
      <c r="BG466">
        <v>20476</v>
      </c>
      <c r="BH466">
        <v>0</v>
      </c>
      <c r="BI466">
        <v>0</v>
      </c>
      <c r="BJ466">
        <v>0</v>
      </c>
      <c r="BK466">
        <v>0</v>
      </c>
      <c r="BL466" s="2">
        <v>24.82</v>
      </c>
      <c r="BM466" s="2">
        <v>42005.095138888886</v>
      </c>
      <c r="BN466" s="2">
        <v>5.4</v>
      </c>
      <c r="BO466" s="2">
        <v>42005.092361111114</v>
      </c>
      <c r="BP466" s="2">
        <v>6.92</v>
      </c>
      <c r="BQ466" s="2">
        <v>42005.092361111114</v>
      </c>
      <c r="BR466" s="2">
        <v>11.07</v>
      </c>
      <c r="BS466" s="2">
        <v>42005.092361111114</v>
      </c>
      <c r="BT466">
        <v>0</v>
      </c>
      <c r="BU466">
        <v>0</v>
      </c>
      <c r="BV466" t="s">
        <v>135</v>
      </c>
      <c r="BW466">
        <v>0</v>
      </c>
      <c r="BX466">
        <v>0</v>
      </c>
      <c r="BY466" t="s">
        <v>135</v>
      </c>
      <c r="BZ466">
        <v>0</v>
      </c>
      <c r="CA466">
        <v>0</v>
      </c>
      <c r="CB466" t="s">
        <v>135</v>
      </c>
      <c r="CH466" s="2"/>
      <c r="CJ466" s="2"/>
      <c r="CL466" s="2"/>
      <c r="CN466" s="2"/>
      <c r="CQ466" s="2"/>
      <c r="CT466" s="2"/>
      <c r="CW466" s="2"/>
    </row>
    <row r="467" spans="1:101" x14ac:dyDescent="0.25">
      <c r="A467" s="1" t="s">
        <v>163</v>
      </c>
      <c r="B467" s="75" t="s">
        <v>164</v>
      </c>
      <c r="C467">
        <v>0</v>
      </c>
      <c r="D467">
        <v>0</v>
      </c>
      <c r="E467">
        <v>0</v>
      </c>
      <c r="F467">
        <v>604324.56000000006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3.91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7490</v>
      </c>
      <c r="AW467">
        <v>3350</v>
      </c>
      <c r="AX467">
        <v>1219</v>
      </c>
      <c r="AY467">
        <v>12059</v>
      </c>
      <c r="AZ467">
        <v>4202</v>
      </c>
      <c r="BA467">
        <v>7438</v>
      </c>
      <c r="BB467">
        <v>1432</v>
      </c>
      <c r="BC467">
        <v>13072</v>
      </c>
      <c r="BD467">
        <v>9486</v>
      </c>
      <c r="BE467">
        <v>9222</v>
      </c>
      <c r="BF467">
        <v>1768</v>
      </c>
      <c r="BG467">
        <v>20476</v>
      </c>
      <c r="BH467">
        <v>0</v>
      </c>
      <c r="BI467">
        <v>0</v>
      </c>
      <c r="BJ467">
        <v>0</v>
      </c>
      <c r="BK467">
        <v>0</v>
      </c>
      <c r="BL467" s="2">
        <v>24.82</v>
      </c>
      <c r="BM467" s="2">
        <v>42005.095138888886</v>
      </c>
      <c r="BN467" s="2">
        <v>5.4</v>
      </c>
      <c r="BO467" s="2">
        <v>42005.092361111114</v>
      </c>
      <c r="BP467" s="2">
        <v>6.92</v>
      </c>
      <c r="BQ467" s="2">
        <v>42005.092361111114</v>
      </c>
      <c r="BR467" s="2">
        <v>11.07</v>
      </c>
      <c r="BS467" s="2">
        <v>42005.092361111114</v>
      </c>
      <c r="BT467">
        <v>0</v>
      </c>
      <c r="BU467">
        <v>0</v>
      </c>
      <c r="BV467" t="s">
        <v>135</v>
      </c>
      <c r="BW467">
        <v>0</v>
      </c>
      <c r="BX467">
        <v>0</v>
      </c>
      <c r="BY467" t="s">
        <v>135</v>
      </c>
      <c r="BZ467">
        <v>0</v>
      </c>
      <c r="CA467">
        <v>0</v>
      </c>
      <c r="CB467" t="s">
        <v>135</v>
      </c>
      <c r="CH467" s="2"/>
      <c r="CJ467" s="2"/>
      <c r="CL467" s="2"/>
      <c r="CN467" s="2"/>
      <c r="CQ467" s="2"/>
      <c r="CT467" s="2"/>
      <c r="CW467" s="2"/>
    </row>
    <row r="468" spans="1:101" x14ac:dyDescent="0.25">
      <c r="A468" s="1" t="s">
        <v>163</v>
      </c>
      <c r="B468" s="75" t="s">
        <v>164</v>
      </c>
      <c r="C468">
        <v>0</v>
      </c>
      <c r="D468">
        <v>0</v>
      </c>
      <c r="E468">
        <v>0</v>
      </c>
      <c r="F468">
        <v>604324.56000000006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3.91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7490</v>
      </c>
      <c r="AW468">
        <v>3350</v>
      </c>
      <c r="AX468">
        <v>1219</v>
      </c>
      <c r="AY468">
        <v>12059</v>
      </c>
      <c r="AZ468">
        <v>4202</v>
      </c>
      <c r="BA468">
        <v>7438</v>
      </c>
      <c r="BB468">
        <v>1432</v>
      </c>
      <c r="BC468">
        <v>13072</v>
      </c>
      <c r="BD468">
        <v>9486</v>
      </c>
      <c r="BE468">
        <v>9222</v>
      </c>
      <c r="BF468">
        <v>1768</v>
      </c>
      <c r="BG468">
        <v>20476</v>
      </c>
      <c r="BH468">
        <v>0</v>
      </c>
      <c r="BI468">
        <v>0</v>
      </c>
      <c r="BJ468">
        <v>0</v>
      </c>
      <c r="BK468">
        <v>0</v>
      </c>
      <c r="BL468" s="2">
        <v>24.82</v>
      </c>
      <c r="BM468" s="2">
        <v>42005.095138888886</v>
      </c>
      <c r="BN468" s="2">
        <v>5.4</v>
      </c>
      <c r="BO468" s="2">
        <v>42005.092361111114</v>
      </c>
      <c r="BP468" s="2">
        <v>6.92</v>
      </c>
      <c r="BQ468" s="2">
        <v>42005.092361111114</v>
      </c>
      <c r="BR468" s="2">
        <v>11.07</v>
      </c>
      <c r="BS468" s="2">
        <v>42005.092361111114</v>
      </c>
      <c r="BT468">
        <v>0</v>
      </c>
      <c r="BU468">
        <v>0</v>
      </c>
      <c r="BV468" t="s">
        <v>135</v>
      </c>
      <c r="BW468">
        <v>0</v>
      </c>
      <c r="BX468">
        <v>0</v>
      </c>
      <c r="BY468" t="s">
        <v>135</v>
      </c>
      <c r="BZ468">
        <v>0</v>
      </c>
      <c r="CA468">
        <v>0</v>
      </c>
      <c r="CB468" t="s">
        <v>135</v>
      </c>
      <c r="CH468" s="2"/>
      <c r="CJ468" s="2"/>
      <c r="CL468" s="2"/>
      <c r="CN468" s="2"/>
      <c r="CQ468" s="2"/>
      <c r="CT468" s="2"/>
      <c r="CW468" s="2"/>
    </row>
    <row r="469" spans="1:101" x14ac:dyDescent="0.25">
      <c r="A469" s="1" t="s">
        <v>163</v>
      </c>
      <c r="B469" s="75" t="s">
        <v>164</v>
      </c>
      <c r="C469">
        <v>0</v>
      </c>
      <c r="D469">
        <v>0</v>
      </c>
      <c r="E469">
        <v>0</v>
      </c>
      <c r="F469">
        <v>604324.56000000006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3.91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7490</v>
      </c>
      <c r="AW469">
        <v>3350</v>
      </c>
      <c r="AX469">
        <v>1219</v>
      </c>
      <c r="AY469">
        <v>12059</v>
      </c>
      <c r="AZ469">
        <v>4202</v>
      </c>
      <c r="BA469">
        <v>7438</v>
      </c>
      <c r="BB469">
        <v>1432</v>
      </c>
      <c r="BC469">
        <v>13072</v>
      </c>
      <c r="BD469">
        <v>9486</v>
      </c>
      <c r="BE469">
        <v>9222</v>
      </c>
      <c r="BF469">
        <v>1768</v>
      </c>
      <c r="BG469">
        <v>20476</v>
      </c>
      <c r="BH469">
        <v>0</v>
      </c>
      <c r="BI469">
        <v>0</v>
      </c>
      <c r="BJ469">
        <v>0</v>
      </c>
      <c r="BK469">
        <v>0</v>
      </c>
      <c r="BL469" s="2">
        <v>24.82</v>
      </c>
      <c r="BM469" s="2">
        <v>42005.095138888886</v>
      </c>
      <c r="BN469" s="2">
        <v>5.4</v>
      </c>
      <c r="BO469" s="2">
        <v>42005.092361111114</v>
      </c>
      <c r="BP469" s="2">
        <v>6.92</v>
      </c>
      <c r="BQ469" s="2">
        <v>42005.092361111114</v>
      </c>
      <c r="BR469" s="2">
        <v>11.07</v>
      </c>
      <c r="BS469" s="2">
        <v>42005.092361111114</v>
      </c>
      <c r="BT469">
        <v>0</v>
      </c>
      <c r="BU469">
        <v>0</v>
      </c>
      <c r="BV469" t="s">
        <v>135</v>
      </c>
      <c r="BW469">
        <v>0</v>
      </c>
      <c r="BX469">
        <v>0</v>
      </c>
      <c r="BY469" t="s">
        <v>135</v>
      </c>
      <c r="BZ469">
        <v>0</v>
      </c>
      <c r="CA469">
        <v>0</v>
      </c>
      <c r="CB469" t="s">
        <v>135</v>
      </c>
      <c r="CH469" s="2"/>
      <c r="CJ469" s="2"/>
      <c r="CL469" s="2"/>
      <c r="CN469" s="2"/>
      <c r="CQ469" s="2"/>
      <c r="CT469" s="2"/>
      <c r="CW469" s="2"/>
    </row>
    <row r="470" spans="1:101" x14ac:dyDescent="0.25">
      <c r="A470" s="1" t="s">
        <v>163</v>
      </c>
      <c r="B470" s="75" t="s">
        <v>164</v>
      </c>
      <c r="C470">
        <v>0</v>
      </c>
      <c r="D470">
        <v>0</v>
      </c>
      <c r="E470">
        <v>0</v>
      </c>
      <c r="F470">
        <v>604324.56000000006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3.91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7490</v>
      </c>
      <c r="AW470">
        <v>3350</v>
      </c>
      <c r="AX470">
        <v>1219</v>
      </c>
      <c r="AY470">
        <v>12059</v>
      </c>
      <c r="AZ470">
        <v>4202</v>
      </c>
      <c r="BA470">
        <v>7438</v>
      </c>
      <c r="BB470">
        <v>1432</v>
      </c>
      <c r="BC470">
        <v>13072</v>
      </c>
      <c r="BD470">
        <v>9486</v>
      </c>
      <c r="BE470">
        <v>9222</v>
      </c>
      <c r="BF470">
        <v>1768</v>
      </c>
      <c r="BG470">
        <v>20476</v>
      </c>
      <c r="BH470">
        <v>0</v>
      </c>
      <c r="BI470">
        <v>0</v>
      </c>
      <c r="BJ470">
        <v>0</v>
      </c>
      <c r="BK470">
        <v>0</v>
      </c>
      <c r="BL470" s="2">
        <v>24.82</v>
      </c>
      <c r="BM470" s="2">
        <v>42005.095138888886</v>
      </c>
      <c r="BN470" s="2">
        <v>5.4</v>
      </c>
      <c r="BO470" s="2">
        <v>42005.092361111114</v>
      </c>
      <c r="BP470" s="2">
        <v>6.92</v>
      </c>
      <c r="BQ470" s="2">
        <v>42005.092361111114</v>
      </c>
      <c r="BR470" s="2">
        <v>11.07</v>
      </c>
      <c r="BS470" s="2">
        <v>42005.092361111114</v>
      </c>
      <c r="BT470">
        <v>0</v>
      </c>
      <c r="BU470">
        <v>0</v>
      </c>
      <c r="BV470" t="s">
        <v>135</v>
      </c>
      <c r="BW470">
        <v>0</v>
      </c>
      <c r="BX470">
        <v>0</v>
      </c>
      <c r="BY470" t="s">
        <v>135</v>
      </c>
      <c r="BZ470">
        <v>0</v>
      </c>
      <c r="CA470">
        <v>0</v>
      </c>
      <c r="CB470" t="s">
        <v>135</v>
      </c>
      <c r="CH470" s="2"/>
      <c r="CJ470" s="2"/>
      <c r="CL470" s="2"/>
      <c r="CN470" s="2"/>
      <c r="CQ470" s="2"/>
      <c r="CT470" s="2"/>
      <c r="CW470" s="2"/>
    </row>
    <row r="471" spans="1:101" x14ac:dyDescent="0.25">
      <c r="A471" s="1" t="s">
        <v>163</v>
      </c>
      <c r="B471" s="75" t="s">
        <v>164</v>
      </c>
      <c r="C471">
        <v>0</v>
      </c>
      <c r="D471">
        <v>0</v>
      </c>
      <c r="E471">
        <v>0</v>
      </c>
      <c r="F471">
        <v>604324.56000000006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3.91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7490</v>
      </c>
      <c r="AW471">
        <v>3350</v>
      </c>
      <c r="AX471">
        <v>1219</v>
      </c>
      <c r="AY471">
        <v>12059</v>
      </c>
      <c r="AZ471">
        <v>4202</v>
      </c>
      <c r="BA471">
        <v>7438</v>
      </c>
      <c r="BB471">
        <v>1432</v>
      </c>
      <c r="BC471">
        <v>13072</v>
      </c>
      <c r="BD471">
        <v>9486</v>
      </c>
      <c r="BE471">
        <v>9222</v>
      </c>
      <c r="BF471">
        <v>1768</v>
      </c>
      <c r="BG471">
        <v>20476</v>
      </c>
      <c r="BH471">
        <v>0</v>
      </c>
      <c r="BI471">
        <v>0</v>
      </c>
      <c r="BJ471">
        <v>0</v>
      </c>
      <c r="BK471">
        <v>0</v>
      </c>
      <c r="BL471" s="2">
        <v>24.82</v>
      </c>
      <c r="BM471" s="2">
        <v>42005.095138888886</v>
      </c>
      <c r="BN471" s="2">
        <v>5.4</v>
      </c>
      <c r="BO471" s="2">
        <v>42005.092361111114</v>
      </c>
      <c r="BP471" s="2">
        <v>6.92</v>
      </c>
      <c r="BQ471" s="2">
        <v>42005.092361111114</v>
      </c>
      <c r="BR471" s="2">
        <v>11.07</v>
      </c>
      <c r="BS471" s="2">
        <v>42005.092361111114</v>
      </c>
      <c r="BT471">
        <v>0</v>
      </c>
      <c r="BU471">
        <v>0</v>
      </c>
      <c r="BV471" t="s">
        <v>135</v>
      </c>
      <c r="BW471">
        <v>0</v>
      </c>
      <c r="BX471">
        <v>0</v>
      </c>
      <c r="BY471" t="s">
        <v>135</v>
      </c>
      <c r="BZ471">
        <v>0</v>
      </c>
      <c r="CA471">
        <v>0</v>
      </c>
      <c r="CB471" t="s">
        <v>135</v>
      </c>
      <c r="CH471" s="2"/>
      <c r="CJ471" s="2"/>
      <c r="CL471" s="2"/>
      <c r="CN471" s="2"/>
      <c r="CQ471" s="2"/>
      <c r="CT471" s="2"/>
      <c r="CW471" s="2"/>
    </row>
    <row r="472" spans="1:101" x14ac:dyDescent="0.25">
      <c r="A472" s="1" t="s">
        <v>163</v>
      </c>
      <c r="B472" s="75" t="s">
        <v>164</v>
      </c>
      <c r="C472">
        <v>0</v>
      </c>
      <c r="D472">
        <v>0</v>
      </c>
      <c r="E472">
        <v>0</v>
      </c>
      <c r="F472">
        <v>604324.56000000006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3.91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7490</v>
      </c>
      <c r="AW472">
        <v>3350</v>
      </c>
      <c r="AX472">
        <v>1219</v>
      </c>
      <c r="AY472">
        <v>12059</v>
      </c>
      <c r="AZ472">
        <v>4202</v>
      </c>
      <c r="BA472">
        <v>7438</v>
      </c>
      <c r="BB472">
        <v>1432</v>
      </c>
      <c r="BC472">
        <v>13072</v>
      </c>
      <c r="BD472">
        <v>9486</v>
      </c>
      <c r="BE472">
        <v>9222</v>
      </c>
      <c r="BF472">
        <v>1768</v>
      </c>
      <c r="BG472">
        <v>20476</v>
      </c>
      <c r="BH472">
        <v>0</v>
      </c>
      <c r="BI472">
        <v>0</v>
      </c>
      <c r="BJ472">
        <v>0</v>
      </c>
      <c r="BK472">
        <v>0</v>
      </c>
      <c r="BL472" s="2">
        <v>24.82</v>
      </c>
      <c r="BM472" s="2">
        <v>42005.095138888886</v>
      </c>
      <c r="BN472" s="2">
        <v>5.4</v>
      </c>
      <c r="BO472" s="2">
        <v>42005.092361111114</v>
      </c>
      <c r="BP472" s="2">
        <v>6.92</v>
      </c>
      <c r="BQ472" s="2">
        <v>42005.092361111114</v>
      </c>
      <c r="BR472" s="2">
        <v>11.07</v>
      </c>
      <c r="BS472" s="2">
        <v>42005.092361111114</v>
      </c>
      <c r="BT472">
        <v>0</v>
      </c>
      <c r="BU472">
        <v>0</v>
      </c>
      <c r="BV472" t="s">
        <v>135</v>
      </c>
      <c r="BW472">
        <v>0</v>
      </c>
      <c r="BX472">
        <v>0</v>
      </c>
      <c r="BY472" t="s">
        <v>135</v>
      </c>
      <c r="BZ472">
        <v>0</v>
      </c>
      <c r="CA472">
        <v>0</v>
      </c>
      <c r="CB472" t="s">
        <v>135</v>
      </c>
      <c r="CH472" s="2"/>
      <c r="CJ472" s="2"/>
      <c r="CL472" s="2"/>
      <c r="CN472" s="2"/>
      <c r="CQ472" s="2"/>
      <c r="CT472" s="2"/>
      <c r="CW472" s="2"/>
    </row>
    <row r="473" spans="1:101" x14ac:dyDescent="0.25">
      <c r="A473" s="1" t="s">
        <v>163</v>
      </c>
      <c r="B473" s="75" t="s">
        <v>164</v>
      </c>
      <c r="C473">
        <v>0</v>
      </c>
      <c r="D473">
        <v>0</v>
      </c>
      <c r="E473">
        <v>0</v>
      </c>
      <c r="F473">
        <v>604324.56000000006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3.91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7490</v>
      </c>
      <c r="AW473">
        <v>3350</v>
      </c>
      <c r="AX473">
        <v>1219</v>
      </c>
      <c r="AY473">
        <v>12059</v>
      </c>
      <c r="AZ473">
        <v>4202</v>
      </c>
      <c r="BA473">
        <v>7438</v>
      </c>
      <c r="BB473">
        <v>1432</v>
      </c>
      <c r="BC473">
        <v>13072</v>
      </c>
      <c r="BD473">
        <v>9486</v>
      </c>
      <c r="BE473">
        <v>9222</v>
      </c>
      <c r="BF473">
        <v>1768</v>
      </c>
      <c r="BG473">
        <v>20476</v>
      </c>
      <c r="BH473">
        <v>0</v>
      </c>
      <c r="BI473">
        <v>0</v>
      </c>
      <c r="BJ473">
        <v>0</v>
      </c>
      <c r="BK473">
        <v>0</v>
      </c>
      <c r="BL473" s="2">
        <v>24.82</v>
      </c>
      <c r="BM473" s="2">
        <v>42005.095138888886</v>
      </c>
      <c r="BN473" s="2">
        <v>5.4</v>
      </c>
      <c r="BO473" s="2">
        <v>42005.092361111114</v>
      </c>
      <c r="BP473" s="2">
        <v>6.92</v>
      </c>
      <c r="BQ473" s="2">
        <v>42005.092361111114</v>
      </c>
      <c r="BR473" s="2">
        <v>11.07</v>
      </c>
      <c r="BS473" s="2">
        <v>42005.092361111114</v>
      </c>
      <c r="BT473">
        <v>0</v>
      </c>
      <c r="BU473">
        <v>0</v>
      </c>
      <c r="BV473" t="s">
        <v>135</v>
      </c>
      <c r="BW473">
        <v>0</v>
      </c>
      <c r="BX473">
        <v>0</v>
      </c>
      <c r="BY473" t="s">
        <v>135</v>
      </c>
      <c r="BZ473">
        <v>0</v>
      </c>
      <c r="CA473">
        <v>0</v>
      </c>
      <c r="CB473" t="s">
        <v>135</v>
      </c>
      <c r="CH473" s="2"/>
      <c r="CJ473" s="2"/>
      <c r="CL473" s="2"/>
      <c r="CN473" s="2"/>
      <c r="CQ473" s="2"/>
      <c r="CT473" s="2"/>
      <c r="CW473" s="2"/>
    </row>
    <row r="474" spans="1:101" x14ac:dyDescent="0.25">
      <c r="A474" s="1" t="s">
        <v>163</v>
      </c>
      <c r="B474" s="75" t="s">
        <v>164</v>
      </c>
      <c r="C474">
        <v>0</v>
      </c>
      <c r="D474">
        <v>0</v>
      </c>
      <c r="E474">
        <v>0</v>
      </c>
      <c r="F474">
        <v>604324.56000000006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3.91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7490</v>
      </c>
      <c r="AW474">
        <v>3350</v>
      </c>
      <c r="AX474">
        <v>1219</v>
      </c>
      <c r="AY474">
        <v>12059</v>
      </c>
      <c r="AZ474">
        <v>4202</v>
      </c>
      <c r="BA474">
        <v>7438</v>
      </c>
      <c r="BB474">
        <v>1432</v>
      </c>
      <c r="BC474">
        <v>13072</v>
      </c>
      <c r="BD474">
        <v>9486</v>
      </c>
      <c r="BE474">
        <v>9222</v>
      </c>
      <c r="BF474">
        <v>1768</v>
      </c>
      <c r="BG474">
        <v>20476</v>
      </c>
      <c r="BH474">
        <v>0</v>
      </c>
      <c r="BI474">
        <v>0</v>
      </c>
      <c r="BJ474">
        <v>0</v>
      </c>
      <c r="BK474">
        <v>0</v>
      </c>
      <c r="BL474" s="2">
        <v>24.82</v>
      </c>
      <c r="BM474" s="2">
        <v>42005.095138888886</v>
      </c>
      <c r="BN474" s="2">
        <v>5.4</v>
      </c>
      <c r="BO474" s="2">
        <v>42005.092361111114</v>
      </c>
      <c r="BP474" s="2">
        <v>6.92</v>
      </c>
      <c r="BQ474" s="2">
        <v>42005.092361111114</v>
      </c>
      <c r="BR474" s="2">
        <v>11.07</v>
      </c>
      <c r="BS474" s="2">
        <v>42005.092361111114</v>
      </c>
      <c r="BT474">
        <v>0</v>
      </c>
      <c r="BU474">
        <v>0</v>
      </c>
      <c r="BV474" t="s">
        <v>135</v>
      </c>
      <c r="BW474">
        <v>0</v>
      </c>
      <c r="BX474">
        <v>0</v>
      </c>
      <c r="BY474" t="s">
        <v>135</v>
      </c>
      <c r="BZ474">
        <v>0</v>
      </c>
      <c r="CA474">
        <v>0</v>
      </c>
      <c r="CB474" t="s">
        <v>135</v>
      </c>
      <c r="CH474" s="2"/>
      <c r="CJ474" s="2"/>
      <c r="CL474" s="2"/>
      <c r="CN474" s="2"/>
      <c r="CQ474" s="2"/>
      <c r="CT474" s="2"/>
      <c r="CW474" s="2"/>
    </row>
    <row r="475" spans="1:101" x14ac:dyDescent="0.25">
      <c r="A475" s="1" t="s">
        <v>163</v>
      </c>
      <c r="B475" s="75" t="s">
        <v>164</v>
      </c>
      <c r="C475">
        <v>0</v>
      </c>
      <c r="D475">
        <v>0</v>
      </c>
      <c r="E475">
        <v>0</v>
      </c>
      <c r="F475">
        <v>604324.56000000006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3.91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7490</v>
      </c>
      <c r="AW475">
        <v>3350</v>
      </c>
      <c r="AX475">
        <v>1219</v>
      </c>
      <c r="AY475">
        <v>12059</v>
      </c>
      <c r="AZ475">
        <v>4202</v>
      </c>
      <c r="BA475">
        <v>7438</v>
      </c>
      <c r="BB475">
        <v>1432</v>
      </c>
      <c r="BC475">
        <v>13072</v>
      </c>
      <c r="BD475">
        <v>9486</v>
      </c>
      <c r="BE475">
        <v>9222</v>
      </c>
      <c r="BF475">
        <v>1768</v>
      </c>
      <c r="BG475">
        <v>20476</v>
      </c>
      <c r="BH475">
        <v>0</v>
      </c>
      <c r="BI475">
        <v>0</v>
      </c>
      <c r="BJ475">
        <v>0</v>
      </c>
      <c r="BK475">
        <v>0</v>
      </c>
      <c r="BL475" s="2">
        <v>24.82</v>
      </c>
      <c r="BM475" s="2">
        <v>42005.095138888886</v>
      </c>
      <c r="BN475" s="2">
        <v>5.4</v>
      </c>
      <c r="BO475" s="2">
        <v>42005.092361111114</v>
      </c>
      <c r="BP475" s="2">
        <v>6.92</v>
      </c>
      <c r="BQ475" s="2">
        <v>42005.092361111114</v>
      </c>
      <c r="BR475" s="2">
        <v>11.07</v>
      </c>
      <c r="BS475" s="2">
        <v>42005.092361111114</v>
      </c>
      <c r="BT475">
        <v>0</v>
      </c>
      <c r="BU475">
        <v>0</v>
      </c>
      <c r="BV475" t="s">
        <v>135</v>
      </c>
      <c r="BW475">
        <v>0</v>
      </c>
      <c r="BX475">
        <v>0</v>
      </c>
      <c r="BY475" t="s">
        <v>135</v>
      </c>
      <c r="BZ475">
        <v>0</v>
      </c>
      <c r="CA475">
        <v>0</v>
      </c>
      <c r="CB475" t="s">
        <v>135</v>
      </c>
      <c r="CH475" s="2"/>
      <c r="CJ475" s="2"/>
      <c r="CL475" s="2"/>
      <c r="CN475" s="2"/>
      <c r="CQ475" s="2"/>
      <c r="CT475" s="2"/>
      <c r="CW475" s="2"/>
    </row>
    <row r="476" spans="1:101" x14ac:dyDescent="0.25">
      <c r="A476" s="1" t="s">
        <v>163</v>
      </c>
      <c r="B476" s="75" t="s">
        <v>164</v>
      </c>
      <c r="C476">
        <v>0</v>
      </c>
      <c r="D476">
        <v>0</v>
      </c>
      <c r="E476">
        <v>0</v>
      </c>
      <c r="F476">
        <v>604324.56000000006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3.91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7490</v>
      </c>
      <c r="AW476">
        <v>3350</v>
      </c>
      <c r="AX476">
        <v>1219</v>
      </c>
      <c r="AY476">
        <v>12059</v>
      </c>
      <c r="AZ476">
        <v>4202</v>
      </c>
      <c r="BA476">
        <v>7438</v>
      </c>
      <c r="BB476">
        <v>1432</v>
      </c>
      <c r="BC476">
        <v>13072</v>
      </c>
      <c r="BD476">
        <v>9486</v>
      </c>
      <c r="BE476">
        <v>9222</v>
      </c>
      <c r="BF476">
        <v>1768</v>
      </c>
      <c r="BG476">
        <v>20476</v>
      </c>
      <c r="BH476">
        <v>0</v>
      </c>
      <c r="BI476">
        <v>0</v>
      </c>
      <c r="BJ476">
        <v>0</v>
      </c>
      <c r="BK476">
        <v>0</v>
      </c>
      <c r="BL476" s="2">
        <v>24.82</v>
      </c>
      <c r="BM476" s="2">
        <v>42005.095138888886</v>
      </c>
      <c r="BN476" s="2">
        <v>5.4</v>
      </c>
      <c r="BO476" s="2">
        <v>42005.092361111114</v>
      </c>
      <c r="BP476" s="2">
        <v>6.92</v>
      </c>
      <c r="BQ476" s="2">
        <v>42005.092361111114</v>
      </c>
      <c r="BR476" s="2">
        <v>11.07</v>
      </c>
      <c r="BS476" s="2">
        <v>42005.092361111114</v>
      </c>
      <c r="BT476">
        <v>0</v>
      </c>
      <c r="BU476">
        <v>0</v>
      </c>
      <c r="BV476" t="s">
        <v>135</v>
      </c>
      <c r="BW476">
        <v>0</v>
      </c>
      <c r="BX476">
        <v>0</v>
      </c>
      <c r="BY476" t="s">
        <v>135</v>
      </c>
      <c r="BZ476">
        <v>0</v>
      </c>
      <c r="CA476">
        <v>0</v>
      </c>
      <c r="CB476" t="s">
        <v>135</v>
      </c>
      <c r="CH476" s="2"/>
      <c r="CJ476" s="2"/>
      <c r="CL476" s="2"/>
      <c r="CN476" s="2"/>
      <c r="CQ476" s="2"/>
      <c r="CT476" s="2"/>
      <c r="CW476" s="2"/>
    </row>
    <row r="477" spans="1:101" x14ac:dyDescent="0.25">
      <c r="A477" s="1" t="s">
        <v>163</v>
      </c>
      <c r="B477" s="75" t="s">
        <v>164</v>
      </c>
      <c r="C477">
        <v>0</v>
      </c>
      <c r="D477">
        <v>0</v>
      </c>
      <c r="E477">
        <v>0</v>
      </c>
      <c r="F477">
        <v>604324.56000000006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3.91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7490</v>
      </c>
      <c r="AW477">
        <v>3350</v>
      </c>
      <c r="AX477">
        <v>1219</v>
      </c>
      <c r="AY477">
        <v>12059</v>
      </c>
      <c r="AZ477">
        <v>4202</v>
      </c>
      <c r="BA477">
        <v>7438</v>
      </c>
      <c r="BB477">
        <v>1432</v>
      </c>
      <c r="BC477">
        <v>13072</v>
      </c>
      <c r="BD477">
        <v>9486</v>
      </c>
      <c r="BE477">
        <v>9222</v>
      </c>
      <c r="BF477">
        <v>1768</v>
      </c>
      <c r="BG477">
        <v>20476</v>
      </c>
      <c r="BH477">
        <v>0</v>
      </c>
      <c r="BI477">
        <v>0</v>
      </c>
      <c r="BJ477">
        <v>0</v>
      </c>
      <c r="BK477">
        <v>0</v>
      </c>
      <c r="BL477" s="2">
        <v>24.82</v>
      </c>
      <c r="BM477" s="2">
        <v>42005.095138888886</v>
      </c>
      <c r="BN477" s="2">
        <v>5.4</v>
      </c>
      <c r="BO477" s="2">
        <v>42005.092361111114</v>
      </c>
      <c r="BP477" s="2">
        <v>6.92</v>
      </c>
      <c r="BQ477" s="2">
        <v>42005.092361111114</v>
      </c>
      <c r="BR477" s="2">
        <v>11.07</v>
      </c>
      <c r="BS477" s="2">
        <v>42005.092361111114</v>
      </c>
      <c r="BT477">
        <v>0</v>
      </c>
      <c r="BU477">
        <v>0</v>
      </c>
      <c r="BV477" t="s">
        <v>135</v>
      </c>
      <c r="BW477">
        <v>0</v>
      </c>
      <c r="BX477">
        <v>0</v>
      </c>
      <c r="BY477" t="s">
        <v>135</v>
      </c>
      <c r="BZ477">
        <v>0</v>
      </c>
      <c r="CA477">
        <v>0</v>
      </c>
      <c r="CB477" t="s">
        <v>135</v>
      </c>
      <c r="CH477" s="2"/>
      <c r="CJ477" s="2"/>
      <c r="CL477" s="2"/>
      <c r="CN477" s="2"/>
      <c r="CQ477" s="2"/>
      <c r="CT477" s="2"/>
      <c r="CW477" s="2"/>
    </row>
    <row r="478" spans="1:101" x14ac:dyDescent="0.25">
      <c r="A478" s="1" t="s">
        <v>163</v>
      </c>
      <c r="B478" s="75" t="s">
        <v>164</v>
      </c>
      <c r="C478">
        <v>0</v>
      </c>
      <c r="D478">
        <v>0</v>
      </c>
      <c r="E478">
        <v>0</v>
      </c>
      <c r="F478">
        <v>604324.56000000006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3.91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7490</v>
      </c>
      <c r="AW478">
        <v>3350</v>
      </c>
      <c r="AX478">
        <v>1219</v>
      </c>
      <c r="AY478">
        <v>12059</v>
      </c>
      <c r="AZ478">
        <v>4202</v>
      </c>
      <c r="BA478">
        <v>7438</v>
      </c>
      <c r="BB478">
        <v>1432</v>
      </c>
      <c r="BC478">
        <v>13072</v>
      </c>
      <c r="BD478">
        <v>9486</v>
      </c>
      <c r="BE478">
        <v>9222</v>
      </c>
      <c r="BF478">
        <v>1768</v>
      </c>
      <c r="BG478">
        <v>20476</v>
      </c>
      <c r="BH478">
        <v>0</v>
      </c>
      <c r="BI478">
        <v>0</v>
      </c>
      <c r="BJ478">
        <v>0</v>
      </c>
      <c r="BK478">
        <v>0</v>
      </c>
      <c r="BL478" s="2">
        <v>24.82</v>
      </c>
      <c r="BM478" s="2">
        <v>42005.095138888886</v>
      </c>
      <c r="BN478" s="2">
        <v>5.4</v>
      </c>
      <c r="BO478" s="2">
        <v>42005.092361111114</v>
      </c>
      <c r="BP478" s="2">
        <v>6.92</v>
      </c>
      <c r="BQ478" s="2">
        <v>42005.092361111114</v>
      </c>
      <c r="BR478" s="2">
        <v>11.07</v>
      </c>
      <c r="BS478" s="2">
        <v>42005.092361111114</v>
      </c>
      <c r="BT478">
        <v>0</v>
      </c>
      <c r="BU478">
        <v>0</v>
      </c>
      <c r="BV478" t="s">
        <v>135</v>
      </c>
      <c r="BW478">
        <v>0</v>
      </c>
      <c r="BX478">
        <v>0</v>
      </c>
      <c r="BY478" t="s">
        <v>135</v>
      </c>
      <c r="BZ478">
        <v>0</v>
      </c>
      <c r="CA478">
        <v>0</v>
      </c>
      <c r="CB478" t="s">
        <v>135</v>
      </c>
      <c r="CH478" s="2"/>
      <c r="CJ478" s="2"/>
      <c r="CL478" s="2"/>
      <c r="CN478" s="2"/>
      <c r="CQ478" s="2"/>
      <c r="CT478" s="2"/>
      <c r="CW478" s="2"/>
    </row>
    <row r="479" spans="1:101" x14ac:dyDescent="0.25">
      <c r="A479" s="1" t="s">
        <v>163</v>
      </c>
      <c r="B479" s="75" t="s">
        <v>164</v>
      </c>
      <c r="C479">
        <v>0</v>
      </c>
      <c r="D479">
        <v>0</v>
      </c>
      <c r="E479">
        <v>0</v>
      </c>
      <c r="F479">
        <v>604324.56000000006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3.91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7490</v>
      </c>
      <c r="AW479">
        <v>3350</v>
      </c>
      <c r="AX479">
        <v>1219</v>
      </c>
      <c r="AY479">
        <v>12059</v>
      </c>
      <c r="AZ479">
        <v>4202</v>
      </c>
      <c r="BA479">
        <v>7438</v>
      </c>
      <c r="BB479">
        <v>1432</v>
      </c>
      <c r="BC479">
        <v>13072</v>
      </c>
      <c r="BD479">
        <v>9486</v>
      </c>
      <c r="BE479">
        <v>9222</v>
      </c>
      <c r="BF479">
        <v>1768</v>
      </c>
      <c r="BG479">
        <v>20476</v>
      </c>
      <c r="BH479">
        <v>0</v>
      </c>
      <c r="BI479">
        <v>0</v>
      </c>
      <c r="BJ479">
        <v>0</v>
      </c>
      <c r="BK479">
        <v>0</v>
      </c>
      <c r="BL479" s="2">
        <v>24.82</v>
      </c>
      <c r="BM479" s="2">
        <v>42005.095138888886</v>
      </c>
      <c r="BN479" s="2">
        <v>5.4</v>
      </c>
      <c r="BO479" s="2">
        <v>42005.092361111114</v>
      </c>
      <c r="BP479" s="2">
        <v>6.92</v>
      </c>
      <c r="BQ479" s="2">
        <v>42005.092361111114</v>
      </c>
      <c r="BR479" s="2">
        <v>11.07</v>
      </c>
      <c r="BS479" s="2">
        <v>42005.092361111114</v>
      </c>
      <c r="BT479">
        <v>0</v>
      </c>
      <c r="BU479">
        <v>0</v>
      </c>
      <c r="BV479" t="s">
        <v>135</v>
      </c>
      <c r="BW479">
        <v>0</v>
      </c>
      <c r="BX479">
        <v>0</v>
      </c>
      <c r="BY479" t="s">
        <v>135</v>
      </c>
      <c r="BZ479">
        <v>0</v>
      </c>
      <c r="CA479">
        <v>0</v>
      </c>
      <c r="CB479" t="s">
        <v>135</v>
      </c>
      <c r="CH479" s="2"/>
      <c r="CJ479" s="2"/>
      <c r="CL479" s="2"/>
      <c r="CN479" s="2"/>
      <c r="CQ479" s="2"/>
      <c r="CT479" s="2"/>
      <c r="CW479" s="2"/>
    </row>
    <row r="480" spans="1:101" x14ac:dyDescent="0.25">
      <c r="A480" s="1" t="s">
        <v>163</v>
      </c>
      <c r="B480" s="75" t="s">
        <v>164</v>
      </c>
      <c r="C480">
        <v>0</v>
      </c>
      <c r="D480">
        <v>0</v>
      </c>
      <c r="E480">
        <v>0</v>
      </c>
      <c r="F480">
        <v>604324.56000000006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3.91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7490</v>
      </c>
      <c r="AW480">
        <v>3350</v>
      </c>
      <c r="AX480">
        <v>1219</v>
      </c>
      <c r="AY480">
        <v>12059</v>
      </c>
      <c r="AZ480">
        <v>4202</v>
      </c>
      <c r="BA480">
        <v>7438</v>
      </c>
      <c r="BB480">
        <v>1432</v>
      </c>
      <c r="BC480">
        <v>13072</v>
      </c>
      <c r="BD480">
        <v>9486</v>
      </c>
      <c r="BE480">
        <v>9222</v>
      </c>
      <c r="BF480">
        <v>1768</v>
      </c>
      <c r="BG480">
        <v>20476</v>
      </c>
      <c r="BH480">
        <v>0</v>
      </c>
      <c r="BI480">
        <v>0</v>
      </c>
      <c r="BJ480">
        <v>0</v>
      </c>
      <c r="BK480">
        <v>0</v>
      </c>
      <c r="BL480" s="2">
        <v>24.82</v>
      </c>
      <c r="BM480" s="2">
        <v>42005.095138888886</v>
      </c>
      <c r="BN480" s="2">
        <v>5.4</v>
      </c>
      <c r="BO480" s="2">
        <v>42005.092361111114</v>
      </c>
      <c r="BP480" s="2">
        <v>6.92</v>
      </c>
      <c r="BQ480" s="2">
        <v>42005.092361111114</v>
      </c>
      <c r="BR480" s="2">
        <v>11.07</v>
      </c>
      <c r="BS480" s="2">
        <v>42005.092361111114</v>
      </c>
      <c r="BT480">
        <v>0</v>
      </c>
      <c r="BU480">
        <v>0</v>
      </c>
      <c r="BV480" t="s">
        <v>135</v>
      </c>
      <c r="BW480">
        <v>0</v>
      </c>
      <c r="BX480">
        <v>0</v>
      </c>
      <c r="BY480" t="s">
        <v>135</v>
      </c>
      <c r="BZ480">
        <v>0</v>
      </c>
      <c r="CA480">
        <v>0</v>
      </c>
      <c r="CB480" t="s">
        <v>135</v>
      </c>
      <c r="CH480" s="2"/>
      <c r="CJ480" s="2"/>
      <c r="CL480" s="2"/>
      <c r="CN480" s="2"/>
      <c r="CQ480" s="2"/>
      <c r="CT480" s="2"/>
      <c r="CW480" s="2"/>
    </row>
    <row r="481" spans="1:101" x14ac:dyDescent="0.25">
      <c r="A481" s="1" t="s">
        <v>163</v>
      </c>
      <c r="B481" s="75" t="s">
        <v>164</v>
      </c>
      <c r="C481">
        <v>0</v>
      </c>
      <c r="D481">
        <v>0</v>
      </c>
      <c r="E481">
        <v>0</v>
      </c>
      <c r="F481">
        <v>604324.56000000006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3.91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7490</v>
      </c>
      <c r="AW481">
        <v>3350</v>
      </c>
      <c r="AX481">
        <v>1219</v>
      </c>
      <c r="AY481">
        <v>12059</v>
      </c>
      <c r="AZ481">
        <v>4202</v>
      </c>
      <c r="BA481">
        <v>7438</v>
      </c>
      <c r="BB481">
        <v>1432</v>
      </c>
      <c r="BC481">
        <v>13072</v>
      </c>
      <c r="BD481">
        <v>9486</v>
      </c>
      <c r="BE481">
        <v>9222</v>
      </c>
      <c r="BF481">
        <v>1768</v>
      </c>
      <c r="BG481">
        <v>20476</v>
      </c>
      <c r="BH481">
        <v>0</v>
      </c>
      <c r="BI481">
        <v>0</v>
      </c>
      <c r="BJ481">
        <v>0</v>
      </c>
      <c r="BK481">
        <v>0</v>
      </c>
      <c r="BL481" s="2">
        <v>24.82</v>
      </c>
      <c r="BM481" s="2">
        <v>42005.095138888886</v>
      </c>
      <c r="BN481" s="2">
        <v>5.4</v>
      </c>
      <c r="BO481" s="2">
        <v>42005.092361111114</v>
      </c>
      <c r="BP481" s="2">
        <v>6.92</v>
      </c>
      <c r="BQ481" s="2">
        <v>42005.092361111114</v>
      </c>
      <c r="BR481" s="2">
        <v>11.07</v>
      </c>
      <c r="BS481" s="2">
        <v>42005.092361111114</v>
      </c>
      <c r="BT481">
        <v>0</v>
      </c>
      <c r="BU481">
        <v>0</v>
      </c>
      <c r="BV481" t="s">
        <v>135</v>
      </c>
      <c r="BW481">
        <v>0</v>
      </c>
      <c r="BX481">
        <v>0</v>
      </c>
      <c r="BY481" t="s">
        <v>135</v>
      </c>
      <c r="BZ481">
        <v>0</v>
      </c>
      <c r="CA481">
        <v>0</v>
      </c>
      <c r="CB481" t="s">
        <v>135</v>
      </c>
      <c r="CH481" s="2"/>
      <c r="CJ481" s="2"/>
      <c r="CL481" s="2"/>
      <c r="CN481" s="2"/>
      <c r="CQ481" s="2"/>
      <c r="CT481" s="2"/>
      <c r="CW481" s="2"/>
    </row>
    <row r="482" spans="1:101" x14ac:dyDescent="0.25">
      <c r="A482" s="1" t="s">
        <v>163</v>
      </c>
      <c r="B482" s="75" t="s">
        <v>164</v>
      </c>
      <c r="C482">
        <v>0</v>
      </c>
      <c r="D482">
        <v>0</v>
      </c>
      <c r="E482">
        <v>0</v>
      </c>
      <c r="F482">
        <v>604324.56000000006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3.91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7490</v>
      </c>
      <c r="AW482">
        <v>3350</v>
      </c>
      <c r="AX482">
        <v>1219</v>
      </c>
      <c r="AY482">
        <v>12059</v>
      </c>
      <c r="AZ482">
        <v>4202</v>
      </c>
      <c r="BA482">
        <v>7438</v>
      </c>
      <c r="BB482">
        <v>1432</v>
      </c>
      <c r="BC482">
        <v>13072</v>
      </c>
      <c r="BD482">
        <v>9486</v>
      </c>
      <c r="BE482">
        <v>9222</v>
      </c>
      <c r="BF482">
        <v>1768</v>
      </c>
      <c r="BG482">
        <v>20476</v>
      </c>
      <c r="BH482">
        <v>0</v>
      </c>
      <c r="BI482">
        <v>0</v>
      </c>
      <c r="BJ482">
        <v>0</v>
      </c>
      <c r="BK482">
        <v>0</v>
      </c>
      <c r="BL482" s="2">
        <v>24.82</v>
      </c>
      <c r="BM482" s="2">
        <v>42005.095138888886</v>
      </c>
      <c r="BN482" s="2">
        <v>5.4</v>
      </c>
      <c r="BO482" s="2">
        <v>42005.092361111114</v>
      </c>
      <c r="BP482" s="2">
        <v>6.92</v>
      </c>
      <c r="BQ482" s="2">
        <v>42005.092361111114</v>
      </c>
      <c r="BR482" s="2">
        <v>11.07</v>
      </c>
      <c r="BS482" s="2">
        <v>42005.092361111114</v>
      </c>
      <c r="BT482">
        <v>0</v>
      </c>
      <c r="BU482">
        <v>0</v>
      </c>
      <c r="BV482" t="s">
        <v>135</v>
      </c>
      <c r="BW482">
        <v>0</v>
      </c>
      <c r="BX482">
        <v>0</v>
      </c>
      <c r="BY482" t="s">
        <v>135</v>
      </c>
      <c r="BZ482">
        <v>0</v>
      </c>
      <c r="CA482">
        <v>0</v>
      </c>
      <c r="CB482" t="s">
        <v>135</v>
      </c>
      <c r="CH482" s="2"/>
      <c r="CJ482" s="2"/>
      <c r="CL482" s="2"/>
      <c r="CN482" s="2"/>
      <c r="CQ482" s="2"/>
      <c r="CT482" s="2"/>
      <c r="CW482" s="2"/>
    </row>
    <row r="483" spans="1:101" x14ac:dyDescent="0.25">
      <c r="A483" s="1" t="s">
        <v>163</v>
      </c>
      <c r="B483" s="75" t="s">
        <v>164</v>
      </c>
      <c r="C483">
        <v>0</v>
      </c>
      <c r="D483">
        <v>0</v>
      </c>
      <c r="E483">
        <v>0</v>
      </c>
      <c r="F483">
        <v>604324.56000000006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3.91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7490</v>
      </c>
      <c r="AW483">
        <v>3350</v>
      </c>
      <c r="AX483">
        <v>1219</v>
      </c>
      <c r="AY483">
        <v>12059</v>
      </c>
      <c r="AZ483">
        <v>4202</v>
      </c>
      <c r="BA483">
        <v>7438</v>
      </c>
      <c r="BB483">
        <v>1432</v>
      </c>
      <c r="BC483">
        <v>13072</v>
      </c>
      <c r="BD483">
        <v>9486</v>
      </c>
      <c r="BE483">
        <v>9222</v>
      </c>
      <c r="BF483">
        <v>1768</v>
      </c>
      <c r="BG483">
        <v>20476</v>
      </c>
      <c r="BH483">
        <v>0</v>
      </c>
      <c r="BI483">
        <v>0</v>
      </c>
      <c r="BJ483">
        <v>0</v>
      </c>
      <c r="BK483">
        <v>0</v>
      </c>
      <c r="BL483" s="2">
        <v>24.82</v>
      </c>
      <c r="BM483" s="2">
        <v>42005.095138888886</v>
      </c>
      <c r="BN483" s="2">
        <v>5.4</v>
      </c>
      <c r="BO483" s="2">
        <v>42005.092361111114</v>
      </c>
      <c r="BP483" s="2">
        <v>6.92</v>
      </c>
      <c r="BQ483" s="2">
        <v>42005.092361111114</v>
      </c>
      <c r="BR483" s="2">
        <v>11.07</v>
      </c>
      <c r="BS483" s="2">
        <v>42005.092361111114</v>
      </c>
      <c r="BT483">
        <v>0</v>
      </c>
      <c r="BU483">
        <v>0</v>
      </c>
      <c r="BV483" t="s">
        <v>135</v>
      </c>
      <c r="BW483">
        <v>0</v>
      </c>
      <c r="BX483">
        <v>0</v>
      </c>
      <c r="BY483" t="s">
        <v>135</v>
      </c>
      <c r="BZ483">
        <v>0</v>
      </c>
      <c r="CA483">
        <v>0</v>
      </c>
      <c r="CB483" t="s">
        <v>135</v>
      </c>
      <c r="CH483" s="2"/>
      <c r="CJ483" s="2"/>
      <c r="CL483" s="2"/>
      <c r="CN483" s="2"/>
      <c r="CQ483" s="2"/>
      <c r="CT483" s="2"/>
      <c r="CW483" s="2"/>
    </row>
    <row r="484" spans="1:101" x14ac:dyDescent="0.25">
      <c r="A484" s="1" t="s">
        <v>163</v>
      </c>
      <c r="B484" s="75" t="s">
        <v>164</v>
      </c>
      <c r="C484">
        <v>0</v>
      </c>
      <c r="D484">
        <v>0</v>
      </c>
      <c r="E484">
        <v>0</v>
      </c>
      <c r="F484">
        <v>604324.56000000006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3.91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7490</v>
      </c>
      <c r="AW484">
        <v>3350</v>
      </c>
      <c r="AX484">
        <v>1219</v>
      </c>
      <c r="AY484">
        <v>12059</v>
      </c>
      <c r="AZ484">
        <v>4202</v>
      </c>
      <c r="BA484">
        <v>7438</v>
      </c>
      <c r="BB484">
        <v>1432</v>
      </c>
      <c r="BC484">
        <v>13072</v>
      </c>
      <c r="BD484">
        <v>9486</v>
      </c>
      <c r="BE484">
        <v>9222</v>
      </c>
      <c r="BF484">
        <v>1768</v>
      </c>
      <c r="BG484">
        <v>20476</v>
      </c>
      <c r="BH484">
        <v>0</v>
      </c>
      <c r="BI484">
        <v>0</v>
      </c>
      <c r="BJ484">
        <v>0</v>
      </c>
      <c r="BK484">
        <v>0</v>
      </c>
      <c r="BL484" s="2">
        <v>24.82</v>
      </c>
      <c r="BM484" s="2">
        <v>42005.095138888886</v>
      </c>
      <c r="BN484" s="2">
        <v>5.4</v>
      </c>
      <c r="BO484" s="2">
        <v>42005.092361111114</v>
      </c>
      <c r="BP484" s="2">
        <v>6.92</v>
      </c>
      <c r="BQ484" s="2">
        <v>42005.092361111114</v>
      </c>
      <c r="BR484" s="2">
        <v>11.07</v>
      </c>
      <c r="BS484" s="2">
        <v>42005.092361111114</v>
      </c>
      <c r="BT484">
        <v>0</v>
      </c>
      <c r="BU484">
        <v>0</v>
      </c>
      <c r="BV484" t="s">
        <v>135</v>
      </c>
      <c r="BW484">
        <v>0</v>
      </c>
      <c r="BX484">
        <v>0</v>
      </c>
      <c r="BY484" t="s">
        <v>135</v>
      </c>
      <c r="BZ484">
        <v>0</v>
      </c>
      <c r="CA484">
        <v>0</v>
      </c>
      <c r="CB484" t="s">
        <v>135</v>
      </c>
      <c r="CH484" s="2"/>
      <c r="CJ484" s="2"/>
      <c r="CL484" s="2"/>
      <c r="CN484" s="2"/>
      <c r="CQ484" s="2"/>
      <c r="CT484" s="2"/>
      <c r="CW484" s="2"/>
    </row>
    <row r="485" spans="1:101" x14ac:dyDescent="0.25">
      <c r="A485" s="1" t="s">
        <v>163</v>
      </c>
      <c r="B485" s="75" t="s">
        <v>164</v>
      </c>
      <c r="C485">
        <v>0</v>
      </c>
      <c r="D485">
        <v>0</v>
      </c>
      <c r="E485">
        <v>0</v>
      </c>
      <c r="F485">
        <v>604324.56000000006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3.91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7490</v>
      </c>
      <c r="AW485">
        <v>3350</v>
      </c>
      <c r="AX485">
        <v>1219</v>
      </c>
      <c r="AY485">
        <v>12059</v>
      </c>
      <c r="AZ485">
        <v>4202</v>
      </c>
      <c r="BA485">
        <v>7438</v>
      </c>
      <c r="BB485">
        <v>1432</v>
      </c>
      <c r="BC485">
        <v>13072</v>
      </c>
      <c r="BD485">
        <v>9486</v>
      </c>
      <c r="BE485">
        <v>9222</v>
      </c>
      <c r="BF485">
        <v>1768</v>
      </c>
      <c r="BG485">
        <v>20476</v>
      </c>
      <c r="BH485">
        <v>0</v>
      </c>
      <c r="BI485">
        <v>0</v>
      </c>
      <c r="BJ485">
        <v>0</v>
      </c>
      <c r="BK485">
        <v>0</v>
      </c>
      <c r="BL485" s="2">
        <v>24.82</v>
      </c>
      <c r="BM485" s="2">
        <v>42005.095138888886</v>
      </c>
      <c r="BN485" s="2">
        <v>5.4</v>
      </c>
      <c r="BO485" s="2">
        <v>42005.092361111114</v>
      </c>
      <c r="BP485" s="2">
        <v>6.92</v>
      </c>
      <c r="BQ485" s="2">
        <v>42005.092361111114</v>
      </c>
      <c r="BR485" s="2">
        <v>11.07</v>
      </c>
      <c r="BS485" s="2">
        <v>42005.092361111114</v>
      </c>
      <c r="BT485">
        <v>0</v>
      </c>
      <c r="BU485">
        <v>0</v>
      </c>
      <c r="BV485" t="s">
        <v>135</v>
      </c>
      <c r="BW485">
        <v>0</v>
      </c>
      <c r="BX485">
        <v>0</v>
      </c>
      <c r="BY485" t="s">
        <v>135</v>
      </c>
      <c r="BZ485">
        <v>0</v>
      </c>
      <c r="CA485">
        <v>0</v>
      </c>
      <c r="CB485" t="s">
        <v>135</v>
      </c>
      <c r="CH485" s="2"/>
      <c r="CJ485" s="2"/>
      <c r="CL485" s="2"/>
      <c r="CN485" s="2"/>
      <c r="CQ485" s="2"/>
      <c r="CT485" s="2"/>
      <c r="CW485" s="2"/>
    </row>
    <row r="486" spans="1:101" x14ac:dyDescent="0.25">
      <c r="A486" s="1" t="s">
        <v>163</v>
      </c>
      <c r="B486" s="75" t="s">
        <v>164</v>
      </c>
      <c r="C486">
        <v>0</v>
      </c>
      <c r="D486">
        <v>0</v>
      </c>
      <c r="E486">
        <v>0</v>
      </c>
      <c r="F486">
        <v>604324.56000000006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3.91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7490</v>
      </c>
      <c r="AW486">
        <v>3350</v>
      </c>
      <c r="AX486">
        <v>1219</v>
      </c>
      <c r="AY486">
        <v>12059</v>
      </c>
      <c r="AZ486">
        <v>4202</v>
      </c>
      <c r="BA486">
        <v>7438</v>
      </c>
      <c r="BB486">
        <v>1432</v>
      </c>
      <c r="BC486">
        <v>13072</v>
      </c>
      <c r="BD486">
        <v>9486</v>
      </c>
      <c r="BE486">
        <v>9222</v>
      </c>
      <c r="BF486">
        <v>1768</v>
      </c>
      <c r="BG486">
        <v>20476</v>
      </c>
      <c r="BH486">
        <v>0</v>
      </c>
      <c r="BI486">
        <v>0</v>
      </c>
      <c r="BJ486">
        <v>0</v>
      </c>
      <c r="BK486">
        <v>0</v>
      </c>
      <c r="BL486" s="2">
        <v>24.82</v>
      </c>
      <c r="BM486" s="2">
        <v>42005.095138888886</v>
      </c>
      <c r="BN486" s="2">
        <v>5.4</v>
      </c>
      <c r="BO486" s="2">
        <v>42005.092361111114</v>
      </c>
      <c r="BP486" s="2">
        <v>6.92</v>
      </c>
      <c r="BQ486" s="2">
        <v>42005.092361111114</v>
      </c>
      <c r="BR486" s="2">
        <v>11.07</v>
      </c>
      <c r="BS486" s="2">
        <v>42005.092361111114</v>
      </c>
      <c r="BT486">
        <v>0</v>
      </c>
      <c r="BU486">
        <v>0</v>
      </c>
      <c r="BV486" t="s">
        <v>135</v>
      </c>
      <c r="BW486">
        <v>0</v>
      </c>
      <c r="BX486">
        <v>0</v>
      </c>
      <c r="BY486" t="s">
        <v>135</v>
      </c>
      <c r="BZ486">
        <v>0</v>
      </c>
      <c r="CA486">
        <v>0</v>
      </c>
      <c r="CB486" t="s">
        <v>135</v>
      </c>
      <c r="CH486" s="2"/>
      <c r="CJ486" s="2"/>
      <c r="CL486" s="2"/>
      <c r="CN486" s="2"/>
      <c r="CQ486" s="2"/>
      <c r="CT486" s="2"/>
      <c r="CW486" s="2"/>
    </row>
    <row r="487" spans="1:101" x14ac:dyDescent="0.25">
      <c r="A487" s="1" t="s">
        <v>163</v>
      </c>
      <c r="B487" s="75" t="s">
        <v>164</v>
      </c>
      <c r="C487">
        <v>0</v>
      </c>
      <c r="D487">
        <v>0</v>
      </c>
      <c r="E487">
        <v>0</v>
      </c>
      <c r="F487">
        <v>604324.56000000006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3.91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7490</v>
      </c>
      <c r="AW487">
        <v>3350</v>
      </c>
      <c r="AX487">
        <v>1219</v>
      </c>
      <c r="AY487">
        <v>12059</v>
      </c>
      <c r="AZ487">
        <v>4202</v>
      </c>
      <c r="BA487">
        <v>7438</v>
      </c>
      <c r="BB487">
        <v>1432</v>
      </c>
      <c r="BC487">
        <v>13072</v>
      </c>
      <c r="BD487">
        <v>9486</v>
      </c>
      <c r="BE487">
        <v>9222</v>
      </c>
      <c r="BF487">
        <v>1768</v>
      </c>
      <c r="BG487">
        <v>20476</v>
      </c>
      <c r="BH487">
        <v>0</v>
      </c>
      <c r="BI487">
        <v>0</v>
      </c>
      <c r="BJ487">
        <v>0</v>
      </c>
      <c r="BK487">
        <v>0</v>
      </c>
      <c r="BL487" s="2">
        <v>24.82</v>
      </c>
      <c r="BM487" s="2">
        <v>42005.095138888886</v>
      </c>
      <c r="BN487" s="2">
        <v>5.4</v>
      </c>
      <c r="BO487" s="2">
        <v>42005.092361111114</v>
      </c>
      <c r="BP487" s="2">
        <v>6.92</v>
      </c>
      <c r="BQ487" s="2">
        <v>42005.092361111114</v>
      </c>
      <c r="BR487" s="2">
        <v>11.07</v>
      </c>
      <c r="BS487" s="2">
        <v>42005.092361111114</v>
      </c>
      <c r="BT487">
        <v>0</v>
      </c>
      <c r="BU487">
        <v>0</v>
      </c>
      <c r="BV487" t="s">
        <v>135</v>
      </c>
      <c r="BW487">
        <v>0</v>
      </c>
      <c r="BX487">
        <v>0</v>
      </c>
      <c r="BY487" t="s">
        <v>135</v>
      </c>
      <c r="BZ487">
        <v>0</v>
      </c>
      <c r="CA487">
        <v>0</v>
      </c>
      <c r="CB487" t="s">
        <v>135</v>
      </c>
      <c r="CH487" s="2"/>
      <c r="CJ487" s="2"/>
      <c r="CL487" s="2"/>
      <c r="CN487" s="2"/>
      <c r="CQ487" s="2"/>
      <c r="CT487" s="2"/>
      <c r="CW487" s="2"/>
    </row>
    <row r="488" spans="1:101" x14ac:dyDescent="0.25">
      <c r="A488" s="1" t="s">
        <v>163</v>
      </c>
      <c r="B488" s="75" t="s">
        <v>164</v>
      </c>
      <c r="C488">
        <v>0</v>
      </c>
      <c r="D488">
        <v>0</v>
      </c>
      <c r="E488">
        <v>0</v>
      </c>
      <c r="F488">
        <v>604324.56000000006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3.91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7490</v>
      </c>
      <c r="AW488">
        <v>3350</v>
      </c>
      <c r="AX488">
        <v>1219</v>
      </c>
      <c r="AY488">
        <v>12059</v>
      </c>
      <c r="AZ488">
        <v>4202</v>
      </c>
      <c r="BA488">
        <v>7438</v>
      </c>
      <c r="BB488">
        <v>1432</v>
      </c>
      <c r="BC488">
        <v>13072</v>
      </c>
      <c r="BD488">
        <v>9486</v>
      </c>
      <c r="BE488">
        <v>9222</v>
      </c>
      <c r="BF488">
        <v>1768</v>
      </c>
      <c r="BG488">
        <v>20476</v>
      </c>
      <c r="BH488">
        <v>0</v>
      </c>
      <c r="BI488">
        <v>0</v>
      </c>
      <c r="BJ488">
        <v>0</v>
      </c>
      <c r="BK488">
        <v>0</v>
      </c>
      <c r="BL488" s="2">
        <v>24.82</v>
      </c>
      <c r="BM488" s="2">
        <v>42005.095138888886</v>
      </c>
      <c r="BN488" s="2">
        <v>5.4</v>
      </c>
      <c r="BO488" s="2">
        <v>42005.092361111114</v>
      </c>
      <c r="BP488" s="2">
        <v>6.92</v>
      </c>
      <c r="BQ488" s="2">
        <v>42005.092361111114</v>
      </c>
      <c r="BR488" s="2">
        <v>11.07</v>
      </c>
      <c r="BS488" s="2">
        <v>42005.092361111114</v>
      </c>
      <c r="BT488">
        <v>0</v>
      </c>
      <c r="BU488">
        <v>0</v>
      </c>
      <c r="BV488" t="s">
        <v>135</v>
      </c>
      <c r="BW488">
        <v>0</v>
      </c>
      <c r="BX488">
        <v>0</v>
      </c>
      <c r="BY488" t="s">
        <v>135</v>
      </c>
      <c r="BZ488">
        <v>0</v>
      </c>
      <c r="CA488">
        <v>0</v>
      </c>
      <c r="CB488" t="s">
        <v>135</v>
      </c>
      <c r="CH488" s="2"/>
      <c r="CJ488" s="2"/>
      <c r="CL488" s="2"/>
      <c r="CN488" s="2"/>
      <c r="CQ488" s="2"/>
      <c r="CT488" s="2"/>
      <c r="CW488" s="2"/>
    </row>
    <row r="489" spans="1:101" x14ac:dyDescent="0.25">
      <c r="A489" s="1" t="s">
        <v>163</v>
      </c>
      <c r="B489" s="75" t="s">
        <v>164</v>
      </c>
      <c r="C489">
        <v>0</v>
      </c>
      <c r="D489">
        <v>0</v>
      </c>
      <c r="E489">
        <v>0</v>
      </c>
      <c r="F489">
        <v>604324.56000000006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3.91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7490</v>
      </c>
      <c r="AW489">
        <v>3350</v>
      </c>
      <c r="AX489">
        <v>1219</v>
      </c>
      <c r="AY489">
        <v>12059</v>
      </c>
      <c r="AZ489">
        <v>4202</v>
      </c>
      <c r="BA489">
        <v>7438</v>
      </c>
      <c r="BB489">
        <v>1432</v>
      </c>
      <c r="BC489">
        <v>13072</v>
      </c>
      <c r="BD489">
        <v>9486</v>
      </c>
      <c r="BE489">
        <v>9222</v>
      </c>
      <c r="BF489">
        <v>1768</v>
      </c>
      <c r="BG489">
        <v>20476</v>
      </c>
      <c r="BH489">
        <v>0</v>
      </c>
      <c r="BI489">
        <v>0</v>
      </c>
      <c r="BJ489">
        <v>0</v>
      </c>
      <c r="BK489">
        <v>0</v>
      </c>
      <c r="BL489" s="2">
        <v>24.82</v>
      </c>
      <c r="BM489" s="2">
        <v>42005.095138888886</v>
      </c>
      <c r="BN489" s="2">
        <v>5.4</v>
      </c>
      <c r="BO489" s="2">
        <v>42005.092361111114</v>
      </c>
      <c r="BP489" s="2">
        <v>6.92</v>
      </c>
      <c r="BQ489" s="2">
        <v>42005.092361111114</v>
      </c>
      <c r="BR489" s="2">
        <v>11.07</v>
      </c>
      <c r="BS489" s="2">
        <v>42005.092361111114</v>
      </c>
      <c r="BT489">
        <v>0</v>
      </c>
      <c r="BU489">
        <v>0</v>
      </c>
      <c r="BV489" t="s">
        <v>135</v>
      </c>
      <c r="BW489">
        <v>0</v>
      </c>
      <c r="BX489">
        <v>0</v>
      </c>
      <c r="BY489" t="s">
        <v>135</v>
      </c>
      <c r="BZ489">
        <v>0</v>
      </c>
      <c r="CA489">
        <v>0</v>
      </c>
      <c r="CB489" t="s">
        <v>135</v>
      </c>
      <c r="CH489" s="2"/>
      <c r="CJ489" s="2"/>
      <c r="CL489" s="2"/>
      <c r="CN489" s="2"/>
      <c r="CQ489" s="2"/>
      <c r="CT489" s="2"/>
      <c r="CW489" s="2"/>
    </row>
    <row r="490" spans="1:101" x14ac:dyDescent="0.25">
      <c r="A490" s="1" t="s">
        <v>163</v>
      </c>
      <c r="B490" s="75" t="s">
        <v>164</v>
      </c>
      <c r="C490">
        <v>0</v>
      </c>
      <c r="D490">
        <v>0</v>
      </c>
      <c r="E490">
        <v>0</v>
      </c>
      <c r="F490">
        <v>604324.56000000006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3.91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7490</v>
      </c>
      <c r="AW490">
        <v>3350</v>
      </c>
      <c r="AX490">
        <v>1219</v>
      </c>
      <c r="AY490">
        <v>12059</v>
      </c>
      <c r="AZ490">
        <v>4202</v>
      </c>
      <c r="BA490">
        <v>7438</v>
      </c>
      <c r="BB490">
        <v>1432</v>
      </c>
      <c r="BC490">
        <v>13072</v>
      </c>
      <c r="BD490">
        <v>9486</v>
      </c>
      <c r="BE490">
        <v>9222</v>
      </c>
      <c r="BF490">
        <v>1768</v>
      </c>
      <c r="BG490">
        <v>20476</v>
      </c>
      <c r="BH490">
        <v>0</v>
      </c>
      <c r="BI490">
        <v>0</v>
      </c>
      <c r="BJ490">
        <v>0</v>
      </c>
      <c r="BK490">
        <v>0</v>
      </c>
      <c r="BL490" s="2">
        <v>24.82</v>
      </c>
      <c r="BM490" s="2">
        <v>42005.095138888886</v>
      </c>
      <c r="BN490" s="2">
        <v>5.4</v>
      </c>
      <c r="BO490" s="2">
        <v>42005.092361111114</v>
      </c>
      <c r="BP490" s="2">
        <v>6.92</v>
      </c>
      <c r="BQ490" s="2">
        <v>42005.092361111114</v>
      </c>
      <c r="BR490" s="2">
        <v>11.07</v>
      </c>
      <c r="BS490" s="2">
        <v>42005.092361111114</v>
      </c>
      <c r="BT490">
        <v>0</v>
      </c>
      <c r="BU490">
        <v>0</v>
      </c>
      <c r="BV490" t="s">
        <v>135</v>
      </c>
      <c r="BW490">
        <v>0</v>
      </c>
      <c r="BX490">
        <v>0</v>
      </c>
      <c r="BY490" t="s">
        <v>135</v>
      </c>
      <c r="BZ490">
        <v>0</v>
      </c>
      <c r="CA490">
        <v>0</v>
      </c>
      <c r="CB490" t="s">
        <v>135</v>
      </c>
      <c r="CH490" s="2"/>
      <c r="CJ490" s="2"/>
      <c r="CL490" s="2"/>
      <c r="CN490" s="2"/>
      <c r="CQ490" s="2"/>
      <c r="CT490" s="2"/>
      <c r="CW490" s="2"/>
    </row>
    <row r="491" spans="1:101" x14ac:dyDescent="0.25">
      <c r="A491" s="1" t="s">
        <v>163</v>
      </c>
      <c r="B491" s="75" t="s">
        <v>164</v>
      </c>
      <c r="C491">
        <v>0</v>
      </c>
      <c r="D491">
        <v>0</v>
      </c>
      <c r="E491">
        <v>0</v>
      </c>
      <c r="F491">
        <v>604324.56000000006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3.91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7490</v>
      </c>
      <c r="AW491">
        <v>3350</v>
      </c>
      <c r="AX491">
        <v>1219</v>
      </c>
      <c r="AY491">
        <v>12059</v>
      </c>
      <c r="AZ491">
        <v>4202</v>
      </c>
      <c r="BA491">
        <v>7438</v>
      </c>
      <c r="BB491">
        <v>1432</v>
      </c>
      <c r="BC491">
        <v>13072</v>
      </c>
      <c r="BD491">
        <v>9486</v>
      </c>
      <c r="BE491">
        <v>9222</v>
      </c>
      <c r="BF491">
        <v>1768</v>
      </c>
      <c r="BG491">
        <v>20476</v>
      </c>
      <c r="BH491">
        <v>0</v>
      </c>
      <c r="BI491">
        <v>0</v>
      </c>
      <c r="BJ491">
        <v>0</v>
      </c>
      <c r="BK491">
        <v>0</v>
      </c>
      <c r="BL491" s="2">
        <v>24.82</v>
      </c>
      <c r="BM491" s="2">
        <v>42005.095138888886</v>
      </c>
      <c r="BN491" s="2">
        <v>5.4</v>
      </c>
      <c r="BO491" s="2">
        <v>42005.092361111114</v>
      </c>
      <c r="BP491" s="2">
        <v>6.92</v>
      </c>
      <c r="BQ491" s="2">
        <v>42005.092361111114</v>
      </c>
      <c r="BR491" s="2">
        <v>11.07</v>
      </c>
      <c r="BS491" s="2">
        <v>42005.092361111114</v>
      </c>
      <c r="BT491">
        <v>0</v>
      </c>
      <c r="BU491">
        <v>0</v>
      </c>
      <c r="BV491" t="s">
        <v>135</v>
      </c>
      <c r="BW491">
        <v>0</v>
      </c>
      <c r="BX491">
        <v>0</v>
      </c>
      <c r="BY491" t="s">
        <v>135</v>
      </c>
      <c r="BZ491">
        <v>0</v>
      </c>
      <c r="CA491">
        <v>0</v>
      </c>
      <c r="CB491" t="s">
        <v>135</v>
      </c>
      <c r="CH491" s="2"/>
      <c r="CJ491" s="2"/>
      <c r="CL491" s="2"/>
      <c r="CN491" s="2"/>
      <c r="CQ491" s="2"/>
      <c r="CT491" s="2"/>
      <c r="CW491" s="2"/>
    </row>
    <row r="492" spans="1:101" x14ac:dyDescent="0.25">
      <c r="A492" s="1" t="s">
        <v>163</v>
      </c>
      <c r="B492" s="75" t="s">
        <v>164</v>
      </c>
      <c r="C492">
        <v>0</v>
      </c>
      <c r="D492">
        <v>0</v>
      </c>
      <c r="E492">
        <v>0</v>
      </c>
      <c r="F492">
        <v>604324.56000000006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3.91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7490</v>
      </c>
      <c r="AW492">
        <v>3350</v>
      </c>
      <c r="AX492">
        <v>1219</v>
      </c>
      <c r="AY492">
        <v>12059</v>
      </c>
      <c r="AZ492">
        <v>4202</v>
      </c>
      <c r="BA492">
        <v>7438</v>
      </c>
      <c r="BB492">
        <v>1432</v>
      </c>
      <c r="BC492">
        <v>13072</v>
      </c>
      <c r="BD492">
        <v>9486</v>
      </c>
      <c r="BE492">
        <v>9222</v>
      </c>
      <c r="BF492">
        <v>1768</v>
      </c>
      <c r="BG492">
        <v>20476</v>
      </c>
      <c r="BH492">
        <v>0</v>
      </c>
      <c r="BI492">
        <v>0</v>
      </c>
      <c r="BJ492">
        <v>0</v>
      </c>
      <c r="BK492">
        <v>0</v>
      </c>
      <c r="BL492" s="2">
        <v>24.82</v>
      </c>
      <c r="BM492" s="2">
        <v>42005.095138888886</v>
      </c>
      <c r="BN492" s="2">
        <v>5.4</v>
      </c>
      <c r="BO492" s="2">
        <v>42005.092361111114</v>
      </c>
      <c r="BP492" s="2">
        <v>6.92</v>
      </c>
      <c r="BQ492" s="2">
        <v>42005.092361111114</v>
      </c>
      <c r="BR492" s="2">
        <v>11.07</v>
      </c>
      <c r="BS492" s="2">
        <v>42005.092361111114</v>
      </c>
      <c r="BT492">
        <v>0</v>
      </c>
      <c r="BU492">
        <v>0</v>
      </c>
      <c r="BV492" t="s">
        <v>135</v>
      </c>
      <c r="BW492">
        <v>0</v>
      </c>
      <c r="BX492">
        <v>0</v>
      </c>
      <c r="BY492" t="s">
        <v>135</v>
      </c>
      <c r="BZ492">
        <v>0</v>
      </c>
      <c r="CA492">
        <v>0</v>
      </c>
      <c r="CB492" t="s">
        <v>135</v>
      </c>
      <c r="CH492" s="2"/>
      <c r="CJ492" s="2"/>
      <c r="CL492" s="2"/>
      <c r="CN492" s="2"/>
      <c r="CQ492" s="2"/>
      <c r="CT492" s="2"/>
      <c r="CW492" s="2"/>
    </row>
    <row r="493" spans="1:101" x14ac:dyDescent="0.25">
      <c r="A493" s="1" t="s">
        <v>163</v>
      </c>
      <c r="B493" s="75" t="s">
        <v>164</v>
      </c>
      <c r="C493">
        <v>0</v>
      </c>
      <c r="D493">
        <v>0</v>
      </c>
      <c r="E493">
        <v>0</v>
      </c>
      <c r="F493">
        <v>604324.56000000006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3.91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7490</v>
      </c>
      <c r="AW493">
        <v>3350</v>
      </c>
      <c r="AX493">
        <v>1219</v>
      </c>
      <c r="AY493">
        <v>12059</v>
      </c>
      <c r="AZ493">
        <v>4202</v>
      </c>
      <c r="BA493">
        <v>7438</v>
      </c>
      <c r="BB493">
        <v>1432</v>
      </c>
      <c r="BC493">
        <v>13072</v>
      </c>
      <c r="BD493">
        <v>9486</v>
      </c>
      <c r="BE493">
        <v>9222</v>
      </c>
      <c r="BF493">
        <v>1768</v>
      </c>
      <c r="BG493">
        <v>20476</v>
      </c>
      <c r="BH493">
        <v>0</v>
      </c>
      <c r="BI493">
        <v>0</v>
      </c>
      <c r="BJ493">
        <v>0</v>
      </c>
      <c r="BK493">
        <v>0</v>
      </c>
      <c r="BL493" s="2">
        <v>24.82</v>
      </c>
      <c r="BM493" s="2">
        <v>42005.095138888886</v>
      </c>
      <c r="BN493" s="2">
        <v>5.4</v>
      </c>
      <c r="BO493" s="2">
        <v>42005.092361111114</v>
      </c>
      <c r="BP493" s="2">
        <v>6.92</v>
      </c>
      <c r="BQ493" s="2">
        <v>42005.092361111114</v>
      </c>
      <c r="BR493" s="2">
        <v>11.07</v>
      </c>
      <c r="BS493" s="2">
        <v>42005.092361111114</v>
      </c>
      <c r="BT493">
        <v>0</v>
      </c>
      <c r="BU493">
        <v>0</v>
      </c>
      <c r="BV493" t="s">
        <v>135</v>
      </c>
      <c r="BW493">
        <v>0</v>
      </c>
      <c r="BX493">
        <v>0</v>
      </c>
      <c r="BY493" t="s">
        <v>135</v>
      </c>
      <c r="BZ493">
        <v>0</v>
      </c>
      <c r="CA493">
        <v>0</v>
      </c>
      <c r="CB493" t="s">
        <v>135</v>
      </c>
      <c r="CH493" s="2"/>
      <c r="CJ493" s="2"/>
      <c r="CL493" s="2"/>
      <c r="CN493" s="2"/>
      <c r="CQ493" s="2"/>
      <c r="CT493" s="2"/>
      <c r="CW493" s="2"/>
    </row>
    <row r="494" spans="1:101" x14ac:dyDescent="0.25">
      <c r="A494" s="1" t="s">
        <v>163</v>
      </c>
      <c r="B494" s="75" t="s">
        <v>164</v>
      </c>
      <c r="C494">
        <v>0</v>
      </c>
      <c r="D494">
        <v>0</v>
      </c>
      <c r="E494">
        <v>0</v>
      </c>
      <c r="F494">
        <v>604324.56000000006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3.91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7490</v>
      </c>
      <c r="AW494">
        <v>3350</v>
      </c>
      <c r="AX494">
        <v>1219</v>
      </c>
      <c r="AY494">
        <v>12059</v>
      </c>
      <c r="AZ494">
        <v>4202</v>
      </c>
      <c r="BA494">
        <v>7438</v>
      </c>
      <c r="BB494">
        <v>1432</v>
      </c>
      <c r="BC494">
        <v>13072</v>
      </c>
      <c r="BD494">
        <v>9486</v>
      </c>
      <c r="BE494">
        <v>9222</v>
      </c>
      <c r="BF494">
        <v>1768</v>
      </c>
      <c r="BG494">
        <v>20476</v>
      </c>
      <c r="BH494">
        <v>0</v>
      </c>
      <c r="BI494">
        <v>0</v>
      </c>
      <c r="BJ494">
        <v>0</v>
      </c>
      <c r="BK494">
        <v>0</v>
      </c>
      <c r="BL494" s="2">
        <v>24.82</v>
      </c>
      <c r="BM494" s="2">
        <v>42005.095138888886</v>
      </c>
      <c r="BN494" s="2">
        <v>5.4</v>
      </c>
      <c r="BO494" s="2">
        <v>42005.092361111114</v>
      </c>
      <c r="BP494" s="2">
        <v>6.92</v>
      </c>
      <c r="BQ494" s="2">
        <v>42005.092361111114</v>
      </c>
      <c r="BR494" s="2">
        <v>11.07</v>
      </c>
      <c r="BS494" s="2">
        <v>42005.092361111114</v>
      </c>
      <c r="BT494">
        <v>0</v>
      </c>
      <c r="BU494">
        <v>0</v>
      </c>
      <c r="BV494" t="s">
        <v>135</v>
      </c>
      <c r="BW494">
        <v>0</v>
      </c>
      <c r="BX494">
        <v>0</v>
      </c>
      <c r="BY494" t="s">
        <v>135</v>
      </c>
      <c r="BZ494">
        <v>0</v>
      </c>
      <c r="CA494">
        <v>0</v>
      </c>
      <c r="CB494" t="s">
        <v>135</v>
      </c>
      <c r="CH494" s="2"/>
      <c r="CJ494" s="2"/>
      <c r="CL494" s="2"/>
      <c r="CN494" s="2"/>
      <c r="CQ494" s="2"/>
      <c r="CT494" s="2"/>
      <c r="CW494" s="2"/>
    </row>
    <row r="495" spans="1:101" x14ac:dyDescent="0.25">
      <c r="A495" s="1" t="s">
        <v>163</v>
      </c>
      <c r="B495" s="75" t="s">
        <v>164</v>
      </c>
      <c r="C495">
        <v>0</v>
      </c>
      <c r="D495">
        <v>0</v>
      </c>
      <c r="E495">
        <v>0</v>
      </c>
      <c r="F495">
        <v>604324.56000000006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3.91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7490</v>
      </c>
      <c r="AW495">
        <v>3350</v>
      </c>
      <c r="AX495">
        <v>1219</v>
      </c>
      <c r="AY495">
        <v>12059</v>
      </c>
      <c r="AZ495">
        <v>4202</v>
      </c>
      <c r="BA495">
        <v>7438</v>
      </c>
      <c r="BB495">
        <v>1432</v>
      </c>
      <c r="BC495">
        <v>13072</v>
      </c>
      <c r="BD495">
        <v>9486</v>
      </c>
      <c r="BE495">
        <v>9222</v>
      </c>
      <c r="BF495">
        <v>1768</v>
      </c>
      <c r="BG495">
        <v>20476</v>
      </c>
      <c r="BH495">
        <v>0</v>
      </c>
      <c r="BI495">
        <v>0</v>
      </c>
      <c r="BJ495">
        <v>0</v>
      </c>
      <c r="BK495">
        <v>0</v>
      </c>
      <c r="BL495" s="2">
        <v>24.82</v>
      </c>
      <c r="BM495" s="2">
        <v>42005.095138888886</v>
      </c>
      <c r="BN495" s="2">
        <v>5.4</v>
      </c>
      <c r="BO495" s="2">
        <v>42005.092361111114</v>
      </c>
      <c r="BP495" s="2">
        <v>6.92</v>
      </c>
      <c r="BQ495" s="2">
        <v>42005.092361111114</v>
      </c>
      <c r="BR495" s="2">
        <v>11.07</v>
      </c>
      <c r="BS495" s="2">
        <v>42005.092361111114</v>
      </c>
      <c r="BT495">
        <v>0</v>
      </c>
      <c r="BU495">
        <v>0</v>
      </c>
      <c r="BV495" t="s">
        <v>135</v>
      </c>
      <c r="BW495">
        <v>0</v>
      </c>
      <c r="BX495">
        <v>0</v>
      </c>
      <c r="BY495" t="s">
        <v>135</v>
      </c>
      <c r="BZ495">
        <v>0</v>
      </c>
      <c r="CA495">
        <v>0</v>
      </c>
      <c r="CB495" t="s">
        <v>135</v>
      </c>
      <c r="CH495" s="2"/>
      <c r="CJ495" s="2"/>
      <c r="CL495" s="2"/>
      <c r="CN495" s="2"/>
      <c r="CQ495" s="2"/>
      <c r="CT495" s="2"/>
      <c r="CW495" s="2"/>
    </row>
    <row r="496" spans="1:101" x14ac:dyDescent="0.25">
      <c r="A496" s="1" t="s">
        <v>163</v>
      </c>
      <c r="B496" s="75" t="s">
        <v>164</v>
      </c>
      <c r="C496">
        <v>0</v>
      </c>
      <c r="D496">
        <v>0</v>
      </c>
      <c r="E496">
        <v>0</v>
      </c>
      <c r="F496">
        <v>604324.56000000006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3.91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7490</v>
      </c>
      <c r="AW496">
        <v>3350</v>
      </c>
      <c r="AX496">
        <v>1219</v>
      </c>
      <c r="AY496">
        <v>12059</v>
      </c>
      <c r="AZ496">
        <v>4202</v>
      </c>
      <c r="BA496">
        <v>7438</v>
      </c>
      <c r="BB496">
        <v>1432</v>
      </c>
      <c r="BC496">
        <v>13072</v>
      </c>
      <c r="BD496">
        <v>9486</v>
      </c>
      <c r="BE496">
        <v>9222</v>
      </c>
      <c r="BF496">
        <v>1768</v>
      </c>
      <c r="BG496">
        <v>20476</v>
      </c>
      <c r="BH496">
        <v>0</v>
      </c>
      <c r="BI496">
        <v>0</v>
      </c>
      <c r="BJ496">
        <v>0</v>
      </c>
      <c r="BK496">
        <v>0</v>
      </c>
      <c r="BL496" s="2">
        <v>24.82</v>
      </c>
      <c r="BM496" s="2">
        <v>42005.095138888886</v>
      </c>
      <c r="BN496" s="2">
        <v>5.4</v>
      </c>
      <c r="BO496" s="2">
        <v>42005.092361111114</v>
      </c>
      <c r="BP496" s="2">
        <v>6.92</v>
      </c>
      <c r="BQ496" s="2">
        <v>42005.092361111114</v>
      </c>
      <c r="BR496" s="2">
        <v>11.07</v>
      </c>
      <c r="BS496" s="2">
        <v>42005.092361111114</v>
      </c>
      <c r="BT496">
        <v>0</v>
      </c>
      <c r="BU496">
        <v>0</v>
      </c>
      <c r="BV496" t="s">
        <v>135</v>
      </c>
      <c r="BW496">
        <v>0</v>
      </c>
      <c r="BX496">
        <v>0</v>
      </c>
      <c r="BY496" t="s">
        <v>135</v>
      </c>
      <c r="BZ496">
        <v>0</v>
      </c>
      <c r="CA496">
        <v>0</v>
      </c>
      <c r="CB496" t="s">
        <v>135</v>
      </c>
      <c r="CH496" s="2"/>
      <c r="CJ496" s="2"/>
      <c r="CL496" s="2"/>
      <c r="CN496" s="2"/>
      <c r="CQ496" s="2"/>
      <c r="CT496" s="2"/>
      <c r="CW496" s="2"/>
    </row>
    <row r="497" spans="1:101" x14ac:dyDescent="0.25">
      <c r="A497" s="1" t="s">
        <v>163</v>
      </c>
      <c r="B497" s="75" t="s">
        <v>164</v>
      </c>
      <c r="C497">
        <v>0</v>
      </c>
      <c r="D497">
        <v>0</v>
      </c>
      <c r="E497">
        <v>0</v>
      </c>
      <c r="F497">
        <v>604324.56000000006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3.91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7490</v>
      </c>
      <c r="AW497">
        <v>3350</v>
      </c>
      <c r="AX497">
        <v>1219</v>
      </c>
      <c r="AY497">
        <v>12059</v>
      </c>
      <c r="AZ497">
        <v>4202</v>
      </c>
      <c r="BA497">
        <v>7438</v>
      </c>
      <c r="BB497">
        <v>1432</v>
      </c>
      <c r="BC497">
        <v>13072</v>
      </c>
      <c r="BD497">
        <v>9486</v>
      </c>
      <c r="BE497">
        <v>9222</v>
      </c>
      <c r="BF497">
        <v>1768</v>
      </c>
      <c r="BG497">
        <v>20476</v>
      </c>
      <c r="BH497">
        <v>0</v>
      </c>
      <c r="BI497">
        <v>0</v>
      </c>
      <c r="BJ497">
        <v>0</v>
      </c>
      <c r="BK497">
        <v>0</v>
      </c>
      <c r="BL497" s="2">
        <v>24.82</v>
      </c>
      <c r="BM497" s="2">
        <v>42005.095138888886</v>
      </c>
      <c r="BN497" s="2">
        <v>5.4</v>
      </c>
      <c r="BO497" s="2">
        <v>42005.092361111114</v>
      </c>
      <c r="BP497" s="2">
        <v>6.92</v>
      </c>
      <c r="BQ497" s="2">
        <v>42005.092361111114</v>
      </c>
      <c r="BR497" s="2">
        <v>11.07</v>
      </c>
      <c r="BS497" s="2">
        <v>42005.092361111114</v>
      </c>
      <c r="BT497">
        <v>0</v>
      </c>
      <c r="BU497">
        <v>0</v>
      </c>
      <c r="BV497" t="s">
        <v>135</v>
      </c>
      <c r="BW497">
        <v>0</v>
      </c>
      <c r="BX497">
        <v>0</v>
      </c>
      <c r="BY497" t="s">
        <v>135</v>
      </c>
      <c r="BZ497">
        <v>0</v>
      </c>
      <c r="CA497">
        <v>0</v>
      </c>
      <c r="CB497" t="s">
        <v>135</v>
      </c>
      <c r="CH497" s="2"/>
      <c r="CJ497" s="2"/>
      <c r="CL497" s="2"/>
      <c r="CN497" s="2"/>
      <c r="CQ497" s="2"/>
      <c r="CT497" s="2"/>
      <c r="CW497" s="2"/>
    </row>
    <row r="498" spans="1:101" x14ac:dyDescent="0.25">
      <c r="A498" s="1" t="s">
        <v>163</v>
      </c>
      <c r="B498" s="75" t="s">
        <v>164</v>
      </c>
      <c r="C498">
        <v>0</v>
      </c>
      <c r="D498">
        <v>0</v>
      </c>
      <c r="E498">
        <v>0</v>
      </c>
      <c r="F498">
        <v>604324.56000000006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3.91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7490</v>
      </c>
      <c r="AW498">
        <v>3350</v>
      </c>
      <c r="AX498">
        <v>1219</v>
      </c>
      <c r="AY498">
        <v>12059</v>
      </c>
      <c r="AZ498">
        <v>4202</v>
      </c>
      <c r="BA498">
        <v>7438</v>
      </c>
      <c r="BB498">
        <v>1432</v>
      </c>
      <c r="BC498">
        <v>13072</v>
      </c>
      <c r="BD498">
        <v>9486</v>
      </c>
      <c r="BE498">
        <v>9222</v>
      </c>
      <c r="BF498">
        <v>1768</v>
      </c>
      <c r="BG498">
        <v>20476</v>
      </c>
      <c r="BH498">
        <v>0</v>
      </c>
      <c r="BI498">
        <v>0</v>
      </c>
      <c r="BJ498">
        <v>0</v>
      </c>
      <c r="BK498">
        <v>0</v>
      </c>
      <c r="BL498" s="2">
        <v>24.82</v>
      </c>
      <c r="BM498" s="2">
        <v>42005.095138888886</v>
      </c>
      <c r="BN498" s="2">
        <v>5.4</v>
      </c>
      <c r="BO498" s="2">
        <v>42005.092361111114</v>
      </c>
      <c r="BP498" s="2">
        <v>6.92</v>
      </c>
      <c r="BQ498" s="2">
        <v>42005.092361111114</v>
      </c>
      <c r="BR498" s="2">
        <v>11.07</v>
      </c>
      <c r="BS498" s="2">
        <v>42005.092361111114</v>
      </c>
      <c r="BT498">
        <v>0</v>
      </c>
      <c r="BU498">
        <v>0</v>
      </c>
      <c r="BV498" t="s">
        <v>135</v>
      </c>
      <c r="BW498">
        <v>0</v>
      </c>
      <c r="BX498">
        <v>0</v>
      </c>
      <c r="BY498" t="s">
        <v>135</v>
      </c>
      <c r="BZ498">
        <v>0</v>
      </c>
      <c r="CA498">
        <v>0</v>
      </c>
      <c r="CB498" t="s">
        <v>135</v>
      </c>
      <c r="CH498" s="2"/>
      <c r="CJ498" s="2"/>
      <c r="CL498" s="2"/>
      <c r="CN498" s="2"/>
      <c r="CQ498" s="2"/>
      <c r="CT498" s="2"/>
      <c r="CW498" s="2"/>
    </row>
    <row r="499" spans="1:101" x14ac:dyDescent="0.25">
      <c r="A499" s="1" t="s">
        <v>163</v>
      </c>
      <c r="B499" s="75" t="s">
        <v>164</v>
      </c>
      <c r="C499">
        <v>0</v>
      </c>
      <c r="D499">
        <v>0</v>
      </c>
      <c r="E499">
        <v>0</v>
      </c>
      <c r="F499">
        <v>604324.56000000006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3.91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7490</v>
      </c>
      <c r="AW499">
        <v>3350</v>
      </c>
      <c r="AX499">
        <v>1219</v>
      </c>
      <c r="AY499">
        <v>12059</v>
      </c>
      <c r="AZ499">
        <v>4202</v>
      </c>
      <c r="BA499">
        <v>7438</v>
      </c>
      <c r="BB499">
        <v>1432</v>
      </c>
      <c r="BC499">
        <v>13072</v>
      </c>
      <c r="BD499">
        <v>9486</v>
      </c>
      <c r="BE499">
        <v>9222</v>
      </c>
      <c r="BF499">
        <v>1768</v>
      </c>
      <c r="BG499">
        <v>20476</v>
      </c>
      <c r="BH499">
        <v>0</v>
      </c>
      <c r="BI499">
        <v>0</v>
      </c>
      <c r="BJ499">
        <v>0</v>
      </c>
      <c r="BK499">
        <v>0</v>
      </c>
      <c r="BL499" s="2">
        <v>24.82</v>
      </c>
      <c r="BM499" s="2">
        <v>42005.095138888886</v>
      </c>
      <c r="BN499" s="2">
        <v>5.4</v>
      </c>
      <c r="BO499" s="2">
        <v>42005.092361111114</v>
      </c>
      <c r="BP499" s="2">
        <v>6.92</v>
      </c>
      <c r="BQ499" s="2">
        <v>42005.092361111114</v>
      </c>
      <c r="BR499" s="2">
        <v>11.07</v>
      </c>
      <c r="BS499" s="2">
        <v>42005.092361111114</v>
      </c>
      <c r="BT499">
        <v>0</v>
      </c>
      <c r="BU499">
        <v>0</v>
      </c>
      <c r="BV499" t="s">
        <v>135</v>
      </c>
      <c r="BW499">
        <v>0</v>
      </c>
      <c r="BX499">
        <v>0</v>
      </c>
      <c r="BY499" t="s">
        <v>135</v>
      </c>
      <c r="BZ499">
        <v>0</v>
      </c>
      <c r="CA499">
        <v>0</v>
      </c>
      <c r="CB499" t="s">
        <v>135</v>
      </c>
      <c r="CH499" s="2"/>
      <c r="CJ499" s="2"/>
      <c r="CL499" s="2"/>
      <c r="CN499" s="2"/>
      <c r="CQ499" s="2"/>
      <c r="CT499" s="2"/>
      <c r="CW499" s="2"/>
    </row>
    <row r="500" spans="1:101" x14ac:dyDescent="0.25">
      <c r="A500" s="1" t="s">
        <v>163</v>
      </c>
      <c r="B500" s="75" t="s">
        <v>164</v>
      </c>
      <c r="C500">
        <v>0</v>
      </c>
      <c r="D500">
        <v>0</v>
      </c>
      <c r="E500">
        <v>0</v>
      </c>
      <c r="F500">
        <v>604324.56000000006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3.91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7490</v>
      </c>
      <c r="AW500">
        <v>3350</v>
      </c>
      <c r="AX500">
        <v>1219</v>
      </c>
      <c r="AY500">
        <v>12059</v>
      </c>
      <c r="AZ500">
        <v>4202</v>
      </c>
      <c r="BA500">
        <v>7438</v>
      </c>
      <c r="BB500">
        <v>1432</v>
      </c>
      <c r="BC500">
        <v>13072</v>
      </c>
      <c r="BD500">
        <v>9486</v>
      </c>
      <c r="BE500">
        <v>9222</v>
      </c>
      <c r="BF500">
        <v>1768</v>
      </c>
      <c r="BG500">
        <v>20476</v>
      </c>
      <c r="BH500">
        <v>0</v>
      </c>
      <c r="BI500">
        <v>0</v>
      </c>
      <c r="BJ500">
        <v>0</v>
      </c>
      <c r="BK500">
        <v>0</v>
      </c>
      <c r="BL500" s="2">
        <v>24.82</v>
      </c>
      <c r="BM500" s="2">
        <v>42005.095138888886</v>
      </c>
      <c r="BN500" s="2">
        <v>5.4</v>
      </c>
      <c r="BO500" s="2">
        <v>42005.092361111114</v>
      </c>
      <c r="BP500" s="2">
        <v>6.92</v>
      </c>
      <c r="BQ500" s="2">
        <v>42005.092361111114</v>
      </c>
      <c r="BR500" s="2">
        <v>11.07</v>
      </c>
      <c r="BS500" s="2">
        <v>42005.092361111114</v>
      </c>
      <c r="BT500">
        <v>0</v>
      </c>
      <c r="BU500">
        <v>0</v>
      </c>
      <c r="BV500" t="s">
        <v>135</v>
      </c>
      <c r="BW500">
        <v>0</v>
      </c>
      <c r="BX500">
        <v>0</v>
      </c>
      <c r="BY500" t="s">
        <v>135</v>
      </c>
      <c r="BZ500">
        <v>0</v>
      </c>
      <c r="CA500">
        <v>0</v>
      </c>
      <c r="CB500" t="s">
        <v>135</v>
      </c>
      <c r="CH500" s="2"/>
      <c r="CJ500" s="2"/>
      <c r="CL500" s="2"/>
      <c r="CN500" s="2"/>
      <c r="CQ500" s="2"/>
      <c r="CT500" s="2"/>
      <c r="CW500" s="2"/>
    </row>
    <row r="501" spans="1:101" x14ac:dyDescent="0.25">
      <c r="A501" s="1" t="s">
        <v>163</v>
      </c>
      <c r="B501" s="75" t="s">
        <v>164</v>
      </c>
      <c r="C501">
        <v>0</v>
      </c>
      <c r="D501">
        <v>0</v>
      </c>
      <c r="E501">
        <v>0</v>
      </c>
      <c r="F501">
        <v>604324.56000000006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3.91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7490</v>
      </c>
      <c r="AW501">
        <v>3350</v>
      </c>
      <c r="AX501">
        <v>1219</v>
      </c>
      <c r="AY501">
        <v>12059</v>
      </c>
      <c r="AZ501">
        <v>4202</v>
      </c>
      <c r="BA501">
        <v>7438</v>
      </c>
      <c r="BB501">
        <v>1432</v>
      </c>
      <c r="BC501">
        <v>13072</v>
      </c>
      <c r="BD501">
        <v>9486</v>
      </c>
      <c r="BE501">
        <v>9222</v>
      </c>
      <c r="BF501">
        <v>1768</v>
      </c>
      <c r="BG501">
        <v>20476</v>
      </c>
      <c r="BH501">
        <v>0</v>
      </c>
      <c r="BI501">
        <v>0</v>
      </c>
      <c r="BJ501">
        <v>0</v>
      </c>
      <c r="BK501">
        <v>0</v>
      </c>
      <c r="BL501" s="2">
        <v>24.82</v>
      </c>
      <c r="BM501" s="2">
        <v>42005.095138888886</v>
      </c>
      <c r="BN501" s="2">
        <v>5.4</v>
      </c>
      <c r="BO501" s="2">
        <v>42005.092361111114</v>
      </c>
      <c r="BP501" s="2">
        <v>6.92</v>
      </c>
      <c r="BQ501" s="2">
        <v>42005.092361111114</v>
      </c>
      <c r="BR501" s="2">
        <v>11.07</v>
      </c>
      <c r="BS501" s="2">
        <v>42005.092361111114</v>
      </c>
      <c r="BT501">
        <v>0</v>
      </c>
      <c r="BU501">
        <v>0</v>
      </c>
      <c r="BV501" t="s">
        <v>135</v>
      </c>
      <c r="BW501">
        <v>0</v>
      </c>
      <c r="BX501">
        <v>0</v>
      </c>
      <c r="BY501" t="s">
        <v>135</v>
      </c>
      <c r="BZ501">
        <v>0</v>
      </c>
      <c r="CA501">
        <v>0</v>
      </c>
      <c r="CB501" t="s">
        <v>135</v>
      </c>
      <c r="CH501" s="2"/>
      <c r="CJ501" s="2"/>
      <c r="CL501" s="2"/>
      <c r="CN501" s="2"/>
      <c r="CQ501" s="2"/>
      <c r="CT501" s="2"/>
      <c r="CW501" s="2"/>
    </row>
    <row r="502" spans="1:101" x14ac:dyDescent="0.25">
      <c r="A502" s="1" t="s">
        <v>163</v>
      </c>
      <c r="B502" s="75" t="s">
        <v>164</v>
      </c>
      <c r="C502">
        <v>0</v>
      </c>
      <c r="D502">
        <v>0</v>
      </c>
      <c r="E502">
        <v>0</v>
      </c>
      <c r="F502">
        <v>604324.56000000006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3.91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7490</v>
      </c>
      <c r="AW502">
        <v>3350</v>
      </c>
      <c r="AX502">
        <v>1219</v>
      </c>
      <c r="AY502">
        <v>12059</v>
      </c>
      <c r="AZ502">
        <v>4202</v>
      </c>
      <c r="BA502">
        <v>7438</v>
      </c>
      <c r="BB502">
        <v>1432</v>
      </c>
      <c r="BC502">
        <v>13072</v>
      </c>
      <c r="BD502">
        <v>9486</v>
      </c>
      <c r="BE502">
        <v>9222</v>
      </c>
      <c r="BF502">
        <v>1768</v>
      </c>
      <c r="BG502">
        <v>20476</v>
      </c>
      <c r="BH502">
        <v>0</v>
      </c>
      <c r="BI502">
        <v>0</v>
      </c>
      <c r="BJ502">
        <v>0</v>
      </c>
      <c r="BK502">
        <v>0</v>
      </c>
      <c r="BL502" s="2">
        <v>24.82</v>
      </c>
      <c r="BM502" s="2">
        <v>42005.095138888886</v>
      </c>
      <c r="BN502" s="2">
        <v>5.4</v>
      </c>
      <c r="BO502" s="2">
        <v>42005.092361111114</v>
      </c>
      <c r="BP502" s="2">
        <v>6.92</v>
      </c>
      <c r="BQ502" s="2">
        <v>42005.092361111114</v>
      </c>
      <c r="BR502" s="2">
        <v>11.07</v>
      </c>
      <c r="BS502" s="2">
        <v>42005.092361111114</v>
      </c>
      <c r="BT502">
        <v>0</v>
      </c>
      <c r="BU502">
        <v>0</v>
      </c>
      <c r="BV502" t="s">
        <v>135</v>
      </c>
      <c r="BW502">
        <v>0</v>
      </c>
      <c r="BX502">
        <v>0</v>
      </c>
      <c r="BY502" t="s">
        <v>135</v>
      </c>
      <c r="BZ502">
        <v>0</v>
      </c>
      <c r="CA502">
        <v>0</v>
      </c>
      <c r="CB502" t="s">
        <v>135</v>
      </c>
      <c r="CH502" s="2"/>
      <c r="CJ502" s="2"/>
      <c r="CL502" s="2"/>
      <c r="CN502" s="2"/>
      <c r="CQ502" s="2"/>
      <c r="CT502" s="2"/>
      <c r="CW502" s="2"/>
    </row>
    <row r="503" spans="1:101" x14ac:dyDescent="0.25">
      <c r="A503" s="1" t="s">
        <v>163</v>
      </c>
      <c r="B503" s="75" t="s">
        <v>164</v>
      </c>
      <c r="C503">
        <v>0</v>
      </c>
      <c r="D503">
        <v>0</v>
      </c>
      <c r="E503">
        <v>0</v>
      </c>
      <c r="F503">
        <v>604324.56000000006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3.91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7490</v>
      </c>
      <c r="AW503">
        <v>3350</v>
      </c>
      <c r="AX503">
        <v>1219</v>
      </c>
      <c r="AY503">
        <v>12059</v>
      </c>
      <c r="AZ503">
        <v>4202</v>
      </c>
      <c r="BA503">
        <v>7438</v>
      </c>
      <c r="BB503">
        <v>1432</v>
      </c>
      <c r="BC503">
        <v>13072</v>
      </c>
      <c r="BD503">
        <v>9486</v>
      </c>
      <c r="BE503">
        <v>9222</v>
      </c>
      <c r="BF503">
        <v>1768</v>
      </c>
      <c r="BG503">
        <v>20476</v>
      </c>
      <c r="BH503">
        <v>0</v>
      </c>
      <c r="BI503">
        <v>0</v>
      </c>
      <c r="BJ503">
        <v>0</v>
      </c>
      <c r="BK503">
        <v>0</v>
      </c>
      <c r="BL503" s="2">
        <v>24.82</v>
      </c>
      <c r="BM503" s="2">
        <v>42005.095138888886</v>
      </c>
      <c r="BN503" s="2">
        <v>5.4</v>
      </c>
      <c r="BO503" s="2">
        <v>42005.092361111114</v>
      </c>
      <c r="BP503" s="2">
        <v>6.92</v>
      </c>
      <c r="BQ503" s="2">
        <v>42005.092361111114</v>
      </c>
      <c r="BR503" s="2">
        <v>11.07</v>
      </c>
      <c r="BS503" s="2">
        <v>42005.092361111114</v>
      </c>
      <c r="BT503">
        <v>0</v>
      </c>
      <c r="BU503">
        <v>0</v>
      </c>
      <c r="BV503" t="s">
        <v>135</v>
      </c>
      <c r="BW503">
        <v>0</v>
      </c>
      <c r="BX503">
        <v>0</v>
      </c>
      <c r="BY503" t="s">
        <v>135</v>
      </c>
      <c r="BZ503">
        <v>0</v>
      </c>
      <c r="CA503">
        <v>0</v>
      </c>
      <c r="CB503" t="s">
        <v>135</v>
      </c>
      <c r="CH503" s="2"/>
      <c r="CJ503" s="2"/>
      <c r="CL503" s="2"/>
      <c r="CN503" s="2"/>
      <c r="CQ503" s="2"/>
      <c r="CT503" s="2"/>
      <c r="CW503" s="2"/>
    </row>
    <row r="504" spans="1:101" x14ac:dyDescent="0.25">
      <c r="A504" s="1" t="s">
        <v>163</v>
      </c>
      <c r="B504" s="75" t="s">
        <v>164</v>
      </c>
      <c r="C504">
        <v>0</v>
      </c>
      <c r="D504">
        <v>0</v>
      </c>
      <c r="E504">
        <v>0</v>
      </c>
      <c r="F504">
        <v>604324.56000000006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3.91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7490</v>
      </c>
      <c r="AW504">
        <v>3350</v>
      </c>
      <c r="AX504">
        <v>1219</v>
      </c>
      <c r="AY504">
        <v>12059</v>
      </c>
      <c r="AZ504">
        <v>4202</v>
      </c>
      <c r="BA504">
        <v>7438</v>
      </c>
      <c r="BB504">
        <v>1432</v>
      </c>
      <c r="BC504">
        <v>13072</v>
      </c>
      <c r="BD504">
        <v>9486</v>
      </c>
      <c r="BE504">
        <v>9222</v>
      </c>
      <c r="BF504">
        <v>1768</v>
      </c>
      <c r="BG504">
        <v>20476</v>
      </c>
      <c r="BH504">
        <v>0</v>
      </c>
      <c r="BI504">
        <v>0</v>
      </c>
      <c r="BJ504">
        <v>0</v>
      </c>
      <c r="BK504">
        <v>0</v>
      </c>
      <c r="BL504" s="2">
        <v>24.82</v>
      </c>
      <c r="BM504" s="2">
        <v>42005.095138888886</v>
      </c>
      <c r="BN504" s="2">
        <v>5.4</v>
      </c>
      <c r="BO504" s="2">
        <v>42005.092361111114</v>
      </c>
      <c r="BP504" s="2">
        <v>6.92</v>
      </c>
      <c r="BQ504" s="2">
        <v>42005.092361111114</v>
      </c>
      <c r="BR504" s="2">
        <v>11.07</v>
      </c>
      <c r="BS504" s="2">
        <v>42005.092361111114</v>
      </c>
      <c r="BT504">
        <v>0</v>
      </c>
      <c r="BU504">
        <v>0</v>
      </c>
      <c r="BV504" t="s">
        <v>135</v>
      </c>
      <c r="BW504">
        <v>0</v>
      </c>
      <c r="BX504">
        <v>0</v>
      </c>
      <c r="BY504" t="s">
        <v>135</v>
      </c>
      <c r="BZ504">
        <v>0</v>
      </c>
      <c r="CA504">
        <v>0</v>
      </c>
      <c r="CB504" t="s">
        <v>135</v>
      </c>
      <c r="CH504" s="2"/>
      <c r="CJ504" s="2"/>
      <c r="CL504" s="2"/>
      <c r="CN504" s="2"/>
      <c r="CQ504" s="2"/>
      <c r="CT504" s="2"/>
      <c r="CW504" s="2"/>
    </row>
    <row r="505" spans="1:101" x14ac:dyDescent="0.25">
      <c r="A505" s="1" t="s">
        <v>163</v>
      </c>
      <c r="B505" s="75" t="s">
        <v>164</v>
      </c>
      <c r="C505">
        <v>0</v>
      </c>
      <c r="D505">
        <v>0</v>
      </c>
      <c r="E505">
        <v>0</v>
      </c>
      <c r="F505">
        <v>604324.56000000006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3.91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7490</v>
      </c>
      <c r="AW505">
        <v>3350</v>
      </c>
      <c r="AX505">
        <v>1219</v>
      </c>
      <c r="AY505">
        <v>12059</v>
      </c>
      <c r="AZ505">
        <v>4202</v>
      </c>
      <c r="BA505">
        <v>7438</v>
      </c>
      <c r="BB505">
        <v>1432</v>
      </c>
      <c r="BC505">
        <v>13072</v>
      </c>
      <c r="BD505">
        <v>9486</v>
      </c>
      <c r="BE505">
        <v>9222</v>
      </c>
      <c r="BF505">
        <v>1768</v>
      </c>
      <c r="BG505">
        <v>20476</v>
      </c>
      <c r="BH505">
        <v>0</v>
      </c>
      <c r="BI505">
        <v>0</v>
      </c>
      <c r="BJ505">
        <v>0</v>
      </c>
      <c r="BK505">
        <v>0</v>
      </c>
      <c r="BL505" s="2">
        <v>24.82</v>
      </c>
      <c r="BM505" s="2">
        <v>42005.095138888886</v>
      </c>
      <c r="BN505" s="2">
        <v>5.4</v>
      </c>
      <c r="BO505" s="2">
        <v>42005.092361111114</v>
      </c>
      <c r="BP505" s="2">
        <v>6.92</v>
      </c>
      <c r="BQ505" s="2">
        <v>42005.092361111114</v>
      </c>
      <c r="BR505" s="2">
        <v>11.07</v>
      </c>
      <c r="BS505" s="2">
        <v>42005.092361111114</v>
      </c>
      <c r="BT505">
        <v>0</v>
      </c>
      <c r="BU505">
        <v>0</v>
      </c>
      <c r="BV505" t="s">
        <v>135</v>
      </c>
      <c r="BW505">
        <v>0</v>
      </c>
      <c r="BX505">
        <v>0</v>
      </c>
      <c r="BY505" t="s">
        <v>135</v>
      </c>
      <c r="BZ505">
        <v>0</v>
      </c>
      <c r="CA505">
        <v>0</v>
      </c>
      <c r="CB505" t="s">
        <v>135</v>
      </c>
      <c r="CH505" s="2"/>
      <c r="CJ505" s="2"/>
      <c r="CL505" s="2"/>
      <c r="CN505" s="2"/>
      <c r="CQ505" s="2"/>
      <c r="CT505" s="2"/>
      <c r="CW505" s="2"/>
    </row>
    <row r="506" spans="1:101" x14ac:dyDescent="0.25">
      <c r="A506" s="1" t="s">
        <v>163</v>
      </c>
      <c r="B506" s="75" t="s">
        <v>164</v>
      </c>
      <c r="C506">
        <v>0</v>
      </c>
      <c r="D506">
        <v>0</v>
      </c>
      <c r="E506">
        <v>0</v>
      </c>
      <c r="F506">
        <v>604324.56000000006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3.91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7490</v>
      </c>
      <c r="AW506">
        <v>3350</v>
      </c>
      <c r="AX506">
        <v>1219</v>
      </c>
      <c r="AY506">
        <v>12059</v>
      </c>
      <c r="AZ506">
        <v>4202</v>
      </c>
      <c r="BA506">
        <v>7438</v>
      </c>
      <c r="BB506">
        <v>1432</v>
      </c>
      <c r="BC506">
        <v>13072</v>
      </c>
      <c r="BD506">
        <v>9486</v>
      </c>
      <c r="BE506">
        <v>9222</v>
      </c>
      <c r="BF506">
        <v>1768</v>
      </c>
      <c r="BG506">
        <v>20476</v>
      </c>
      <c r="BH506">
        <v>0</v>
      </c>
      <c r="BI506">
        <v>0</v>
      </c>
      <c r="BJ506">
        <v>0</v>
      </c>
      <c r="BK506">
        <v>0</v>
      </c>
      <c r="BL506" s="2">
        <v>24.82</v>
      </c>
      <c r="BM506" s="2">
        <v>42005.095138888886</v>
      </c>
      <c r="BN506" s="2">
        <v>5.4</v>
      </c>
      <c r="BO506" s="2">
        <v>42005.092361111114</v>
      </c>
      <c r="BP506" s="2">
        <v>6.92</v>
      </c>
      <c r="BQ506" s="2">
        <v>42005.092361111114</v>
      </c>
      <c r="BR506" s="2">
        <v>11.07</v>
      </c>
      <c r="BS506" s="2">
        <v>42005.092361111114</v>
      </c>
      <c r="BT506">
        <v>0</v>
      </c>
      <c r="BU506">
        <v>0</v>
      </c>
      <c r="BV506" t="s">
        <v>135</v>
      </c>
      <c r="BW506">
        <v>0</v>
      </c>
      <c r="BX506">
        <v>0</v>
      </c>
      <c r="BY506" t="s">
        <v>135</v>
      </c>
      <c r="BZ506">
        <v>0</v>
      </c>
      <c r="CA506">
        <v>0</v>
      </c>
      <c r="CB506" t="s">
        <v>135</v>
      </c>
      <c r="CH506" s="2"/>
      <c r="CJ506" s="2"/>
      <c r="CL506" s="2"/>
      <c r="CN506" s="2"/>
      <c r="CQ506" s="2"/>
      <c r="CT506" s="2"/>
      <c r="CW506" s="2"/>
    </row>
    <row r="507" spans="1:101" x14ac:dyDescent="0.25">
      <c r="A507" s="1" t="s">
        <v>163</v>
      </c>
      <c r="B507" s="75" t="s">
        <v>164</v>
      </c>
      <c r="C507">
        <v>0</v>
      </c>
      <c r="D507">
        <v>0</v>
      </c>
      <c r="E507">
        <v>0</v>
      </c>
      <c r="F507">
        <v>604324.56000000006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3.91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7490</v>
      </c>
      <c r="AW507">
        <v>3350</v>
      </c>
      <c r="AX507">
        <v>1219</v>
      </c>
      <c r="AY507">
        <v>12059</v>
      </c>
      <c r="AZ507">
        <v>4202</v>
      </c>
      <c r="BA507">
        <v>7438</v>
      </c>
      <c r="BB507">
        <v>1432</v>
      </c>
      <c r="BC507">
        <v>13072</v>
      </c>
      <c r="BD507">
        <v>9486</v>
      </c>
      <c r="BE507">
        <v>9222</v>
      </c>
      <c r="BF507">
        <v>1768</v>
      </c>
      <c r="BG507">
        <v>20476</v>
      </c>
      <c r="BH507">
        <v>0</v>
      </c>
      <c r="BI507">
        <v>0</v>
      </c>
      <c r="BJ507">
        <v>0</v>
      </c>
      <c r="BK507">
        <v>0</v>
      </c>
      <c r="BL507" s="2">
        <v>24.82</v>
      </c>
      <c r="BM507" s="2">
        <v>42005.095138888886</v>
      </c>
      <c r="BN507" s="2">
        <v>5.4</v>
      </c>
      <c r="BO507" s="2">
        <v>42005.092361111114</v>
      </c>
      <c r="BP507" s="2">
        <v>6.92</v>
      </c>
      <c r="BQ507" s="2">
        <v>42005.092361111114</v>
      </c>
      <c r="BR507" s="2">
        <v>11.07</v>
      </c>
      <c r="BS507" s="2">
        <v>42005.092361111114</v>
      </c>
      <c r="BT507">
        <v>0</v>
      </c>
      <c r="BU507">
        <v>0</v>
      </c>
      <c r="BV507" t="s">
        <v>135</v>
      </c>
      <c r="BW507">
        <v>0</v>
      </c>
      <c r="BX507">
        <v>0</v>
      </c>
      <c r="BY507" t="s">
        <v>135</v>
      </c>
      <c r="BZ507">
        <v>0</v>
      </c>
      <c r="CA507">
        <v>0</v>
      </c>
      <c r="CB507" t="s">
        <v>135</v>
      </c>
      <c r="CH507" s="2"/>
      <c r="CJ507" s="2"/>
      <c r="CL507" s="2"/>
      <c r="CN507" s="2"/>
      <c r="CQ507" s="2"/>
      <c r="CT507" s="2"/>
      <c r="CW507" s="2"/>
    </row>
    <row r="508" spans="1:101" x14ac:dyDescent="0.25">
      <c r="A508" s="1" t="s">
        <v>163</v>
      </c>
      <c r="B508" s="75" t="s">
        <v>164</v>
      </c>
      <c r="C508">
        <v>0</v>
      </c>
      <c r="D508">
        <v>0</v>
      </c>
      <c r="E508">
        <v>0</v>
      </c>
      <c r="F508">
        <v>604324.56000000006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3.91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7490</v>
      </c>
      <c r="AW508">
        <v>3350</v>
      </c>
      <c r="AX508">
        <v>1219</v>
      </c>
      <c r="AY508">
        <v>12059</v>
      </c>
      <c r="AZ508">
        <v>4202</v>
      </c>
      <c r="BA508">
        <v>7438</v>
      </c>
      <c r="BB508">
        <v>1432</v>
      </c>
      <c r="BC508">
        <v>13072</v>
      </c>
      <c r="BD508">
        <v>9486</v>
      </c>
      <c r="BE508">
        <v>9222</v>
      </c>
      <c r="BF508">
        <v>1768</v>
      </c>
      <c r="BG508">
        <v>20476</v>
      </c>
      <c r="BH508">
        <v>0</v>
      </c>
      <c r="BI508">
        <v>0</v>
      </c>
      <c r="BJ508">
        <v>0</v>
      </c>
      <c r="BK508">
        <v>0</v>
      </c>
      <c r="BL508" s="2">
        <v>24.82</v>
      </c>
      <c r="BM508" s="2">
        <v>42005.095138888886</v>
      </c>
      <c r="BN508" s="2">
        <v>5.4</v>
      </c>
      <c r="BO508" s="2">
        <v>42005.092361111114</v>
      </c>
      <c r="BP508" s="2">
        <v>6.92</v>
      </c>
      <c r="BQ508" s="2">
        <v>42005.092361111114</v>
      </c>
      <c r="BR508" s="2">
        <v>11.07</v>
      </c>
      <c r="BS508" s="2">
        <v>42005.092361111114</v>
      </c>
      <c r="BT508">
        <v>0</v>
      </c>
      <c r="BU508">
        <v>0</v>
      </c>
      <c r="BV508" t="s">
        <v>135</v>
      </c>
      <c r="BW508">
        <v>0</v>
      </c>
      <c r="BX508">
        <v>0</v>
      </c>
      <c r="BY508" t="s">
        <v>135</v>
      </c>
      <c r="BZ508">
        <v>0</v>
      </c>
      <c r="CA508">
        <v>0</v>
      </c>
      <c r="CB508" t="s">
        <v>135</v>
      </c>
      <c r="CH508" s="2"/>
      <c r="CJ508" s="2"/>
      <c r="CL508" s="2"/>
      <c r="CN508" s="2"/>
      <c r="CQ508" s="2"/>
      <c r="CT508" s="2"/>
      <c r="CW508" s="2"/>
    </row>
    <row r="509" spans="1:101" x14ac:dyDescent="0.25">
      <c r="A509" s="1" t="s">
        <v>163</v>
      </c>
      <c r="B509" s="75" t="s">
        <v>164</v>
      </c>
      <c r="C509">
        <v>0</v>
      </c>
      <c r="D509">
        <v>0</v>
      </c>
      <c r="E509">
        <v>0</v>
      </c>
      <c r="F509">
        <v>604324.56000000006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3.91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7490</v>
      </c>
      <c r="AW509">
        <v>3350</v>
      </c>
      <c r="AX509">
        <v>1219</v>
      </c>
      <c r="AY509">
        <v>12059</v>
      </c>
      <c r="AZ509">
        <v>4202</v>
      </c>
      <c r="BA509">
        <v>7438</v>
      </c>
      <c r="BB509">
        <v>1432</v>
      </c>
      <c r="BC509">
        <v>13072</v>
      </c>
      <c r="BD509">
        <v>9486</v>
      </c>
      <c r="BE509">
        <v>9222</v>
      </c>
      <c r="BF509">
        <v>1768</v>
      </c>
      <c r="BG509">
        <v>20476</v>
      </c>
      <c r="BH509">
        <v>0</v>
      </c>
      <c r="BI509">
        <v>0</v>
      </c>
      <c r="BJ509">
        <v>0</v>
      </c>
      <c r="BK509">
        <v>0</v>
      </c>
      <c r="BL509" s="2">
        <v>24.82</v>
      </c>
      <c r="BM509" s="2">
        <v>42005.095138888886</v>
      </c>
      <c r="BN509" s="2">
        <v>5.4</v>
      </c>
      <c r="BO509" s="2">
        <v>42005.092361111114</v>
      </c>
      <c r="BP509" s="2">
        <v>6.92</v>
      </c>
      <c r="BQ509" s="2">
        <v>42005.092361111114</v>
      </c>
      <c r="BR509" s="2">
        <v>11.07</v>
      </c>
      <c r="BS509" s="2">
        <v>42005.092361111114</v>
      </c>
      <c r="BT509">
        <v>0</v>
      </c>
      <c r="BU509">
        <v>0</v>
      </c>
      <c r="BV509" t="s">
        <v>135</v>
      </c>
      <c r="BW509">
        <v>0</v>
      </c>
      <c r="BX509">
        <v>0</v>
      </c>
      <c r="BY509" t="s">
        <v>135</v>
      </c>
      <c r="BZ509">
        <v>0</v>
      </c>
      <c r="CA509">
        <v>0</v>
      </c>
      <c r="CB509" t="s">
        <v>135</v>
      </c>
      <c r="CH509" s="2"/>
      <c r="CJ509" s="2"/>
      <c r="CL509" s="2"/>
      <c r="CN509" s="2"/>
      <c r="CQ509" s="2"/>
      <c r="CT509" s="2"/>
      <c r="CW509" s="2"/>
    </row>
    <row r="510" spans="1:101" x14ac:dyDescent="0.25">
      <c r="A510" s="1" t="s">
        <v>163</v>
      </c>
      <c r="B510" s="75" t="s">
        <v>164</v>
      </c>
      <c r="C510">
        <v>0</v>
      </c>
      <c r="D510">
        <v>0</v>
      </c>
      <c r="E510">
        <v>0</v>
      </c>
      <c r="F510">
        <v>604324.56000000006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3.91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7490</v>
      </c>
      <c r="AW510">
        <v>3350</v>
      </c>
      <c r="AX510">
        <v>1219</v>
      </c>
      <c r="AY510">
        <v>12059</v>
      </c>
      <c r="AZ510">
        <v>4202</v>
      </c>
      <c r="BA510">
        <v>7438</v>
      </c>
      <c r="BB510">
        <v>1432</v>
      </c>
      <c r="BC510">
        <v>13072</v>
      </c>
      <c r="BD510">
        <v>9486</v>
      </c>
      <c r="BE510">
        <v>9222</v>
      </c>
      <c r="BF510">
        <v>1768</v>
      </c>
      <c r="BG510">
        <v>20476</v>
      </c>
      <c r="BH510">
        <v>0</v>
      </c>
      <c r="BI510">
        <v>0</v>
      </c>
      <c r="BJ510">
        <v>0</v>
      </c>
      <c r="BK510">
        <v>0</v>
      </c>
      <c r="BL510" s="2">
        <v>24.82</v>
      </c>
      <c r="BM510" s="2">
        <v>42005.095138888886</v>
      </c>
      <c r="BN510" s="2">
        <v>5.4</v>
      </c>
      <c r="BO510" s="2">
        <v>42005.092361111114</v>
      </c>
      <c r="BP510" s="2">
        <v>6.92</v>
      </c>
      <c r="BQ510" s="2">
        <v>42005.092361111114</v>
      </c>
      <c r="BR510" s="2">
        <v>11.07</v>
      </c>
      <c r="BS510" s="2">
        <v>42005.092361111114</v>
      </c>
      <c r="BT510">
        <v>0</v>
      </c>
      <c r="BU510">
        <v>0</v>
      </c>
      <c r="BV510" t="s">
        <v>135</v>
      </c>
      <c r="BW510">
        <v>0</v>
      </c>
      <c r="BX510">
        <v>0</v>
      </c>
      <c r="BY510" t="s">
        <v>135</v>
      </c>
      <c r="BZ510">
        <v>0</v>
      </c>
      <c r="CA510">
        <v>0</v>
      </c>
      <c r="CB510" t="s">
        <v>135</v>
      </c>
      <c r="CH510" s="2"/>
      <c r="CJ510" s="2"/>
      <c r="CL510" s="2"/>
      <c r="CN510" s="2"/>
      <c r="CQ510" s="2"/>
      <c r="CT510" s="2"/>
      <c r="CW510" s="2"/>
    </row>
    <row r="511" spans="1:101" x14ac:dyDescent="0.25">
      <c r="A511" s="1" t="s">
        <v>163</v>
      </c>
      <c r="B511" s="75" t="s">
        <v>164</v>
      </c>
      <c r="C511">
        <v>0</v>
      </c>
      <c r="D511">
        <v>0</v>
      </c>
      <c r="E511">
        <v>0</v>
      </c>
      <c r="F511">
        <v>604324.56000000006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3.91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7490</v>
      </c>
      <c r="AW511">
        <v>3350</v>
      </c>
      <c r="AX511">
        <v>1219</v>
      </c>
      <c r="AY511">
        <v>12059</v>
      </c>
      <c r="AZ511">
        <v>4202</v>
      </c>
      <c r="BA511">
        <v>7438</v>
      </c>
      <c r="BB511">
        <v>1432</v>
      </c>
      <c r="BC511">
        <v>13072</v>
      </c>
      <c r="BD511">
        <v>9486</v>
      </c>
      <c r="BE511">
        <v>9222</v>
      </c>
      <c r="BF511">
        <v>1768</v>
      </c>
      <c r="BG511">
        <v>20476</v>
      </c>
      <c r="BH511">
        <v>0</v>
      </c>
      <c r="BI511">
        <v>0</v>
      </c>
      <c r="BJ511">
        <v>0</v>
      </c>
      <c r="BK511">
        <v>0</v>
      </c>
      <c r="BL511" s="2">
        <v>24.82</v>
      </c>
      <c r="BM511" s="2">
        <v>42005.095138888886</v>
      </c>
      <c r="BN511" s="2">
        <v>5.4</v>
      </c>
      <c r="BO511" s="2">
        <v>42005.092361111114</v>
      </c>
      <c r="BP511" s="2">
        <v>6.92</v>
      </c>
      <c r="BQ511" s="2">
        <v>42005.092361111114</v>
      </c>
      <c r="BR511" s="2">
        <v>11.07</v>
      </c>
      <c r="BS511" s="2">
        <v>42005.092361111114</v>
      </c>
      <c r="BT511">
        <v>0</v>
      </c>
      <c r="BU511">
        <v>0</v>
      </c>
      <c r="BV511" t="s">
        <v>135</v>
      </c>
      <c r="BW511">
        <v>0</v>
      </c>
      <c r="BX511">
        <v>0</v>
      </c>
      <c r="BY511" t="s">
        <v>135</v>
      </c>
      <c r="BZ511">
        <v>0</v>
      </c>
      <c r="CA511">
        <v>0</v>
      </c>
      <c r="CB511" t="s">
        <v>135</v>
      </c>
      <c r="CH511" s="2"/>
      <c r="CJ511" s="2"/>
      <c r="CL511" s="2"/>
      <c r="CN511" s="2"/>
      <c r="CQ511" s="2"/>
      <c r="CT511" s="2"/>
      <c r="CW511" s="2"/>
    </row>
    <row r="512" spans="1:101" x14ac:dyDescent="0.25">
      <c r="A512" s="1" t="s">
        <v>163</v>
      </c>
      <c r="B512" s="75" t="s">
        <v>164</v>
      </c>
      <c r="C512">
        <v>0</v>
      </c>
      <c r="D512">
        <v>0</v>
      </c>
      <c r="E512">
        <v>0</v>
      </c>
      <c r="F512">
        <v>604324.56000000006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3.91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7490</v>
      </c>
      <c r="AW512">
        <v>3350</v>
      </c>
      <c r="AX512">
        <v>1219</v>
      </c>
      <c r="AY512">
        <v>12059</v>
      </c>
      <c r="AZ512">
        <v>4202</v>
      </c>
      <c r="BA512">
        <v>7438</v>
      </c>
      <c r="BB512">
        <v>1432</v>
      </c>
      <c r="BC512">
        <v>13072</v>
      </c>
      <c r="BD512">
        <v>9486</v>
      </c>
      <c r="BE512">
        <v>9222</v>
      </c>
      <c r="BF512">
        <v>1768</v>
      </c>
      <c r="BG512">
        <v>20476</v>
      </c>
      <c r="BH512">
        <v>0</v>
      </c>
      <c r="BI512">
        <v>0</v>
      </c>
      <c r="BJ512">
        <v>0</v>
      </c>
      <c r="BK512">
        <v>0</v>
      </c>
      <c r="BL512" s="2">
        <v>24.82</v>
      </c>
      <c r="BM512" s="2">
        <v>42005.095138888886</v>
      </c>
      <c r="BN512" s="2">
        <v>5.4</v>
      </c>
      <c r="BO512" s="2">
        <v>42005.092361111114</v>
      </c>
      <c r="BP512" s="2">
        <v>6.92</v>
      </c>
      <c r="BQ512" s="2">
        <v>42005.092361111114</v>
      </c>
      <c r="BR512" s="2">
        <v>11.07</v>
      </c>
      <c r="BS512" s="2">
        <v>42005.092361111114</v>
      </c>
      <c r="BT512">
        <v>0</v>
      </c>
      <c r="BU512">
        <v>0</v>
      </c>
      <c r="BV512" t="s">
        <v>135</v>
      </c>
      <c r="BW512">
        <v>0</v>
      </c>
      <c r="BX512">
        <v>0</v>
      </c>
      <c r="BY512" t="s">
        <v>135</v>
      </c>
      <c r="BZ512">
        <v>0</v>
      </c>
      <c r="CA512">
        <v>0</v>
      </c>
      <c r="CB512" t="s">
        <v>135</v>
      </c>
      <c r="CH512" s="2"/>
      <c r="CJ512" s="2"/>
      <c r="CL512" s="2"/>
      <c r="CN512" s="2"/>
      <c r="CQ512" s="2"/>
      <c r="CT512" s="2"/>
      <c r="CW512" s="2"/>
    </row>
    <row r="513" spans="1:101" x14ac:dyDescent="0.25">
      <c r="A513" s="1" t="s">
        <v>163</v>
      </c>
      <c r="B513" s="75" t="s">
        <v>164</v>
      </c>
      <c r="C513">
        <v>0</v>
      </c>
      <c r="D513">
        <v>0</v>
      </c>
      <c r="E513">
        <v>0</v>
      </c>
      <c r="F513">
        <v>604324.56000000006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3.91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7490</v>
      </c>
      <c r="AW513">
        <v>3350</v>
      </c>
      <c r="AX513">
        <v>1219</v>
      </c>
      <c r="AY513">
        <v>12059</v>
      </c>
      <c r="AZ513">
        <v>4202</v>
      </c>
      <c r="BA513">
        <v>7438</v>
      </c>
      <c r="BB513">
        <v>1432</v>
      </c>
      <c r="BC513">
        <v>13072</v>
      </c>
      <c r="BD513">
        <v>9486</v>
      </c>
      <c r="BE513">
        <v>9222</v>
      </c>
      <c r="BF513">
        <v>1768</v>
      </c>
      <c r="BG513">
        <v>20476</v>
      </c>
      <c r="BH513">
        <v>0</v>
      </c>
      <c r="BI513">
        <v>0</v>
      </c>
      <c r="BJ513">
        <v>0</v>
      </c>
      <c r="BK513">
        <v>0</v>
      </c>
      <c r="BL513" s="2">
        <v>24.82</v>
      </c>
      <c r="BM513" s="2">
        <v>42005.095138888886</v>
      </c>
      <c r="BN513" s="2">
        <v>5.4</v>
      </c>
      <c r="BO513" s="2">
        <v>42005.092361111114</v>
      </c>
      <c r="BP513" s="2">
        <v>6.92</v>
      </c>
      <c r="BQ513" s="2">
        <v>42005.092361111114</v>
      </c>
      <c r="BR513" s="2">
        <v>11.07</v>
      </c>
      <c r="BS513" s="2">
        <v>42005.092361111114</v>
      </c>
      <c r="BT513">
        <v>0</v>
      </c>
      <c r="BU513">
        <v>0</v>
      </c>
      <c r="BV513" t="s">
        <v>135</v>
      </c>
      <c r="BW513">
        <v>0</v>
      </c>
      <c r="BX513">
        <v>0</v>
      </c>
      <c r="BY513" t="s">
        <v>135</v>
      </c>
      <c r="BZ513">
        <v>0</v>
      </c>
      <c r="CA513">
        <v>0</v>
      </c>
      <c r="CB513" t="s">
        <v>135</v>
      </c>
      <c r="CH513" s="2"/>
      <c r="CJ513" s="2"/>
      <c r="CL513" s="2"/>
      <c r="CN513" s="2"/>
      <c r="CQ513" s="2"/>
      <c r="CT513" s="2"/>
      <c r="CW513" s="2"/>
    </row>
    <row r="514" spans="1:101" x14ac:dyDescent="0.25">
      <c r="A514" s="1" t="s">
        <v>163</v>
      </c>
      <c r="B514" s="75" t="s">
        <v>164</v>
      </c>
      <c r="C514">
        <v>0</v>
      </c>
      <c r="D514">
        <v>0</v>
      </c>
      <c r="E514">
        <v>0</v>
      </c>
      <c r="F514">
        <v>604324.56000000006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3.91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7490</v>
      </c>
      <c r="AW514">
        <v>3350</v>
      </c>
      <c r="AX514">
        <v>1219</v>
      </c>
      <c r="AY514">
        <v>12059</v>
      </c>
      <c r="AZ514">
        <v>4202</v>
      </c>
      <c r="BA514">
        <v>7438</v>
      </c>
      <c r="BB514">
        <v>1432</v>
      </c>
      <c r="BC514">
        <v>13072</v>
      </c>
      <c r="BD514">
        <v>9486</v>
      </c>
      <c r="BE514">
        <v>9222</v>
      </c>
      <c r="BF514">
        <v>1768</v>
      </c>
      <c r="BG514">
        <v>20476</v>
      </c>
      <c r="BH514">
        <v>0</v>
      </c>
      <c r="BI514">
        <v>0</v>
      </c>
      <c r="BJ514">
        <v>0</v>
      </c>
      <c r="BK514">
        <v>0</v>
      </c>
      <c r="BL514" s="2">
        <v>24.82</v>
      </c>
      <c r="BM514" s="2">
        <v>42005.095138888886</v>
      </c>
      <c r="BN514" s="2">
        <v>5.4</v>
      </c>
      <c r="BO514" s="2">
        <v>42005.092361111114</v>
      </c>
      <c r="BP514" s="2">
        <v>6.92</v>
      </c>
      <c r="BQ514" s="2">
        <v>42005.092361111114</v>
      </c>
      <c r="BR514" s="2">
        <v>11.07</v>
      </c>
      <c r="BS514" s="2">
        <v>42005.092361111114</v>
      </c>
      <c r="BT514">
        <v>0</v>
      </c>
      <c r="BU514">
        <v>0</v>
      </c>
      <c r="BV514" t="s">
        <v>135</v>
      </c>
      <c r="BW514">
        <v>0</v>
      </c>
      <c r="BX514">
        <v>0</v>
      </c>
      <c r="BY514" t="s">
        <v>135</v>
      </c>
      <c r="BZ514">
        <v>0</v>
      </c>
      <c r="CA514">
        <v>0</v>
      </c>
      <c r="CB514" t="s">
        <v>135</v>
      </c>
      <c r="CH514" s="2"/>
      <c r="CJ514" s="2"/>
      <c r="CL514" s="2"/>
      <c r="CN514" s="2"/>
      <c r="CQ514" s="2"/>
      <c r="CT514" s="2"/>
      <c r="CW514" s="2"/>
    </row>
    <row r="515" spans="1:101" x14ac:dyDescent="0.25">
      <c r="A515" s="1" t="s">
        <v>163</v>
      </c>
      <c r="B515" s="75" t="s">
        <v>164</v>
      </c>
      <c r="C515">
        <v>0</v>
      </c>
      <c r="D515">
        <v>0</v>
      </c>
      <c r="E515">
        <v>0</v>
      </c>
      <c r="F515">
        <v>604324.56000000006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3.91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7490</v>
      </c>
      <c r="AW515">
        <v>3350</v>
      </c>
      <c r="AX515">
        <v>1219</v>
      </c>
      <c r="AY515">
        <v>12059</v>
      </c>
      <c r="AZ515">
        <v>4202</v>
      </c>
      <c r="BA515">
        <v>7438</v>
      </c>
      <c r="BB515">
        <v>1432</v>
      </c>
      <c r="BC515">
        <v>13072</v>
      </c>
      <c r="BD515">
        <v>9486</v>
      </c>
      <c r="BE515">
        <v>9222</v>
      </c>
      <c r="BF515">
        <v>1768</v>
      </c>
      <c r="BG515">
        <v>20476</v>
      </c>
      <c r="BH515">
        <v>0</v>
      </c>
      <c r="BI515">
        <v>0</v>
      </c>
      <c r="BJ515">
        <v>0</v>
      </c>
      <c r="BK515">
        <v>0</v>
      </c>
      <c r="BL515" s="2">
        <v>24.82</v>
      </c>
      <c r="BM515" s="2">
        <v>42005.095138888886</v>
      </c>
      <c r="BN515" s="2">
        <v>5.4</v>
      </c>
      <c r="BO515" s="2">
        <v>42005.092361111114</v>
      </c>
      <c r="BP515" s="2">
        <v>6.92</v>
      </c>
      <c r="BQ515" s="2">
        <v>42005.092361111114</v>
      </c>
      <c r="BR515" s="2">
        <v>11.07</v>
      </c>
      <c r="BS515" s="2">
        <v>42005.092361111114</v>
      </c>
      <c r="BT515">
        <v>0</v>
      </c>
      <c r="BU515">
        <v>0</v>
      </c>
      <c r="BV515" t="s">
        <v>135</v>
      </c>
      <c r="BW515">
        <v>0</v>
      </c>
      <c r="BX515">
        <v>0</v>
      </c>
      <c r="BY515" t="s">
        <v>135</v>
      </c>
      <c r="BZ515">
        <v>0</v>
      </c>
      <c r="CA515">
        <v>0</v>
      </c>
      <c r="CB515" t="s">
        <v>135</v>
      </c>
      <c r="CH515" s="2"/>
      <c r="CJ515" s="2"/>
      <c r="CL515" s="2"/>
      <c r="CN515" s="2"/>
      <c r="CQ515" s="2"/>
      <c r="CT515" s="2"/>
      <c r="CW515" s="2"/>
    </row>
    <row r="516" spans="1:101" x14ac:dyDescent="0.25">
      <c r="A516" s="1" t="s">
        <v>163</v>
      </c>
      <c r="B516" s="75" t="s">
        <v>164</v>
      </c>
      <c r="C516">
        <v>0</v>
      </c>
      <c r="D516">
        <v>0</v>
      </c>
      <c r="E516">
        <v>0</v>
      </c>
      <c r="F516">
        <v>604324.56000000006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3.91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7490</v>
      </c>
      <c r="AW516">
        <v>3350</v>
      </c>
      <c r="AX516">
        <v>1219</v>
      </c>
      <c r="AY516">
        <v>12059</v>
      </c>
      <c r="AZ516">
        <v>4202</v>
      </c>
      <c r="BA516">
        <v>7438</v>
      </c>
      <c r="BB516">
        <v>1432</v>
      </c>
      <c r="BC516">
        <v>13072</v>
      </c>
      <c r="BD516">
        <v>9486</v>
      </c>
      <c r="BE516">
        <v>9222</v>
      </c>
      <c r="BF516">
        <v>1768</v>
      </c>
      <c r="BG516">
        <v>20476</v>
      </c>
      <c r="BH516">
        <v>0</v>
      </c>
      <c r="BI516">
        <v>0</v>
      </c>
      <c r="BJ516">
        <v>0</v>
      </c>
      <c r="BK516">
        <v>0</v>
      </c>
      <c r="BL516" s="2">
        <v>24.82</v>
      </c>
      <c r="BM516" s="2">
        <v>42005.095138888886</v>
      </c>
      <c r="BN516" s="2">
        <v>5.4</v>
      </c>
      <c r="BO516" s="2">
        <v>42005.092361111114</v>
      </c>
      <c r="BP516" s="2">
        <v>6.92</v>
      </c>
      <c r="BQ516" s="2">
        <v>42005.092361111114</v>
      </c>
      <c r="BR516" s="2">
        <v>11.07</v>
      </c>
      <c r="BS516" s="2">
        <v>42005.092361111114</v>
      </c>
      <c r="BT516">
        <v>0</v>
      </c>
      <c r="BU516">
        <v>0</v>
      </c>
      <c r="BV516" t="s">
        <v>135</v>
      </c>
      <c r="BW516">
        <v>0</v>
      </c>
      <c r="BX516">
        <v>0</v>
      </c>
      <c r="BY516" t="s">
        <v>135</v>
      </c>
      <c r="BZ516">
        <v>0</v>
      </c>
      <c r="CA516">
        <v>0</v>
      </c>
      <c r="CB516" t="s">
        <v>135</v>
      </c>
      <c r="CH516" s="2"/>
      <c r="CJ516" s="2"/>
      <c r="CL516" s="2"/>
      <c r="CN516" s="2"/>
      <c r="CQ516" s="2"/>
      <c r="CT516" s="2"/>
      <c r="CW516" s="2"/>
    </row>
    <row r="517" spans="1:101" x14ac:dyDescent="0.25">
      <c r="A517" s="1" t="s">
        <v>163</v>
      </c>
      <c r="B517" s="75" t="s">
        <v>164</v>
      </c>
      <c r="C517">
        <v>0</v>
      </c>
      <c r="D517">
        <v>0</v>
      </c>
      <c r="E517">
        <v>0</v>
      </c>
      <c r="F517">
        <v>604324.56000000006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3.91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7490</v>
      </c>
      <c r="AW517">
        <v>3350</v>
      </c>
      <c r="AX517">
        <v>1219</v>
      </c>
      <c r="AY517">
        <v>12059</v>
      </c>
      <c r="AZ517">
        <v>4202</v>
      </c>
      <c r="BA517">
        <v>7438</v>
      </c>
      <c r="BB517">
        <v>1432</v>
      </c>
      <c r="BC517">
        <v>13072</v>
      </c>
      <c r="BD517">
        <v>9486</v>
      </c>
      <c r="BE517">
        <v>9222</v>
      </c>
      <c r="BF517">
        <v>1768</v>
      </c>
      <c r="BG517">
        <v>20476</v>
      </c>
      <c r="BH517">
        <v>0</v>
      </c>
      <c r="BI517">
        <v>0</v>
      </c>
      <c r="BJ517">
        <v>0</v>
      </c>
      <c r="BK517">
        <v>0</v>
      </c>
      <c r="BL517" s="2">
        <v>24.82</v>
      </c>
      <c r="BM517" s="2">
        <v>42005.095138888886</v>
      </c>
      <c r="BN517" s="2">
        <v>5.4</v>
      </c>
      <c r="BO517" s="2">
        <v>42005.092361111114</v>
      </c>
      <c r="BP517" s="2">
        <v>6.92</v>
      </c>
      <c r="BQ517" s="2">
        <v>42005.092361111114</v>
      </c>
      <c r="BR517" s="2">
        <v>11.07</v>
      </c>
      <c r="BS517" s="2">
        <v>42005.092361111114</v>
      </c>
      <c r="BT517">
        <v>0</v>
      </c>
      <c r="BU517">
        <v>0</v>
      </c>
      <c r="BV517" t="s">
        <v>135</v>
      </c>
      <c r="BW517">
        <v>0</v>
      </c>
      <c r="BX517">
        <v>0</v>
      </c>
      <c r="BY517" t="s">
        <v>135</v>
      </c>
      <c r="BZ517">
        <v>0</v>
      </c>
      <c r="CA517">
        <v>0</v>
      </c>
      <c r="CB517" t="s">
        <v>135</v>
      </c>
      <c r="CH517" s="2"/>
      <c r="CJ517" s="2"/>
      <c r="CL517" s="2"/>
      <c r="CN517" s="2"/>
      <c r="CQ517" s="2"/>
      <c r="CT517" s="2"/>
      <c r="CW517" s="2"/>
    </row>
    <row r="518" spans="1:101" x14ac:dyDescent="0.25">
      <c r="A518" s="1" t="s">
        <v>163</v>
      </c>
      <c r="B518" s="75" t="s">
        <v>164</v>
      </c>
      <c r="C518">
        <v>0</v>
      </c>
      <c r="D518">
        <v>0</v>
      </c>
      <c r="E518">
        <v>0</v>
      </c>
      <c r="F518">
        <v>604324.56000000006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3.91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7490</v>
      </c>
      <c r="AW518">
        <v>3350</v>
      </c>
      <c r="AX518">
        <v>1219</v>
      </c>
      <c r="AY518">
        <v>12059</v>
      </c>
      <c r="AZ518">
        <v>4202</v>
      </c>
      <c r="BA518">
        <v>7438</v>
      </c>
      <c r="BB518">
        <v>1432</v>
      </c>
      <c r="BC518">
        <v>13072</v>
      </c>
      <c r="BD518">
        <v>9486</v>
      </c>
      <c r="BE518">
        <v>9222</v>
      </c>
      <c r="BF518">
        <v>1768</v>
      </c>
      <c r="BG518">
        <v>20476</v>
      </c>
      <c r="BH518">
        <v>0</v>
      </c>
      <c r="BI518">
        <v>0</v>
      </c>
      <c r="BJ518">
        <v>0</v>
      </c>
      <c r="BK518">
        <v>0</v>
      </c>
      <c r="BL518" s="2">
        <v>24.82</v>
      </c>
      <c r="BM518" s="2">
        <v>42005.095138888886</v>
      </c>
      <c r="BN518" s="2">
        <v>5.4</v>
      </c>
      <c r="BO518" s="2">
        <v>42005.092361111114</v>
      </c>
      <c r="BP518" s="2">
        <v>6.92</v>
      </c>
      <c r="BQ518" s="2">
        <v>42005.092361111114</v>
      </c>
      <c r="BR518" s="2">
        <v>11.07</v>
      </c>
      <c r="BS518" s="2">
        <v>42005.092361111114</v>
      </c>
      <c r="BT518">
        <v>0</v>
      </c>
      <c r="BU518">
        <v>0</v>
      </c>
      <c r="BV518" t="s">
        <v>135</v>
      </c>
      <c r="BW518">
        <v>0</v>
      </c>
      <c r="BX518">
        <v>0</v>
      </c>
      <c r="BY518" t="s">
        <v>135</v>
      </c>
      <c r="BZ518">
        <v>0</v>
      </c>
      <c r="CA518">
        <v>0</v>
      </c>
      <c r="CB518" t="s">
        <v>135</v>
      </c>
      <c r="CH518" s="2"/>
      <c r="CJ518" s="2"/>
      <c r="CL518" s="2"/>
      <c r="CN518" s="2"/>
      <c r="CQ518" s="2"/>
      <c r="CT518" s="2"/>
      <c r="CW518" s="2"/>
    </row>
    <row r="519" spans="1:101" x14ac:dyDescent="0.25">
      <c r="A519" s="1" t="s">
        <v>163</v>
      </c>
      <c r="B519" s="75" t="s">
        <v>164</v>
      </c>
      <c r="C519">
        <v>0</v>
      </c>
      <c r="D519">
        <v>0</v>
      </c>
      <c r="E519">
        <v>0</v>
      </c>
      <c r="F519">
        <v>604324.56000000006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3.91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7490</v>
      </c>
      <c r="AW519">
        <v>3350</v>
      </c>
      <c r="AX519">
        <v>1219</v>
      </c>
      <c r="AY519">
        <v>12059</v>
      </c>
      <c r="AZ519">
        <v>4202</v>
      </c>
      <c r="BA519">
        <v>7438</v>
      </c>
      <c r="BB519">
        <v>1432</v>
      </c>
      <c r="BC519">
        <v>13072</v>
      </c>
      <c r="BD519">
        <v>9486</v>
      </c>
      <c r="BE519">
        <v>9222</v>
      </c>
      <c r="BF519">
        <v>1768</v>
      </c>
      <c r="BG519">
        <v>20476</v>
      </c>
      <c r="BH519">
        <v>0</v>
      </c>
      <c r="BI519">
        <v>0</v>
      </c>
      <c r="BJ519">
        <v>0</v>
      </c>
      <c r="BK519">
        <v>0</v>
      </c>
      <c r="BL519" s="2">
        <v>24.82</v>
      </c>
      <c r="BM519" s="2">
        <v>42005.095138888886</v>
      </c>
      <c r="BN519" s="2">
        <v>5.4</v>
      </c>
      <c r="BO519" s="2">
        <v>42005.092361111114</v>
      </c>
      <c r="BP519" s="2">
        <v>6.92</v>
      </c>
      <c r="BQ519" s="2">
        <v>42005.092361111114</v>
      </c>
      <c r="BR519" s="2">
        <v>11.07</v>
      </c>
      <c r="BS519" s="2">
        <v>42005.092361111114</v>
      </c>
      <c r="BT519">
        <v>0</v>
      </c>
      <c r="BU519">
        <v>0</v>
      </c>
      <c r="BV519" t="s">
        <v>135</v>
      </c>
      <c r="BW519">
        <v>0</v>
      </c>
      <c r="BX519">
        <v>0</v>
      </c>
      <c r="BY519" t="s">
        <v>135</v>
      </c>
      <c r="BZ519">
        <v>0</v>
      </c>
      <c r="CA519">
        <v>0</v>
      </c>
      <c r="CB519" t="s">
        <v>135</v>
      </c>
      <c r="CH519" s="2"/>
      <c r="CJ519" s="2"/>
      <c r="CL519" s="2"/>
      <c r="CN519" s="2"/>
      <c r="CQ519" s="2"/>
      <c r="CT519" s="2"/>
      <c r="CW519" s="2"/>
    </row>
    <row r="520" spans="1:101" x14ac:dyDescent="0.25">
      <c r="A520" s="1" t="s">
        <v>163</v>
      </c>
      <c r="B520" s="75" t="s">
        <v>164</v>
      </c>
      <c r="C520">
        <v>0</v>
      </c>
      <c r="D520">
        <v>0</v>
      </c>
      <c r="E520">
        <v>0</v>
      </c>
      <c r="F520">
        <v>604324.56000000006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3.91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7490</v>
      </c>
      <c r="AW520">
        <v>3350</v>
      </c>
      <c r="AX520">
        <v>1219</v>
      </c>
      <c r="AY520">
        <v>12059</v>
      </c>
      <c r="AZ520">
        <v>4202</v>
      </c>
      <c r="BA520">
        <v>7438</v>
      </c>
      <c r="BB520">
        <v>1432</v>
      </c>
      <c r="BC520">
        <v>13072</v>
      </c>
      <c r="BD520">
        <v>9486</v>
      </c>
      <c r="BE520">
        <v>9222</v>
      </c>
      <c r="BF520">
        <v>1768</v>
      </c>
      <c r="BG520">
        <v>20476</v>
      </c>
      <c r="BH520">
        <v>0</v>
      </c>
      <c r="BI520">
        <v>0</v>
      </c>
      <c r="BJ520">
        <v>0</v>
      </c>
      <c r="BK520">
        <v>0</v>
      </c>
      <c r="BL520" s="2">
        <v>24.82</v>
      </c>
      <c r="BM520" s="2">
        <v>42005.095138888886</v>
      </c>
      <c r="BN520" s="2">
        <v>5.4</v>
      </c>
      <c r="BO520" s="2">
        <v>42005.092361111114</v>
      </c>
      <c r="BP520" s="2">
        <v>6.92</v>
      </c>
      <c r="BQ520" s="2">
        <v>42005.092361111114</v>
      </c>
      <c r="BR520" s="2">
        <v>11.07</v>
      </c>
      <c r="BS520" s="2">
        <v>42005.092361111114</v>
      </c>
      <c r="BT520">
        <v>0</v>
      </c>
      <c r="BU520">
        <v>0</v>
      </c>
      <c r="BV520" t="s">
        <v>135</v>
      </c>
      <c r="BW520">
        <v>0</v>
      </c>
      <c r="BX520">
        <v>0</v>
      </c>
      <c r="BY520" t="s">
        <v>135</v>
      </c>
      <c r="BZ520">
        <v>0</v>
      </c>
      <c r="CA520">
        <v>0</v>
      </c>
      <c r="CB520" t="s">
        <v>135</v>
      </c>
      <c r="CH520" s="2"/>
      <c r="CJ520" s="2"/>
      <c r="CL520" s="2"/>
      <c r="CN520" s="2"/>
      <c r="CQ520" s="2"/>
      <c r="CT520" s="2"/>
      <c r="CW520" s="2"/>
    </row>
    <row r="521" spans="1:101" x14ac:dyDescent="0.25">
      <c r="A521" s="1" t="s">
        <v>163</v>
      </c>
      <c r="B521" s="75" t="s">
        <v>164</v>
      </c>
      <c r="C521">
        <v>0</v>
      </c>
      <c r="D521">
        <v>0</v>
      </c>
      <c r="E521">
        <v>0</v>
      </c>
      <c r="F521">
        <v>604324.56000000006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3.91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7490</v>
      </c>
      <c r="AW521">
        <v>3350</v>
      </c>
      <c r="AX521">
        <v>1219</v>
      </c>
      <c r="AY521">
        <v>12059</v>
      </c>
      <c r="AZ521">
        <v>4202</v>
      </c>
      <c r="BA521">
        <v>7438</v>
      </c>
      <c r="BB521">
        <v>1432</v>
      </c>
      <c r="BC521">
        <v>13072</v>
      </c>
      <c r="BD521">
        <v>9486</v>
      </c>
      <c r="BE521">
        <v>9222</v>
      </c>
      <c r="BF521">
        <v>1768</v>
      </c>
      <c r="BG521">
        <v>20476</v>
      </c>
      <c r="BH521">
        <v>0</v>
      </c>
      <c r="BI521">
        <v>0</v>
      </c>
      <c r="BJ521">
        <v>0</v>
      </c>
      <c r="BK521">
        <v>0</v>
      </c>
      <c r="BL521" s="2">
        <v>24.82</v>
      </c>
      <c r="BM521" s="2">
        <v>42005.095138888886</v>
      </c>
      <c r="BN521" s="2">
        <v>5.4</v>
      </c>
      <c r="BO521" s="2">
        <v>42005.092361111114</v>
      </c>
      <c r="BP521" s="2">
        <v>6.92</v>
      </c>
      <c r="BQ521" s="2">
        <v>42005.092361111114</v>
      </c>
      <c r="BR521" s="2">
        <v>11.07</v>
      </c>
      <c r="BS521" s="2">
        <v>42005.092361111114</v>
      </c>
      <c r="BT521">
        <v>0</v>
      </c>
      <c r="BU521">
        <v>0</v>
      </c>
      <c r="BV521" t="s">
        <v>135</v>
      </c>
      <c r="BW521">
        <v>0</v>
      </c>
      <c r="BX521">
        <v>0</v>
      </c>
      <c r="BY521" t="s">
        <v>135</v>
      </c>
      <c r="BZ521">
        <v>0</v>
      </c>
      <c r="CA521">
        <v>0</v>
      </c>
      <c r="CB521" t="s">
        <v>135</v>
      </c>
      <c r="CH521" s="2"/>
      <c r="CJ521" s="2"/>
      <c r="CL521" s="2"/>
      <c r="CN521" s="2"/>
      <c r="CQ521" s="2"/>
      <c r="CT521" s="2"/>
      <c r="CW521" s="2"/>
    </row>
    <row r="522" spans="1:101" x14ac:dyDescent="0.25">
      <c r="A522" s="1" t="s">
        <v>163</v>
      </c>
      <c r="B522" s="75" t="s">
        <v>164</v>
      </c>
      <c r="C522">
        <v>0</v>
      </c>
      <c r="D522">
        <v>0</v>
      </c>
      <c r="E522">
        <v>0</v>
      </c>
      <c r="F522">
        <v>604324.56000000006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3.91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7490</v>
      </c>
      <c r="AW522">
        <v>3350</v>
      </c>
      <c r="AX522">
        <v>1219</v>
      </c>
      <c r="AY522">
        <v>12059</v>
      </c>
      <c r="AZ522">
        <v>4202</v>
      </c>
      <c r="BA522">
        <v>7438</v>
      </c>
      <c r="BB522">
        <v>1432</v>
      </c>
      <c r="BC522">
        <v>13072</v>
      </c>
      <c r="BD522">
        <v>9486</v>
      </c>
      <c r="BE522">
        <v>9222</v>
      </c>
      <c r="BF522">
        <v>1768</v>
      </c>
      <c r="BG522">
        <v>20476</v>
      </c>
      <c r="BH522">
        <v>0</v>
      </c>
      <c r="BI522">
        <v>0</v>
      </c>
      <c r="BJ522">
        <v>0</v>
      </c>
      <c r="BK522">
        <v>0</v>
      </c>
      <c r="BL522" s="2">
        <v>24.82</v>
      </c>
      <c r="BM522" s="2">
        <v>42005.095138888886</v>
      </c>
      <c r="BN522" s="2">
        <v>5.4</v>
      </c>
      <c r="BO522" s="2">
        <v>42005.092361111114</v>
      </c>
      <c r="BP522" s="2">
        <v>6.92</v>
      </c>
      <c r="BQ522" s="2">
        <v>42005.092361111114</v>
      </c>
      <c r="BR522" s="2">
        <v>11.07</v>
      </c>
      <c r="BS522" s="2">
        <v>42005.092361111114</v>
      </c>
      <c r="BT522">
        <v>0</v>
      </c>
      <c r="BU522">
        <v>0</v>
      </c>
      <c r="BV522" t="s">
        <v>135</v>
      </c>
      <c r="BW522">
        <v>0</v>
      </c>
      <c r="BX522">
        <v>0</v>
      </c>
      <c r="BY522" t="s">
        <v>135</v>
      </c>
      <c r="BZ522">
        <v>0</v>
      </c>
      <c r="CA522">
        <v>0</v>
      </c>
      <c r="CB522" t="s">
        <v>135</v>
      </c>
      <c r="CH522" s="2"/>
      <c r="CJ522" s="2"/>
      <c r="CL522" s="2"/>
      <c r="CN522" s="2"/>
      <c r="CQ522" s="2"/>
      <c r="CT522" s="2"/>
      <c r="CW522" s="2"/>
    </row>
    <row r="523" spans="1:101" x14ac:dyDescent="0.25">
      <c r="A523" s="1" t="s">
        <v>163</v>
      </c>
      <c r="B523" s="75" t="s">
        <v>164</v>
      </c>
      <c r="C523">
        <v>0</v>
      </c>
      <c r="D523">
        <v>0</v>
      </c>
      <c r="E523">
        <v>0</v>
      </c>
      <c r="F523">
        <v>604324.56000000006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3.91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7490</v>
      </c>
      <c r="AW523">
        <v>3350</v>
      </c>
      <c r="AX523">
        <v>1219</v>
      </c>
      <c r="AY523">
        <v>12059</v>
      </c>
      <c r="AZ523">
        <v>4202</v>
      </c>
      <c r="BA523">
        <v>7438</v>
      </c>
      <c r="BB523">
        <v>1432</v>
      </c>
      <c r="BC523">
        <v>13072</v>
      </c>
      <c r="BD523">
        <v>9486</v>
      </c>
      <c r="BE523">
        <v>9222</v>
      </c>
      <c r="BF523">
        <v>1768</v>
      </c>
      <c r="BG523">
        <v>20476</v>
      </c>
      <c r="BH523">
        <v>0</v>
      </c>
      <c r="BI523">
        <v>0</v>
      </c>
      <c r="BJ523">
        <v>0</v>
      </c>
      <c r="BK523">
        <v>0</v>
      </c>
      <c r="BL523" s="2">
        <v>24.82</v>
      </c>
      <c r="BM523" s="2">
        <v>42005.095138888886</v>
      </c>
      <c r="BN523" s="2">
        <v>5.4</v>
      </c>
      <c r="BO523" s="2">
        <v>42005.092361111114</v>
      </c>
      <c r="BP523" s="2">
        <v>6.92</v>
      </c>
      <c r="BQ523" s="2">
        <v>42005.092361111114</v>
      </c>
      <c r="BR523" s="2">
        <v>11.07</v>
      </c>
      <c r="BS523" s="2">
        <v>42005.092361111114</v>
      </c>
      <c r="BT523">
        <v>0</v>
      </c>
      <c r="BU523">
        <v>0</v>
      </c>
      <c r="BV523" t="s">
        <v>135</v>
      </c>
      <c r="BW523">
        <v>0</v>
      </c>
      <c r="BX523">
        <v>0</v>
      </c>
      <c r="BY523" t="s">
        <v>135</v>
      </c>
      <c r="BZ523">
        <v>0</v>
      </c>
      <c r="CA523">
        <v>0</v>
      </c>
      <c r="CB523" t="s">
        <v>135</v>
      </c>
      <c r="CH523" s="2"/>
      <c r="CJ523" s="2"/>
      <c r="CL523" s="2"/>
      <c r="CN523" s="2"/>
      <c r="CQ523" s="2"/>
      <c r="CT523" s="2"/>
      <c r="CW523" s="2"/>
    </row>
    <row r="524" spans="1:101" x14ac:dyDescent="0.25">
      <c r="A524" s="1" t="s">
        <v>163</v>
      </c>
      <c r="B524" s="75" t="s">
        <v>164</v>
      </c>
      <c r="C524">
        <v>0</v>
      </c>
      <c r="D524">
        <v>0</v>
      </c>
      <c r="E524">
        <v>0</v>
      </c>
      <c r="F524">
        <v>604324.56000000006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3.91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7490</v>
      </c>
      <c r="AW524">
        <v>3350</v>
      </c>
      <c r="AX524">
        <v>1219</v>
      </c>
      <c r="AY524">
        <v>12059</v>
      </c>
      <c r="AZ524">
        <v>4202</v>
      </c>
      <c r="BA524">
        <v>7438</v>
      </c>
      <c r="BB524">
        <v>1432</v>
      </c>
      <c r="BC524">
        <v>13072</v>
      </c>
      <c r="BD524">
        <v>9486</v>
      </c>
      <c r="BE524">
        <v>9222</v>
      </c>
      <c r="BF524">
        <v>1768</v>
      </c>
      <c r="BG524">
        <v>20476</v>
      </c>
      <c r="BH524">
        <v>0</v>
      </c>
      <c r="BI524">
        <v>0</v>
      </c>
      <c r="BJ524">
        <v>0</v>
      </c>
      <c r="BK524">
        <v>0</v>
      </c>
      <c r="BL524" s="2">
        <v>24.82</v>
      </c>
      <c r="BM524" s="2">
        <v>42005.095138888886</v>
      </c>
      <c r="BN524" s="2">
        <v>5.4</v>
      </c>
      <c r="BO524" s="2">
        <v>42005.092361111114</v>
      </c>
      <c r="BP524" s="2">
        <v>6.92</v>
      </c>
      <c r="BQ524" s="2">
        <v>42005.092361111114</v>
      </c>
      <c r="BR524" s="2">
        <v>11.07</v>
      </c>
      <c r="BS524" s="2">
        <v>42005.092361111114</v>
      </c>
      <c r="BT524">
        <v>0</v>
      </c>
      <c r="BU524">
        <v>0</v>
      </c>
      <c r="BV524" t="s">
        <v>135</v>
      </c>
      <c r="BW524">
        <v>0</v>
      </c>
      <c r="BX524">
        <v>0</v>
      </c>
      <c r="BY524" t="s">
        <v>135</v>
      </c>
      <c r="BZ524">
        <v>0</v>
      </c>
      <c r="CA524">
        <v>0</v>
      </c>
      <c r="CB524" t="s">
        <v>135</v>
      </c>
      <c r="CH524" s="2"/>
      <c r="CJ524" s="2"/>
      <c r="CL524" s="2"/>
      <c r="CN524" s="2"/>
      <c r="CQ524" s="2"/>
      <c r="CT524" s="2"/>
      <c r="CW524" s="2"/>
    </row>
    <row r="525" spans="1:101" x14ac:dyDescent="0.25">
      <c r="A525" s="1" t="s">
        <v>163</v>
      </c>
      <c r="B525" s="75" t="s">
        <v>164</v>
      </c>
      <c r="C525">
        <v>0</v>
      </c>
      <c r="D525">
        <v>0</v>
      </c>
      <c r="E525">
        <v>0</v>
      </c>
      <c r="F525">
        <v>604324.56000000006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3.91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7490</v>
      </c>
      <c r="AW525">
        <v>3350</v>
      </c>
      <c r="AX525">
        <v>1219</v>
      </c>
      <c r="AY525">
        <v>12059</v>
      </c>
      <c r="AZ525">
        <v>4202</v>
      </c>
      <c r="BA525">
        <v>7438</v>
      </c>
      <c r="BB525">
        <v>1432</v>
      </c>
      <c r="BC525">
        <v>13072</v>
      </c>
      <c r="BD525">
        <v>9486</v>
      </c>
      <c r="BE525">
        <v>9222</v>
      </c>
      <c r="BF525">
        <v>1768</v>
      </c>
      <c r="BG525">
        <v>20476</v>
      </c>
      <c r="BH525">
        <v>0</v>
      </c>
      <c r="BI525">
        <v>0</v>
      </c>
      <c r="BJ525">
        <v>0</v>
      </c>
      <c r="BK525">
        <v>0</v>
      </c>
      <c r="BL525" s="2">
        <v>24.82</v>
      </c>
      <c r="BM525" s="2">
        <v>42005.095138888886</v>
      </c>
      <c r="BN525" s="2">
        <v>5.4</v>
      </c>
      <c r="BO525" s="2">
        <v>42005.092361111114</v>
      </c>
      <c r="BP525" s="2">
        <v>6.92</v>
      </c>
      <c r="BQ525" s="2">
        <v>42005.092361111114</v>
      </c>
      <c r="BR525" s="2">
        <v>11.07</v>
      </c>
      <c r="BS525" s="2">
        <v>42005.092361111114</v>
      </c>
      <c r="BT525">
        <v>0</v>
      </c>
      <c r="BU525">
        <v>0</v>
      </c>
      <c r="BV525" t="s">
        <v>135</v>
      </c>
      <c r="BW525">
        <v>0</v>
      </c>
      <c r="BX525">
        <v>0</v>
      </c>
      <c r="BY525" t="s">
        <v>135</v>
      </c>
      <c r="BZ525">
        <v>0</v>
      </c>
      <c r="CA525">
        <v>0</v>
      </c>
      <c r="CB525" t="s">
        <v>135</v>
      </c>
      <c r="CH525" s="2"/>
      <c r="CJ525" s="2"/>
      <c r="CL525" s="2"/>
      <c r="CN525" s="2"/>
      <c r="CQ525" s="2"/>
      <c r="CT525" s="2"/>
      <c r="CW525" s="2"/>
    </row>
    <row r="526" spans="1:101" x14ac:dyDescent="0.25">
      <c r="A526" s="1" t="s">
        <v>163</v>
      </c>
      <c r="B526" s="75" t="s">
        <v>164</v>
      </c>
      <c r="C526">
        <v>0</v>
      </c>
      <c r="D526">
        <v>0</v>
      </c>
      <c r="E526">
        <v>0</v>
      </c>
      <c r="F526">
        <v>604324.56000000006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3.91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7490</v>
      </c>
      <c r="AW526">
        <v>3350</v>
      </c>
      <c r="AX526">
        <v>1219</v>
      </c>
      <c r="AY526">
        <v>12059</v>
      </c>
      <c r="AZ526">
        <v>4202</v>
      </c>
      <c r="BA526">
        <v>7438</v>
      </c>
      <c r="BB526">
        <v>1432</v>
      </c>
      <c r="BC526">
        <v>13072</v>
      </c>
      <c r="BD526">
        <v>9486</v>
      </c>
      <c r="BE526">
        <v>9222</v>
      </c>
      <c r="BF526">
        <v>1768</v>
      </c>
      <c r="BG526">
        <v>20476</v>
      </c>
      <c r="BH526">
        <v>0</v>
      </c>
      <c r="BI526">
        <v>0</v>
      </c>
      <c r="BJ526">
        <v>0</v>
      </c>
      <c r="BK526">
        <v>0</v>
      </c>
      <c r="BL526" s="2">
        <v>24.82</v>
      </c>
      <c r="BM526" s="2">
        <v>42005.095138888886</v>
      </c>
      <c r="BN526" s="2">
        <v>5.4</v>
      </c>
      <c r="BO526" s="2">
        <v>42005.092361111114</v>
      </c>
      <c r="BP526" s="2">
        <v>6.92</v>
      </c>
      <c r="BQ526" s="2">
        <v>42005.092361111114</v>
      </c>
      <c r="BR526" s="2">
        <v>11.07</v>
      </c>
      <c r="BS526" s="2">
        <v>42005.092361111114</v>
      </c>
      <c r="BT526">
        <v>0</v>
      </c>
      <c r="BU526">
        <v>0</v>
      </c>
      <c r="BV526" t="s">
        <v>135</v>
      </c>
      <c r="BW526">
        <v>0</v>
      </c>
      <c r="BX526">
        <v>0</v>
      </c>
      <c r="BY526" t="s">
        <v>135</v>
      </c>
      <c r="BZ526">
        <v>0</v>
      </c>
      <c r="CA526">
        <v>0</v>
      </c>
      <c r="CB526" t="s">
        <v>135</v>
      </c>
      <c r="CH526" s="2"/>
      <c r="CJ526" s="2"/>
      <c r="CL526" s="2"/>
      <c r="CN526" s="2"/>
      <c r="CQ526" s="2"/>
      <c r="CT526" s="2"/>
      <c r="CW526" s="2"/>
    </row>
    <row r="527" spans="1:101" x14ac:dyDescent="0.25">
      <c r="A527" s="1" t="s">
        <v>163</v>
      </c>
      <c r="B527" s="75" t="s">
        <v>164</v>
      </c>
      <c r="C527">
        <v>0</v>
      </c>
      <c r="D527">
        <v>0</v>
      </c>
      <c r="E527">
        <v>0</v>
      </c>
      <c r="F527">
        <v>604324.56000000006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3.91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7490</v>
      </c>
      <c r="AW527">
        <v>3350</v>
      </c>
      <c r="AX527">
        <v>1219</v>
      </c>
      <c r="AY527">
        <v>12059</v>
      </c>
      <c r="AZ527">
        <v>4202</v>
      </c>
      <c r="BA527">
        <v>7438</v>
      </c>
      <c r="BB527">
        <v>1432</v>
      </c>
      <c r="BC527">
        <v>13072</v>
      </c>
      <c r="BD527">
        <v>9486</v>
      </c>
      <c r="BE527">
        <v>9222</v>
      </c>
      <c r="BF527">
        <v>1768</v>
      </c>
      <c r="BG527">
        <v>20476</v>
      </c>
      <c r="BH527">
        <v>0</v>
      </c>
      <c r="BI527">
        <v>0</v>
      </c>
      <c r="BJ527">
        <v>0</v>
      </c>
      <c r="BK527">
        <v>0</v>
      </c>
      <c r="BL527" s="2">
        <v>24.82</v>
      </c>
      <c r="BM527" s="2">
        <v>42005.095138888886</v>
      </c>
      <c r="BN527" s="2">
        <v>5.4</v>
      </c>
      <c r="BO527" s="2">
        <v>42005.092361111114</v>
      </c>
      <c r="BP527" s="2">
        <v>6.92</v>
      </c>
      <c r="BQ527" s="2">
        <v>42005.092361111114</v>
      </c>
      <c r="BR527" s="2">
        <v>11.07</v>
      </c>
      <c r="BS527" s="2">
        <v>42005.092361111114</v>
      </c>
      <c r="BT527">
        <v>0</v>
      </c>
      <c r="BU527">
        <v>0</v>
      </c>
      <c r="BV527" t="s">
        <v>135</v>
      </c>
      <c r="BW527">
        <v>0</v>
      </c>
      <c r="BX527">
        <v>0</v>
      </c>
      <c r="BY527" t="s">
        <v>135</v>
      </c>
      <c r="BZ527">
        <v>0</v>
      </c>
      <c r="CA527">
        <v>0</v>
      </c>
      <c r="CB527" t="s">
        <v>135</v>
      </c>
      <c r="CH527" s="2"/>
      <c r="CJ527" s="2"/>
      <c r="CL527" s="2"/>
      <c r="CN527" s="2"/>
      <c r="CQ527" s="2"/>
      <c r="CT527" s="2"/>
      <c r="CW527" s="2"/>
    </row>
    <row r="528" spans="1:101" x14ac:dyDescent="0.25">
      <c r="A528" s="1" t="s">
        <v>163</v>
      </c>
      <c r="B528" s="75" t="s">
        <v>164</v>
      </c>
      <c r="C528">
        <v>0</v>
      </c>
      <c r="D528">
        <v>0</v>
      </c>
      <c r="E528">
        <v>0</v>
      </c>
      <c r="F528">
        <v>604324.56000000006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3.91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7490</v>
      </c>
      <c r="AW528">
        <v>3350</v>
      </c>
      <c r="AX528">
        <v>1219</v>
      </c>
      <c r="AY528">
        <v>12059</v>
      </c>
      <c r="AZ528">
        <v>4202</v>
      </c>
      <c r="BA528">
        <v>7438</v>
      </c>
      <c r="BB528">
        <v>1432</v>
      </c>
      <c r="BC528">
        <v>13072</v>
      </c>
      <c r="BD528">
        <v>9486</v>
      </c>
      <c r="BE528">
        <v>9222</v>
      </c>
      <c r="BF528">
        <v>1768</v>
      </c>
      <c r="BG528">
        <v>20476</v>
      </c>
      <c r="BH528">
        <v>0</v>
      </c>
      <c r="BI528">
        <v>0</v>
      </c>
      <c r="BJ528">
        <v>0</v>
      </c>
      <c r="BK528">
        <v>0</v>
      </c>
      <c r="BL528" s="2">
        <v>24.82</v>
      </c>
      <c r="BM528" s="2">
        <v>42005.095138888886</v>
      </c>
      <c r="BN528" s="2">
        <v>5.4</v>
      </c>
      <c r="BO528" s="2">
        <v>42005.092361111114</v>
      </c>
      <c r="BP528" s="2">
        <v>6.92</v>
      </c>
      <c r="BQ528" s="2">
        <v>42005.092361111114</v>
      </c>
      <c r="BR528" s="2">
        <v>11.07</v>
      </c>
      <c r="BS528" s="2">
        <v>42005.092361111114</v>
      </c>
      <c r="BT528">
        <v>0</v>
      </c>
      <c r="BU528">
        <v>0</v>
      </c>
      <c r="BV528" t="s">
        <v>135</v>
      </c>
      <c r="BW528">
        <v>0</v>
      </c>
      <c r="BX528">
        <v>0</v>
      </c>
      <c r="BY528" t="s">
        <v>135</v>
      </c>
      <c r="BZ528">
        <v>0</v>
      </c>
      <c r="CA528">
        <v>0</v>
      </c>
      <c r="CB528" t="s">
        <v>135</v>
      </c>
      <c r="CH528" s="2"/>
      <c r="CJ528" s="2"/>
      <c r="CL528" s="2"/>
      <c r="CN528" s="2"/>
      <c r="CQ528" s="2"/>
      <c r="CT528" s="2"/>
      <c r="CW528" s="2"/>
    </row>
    <row r="529" spans="1:101" x14ac:dyDescent="0.25">
      <c r="A529" s="1" t="s">
        <v>163</v>
      </c>
      <c r="B529" s="75" t="s">
        <v>164</v>
      </c>
      <c r="C529">
        <v>0</v>
      </c>
      <c r="D529">
        <v>0</v>
      </c>
      <c r="E529">
        <v>0</v>
      </c>
      <c r="F529">
        <v>604324.56000000006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3.91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7490</v>
      </c>
      <c r="AW529">
        <v>3350</v>
      </c>
      <c r="AX529">
        <v>1219</v>
      </c>
      <c r="AY529">
        <v>12059</v>
      </c>
      <c r="AZ529">
        <v>4202</v>
      </c>
      <c r="BA529">
        <v>7438</v>
      </c>
      <c r="BB529">
        <v>1432</v>
      </c>
      <c r="BC529">
        <v>13072</v>
      </c>
      <c r="BD529">
        <v>9486</v>
      </c>
      <c r="BE529">
        <v>9222</v>
      </c>
      <c r="BF529">
        <v>1768</v>
      </c>
      <c r="BG529">
        <v>20476</v>
      </c>
      <c r="BH529">
        <v>0</v>
      </c>
      <c r="BI529">
        <v>0</v>
      </c>
      <c r="BJ529">
        <v>0</v>
      </c>
      <c r="BK529">
        <v>0</v>
      </c>
      <c r="BL529" s="2">
        <v>24.82</v>
      </c>
      <c r="BM529" s="2">
        <v>42005.095138888886</v>
      </c>
      <c r="BN529" s="2">
        <v>5.4</v>
      </c>
      <c r="BO529" s="2">
        <v>42005.092361111114</v>
      </c>
      <c r="BP529" s="2">
        <v>6.92</v>
      </c>
      <c r="BQ529" s="2">
        <v>42005.092361111114</v>
      </c>
      <c r="BR529" s="2">
        <v>11.07</v>
      </c>
      <c r="BS529" s="2">
        <v>42005.092361111114</v>
      </c>
      <c r="BT529">
        <v>0</v>
      </c>
      <c r="BU529">
        <v>0</v>
      </c>
      <c r="BV529" t="s">
        <v>135</v>
      </c>
      <c r="BW529">
        <v>0</v>
      </c>
      <c r="BX529">
        <v>0</v>
      </c>
      <c r="BY529" t="s">
        <v>135</v>
      </c>
      <c r="BZ529">
        <v>0</v>
      </c>
      <c r="CA529">
        <v>0</v>
      </c>
      <c r="CB529" t="s">
        <v>135</v>
      </c>
      <c r="CH529" s="2"/>
      <c r="CJ529" s="2"/>
      <c r="CL529" s="2"/>
      <c r="CN529" s="2"/>
      <c r="CQ529" s="2"/>
      <c r="CT529" s="2"/>
      <c r="CW529" s="2"/>
    </row>
    <row r="530" spans="1:101" x14ac:dyDescent="0.25">
      <c r="A530" s="1" t="s">
        <v>163</v>
      </c>
      <c r="B530" s="75" t="s">
        <v>164</v>
      </c>
      <c r="C530">
        <v>0</v>
      </c>
      <c r="D530">
        <v>0</v>
      </c>
      <c r="E530">
        <v>0</v>
      </c>
      <c r="F530">
        <v>604324.56000000006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3.91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7490</v>
      </c>
      <c r="AW530">
        <v>3350</v>
      </c>
      <c r="AX530">
        <v>1219</v>
      </c>
      <c r="AY530">
        <v>12059</v>
      </c>
      <c r="AZ530">
        <v>4202</v>
      </c>
      <c r="BA530">
        <v>7438</v>
      </c>
      <c r="BB530">
        <v>1432</v>
      </c>
      <c r="BC530">
        <v>13072</v>
      </c>
      <c r="BD530">
        <v>9486</v>
      </c>
      <c r="BE530">
        <v>9222</v>
      </c>
      <c r="BF530">
        <v>1768</v>
      </c>
      <c r="BG530">
        <v>20476</v>
      </c>
      <c r="BH530">
        <v>0</v>
      </c>
      <c r="BI530">
        <v>0</v>
      </c>
      <c r="BJ530">
        <v>0</v>
      </c>
      <c r="BK530">
        <v>0</v>
      </c>
      <c r="BL530" s="2">
        <v>24.82</v>
      </c>
      <c r="BM530" s="2">
        <v>42005.095138888886</v>
      </c>
      <c r="BN530" s="2">
        <v>5.4</v>
      </c>
      <c r="BO530" s="2">
        <v>42005.092361111114</v>
      </c>
      <c r="BP530" s="2">
        <v>6.92</v>
      </c>
      <c r="BQ530" s="2">
        <v>42005.092361111114</v>
      </c>
      <c r="BR530" s="2">
        <v>11.07</v>
      </c>
      <c r="BS530" s="2">
        <v>42005.092361111114</v>
      </c>
      <c r="BT530">
        <v>0</v>
      </c>
      <c r="BU530">
        <v>0</v>
      </c>
      <c r="BV530" t="s">
        <v>135</v>
      </c>
      <c r="BW530">
        <v>0</v>
      </c>
      <c r="BX530">
        <v>0</v>
      </c>
      <c r="BY530" t="s">
        <v>135</v>
      </c>
      <c r="BZ530">
        <v>0</v>
      </c>
      <c r="CA530">
        <v>0</v>
      </c>
      <c r="CB530" t="s">
        <v>135</v>
      </c>
      <c r="CH530" s="2"/>
      <c r="CJ530" s="2"/>
      <c r="CL530" s="2"/>
      <c r="CN530" s="2"/>
      <c r="CQ530" s="2"/>
      <c r="CT530" s="2"/>
      <c r="CW530" s="2"/>
    </row>
    <row r="531" spans="1:101" x14ac:dyDescent="0.25">
      <c r="A531" s="1" t="s">
        <v>163</v>
      </c>
      <c r="B531" s="75" t="s">
        <v>164</v>
      </c>
      <c r="C531">
        <v>0</v>
      </c>
      <c r="D531">
        <v>0</v>
      </c>
      <c r="E531">
        <v>0</v>
      </c>
      <c r="F531">
        <v>604324.56000000006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3.91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7490</v>
      </c>
      <c r="AW531">
        <v>3350</v>
      </c>
      <c r="AX531">
        <v>1219</v>
      </c>
      <c r="AY531">
        <v>12059</v>
      </c>
      <c r="AZ531">
        <v>4202</v>
      </c>
      <c r="BA531">
        <v>7438</v>
      </c>
      <c r="BB531">
        <v>1432</v>
      </c>
      <c r="BC531">
        <v>13072</v>
      </c>
      <c r="BD531">
        <v>9486</v>
      </c>
      <c r="BE531">
        <v>9222</v>
      </c>
      <c r="BF531">
        <v>1768</v>
      </c>
      <c r="BG531">
        <v>20476</v>
      </c>
      <c r="BH531">
        <v>0</v>
      </c>
      <c r="BI531">
        <v>0</v>
      </c>
      <c r="BJ531">
        <v>0</v>
      </c>
      <c r="BK531">
        <v>0</v>
      </c>
      <c r="BL531" s="2">
        <v>24.82</v>
      </c>
      <c r="BM531" s="2">
        <v>42005.095138888886</v>
      </c>
      <c r="BN531" s="2">
        <v>5.4</v>
      </c>
      <c r="BO531" s="2">
        <v>42005.092361111114</v>
      </c>
      <c r="BP531" s="2">
        <v>6.92</v>
      </c>
      <c r="BQ531" s="2">
        <v>42005.092361111114</v>
      </c>
      <c r="BR531" s="2">
        <v>11.07</v>
      </c>
      <c r="BS531" s="2">
        <v>42005.092361111114</v>
      </c>
      <c r="BT531">
        <v>0</v>
      </c>
      <c r="BU531">
        <v>0</v>
      </c>
      <c r="BV531" t="s">
        <v>135</v>
      </c>
      <c r="BW531">
        <v>0</v>
      </c>
      <c r="BX531">
        <v>0</v>
      </c>
      <c r="BY531" t="s">
        <v>135</v>
      </c>
      <c r="BZ531">
        <v>0</v>
      </c>
      <c r="CA531">
        <v>0</v>
      </c>
      <c r="CB531" t="s">
        <v>135</v>
      </c>
      <c r="CH531" s="2"/>
      <c r="CJ531" s="2"/>
      <c r="CL531" s="2"/>
      <c r="CN531" s="2"/>
      <c r="CQ531" s="2"/>
      <c r="CT531" s="2"/>
      <c r="CW531" s="2"/>
    </row>
    <row r="532" spans="1:101" x14ac:dyDescent="0.25">
      <c r="A532" s="1" t="s">
        <v>163</v>
      </c>
      <c r="B532" s="75" t="s">
        <v>164</v>
      </c>
      <c r="C532">
        <v>0</v>
      </c>
      <c r="D532">
        <v>0</v>
      </c>
      <c r="E532">
        <v>0</v>
      </c>
      <c r="F532">
        <v>604324.56000000006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3.91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7490</v>
      </c>
      <c r="AW532">
        <v>3350</v>
      </c>
      <c r="AX532">
        <v>1219</v>
      </c>
      <c r="AY532">
        <v>12059</v>
      </c>
      <c r="AZ532">
        <v>4202</v>
      </c>
      <c r="BA532">
        <v>7438</v>
      </c>
      <c r="BB532">
        <v>1432</v>
      </c>
      <c r="BC532">
        <v>13072</v>
      </c>
      <c r="BD532">
        <v>9486</v>
      </c>
      <c r="BE532">
        <v>9222</v>
      </c>
      <c r="BF532">
        <v>1768</v>
      </c>
      <c r="BG532">
        <v>20476</v>
      </c>
      <c r="BH532">
        <v>0</v>
      </c>
      <c r="BI532">
        <v>0</v>
      </c>
      <c r="BJ532">
        <v>0</v>
      </c>
      <c r="BK532">
        <v>0</v>
      </c>
      <c r="BL532" s="2">
        <v>24.82</v>
      </c>
      <c r="BM532" s="2">
        <v>42005.095138888886</v>
      </c>
      <c r="BN532" s="2">
        <v>5.4</v>
      </c>
      <c r="BO532" s="2">
        <v>42005.092361111114</v>
      </c>
      <c r="BP532" s="2">
        <v>6.92</v>
      </c>
      <c r="BQ532" s="2">
        <v>42005.092361111114</v>
      </c>
      <c r="BR532" s="2">
        <v>11.07</v>
      </c>
      <c r="BS532" s="2">
        <v>42005.092361111114</v>
      </c>
      <c r="BT532">
        <v>0</v>
      </c>
      <c r="BU532">
        <v>0</v>
      </c>
      <c r="BV532" t="s">
        <v>135</v>
      </c>
      <c r="BW532">
        <v>0</v>
      </c>
      <c r="BX532">
        <v>0</v>
      </c>
      <c r="BY532" t="s">
        <v>135</v>
      </c>
      <c r="BZ532">
        <v>0</v>
      </c>
      <c r="CA532">
        <v>0</v>
      </c>
      <c r="CB532" t="s">
        <v>135</v>
      </c>
      <c r="CH532" s="2"/>
      <c r="CJ532" s="2"/>
      <c r="CL532" s="2"/>
      <c r="CN532" s="2"/>
      <c r="CQ532" s="2"/>
      <c r="CT532" s="2"/>
      <c r="CW532" s="2"/>
    </row>
    <row r="533" spans="1:101" x14ac:dyDescent="0.25">
      <c r="A533" s="1" t="s">
        <v>163</v>
      </c>
      <c r="B533" s="75" t="s">
        <v>164</v>
      </c>
      <c r="C533">
        <v>0</v>
      </c>
      <c r="D533">
        <v>0</v>
      </c>
      <c r="E533">
        <v>0</v>
      </c>
      <c r="F533">
        <v>604324.56000000006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3.91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7490</v>
      </c>
      <c r="AW533">
        <v>3350</v>
      </c>
      <c r="AX533">
        <v>1219</v>
      </c>
      <c r="AY533">
        <v>12059</v>
      </c>
      <c r="AZ533">
        <v>4202</v>
      </c>
      <c r="BA533">
        <v>7438</v>
      </c>
      <c r="BB533">
        <v>1432</v>
      </c>
      <c r="BC533">
        <v>13072</v>
      </c>
      <c r="BD533">
        <v>9486</v>
      </c>
      <c r="BE533">
        <v>9222</v>
      </c>
      <c r="BF533">
        <v>1768</v>
      </c>
      <c r="BG533">
        <v>20476</v>
      </c>
      <c r="BH533">
        <v>0</v>
      </c>
      <c r="BI533">
        <v>0</v>
      </c>
      <c r="BJ533">
        <v>0</v>
      </c>
      <c r="BK533">
        <v>0</v>
      </c>
      <c r="BL533" s="2">
        <v>24.82</v>
      </c>
      <c r="BM533" s="2">
        <v>42005.095138888886</v>
      </c>
      <c r="BN533" s="2">
        <v>5.4</v>
      </c>
      <c r="BO533" s="2">
        <v>42005.092361111114</v>
      </c>
      <c r="BP533" s="2">
        <v>6.92</v>
      </c>
      <c r="BQ533" s="2">
        <v>42005.092361111114</v>
      </c>
      <c r="BR533" s="2">
        <v>11.07</v>
      </c>
      <c r="BS533" s="2">
        <v>42005.092361111114</v>
      </c>
      <c r="BT533">
        <v>0</v>
      </c>
      <c r="BU533">
        <v>0</v>
      </c>
      <c r="BV533" t="s">
        <v>135</v>
      </c>
      <c r="BW533">
        <v>0</v>
      </c>
      <c r="BX533">
        <v>0</v>
      </c>
      <c r="BY533" t="s">
        <v>135</v>
      </c>
      <c r="BZ533">
        <v>0</v>
      </c>
      <c r="CA533">
        <v>0</v>
      </c>
      <c r="CB533" t="s">
        <v>135</v>
      </c>
      <c r="CH533" s="2"/>
      <c r="CJ533" s="2"/>
      <c r="CL533" s="2"/>
      <c r="CN533" s="2"/>
      <c r="CQ533" s="2"/>
      <c r="CT533" s="2"/>
      <c r="CW533" s="2"/>
    </row>
    <row r="534" spans="1:101" x14ac:dyDescent="0.25">
      <c r="A534" s="1" t="s">
        <v>163</v>
      </c>
      <c r="B534" s="75" t="s">
        <v>164</v>
      </c>
      <c r="C534">
        <v>0</v>
      </c>
      <c r="D534">
        <v>0</v>
      </c>
      <c r="E534">
        <v>0</v>
      </c>
      <c r="F534">
        <v>604324.56000000006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3.91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7490</v>
      </c>
      <c r="AW534">
        <v>3350</v>
      </c>
      <c r="AX534">
        <v>1219</v>
      </c>
      <c r="AY534">
        <v>12059</v>
      </c>
      <c r="AZ534">
        <v>4202</v>
      </c>
      <c r="BA534">
        <v>7438</v>
      </c>
      <c r="BB534">
        <v>1432</v>
      </c>
      <c r="BC534">
        <v>13072</v>
      </c>
      <c r="BD534">
        <v>9486</v>
      </c>
      <c r="BE534">
        <v>9222</v>
      </c>
      <c r="BF534">
        <v>1768</v>
      </c>
      <c r="BG534">
        <v>20476</v>
      </c>
      <c r="BH534">
        <v>0</v>
      </c>
      <c r="BI534">
        <v>0</v>
      </c>
      <c r="BJ534">
        <v>0</v>
      </c>
      <c r="BK534">
        <v>0</v>
      </c>
      <c r="BL534" s="2">
        <v>24.82</v>
      </c>
      <c r="BM534" s="2">
        <v>42005.095138888886</v>
      </c>
      <c r="BN534" s="2">
        <v>5.4</v>
      </c>
      <c r="BO534" s="2">
        <v>42005.092361111114</v>
      </c>
      <c r="BP534" s="2">
        <v>6.92</v>
      </c>
      <c r="BQ534" s="2">
        <v>42005.092361111114</v>
      </c>
      <c r="BR534" s="2">
        <v>11.07</v>
      </c>
      <c r="BS534" s="2">
        <v>42005.092361111114</v>
      </c>
      <c r="BT534">
        <v>0</v>
      </c>
      <c r="BU534">
        <v>0</v>
      </c>
      <c r="BV534" t="s">
        <v>135</v>
      </c>
      <c r="BW534">
        <v>0</v>
      </c>
      <c r="BX534">
        <v>0</v>
      </c>
      <c r="BY534" t="s">
        <v>135</v>
      </c>
      <c r="BZ534">
        <v>0</v>
      </c>
      <c r="CA534">
        <v>0</v>
      </c>
      <c r="CB534" t="s">
        <v>135</v>
      </c>
      <c r="CH534" s="2"/>
      <c r="CJ534" s="2"/>
      <c r="CL534" s="2"/>
      <c r="CN534" s="2"/>
      <c r="CQ534" s="2"/>
      <c r="CT534" s="2"/>
      <c r="CW534" s="2"/>
    </row>
    <row r="535" spans="1:101" x14ac:dyDescent="0.25">
      <c r="A535" s="1" t="s">
        <v>163</v>
      </c>
      <c r="B535" s="75" t="s">
        <v>164</v>
      </c>
      <c r="C535">
        <v>0</v>
      </c>
      <c r="D535">
        <v>0</v>
      </c>
      <c r="E535">
        <v>0</v>
      </c>
      <c r="F535">
        <v>604324.56000000006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3.91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7490</v>
      </c>
      <c r="AW535">
        <v>3350</v>
      </c>
      <c r="AX535">
        <v>1219</v>
      </c>
      <c r="AY535">
        <v>12059</v>
      </c>
      <c r="AZ535">
        <v>4202</v>
      </c>
      <c r="BA535">
        <v>7438</v>
      </c>
      <c r="BB535">
        <v>1432</v>
      </c>
      <c r="BC535">
        <v>13072</v>
      </c>
      <c r="BD535">
        <v>9486</v>
      </c>
      <c r="BE535">
        <v>9222</v>
      </c>
      <c r="BF535">
        <v>1768</v>
      </c>
      <c r="BG535">
        <v>20476</v>
      </c>
      <c r="BH535">
        <v>0</v>
      </c>
      <c r="BI535">
        <v>0</v>
      </c>
      <c r="BJ535">
        <v>0</v>
      </c>
      <c r="BK535">
        <v>0</v>
      </c>
      <c r="BL535" s="2">
        <v>24.82</v>
      </c>
      <c r="BM535" s="2">
        <v>42005.095138888886</v>
      </c>
      <c r="BN535" s="2">
        <v>5.4</v>
      </c>
      <c r="BO535" s="2">
        <v>42005.092361111114</v>
      </c>
      <c r="BP535" s="2">
        <v>6.92</v>
      </c>
      <c r="BQ535" s="2">
        <v>42005.092361111114</v>
      </c>
      <c r="BR535" s="2">
        <v>11.07</v>
      </c>
      <c r="BS535" s="2">
        <v>42005.092361111114</v>
      </c>
      <c r="BT535">
        <v>0</v>
      </c>
      <c r="BU535">
        <v>0</v>
      </c>
      <c r="BV535" t="s">
        <v>135</v>
      </c>
      <c r="BW535">
        <v>0</v>
      </c>
      <c r="BX535">
        <v>0</v>
      </c>
      <c r="BY535" t="s">
        <v>135</v>
      </c>
      <c r="BZ535">
        <v>0</v>
      </c>
      <c r="CA535">
        <v>0</v>
      </c>
      <c r="CB535" t="s">
        <v>135</v>
      </c>
      <c r="CH535" s="2"/>
      <c r="CJ535" s="2"/>
      <c r="CL535" s="2"/>
      <c r="CN535" s="2"/>
      <c r="CQ535" s="2"/>
      <c r="CT535" s="2"/>
      <c r="CW535" s="2"/>
    </row>
    <row r="536" spans="1:101" x14ac:dyDescent="0.25">
      <c r="A536" s="1" t="s">
        <v>163</v>
      </c>
      <c r="B536" s="75" t="s">
        <v>164</v>
      </c>
      <c r="C536">
        <v>0</v>
      </c>
      <c r="D536">
        <v>0</v>
      </c>
      <c r="E536">
        <v>0</v>
      </c>
      <c r="F536">
        <v>604324.56000000006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3.91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7490</v>
      </c>
      <c r="AW536">
        <v>3350</v>
      </c>
      <c r="AX536">
        <v>1219</v>
      </c>
      <c r="AY536">
        <v>12059</v>
      </c>
      <c r="AZ536">
        <v>4202</v>
      </c>
      <c r="BA536">
        <v>7438</v>
      </c>
      <c r="BB536">
        <v>1432</v>
      </c>
      <c r="BC536">
        <v>13072</v>
      </c>
      <c r="BD536">
        <v>9486</v>
      </c>
      <c r="BE536">
        <v>9222</v>
      </c>
      <c r="BF536">
        <v>1768</v>
      </c>
      <c r="BG536">
        <v>20476</v>
      </c>
      <c r="BH536">
        <v>0</v>
      </c>
      <c r="BI536">
        <v>0</v>
      </c>
      <c r="BJ536">
        <v>0</v>
      </c>
      <c r="BK536">
        <v>0</v>
      </c>
      <c r="BL536" s="2">
        <v>24.82</v>
      </c>
      <c r="BM536" s="2">
        <v>42005.095138888886</v>
      </c>
      <c r="BN536" s="2">
        <v>5.4</v>
      </c>
      <c r="BO536" s="2">
        <v>42005.092361111114</v>
      </c>
      <c r="BP536" s="2">
        <v>6.92</v>
      </c>
      <c r="BQ536" s="2">
        <v>42005.092361111114</v>
      </c>
      <c r="BR536" s="2">
        <v>11.07</v>
      </c>
      <c r="BS536" s="2">
        <v>42005.092361111114</v>
      </c>
      <c r="BT536">
        <v>0</v>
      </c>
      <c r="BU536">
        <v>0</v>
      </c>
      <c r="BV536" t="s">
        <v>135</v>
      </c>
      <c r="BW536">
        <v>0</v>
      </c>
      <c r="BX536">
        <v>0</v>
      </c>
      <c r="BY536" t="s">
        <v>135</v>
      </c>
      <c r="BZ536">
        <v>0</v>
      </c>
      <c r="CA536">
        <v>0</v>
      </c>
      <c r="CB536" t="s">
        <v>135</v>
      </c>
      <c r="CH536" s="2"/>
      <c r="CJ536" s="2"/>
      <c r="CL536" s="2"/>
      <c r="CN536" s="2"/>
      <c r="CQ536" s="2"/>
      <c r="CT536" s="2"/>
      <c r="CW536" s="2"/>
    </row>
    <row r="537" spans="1:101" x14ac:dyDescent="0.25">
      <c r="A537" s="1" t="s">
        <v>163</v>
      </c>
      <c r="B537" s="75" t="s">
        <v>164</v>
      </c>
      <c r="C537">
        <v>0</v>
      </c>
      <c r="D537">
        <v>0</v>
      </c>
      <c r="E537">
        <v>0</v>
      </c>
      <c r="F537">
        <v>604324.56000000006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3.91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7490</v>
      </c>
      <c r="AW537">
        <v>3350</v>
      </c>
      <c r="AX537">
        <v>1219</v>
      </c>
      <c r="AY537">
        <v>12059</v>
      </c>
      <c r="AZ537">
        <v>4202</v>
      </c>
      <c r="BA537">
        <v>7438</v>
      </c>
      <c r="BB537">
        <v>1432</v>
      </c>
      <c r="BC537">
        <v>13072</v>
      </c>
      <c r="BD537">
        <v>9486</v>
      </c>
      <c r="BE537">
        <v>9222</v>
      </c>
      <c r="BF537">
        <v>1768</v>
      </c>
      <c r="BG537">
        <v>20476</v>
      </c>
      <c r="BH537">
        <v>0</v>
      </c>
      <c r="BI537">
        <v>0</v>
      </c>
      <c r="BJ537">
        <v>0</v>
      </c>
      <c r="BK537">
        <v>0</v>
      </c>
      <c r="BL537" s="2">
        <v>24.82</v>
      </c>
      <c r="BM537" s="2">
        <v>42005.095138888886</v>
      </c>
      <c r="BN537" s="2">
        <v>5.4</v>
      </c>
      <c r="BO537" s="2">
        <v>42005.092361111114</v>
      </c>
      <c r="BP537" s="2">
        <v>6.92</v>
      </c>
      <c r="BQ537" s="2">
        <v>42005.092361111114</v>
      </c>
      <c r="BR537" s="2">
        <v>11.07</v>
      </c>
      <c r="BS537" s="2">
        <v>42005.092361111114</v>
      </c>
      <c r="BT537">
        <v>0</v>
      </c>
      <c r="BU537">
        <v>0</v>
      </c>
      <c r="BV537" t="s">
        <v>135</v>
      </c>
      <c r="BW537">
        <v>0</v>
      </c>
      <c r="BX537">
        <v>0</v>
      </c>
      <c r="BY537" t="s">
        <v>135</v>
      </c>
      <c r="BZ537">
        <v>0</v>
      </c>
      <c r="CA537">
        <v>0</v>
      </c>
      <c r="CB537" t="s">
        <v>135</v>
      </c>
      <c r="CH537" s="2"/>
      <c r="CJ537" s="2"/>
      <c r="CL537" s="2"/>
      <c r="CN537" s="2"/>
      <c r="CQ537" s="2"/>
      <c r="CT537" s="2"/>
      <c r="CW537" s="2"/>
    </row>
    <row r="538" spans="1:101" x14ac:dyDescent="0.25">
      <c r="A538" s="1" t="s">
        <v>163</v>
      </c>
      <c r="B538" s="75" t="s">
        <v>164</v>
      </c>
      <c r="C538">
        <v>0</v>
      </c>
      <c r="D538">
        <v>0</v>
      </c>
      <c r="E538">
        <v>0</v>
      </c>
      <c r="F538">
        <v>604324.56000000006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3.91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7490</v>
      </c>
      <c r="AW538">
        <v>3350</v>
      </c>
      <c r="AX538">
        <v>1219</v>
      </c>
      <c r="AY538">
        <v>12059</v>
      </c>
      <c r="AZ538">
        <v>4202</v>
      </c>
      <c r="BA538">
        <v>7438</v>
      </c>
      <c r="BB538">
        <v>1432</v>
      </c>
      <c r="BC538">
        <v>13072</v>
      </c>
      <c r="BD538">
        <v>9486</v>
      </c>
      <c r="BE538">
        <v>9222</v>
      </c>
      <c r="BF538">
        <v>1768</v>
      </c>
      <c r="BG538">
        <v>20476</v>
      </c>
      <c r="BH538">
        <v>0</v>
      </c>
      <c r="BI538">
        <v>0</v>
      </c>
      <c r="BJ538">
        <v>0</v>
      </c>
      <c r="BK538">
        <v>0</v>
      </c>
      <c r="BL538" s="2">
        <v>24.82</v>
      </c>
      <c r="BM538" s="2">
        <v>42005.095138888886</v>
      </c>
      <c r="BN538" s="2">
        <v>5.4</v>
      </c>
      <c r="BO538" s="2">
        <v>42005.092361111114</v>
      </c>
      <c r="BP538" s="2">
        <v>6.92</v>
      </c>
      <c r="BQ538" s="2">
        <v>42005.092361111114</v>
      </c>
      <c r="BR538" s="2">
        <v>11.07</v>
      </c>
      <c r="BS538" s="2">
        <v>42005.092361111114</v>
      </c>
      <c r="BT538">
        <v>0</v>
      </c>
      <c r="BU538">
        <v>0</v>
      </c>
      <c r="BV538" t="s">
        <v>135</v>
      </c>
      <c r="BW538">
        <v>0</v>
      </c>
      <c r="BX538">
        <v>0</v>
      </c>
      <c r="BY538" t="s">
        <v>135</v>
      </c>
      <c r="BZ538">
        <v>0</v>
      </c>
      <c r="CA538">
        <v>0</v>
      </c>
      <c r="CB538" t="s">
        <v>135</v>
      </c>
      <c r="CH538" s="2"/>
      <c r="CJ538" s="2"/>
      <c r="CL538" s="2"/>
      <c r="CN538" s="2"/>
      <c r="CQ538" s="2"/>
      <c r="CT538" s="2"/>
      <c r="CW538" s="2"/>
    </row>
    <row r="539" spans="1:101" x14ac:dyDescent="0.25">
      <c r="A539" s="1" t="s">
        <v>163</v>
      </c>
      <c r="B539" s="75" t="s">
        <v>164</v>
      </c>
      <c r="C539">
        <v>0</v>
      </c>
      <c r="D539">
        <v>0</v>
      </c>
      <c r="E539">
        <v>0</v>
      </c>
      <c r="F539">
        <v>604324.56000000006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3.91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7490</v>
      </c>
      <c r="AW539">
        <v>3350</v>
      </c>
      <c r="AX539">
        <v>1219</v>
      </c>
      <c r="AY539">
        <v>12059</v>
      </c>
      <c r="AZ539">
        <v>4202</v>
      </c>
      <c r="BA539">
        <v>7438</v>
      </c>
      <c r="BB539">
        <v>1432</v>
      </c>
      <c r="BC539">
        <v>13072</v>
      </c>
      <c r="BD539">
        <v>9486</v>
      </c>
      <c r="BE539">
        <v>9222</v>
      </c>
      <c r="BF539">
        <v>1768</v>
      </c>
      <c r="BG539">
        <v>20476</v>
      </c>
      <c r="BH539">
        <v>0</v>
      </c>
      <c r="BI539">
        <v>0</v>
      </c>
      <c r="BJ539">
        <v>0</v>
      </c>
      <c r="BK539">
        <v>0</v>
      </c>
      <c r="BL539" s="2">
        <v>24.82</v>
      </c>
      <c r="BM539" s="2">
        <v>42005.095138888886</v>
      </c>
      <c r="BN539" s="2">
        <v>5.4</v>
      </c>
      <c r="BO539" s="2">
        <v>42005.092361111114</v>
      </c>
      <c r="BP539" s="2">
        <v>6.92</v>
      </c>
      <c r="BQ539" s="2">
        <v>42005.092361111114</v>
      </c>
      <c r="BR539" s="2">
        <v>11.07</v>
      </c>
      <c r="BS539" s="2">
        <v>42005.092361111114</v>
      </c>
      <c r="BT539">
        <v>0</v>
      </c>
      <c r="BU539">
        <v>0</v>
      </c>
      <c r="BV539" t="s">
        <v>135</v>
      </c>
      <c r="BW539">
        <v>0</v>
      </c>
      <c r="BX539">
        <v>0</v>
      </c>
      <c r="BY539" t="s">
        <v>135</v>
      </c>
      <c r="BZ539">
        <v>0</v>
      </c>
      <c r="CA539">
        <v>0</v>
      </c>
      <c r="CB539" t="s">
        <v>135</v>
      </c>
      <c r="CH539" s="2"/>
      <c r="CJ539" s="2"/>
      <c r="CL539" s="2"/>
      <c r="CN539" s="2"/>
      <c r="CQ539" s="2"/>
      <c r="CT539" s="2"/>
      <c r="CW539" s="2"/>
    </row>
    <row r="540" spans="1:101" x14ac:dyDescent="0.25">
      <c r="A540" s="1" t="s">
        <v>163</v>
      </c>
      <c r="B540" s="75" t="s">
        <v>164</v>
      </c>
      <c r="C540">
        <v>0</v>
      </c>
      <c r="D540">
        <v>0</v>
      </c>
      <c r="E540">
        <v>0</v>
      </c>
      <c r="F540">
        <v>604324.56000000006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3.91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7490</v>
      </c>
      <c r="AW540">
        <v>3350</v>
      </c>
      <c r="AX540">
        <v>1219</v>
      </c>
      <c r="AY540">
        <v>12059</v>
      </c>
      <c r="AZ540">
        <v>4202</v>
      </c>
      <c r="BA540">
        <v>7438</v>
      </c>
      <c r="BB540">
        <v>1432</v>
      </c>
      <c r="BC540">
        <v>13072</v>
      </c>
      <c r="BD540">
        <v>9486</v>
      </c>
      <c r="BE540">
        <v>9222</v>
      </c>
      <c r="BF540">
        <v>1768</v>
      </c>
      <c r="BG540">
        <v>20476</v>
      </c>
      <c r="BH540">
        <v>0</v>
      </c>
      <c r="BI540">
        <v>0</v>
      </c>
      <c r="BJ540">
        <v>0</v>
      </c>
      <c r="BK540">
        <v>0</v>
      </c>
      <c r="BL540" s="2">
        <v>24.82</v>
      </c>
      <c r="BM540" s="2">
        <v>42005.095138888886</v>
      </c>
      <c r="BN540" s="2">
        <v>5.4</v>
      </c>
      <c r="BO540" s="2">
        <v>42005.092361111114</v>
      </c>
      <c r="BP540" s="2">
        <v>6.92</v>
      </c>
      <c r="BQ540" s="2">
        <v>42005.092361111114</v>
      </c>
      <c r="BR540" s="2">
        <v>11.07</v>
      </c>
      <c r="BS540" s="2">
        <v>42005.092361111114</v>
      </c>
      <c r="BT540">
        <v>0</v>
      </c>
      <c r="BU540">
        <v>0</v>
      </c>
      <c r="BV540" t="s">
        <v>135</v>
      </c>
      <c r="BW540">
        <v>0</v>
      </c>
      <c r="BX540">
        <v>0</v>
      </c>
      <c r="BY540" t="s">
        <v>135</v>
      </c>
      <c r="BZ540">
        <v>0</v>
      </c>
      <c r="CA540">
        <v>0</v>
      </c>
      <c r="CB540" t="s">
        <v>135</v>
      </c>
      <c r="CH540" s="2"/>
      <c r="CJ540" s="2"/>
      <c r="CL540" s="2"/>
      <c r="CN540" s="2"/>
      <c r="CQ540" s="2"/>
      <c r="CT540" s="2"/>
      <c r="CW540" s="2"/>
    </row>
    <row r="541" spans="1:101" x14ac:dyDescent="0.25">
      <c r="A541" s="1" t="s">
        <v>163</v>
      </c>
      <c r="B541" s="75" t="s">
        <v>164</v>
      </c>
      <c r="C541">
        <v>0</v>
      </c>
      <c r="D541">
        <v>0</v>
      </c>
      <c r="E541">
        <v>0</v>
      </c>
      <c r="F541">
        <v>604324.56000000006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3.91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7490</v>
      </c>
      <c r="AW541">
        <v>3350</v>
      </c>
      <c r="AX541">
        <v>1219</v>
      </c>
      <c r="AY541">
        <v>12059</v>
      </c>
      <c r="AZ541">
        <v>4202</v>
      </c>
      <c r="BA541">
        <v>7438</v>
      </c>
      <c r="BB541">
        <v>1432</v>
      </c>
      <c r="BC541">
        <v>13072</v>
      </c>
      <c r="BD541">
        <v>9486</v>
      </c>
      <c r="BE541">
        <v>9222</v>
      </c>
      <c r="BF541">
        <v>1768</v>
      </c>
      <c r="BG541">
        <v>20476</v>
      </c>
      <c r="BH541">
        <v>0</v>
      </c>
      <c r="BI541">
        <v>0</v>
      </c>
      <c r="BJ541">
        <v>0</v>
      </c>
      <c r="BK541">
        <v>0</v>
      </c>
      <c r="BL541" s="2">
        <v>24.82</v>
      </c>
      <c r="BM541" s="2">
        <v>42005.095138888886</v>
      </c>
      <c r="BN541" s="2">
        <v>5.4</v>
      </c>
      <c r="BO541" s="2">
        <v>42005.092361111114</v>
      </c>
      <c r="BP541" s="2">
        <v>6.92</v>
      </c>
      <c r="BQ541" s="2">
        <v>42005.092361111114</v>
      </c>
      <c r="BR541" s="2">
        <v>11.07</v>
      </c>
      <c r="BS541" s="2">
        <v>42005.092361111114</v>
      </c>
      <c r="BT541">
        <v>0</v>
      </c>
      <c r="BU541">
        <v>0</v>
      </c>
      <c r="BV541" t="s">
        <v>135</v>
      </c>
      <c r="BW541">
        <v>0</v>
      </c>
      <c r="BX541">
        <v>0</v>
      </c>
      <c r="BY541" t="s">
        <v>135</v>
      </c>
      <c r="BZ541">
        <v>0</v>
      </c>
      <c r="CA541">
        <v>0</v>
      </c>
      <c r="CB541" t="s">
        <v>135</v>
      </c>
      <c r="CH541" s="2"/>
      <c r="CJ541" s="2"/>
      <c r="CL541" s="2"/>
      <c r="CN541" s="2"/>
      <c r="CQ541" s="2"/>
      <c r="CT541" s="2"/>
      <c r="CW541" s="2"/>
    </row>
    <row r="542" spans="1:101" x14ac:dyDescent="0.25">
      <c r="A542" s="1" t="s">
        <v>163</v>
      </c>
      <c r="B542" s="75" t="s">
        <v>164</v>
      </c>
      <c r="C542">
        <v>0</v>
      </c>
      <c r="D542">
        <v>0</v>
      </c>
      <c r="E542">
        <v>0</v>
      </c>
      <c r="F542">
        <v>604324.56000000006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3.91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7490</v>
      </c>
      <c r="AW542">
        <v>3350</v>
      </c>
      <c r="AX542">
        <v>1219</v>
      </c>
      <c r="AY542">
        <v>12059</v>
      </c>
      <c r="AZ542">
        <v>4202</v>
      </c>
      <c r="BA542">
        <v>7438</v>
      </c>
      <c r="BB542">
        <v>1432</v>
      </c>
      <c r="BC542">
        <v>13072</v>
      </c>
      <c r="BD542">
        <v>9486</v>
      </c>
      <c r="BE542">
        <v>9222</v>
      </c>
      <c r="BF542">
        <v>1768</v>
      </c>
      <c r="BG542">
        <v>20476</v>
      </c>
      <c r="BH542">
        <v>0</v>
      </c>
      <c r="BI542">
        <v>0</v>
      </c>
      <c r="BJ542">
        <v>0</v>
      </c>
      <c r="BK542">
        <v>0</v>
      </c>
      <c r="BL542" s="2">
        <v>24.82</v>
      </c>
      <c r="BM542" s="2">
        <v>42005.095138888886</v>
      </c>
      <c r="BN542" s="2">
        <v>5.4</v>
      </c>
      <c r="BO542" s="2">
        <v>42005.092361111114</v>
      </c>
      <c r="BP542" s="2">
        <v>6.92</v>
      </c>
      <c r="BQ542" s="2">
        <v>42005.092361111114</v>
      </c>
      <c r="BR542" s="2">
        <v>11.07</v>
      </c>
      <c r="BS542" s="2">
        <v>42005.092361111114</v>
      </c>
      <c r="BT542">
        <v>0</v>
      </c>
      <c r="BU542">
        <v>0</v>
      </c>
      <c r="BV542" t="s">
        <v>135</v>
      </c>
      <c r="BW542">
        <v>0</v>
      </c>
      <c r="BX542">
        <v>0</v>
      </c>
      <c r="BY542" t="s">
        <v>135</v>
      </c>
      <c r="BZ542">
        <v>0</v>
      </c>
      <c r="CA542">
        <v>0</v>
      </c>
      <c r="CB542" t="s">
        <v>135</v>
      </c>
      <c r="CH542" s="2"/>
      <c r="CJ542" s="2"/>
      <c r="CL542" s="2"/>
      <c r="CN542" s="2"/>
      <c r="CQ542" s="2"/>
      <c r="CT542" s="2"/>
      <c r="CW542" s="2"/>
    </row>
    <row r="543" spans="1:101" x14ac:dyDescent="0.25">
      <c r="A543" s="1" t="s">
        <v>163</v>
      </c>
      <c r="B543" s="75" t="s">
        <v>164</v>
      </c>
      <c r="C543">
        <v>0</v>
      </c>
      <c r="D543">
        <v>0</v>
      </c>
      <c r="E543">
        <v>0</v>
      </c>
      <c r="F543">
        <v>604324.56000000006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3.91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7490</v>
      </c>
      <c r="AW543">
        <v>3350</v>
      </c>
      <c r="AX543">
        <v>1219</v>
      </c>
      <c r="AY543">
        <v>12059</v>
      </c>
      <c r="AZ543">
        <v>4202</v>
      </c>
      <c r="BA543">
        <v>7438</v>
      </c>
      <c r="BB543">
        <v>1432</v>
      </c>
      <c r="BC543">
        <v>13072</v>
      </c>
      <c r="BD543">
        <v>9486</v>
      </c>
      <c r="BE543">
        <v>9222</v>
      </c>
      <c r="BF543">
        <v>1768</v>
      </c>
      <c r="BG543">
        <v>20476</v>
      </c>
      <c r="BH543">
        <v>0</v>
      </c>
      <c r="BI543">
        <v>0</v>
      </c>
      <c r="BJ543">
        <v>0</v>
      </c>
      <c r="BK543">
        <v>0</v>
      </c>
      <c r="BL543" s="2">
        <v>24.82</v>
      </c>
      <c r="BM543" s="2">
        <v>42005.095138888886</v>
      </c>
      <c r="BN543" s="2">
        <v>5.4</v>
      </c>
      <c r="BO543" s="2">
        <v>42005.092361111114</v>
      </c>
      <c r="BP543" s="2">
        <v>6.92</v>
      </c>
      <c r="BQ543" s="2">
        <v>42005.092361111114</v>
      </c>
      <c r="BR543" s="2">
        <v>11.07</v>
      </c>
      <c r="BS543" s="2">
        <v>42005.092361111114</v>
      </c>
      <c r="BT543">
        <v>0</v>
      </c>
      <c r="BU543">
        <v>0</v>
      </c>
      <c r="BV543" t="s">
        <v>135</v>
      </c>
      <c r="BW543">
        <v>0</v>
      </c>
      <c r="BX543">
        <v>0</v>
      </c>
      <c r="BY543" t="s">
        <v>135</v>
      </c>
      <c r="BZ543">
        <v>0</v>
      </c>
      <c r="CA543">
        <v>0</v>
      </c>
      <c r="CB543" t="s">
        <v>135</v>
      </c>
      <c r="CH543" s="2"/>
      <c r="CJ543" s="2"/>
      <c r="CL543" s="2"/>
      <c r="CN543" s="2"/>
      <c r="CQ543" s="2"/>
      <c r="CT543" s="2"/>
      <c r="CW543" s="2"/>
    </row>
    <row r="544" spans="1:101" x14ac:dyDescent="0.25">
      <c r="A544" s="1" t="s">
        <v>163</v>
      </c>
      <c r="B544" s="75" t="s">
        <v>164</v>
      </c>
      <c r="C544">
        <v>0</v>
      </c>
      <c r="D544">
        <v>0</v>
      </c>
      <c r="E544">
        <v>0</v>
      </c>
      <c r="F544">
        <v>604324.56000000006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3.91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7490</v>
      </c>
      <c r="AW544">
        <v>3350</v>
      </c>
      <c r="AX544">
        <v>1219</v>
      </c>
      <c r="AY544">
        <v>12059</v>
      </c>
      <c r="AZ544">
        <v>4202</v>
      </c>
      <c r="BA544">
        <v>7438</v>
      </c>
      <c r="BB544">
        <v>1432</v>
      </c>
      <c r="BC544">
        <v>13072</v>
      </c>
      <c r="BD544">
        <v>9486</v>
      </c>
      <c r="BE544">
        <v>9222</v>
      </c>
      <c r="BF544">
        <v>1768</v>
      </c>
      <c r="BG544">
        <v>20476</v>
      </c>
      <c r="BH544">
        <v>0</v>
      </c>
      <c r="BI544">
        <v>0</v>
      </c>
      <c r="BJ544">
        <v>0</v>
      </c>
      <c r="BK544">
        <v>0</v>
      </c>
      <c r="BL544" s="2">
        <v>24.82</v>
      </c>
      <c r="BM544" s="2">
        <v>42005.095138888886</v>
      </c>
      <c r="BN544" s="2">
        <v>5.4</v>
      </c>
      <c r="BO544" s="2">
        <v>42005.092361111114</v>
      </c>
      <c r="BP544" s="2">
        <v>6.92</v>
      </c>
      <c r="BQ544" s="2">
        <v>42005.092361111114</v>
      </c>
      <c r="BR544" s="2">
        <v>11.07</v>
      </c>
      <c r="BS544" s="2">
        <v>42005.092361111114</v>
      </c>
      <c r="BT544">
        <v>0</v>
      </c>
      <c r="BU544">
        <v>0</v>
      </c>
      <c r="BV544" t="s">
        <v>135</v>
      </c>
      <c r="BW544">
        <v>0</v>
      </c>
      <c r="BX544">
        <v>0</v>
      </c>
      <c r="BY544" t="s">
        <v>135</v>
      </c>
      <c r="BZ544">
        <v>0</v>
      </c>
      <c r="CA544">
        <v>0</v>
      </c>
      <c r="CB544" t="s">
        <v>135</v>
      </c>
      <c r="CH544" s="2"/>
      <c r="CJ544" s="2"/>
      <c r="CL544" s="2"/>
      <c r="CN544" s="2"/>
      <c r="CQ544" s="2"/>
      <c r="CT544" s="2"/>
      <c r="CW544" s="2"/>
    </row>
    <row r="545" spans="1:101" x14ac:dyDescent="0.25">
      <c r="A545" s="1" t="s">
        <v>163</v>
      </c>
      <c r="B545" s="75" t="s">
        <v>164</v>
      </c>
      <c r="C545">
        <v>0</v>
      </c>
      <c r="D545">
        <v>0</v>
      </c>
      <c r="E545">
        <v>0</v>
      </c>
      <c r="F545">
        <v>604324.56000000006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3.91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7490</v>
      </c>
      <c r="AW545">
        <v>3350</v>
      </c>
      <c r="AX545">
        <v>1219</v>
      </c>
      <c r="AY545">
        <v>12059</v>
      </c>
      <c r="AZ545">
        <v>4202</v>
      </c>
      <c r="BA545">
        <v>7438</v>
      </c>
      <c r="BB545">
        <v>1432</v>
      </c>
      <c r="BC545">
        <v>13072</v>
      </c>
      <c r="BD545">
        <v>9486</v>
      </c>
      <c r="BE545">
        <v>9222</v>
      </c>
      <c r="BF545">
        <v>1768</v>
      </c>
      <c r="BG545">
        <v>20476</v>
      </c>
      <c r="BH545">
        <v>0</v>
      </c>
      <c r="BI545">
        <v>0</v>
      </c>
      <c r="BJ545">
        <v>0</v>
      </c>
      <c r="BK545">
        <v>0</v>
      </c>
      <c r="BL545" s="2">
        <v>24.82</v>
      </c>
      <c r="BM545" s="2">
        <v>42005.095138888886</v>
      </c>
      <c r="BN545" s="2">
        <v>5.4</v>
      </c>
      <c r="BO545" s="2">
        <v>42005.092361111114</v>
      </c>
      <c r="BP545" s="2">
        <v>6.92</v>
      </c>
      <c r="BQ545" s="2">
        <v>42005.092361111114</v>
      </c>
      <c r="BR545" s="2">
        <v>11.07</v>
      </c>
      <c r="BS545" s="2">
        <v>42005.092361111114</v>
      </c>
      <c r="BT545">
        <v>0</v>
      </c>
      <c r="BU545">
        <v>0</v>
      </c>
      <c r="BV545" t="s">
        <v>135</v>
      </c>
      <c r="BW545">
        <v>0</v>
      </c>
      <c r="BX545">
        <v>0</v>
      </c>
      <c r="BY545" t="s">
        <v>135</v>
      </c>
      <c r="BZ545">
        <v>0</v>
      </c>
      <c r="CA545">
        <v>0</v>
      </c>
      <c r="CB545" t="s">
        <v>135</v>
      </c>
      <c r="CH545" s="2"/>
      <c r="CJ545" s="2"/>
      <c r="CL545" s="2"/>
      <c r="CN545" s="2"/>
      <c r="CQ545" s="2"/>
      <c r="CT545" s="2"/>
      <c r="CW545" s="2"/>
    </row>
    <row r="546" spans="1:101" x14ac:dyDescent="0.25">
      <c r="A546" s="1" t="s">
        <v>163</v>
      </c>
      <c r="B546" s="75" t="s">
        <v>164</v>
      </c>
      <c r="C546">
        <v>0</v>
      </c>
      <c r="D546">
        <v>0</v>
      </c>
      <c r="E546">
        <v>0</v>
      </c>
      <c r="F546">
        <v>604324.56000000006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3.91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7490</v>
      </c>
      <c r="AW546">
        <v>3350</v>
      </c>
      <c r="AX546">
        <v>1219</v>
      </c>
      <c r="AY546">
        <v>12059</v>
      </c>
      <c r="AZ546">
        <v>4202</v>
      </c>
      <c r="BA546">
        <v>7438</v>
      </c>
      <c r="BB546">
        <v>1432</v>
      </c>
      <c r="BC546">
        <v>13072</v>
      </c>
      <c r="BD546">
        <v>9486</v>
      </c>
      <c r="BE546">
        <v>9222</v>
      </c>
      <c r="BF546">
        <v>1768</v>
      </c>
      <c r="BG546">
        <v>20476</v>
      </c>
      <c r="BH546">
        <v>0</v>
      </c>
      <c r="BI546">
        <v>0</v>
      </c>
      <c r="BJ546">
        <v>0</v>
      </c>
      <c r="BK546">
        <v>0</v>
      </c>
      <c r="BL546" s="2">
        <v>24.82</v>
      </c>
      <c r="BM546" s="2">
        <v>42005.095138888886</v>
      </c>
      <c r="BN546" s="2">
        <v>5.4</v>
      </c>
      <c r="BO546" s="2">
        <v>42005.092361111114</v>
      </c>
      <c r="BP546" s="2">
        <v>6.92</v>
      </c>
      <c r="BQ546" s="2">
        <v>42005.092361111114</v>
      </c>
      <c r="BR546" s="2">
        <v>11.07</v>
      </c>
      <c r="BS546" s="2">
        <v>42005.092361111114</v>
      </c>
      <c r="BT546">
        <v>0</v>
      </c>
      <c r="BU546">
        <v>0</v>
      </c>
      <c r="BV546" t="s">
        <v>135</v>
      </c>
      <c r="BW546">
        <v>0</v>
      </c>
      <c r="BX546">
        <v>0</v>
      </c>
      <c r="BY546" t="s">
        <v>135</v>
      </c>
      <c r="BZ546">
        <v>0</v>
      </c>
      <c r="CA546">
        <v>0</v>
      </c>
      <c r="CB546" t="s">
        <v>135</v>
      </c>
      <c r="CH546" s="2"/>
      <c r="CJ546" s="2"/>
      <c r="CL546" s="2"/>
      <c r="CN546" s="2"/>
      <c r="CQ546" s="2"/>
      <c r="CT546" s="2"/>
      <c r="CW546" s="2"/>
    </row>
    <row r="547" spans="1:101" x14ac:dyDescent="0.25">
      <c r="A547" s="1" t="s">
        <v>163</v>
      </c>
      <c r="B547" s="75" t="s">
        <v>164</v>
      </c>
      <c r="C547">
        <v>0</v>
      </c>
      <c r="D547">
        <v>0</v>
      </c>
      <c r="E547">
        <v>0</v>
      </c>
      <c r="F547">
        <v>604324.56000000006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3.91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7490</v>
      </c>
      <c r="AW547">
        <v>3350</v>
      </c>
      <c r="AX547">
        <v>1219</v>
      </c>
      <c r="AY547">
        <v>12059</v>
      </c>
      <c r="AZ547">
        <v>4202</v>
      </c>
      <c r="BA547">
        <v>7438</v>
      </c>
      <c r="BB547">
        <v>1432</v>
      </c>
      <c r="BC547">
        <v>13072</v>
      </c>
      <c r="BD547">
        <v>9486</v>
      </c>
      <c r="BE547">
        <v>9222</v>
      </c>
      <c r="BF547">
        <v>1768</v>
      </c>
      <c r="BG547">
        <v>20476</v>
      </c>
      <c r="BH547">
        <v>0</v>
      </c>
      <c r="BI547">
        <v>0</v>
      </c>
      <c r="BJ547">
        <v>0</v>
      </c>
      <c r="BK547">
        <v>0</v>
      </c>
      <c r="BL547" s="2">
        <v>24.82</v>
      </c>
      <c r="BM547" s="2">
        <v>42005.095138888886</v>
      </c>
      <c r="BN547" s="2">
        <v>5.4</v>
      </c>
      <c r="BO547" s="2">
        <v>42005.092361111114</v>
      </c>
      <c r="BP547" s="2">
        <v>6.92</v>
      </c>
      <c r="BQ547" s="2">
        <v>42005.092361111114</v>
      </c>
      <c r="BR547" s="2">
        <v>11.07</v>
      </c>
      <c r="BS547" s="2">
        <v>42005.092361111114</v>
      </c>
      <c r="BT547">
        <v>0</v>
      </c>
      <c r="BU547">
        <v>0</v>
      </c>
      <c r="BV547" t="s">
        <v>135</v>
      </c>
      <c r="BW547">
        <v>0</v>
      </c>
      <c r="BX547">
        <v>0</v>
      </c>
      <c r="BY547" t="s">
        <v>135</v>
      </c>
      <c r="BZ547">
        <v>0</v>
      </c>
      <c r="CA547">
        <v>0</v>
      </c>
      <c r="CB547" t="s">
        <v>135</v>
      </c>
      <c r="CH547" s="2"/>
      <c r="CJ547" s="2"/>
      <c r="CL547" s="2"/>
      <c r="CN547" s="2"/>
      <c r="CQ547" s="2"/>
      <c r="CT547" s="2"/>
      <c r="CW547" s="2"/>
    </row>
    <row r="548" spans="1:101" x14ac:dyDescent="0.25">
      <c r="A548" s="1" t="s">
        <v>163</v>
      </c>
      <c r="B548" s="75" t="s">
        <v>164</v>
      </c>
      <c r="C548">
        <v>0</v>
      </c>
      <c r="D548">
        <v>0</v>
      </c>
      <c r="E548">
        <v>0</v>
      </c>
      <c r="F548">
        <v>604324.56000000006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3.91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7490</v>
      </c>
      <c r="AW548">
        <v>3350</v>
      </c>
      <c r="AX548">
        <v>1219</v>
      </c>
      <c r="AY548">
        <v>12059</v>
      </c>
      <c r="AZ548">
        <v>4202</v>
      </c>
      <c r="BA548">
        <v>7438</v>
      </c>
      <c r="BB548">
        <v>1432</v>
      </c>
      <c r="BC548">
        <v>13072</v>
      </c>
      <c r="BD548">
        <v>9486</v>
      </c>
      <c r="BE548">
        <v>9222</v>
      </c>
      <c r="BF548">
        <v>1768</v>
      </c>
      <c r="BG548">
        <v>20476</v>
      </c>
      <c r="BH548">
        <v>0</v>
      </c>
      <c r="BI548">
        <v>0</v>
      </c>
      <c r="BJ548">
        <v>0</v>
      </c>
      <c r="BK548">
        <v>0</v>
      </c>
      <c r="BL548" s="2">
        <v>24.82</v>
      </c>
      <c r="BM548" s="2">
        <v>42005.095138888886</v>
      </c>
      <c r="BN548" s="2">
        <v>5.4</v>
      </c>
      <c r="BO548" s="2">
        <v>42005.092361111114</v>
      </c>
      <c r="BP548" s="2">
        <v>6.92</v>
      </c>
      <c r="BQ548" s="2">
        <v>42005.092361111114</v>
      </c>
      <c r="BR548" s="2">
        <v>11.07</v>
      </c>
      <c r="BS548" s="2">
        <v>42005.092361111114</v>
      </c>
      <c r="BT548">
        <v>0</v>
      </c>
      <c r="BU548">
        <v>0</v>
      </c>
      <c r="BV548" t="s">
        <v>135</v>
      </c>
      <c r="BW548">
        <v>0</v>
      </c>
      <c r="BX548">
        <v>0</v>
      </c>
      <c r="BY548" t="s">
        <v>135</v>
      </c>
      <c r="BZ548">
        <v>0</v>
      </c>
      <c r="CA548">
        <v>0</v>
      </c>
      <c r="CB548" t="s">
        <v>135</v>
      </c>
      <c r="CH548" s="2"/>
      <c r="CJ548" s="2"/>
      <c r="CL548" s="2"/>
      <c r="CN548" s="2"/>
      <c r="CQ548" s="2"/>
      <c r="CT548" s="2"/>
      <c r="CW548" s="2"/>
    </row>
    <row r="549" spans="1:101" x14ac:dyDescent="0.25">
      <c r="A549" s="1" t="s">
        <v>163</v>
      </c>
      <c r="B549" s="75" t="s">
        <v>164</v>
      </c>
      <c r="C549">
        <v>0</v>
      </c>
      <c r="D549">
        <v>0</v>
      </c>
      <c r="E549">
        <v>0</v>
      </c>
      <c r="F549">
        <v>604324.56000000006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3.91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7490</v>
      </c>
      <c r="AW549">
        <v>3350</v>
      </c>
      <c r="AX549">
        <v>1219</v>
      </c>
      <c r="AY549">
        <v>12059</v>
      </c>
      <c r="AZ549">
        <v>4202</v>
      </c>
      <c r="BA549">
        <v>7438</v>
      </c>
      <c r="BB549">
        <v>1432</v>
      </c>
      <c r="BC549">
        <v>13072</v>
      </c>
      <c r="BD549">
        <v>9486</v>
      </c>
      <c r="BE549">
        <v>9222</v>
      </c>
      <c r="BF549">
        <v>1768</v>
      </c>
      <c r="BG549">
        <v>20476</v>
      </c>
      <c r="BH549">
        <v>0</v>
      </c>
      <c r="BI549">
        <v>0</v>
      </c>
      <c r="BJ549">
        <v>0</v>
      </c>
      <c r="BK549">
        <v>0</v>
      </c>
      <c r="BL549" s="2">
        <v>24.82</v>
      </c>
      <c r="BM549" s="2">
        <v>42005.095138888886</v>
      </c>
      <c r="BN549" s="2">
        <v>5.4</v>
      </c>
      <c r="BO549" s="2">
        <v>42005.092361111114</v>
      </c>
      <c r="BP549" s="2">
        <v>6.92</v>
      </c>
      <c r="BQ549" s="2">
        <v>42005.092361111114</v>
      </c>
      <c r="BR549" s="2">
        <v>11.07</v>
      </c>
      <c r="BS549" s="2">
        <v>42005.092361111114</v>
      </c>
      <c r="BT549">
        <v>0</v>
      </c>
      <c r="BU549">
        <v>0</v>
      </c>
      <c r="BV549" t="s">
        <v>135</v>
      </c>
      <c r="BW549">
        <v>0</v>
      </c>
      <c r="BX549">
        <v>0</v>
      </c>
      <c r="BY549" t="s">
        <v>135</v>
      </c>
      <c r="BZ549">
        <v>0</v>
      </c>
      <c r="CA549">
        <v>0</v>
      </c>
      <c r="CB549" t="s">
        <v>135</v>
      </c>
      <c r="CH549" s="2"/>
      <c r="CJ549" s="2"/>
      <c r="CL549" s="2"/>
      <c r="CN549" s="2"/>
      <c r="CQ549" s="2"/>
      <c r="CT549" s="2"/>
      <c r="CW549" s="2"/>
    </row>
    <row r="550" spans="1:101" x14ac:dyDescent="0.25">
      <c r="A550" s="1" t="s">
        <v>163</v>
      </c>
      <c r="B550" s="75" t="s">
        <v>164</v>
      </c>
      <c r="C550">
        <v>0</v>
      </c>
      <c r="D550">
        <v>0</v>
      </c>
      <c r="E550">
        <v>0</v>
      </c>
      <c r="F550">
        <v>604324.56000000006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3.91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7490</v>
      </c>
      <c r="AW550">
        <v>3350</v>
      </c>
      <c r="AX550">
        <v>1219</v>
      </c>
      <c r="AY550">
        <v>12059</v>
      </c>
      <c r="AZ550">
        <v>4202</v>
      </c>
      <c r="BA550">
        <v>7438</v>
      </c>
      <c r="BB550">
        <v>1432</v>
      </c>
      <c r="BC550">
        <v>13072</v>
      </c>
      <c r="BD550">
        <v>9486</v>
      </c>
      <c r="BE550">
        <v>9222</v>
      </c>
      <c r="BF550">
        <v>1768</v>
      </c>
      <c r="BG550">
        <v>20476</v>
      </c>
      <c r="BH550">
        <v>0</v>
      </c>
      <c r="BI550">
        <v>0</v>
      </c>
      <c r="BJ550">
        <v>0</v>
      </c>
      <c r="BK550">
        <v>0</v>
      </c>
      <c r="BL550" s="2">
        <v>24.82</v>
      </c>
      <c r="BM550" s="2">
        <v>42005.095138888886</v>
      </c>
      <c r="BN550" s="2">
        <v>5.4</v>
      </c>
      <c r="BO550" s="2">
        <v>42005.092361111114</v>
      </c>
      <c r="BP550" s="2">
        <v>6.92</v>
      </c>
      <c r="BQ550" s="2">
        <v>42005.092361111114</v>
      </c>
      <c r="BR550" s="2">
        <v>11.07</v>
      </c>
      <c r="BS550" s="2">
        <v>42005.092361111114</v>
      </c>
      <c r="BT550">
        <v>0</v>
      </c>
      <c r="BU550">
        <v>0</v>
      </c>
      <c r="BV550" t="s">
        <v>135</v>
      </c>
      <c r="BW550">
        <v>0</v>
      </c>
      <c r="BX550">
        <v>0</v>
      </c>
      <c r="BY550" t="s">
        <v>135</v>
      </c>
      <c r="BZ550">
        <v>0</v>
      </c>
      <c r="CA550">
        <v>0</v>
      </c>
      <c r="CB550" t="s">
        <v>135</v>
      </c>
      <c r="CH550" s="2"/>
      <c r="CJ550" s="2"/>
      <c r="CL550" s="2"/>
      <c r="CN550" s="2"/>
      <c r="CQ550" s="2"/>
      <c r="CT550" s="2"/>
      <c r="CW550" s="2"/>
    </row>
    <row r="551" spans="1:101" x14ac:dyDescent="0.25">
      <c r="A551" s="1" t="s">
        <v>163</v>
      </c>
      <c r="B551" s="75" t="s">
        <v>164</v>
      </c>
      <c r="C551">
        <v>0</v>
      </c>
      <c r="D551">
        <v>0</v>
      </c>
      <c r="E551">
        <v>0</v>
      </c>
      <c r="F551">
        <v>604324.56000000006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3.91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7490</v>
      </c>
      <c r="AW551">
        <v>3350</v>
      </c>
      <c r="AX551">
        <v>1219</v>
      </c>
      <c r="AY551">
        <v>12059</v>
      </c>
      <c r="AZ551">
        <v>4202</v>
      </c>
      <c r="BA551">
        <v>7438</v>
      </c>
      <c r="BB551">
        <v>1432</v>
      </c>
      <c r="BC551">
        <v>13072</v>
      </c>
      <c r="BD551">
        <v>9486</v>
      </c>
      <c r="BE551">
        <v>9222</v>
      </c>
      <c r="BF551">
        <v>1768</v>
      </c>
      <c r="BG551">
        <v>20476</v>
      </c>
      <c r="BH551">
        <v>0</v>
      </c>
      <c r="BI551">
        <v>0</v>
      </c>
      <c r="BJ551">
        <v>0</v>
      </c>
      <c r="BK551">
        <v>0</v>
      </c>
      <c r="BL551" s="2">
        <v>24.82</v>
      </c>
      <c r="BM551" s="2">
        <v>42005.095138888886</v>
      </c>
      <c r="BN551" s="2">
        <v>5.4</v>
      </c>
      <c r="BO551" s="2">
        <v>42005.092361111114</v>
      </c>
      <c r="BP551" s="2">
        <v>6.92</v>
      </c>
      <c r="BQ551" s="2">
        <v>42005.092361111114</v>
      </c>
      <c r="BR551" s="2">
        <v>11.07</v>
      </c>
      <c r="BS551" s="2">
        <v>42005.092361111114</v>
      </c>
      <c r="BT551">
        <v>0</v>
      </c>
      <c r="BU551">
        <v>0</v>
      </c>
      <c r="BV551" t="s">
        <v>135</v>
      </c>
      <c r="BW551">
        <v>0</v>
      </c>
      <c r="BX551">
        <v>0</v>
      </c>
      <c r="BY551" t="s">
        <v>135</v>
      </c>
      <c r="BZ551">
        <v>0</v>
      </c>
      <c r="CA551">
        <v>0</v>
      </c>
      <c r="CB551" t="s">
        <v>135</v>
      </c>
      <c r="CH551" s="2"/>
      <c r="CJ551" s="2"/>
      <c r="CL551" s="2"/>
      <c r="CN551" s="2"/>
      <c r="CQ551" s="2"/>
      <c r="CT551" s="2"/>
      <c r="CW551" s="2"/>
    </row>
    <row r="552" spans="1:101" x14ac:dyDescent="0.25">
      <c r="A552" s="1" t="s">
        <v>163</v>
      </c>
      <c r="B552" s="75" t="s">
        <v>164</v>
      </c>
      <c r="C552">
        <v>0</v>
      </c>
      <c r="D552">
        <v>0</v>
      </c>
      <c r="E552">
        <v>0</v>
      </c>
      <c r="F552">
        <v>604324.56000000006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3.91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7490</v>
      </c>
      <c r="AW552">
        <v>3350</v>
      </c>
      <c r="AX552">
        <v>1219</v>
      </c>
      <c r="AY552">
        <v>12059</v>
      </c>
      <c r="AZ552">
        <v>4202</v>
      </c>
      <c r="BA552">
        <v>7438</v>
      </c>
      <c r="BB552">
        <v>1432</v>
      </c>
      <c r="BC552">
        <v>13072</v>
      </c>
      <c r="BD552">
        <v>9486</v>
      </c>
      <c r="BE552">
        <v>9222</v>
      </c>
      <c r="BF552">
        <v>1768</v>
      </c>
      <c r="BG552">
        <v>20476</v>
      </c>
      <c r="BH552">
        <v>0</v>
      </c>
      <c r="BI552">
        <v>0</v>
      </c>
      <c r="BJ552">
        <v>0</v>
      </c>
      <c r="BK552">
        <v>0</v>
      </c>
      <c r="BL552" s="2">
        <v>24.82</v>
      </c>
      <c r="BM552" s="2">
        <v>42005.095138888886</v>
      </c>
      <c r="BN552" s="2">
        <v>5.4</v>
      </c>
      <c r="BO552" s="2">
        <v>42005.092361111114</v>
      </c>
      <c r="BP552" s="2">
        <v>6.92</v>
      </c>
      <c r="BQ552" s="2">
        <v>42005.092361111114</v>
      </c>
      <c r="BR552" s="2">
        <v>11.07</v>
      </c>
      <c r="BS552" s="2">
        <v>42005.092361111114</v>
      </c>
      <c r="BT552">
        <v>0</v>
      </c>
      <c r="BU552">
        <v>0</v>
      </c>
      <c r="BV552" t="s">
        <v>135</v>
      </c>
      <c r="BW552">
        <v>0</v>
      </c>
      <c r="BX552">
        <v>0</v>
      </c>
      <c r="BY552" t="s">
        <v>135</v>
      </c>
      <c r="BZ552">
        <v>0</v>
      </c>
      <c r="CA552">
        <v>0</v>
      </c>
      <c r="CB552" t="s">
        <v>135</v>
      </c>
      <c r="CH552" s="2"/>
      <c r="CJ552" s="2"/>
      <c r="CL552" s="2"/>
      <c r="CN552" s="2"/>
      <c r="CQ552" s="2"/>
      <c r="CT552" s="2"/>
      <c r="CW552" s="2"/>
    </row>
    <row r="553" spans="1:101" x14ac:dyDescent="0.25">
      <c r="A553" s="1" t="s">
        <v>163</v>
      </c>
      <c r="B553" s="75" t="s">
        <v>164</v>
      </c>
      <c r="C553">
        <v>0</v>
      </c>
      <c r="D553">
        <v>0</v>
      </c>
      <c r="E553">
        <v>0</v>
      </c>
      <c r="F553">
        <v>604324.56000000006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3.91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7490</v>
      </c>
      <c r="AW553">
        <v>3350</v>
      </c>
      <c r="AX553">
        <v>1219</v>
      </c>
      <c r="AY553">
        <v>12059</v>
      </c>
      <c r="AZ553">
        <v>4202</v>
      </c>
      <c r="BA553">
        <v>7438</v>
      </c>
      <c r="BB553">
        <v>1432</v>
      </c>
      <c r="BC553">
        <v>13072</v>
      </c>
      <c r="BD553">
        <v>9486</v>
      </c>
      <c r="BE553">
        <v>9222</v>
      </c>
      <c r="BF553">
        <v>1768</v>
      </c>
      <c r="BG553">
        <v>20476</v>
      </c>
      <c r="BH553">
        <v>0</v>
      </c>
      <c r="BI553">
        <v>0</v>
      </c>
      <c r="BJ553">
        <v>0</v>
      </c>
      <c r="BK553">
        <v>0</v>
      </c>
      <c r="BL553" s="2">
        <v>24.82</v>
      </c>
      <c r="BM553" s="2">
        <v>42005.095138888886</v>
      </c>
      <c r="BN553" s="2">
        <v>5.4</v>
      </c>
      <c r="BO553" s="2">
        <v>42005.092361111114</v>
      </c>
      <c r="BP553" s="2">
        <v>6.92</v>
      </c>
      <c r="BQ553" s="2">
        <v>42005.092361111114</v>
      </c>
      <c r="BR553" s="2">
        <v>11.07</v>
      </c>
      <c r="BS553" s="2">
        <v>42005.092361111114</v>
      </c>
      <c r="BT553">
        <v>0</v>
      </c>
      <c r="BU553">
        <v>0</v>
      </c>
      <c r="BV553" t="s">
        <v>135</v>
      </c>
      <c r="BW553">
        <v>0</v>
      </c>
      <c r="BX553">
        <v>0</v>
      </c>
      <c r="BY553" t="s">
        <v>135</v>
      </c>
      <c r="BZ553">
        <v>0</v>
      </c>
      <c r="CA553">
        <v>0</v>
      </c>
      <c r="CB553" t="s">
        <v>135</v>
      </c>
      <c r="CH553" s="2"/>
      <c r="CJ553" s="2"/>
      <c r="CL553" s="2"/>
      <c r="CN553" s="2"/>
      <c r="CQ553" s="2"/>
      <c r="CT553" s="2"/>
      <c r="CW553" s="2"/>
    </row>
    <row r="554" spans="1:101" x14ac:dyDescent="0.25">
      <c r="A554" s="1" t="s">
        <v>163</v>
      </c>
      <c r="B554" s="75" t="s">
        <v>164</v>
      </c>
      <c r="C554">
        <v>0</v>
      </c>
      <c r="D554">
        <v>0</v>
      </c>
      <c r="E554">
        <v>0</v>
      </c>
      <c r="F554">
        <v>604324.56000000006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3.91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7490</v>
      </c>
      <c r="AW554">
        <v>3350</v>
      </c>
      <c r="AX554">
        <v>1219</v>
      </c>
      <c r="AY554">
        <v>12059</v>
      </c>
      <c r="AZ554">
        <v>4202</v>
      </c>
      <c r="BA554">
        <v>7438</v>
      </c>
      <c r="BB554">
        <v>1432</v>
      </c>
      <c r="BC554">
        <v>13072</v>
      </c>
      <c r="BD554">
        <v>9486</v>
      </c>
      <c r="BE554">
        <v>9222</v>
      </c>
      <c r="BF554">
        <v>1768</v>
      </c>
      <c r="BG554">
        <v>20476</v>
      </c>
      <c r="BH554">
        <v>0</v>
      </c>
      <c r="BI554">
        <v>0</v>
      </c>
      <c r="BJ554">
        <v>0</v>
      </c>
      <c r="BK554">
        <v>0</v>
      </c>
      <c r="BL554" s="2">
        <v>24.82</v>
      </c>
      <c r="BM554" s="2">
        <v>42005.095138888886</v>
      </c>
      <c r="BN554" s="2">
        <v>5.4</v>
      </c>
      <c r="BO554" s="2">
        <v>42005.092361111114</v>
      </c>
      <c r="BP554" s="2">
        <v>6.92</v>
      </c>
      <c r="BQ554" s="2">
        <v>42005.092361111114</v>
      </c>
      <c r="BR554" s="2">
        <v>11.07</v>
      </c>
      <c r="BS554" s="2">
        <v>42005.092361111114</v>
      </c>
      <c r="BT554">
        <v>0</v>
      </c>
      <c r="BU554">
        <v>0</v>
      </c>
      <c r="BV554" t="s">
        <v>135</v>
      </c>
      <c r="BW554">
        <v>0</v>
      </c>
      <c r="BX554">
        <v>0</v>
      </c>
      <c r="BY554" t="s">
        <v>135</v>
      </c>
      <c r="BZ554">
        <v>0</v>
      </c>
      <c r="CA554">
        <v>0</v>
      </c>
      <c r="CB554" t="s">
        <v>135</v>
      </c>
      <c r="CH554" s="2"/>
      <c r="CJ554" s="2"/>
      <c r="CL554" s="2"/>
      <c r="CN554" s="2"/>
      <c r="CQ554" s="2"/>
      <c r="CT554" s="2"/>
      <c r="CW554" s="2"/>
    </row>
    <row r="555" spans="1:101" x14ac:dyDescent="0.25">
      <c r="A555" s="1" t="s">
        <v>163</v>
      </c>
      <c r="B555" s="75" t="s">
        <v>164</v>
      </c>
      <c r="C555">
        <v>0</v>
      </c>
      <c r="D555">
        <v>0</v>
      </c>
      <c r="E555">
        <v>0</v>
      </c>
      <c r="F555">
        <v>604324.56000000006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3.91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7490</v>
      </c>
      <c r="AW555">
        <v>3350</v>
      </c>
      <c r="AX555">
        <v>1219</v>
      </c>
      <c r="AY555">
        <v>12059</v>
      </c>
      <c r="AZ555">
        <v>4202</v>
      </c>
      <c r="BA555">
        <v>7438</v>
      </c>
      <c r="BB555">
        <v>1432</v>
      </c>
      <c r="BC555">
        <v>13072</v>
      </c>
      <c r="BD555">
        <v>9486</v>
      </c>
      <c r="BE555">
        <v>9222</v>
      </c>
      <c r="BF555">
        <v>1768</v>
      </c>
      <c r="BG555">
        <v>20476</v>
      </c>
      <c r="BH555">
        <v>0</v>
      </c>
      <c r="BI555">
        <v>0</v>
      </c>
      <c r="BJ555">
        <v>0</v>
      </c>
      <c r="BK555">
        <v>0</v>
      </c>
      <c r="BL555" s="2">
        <v>24.82</v>
      </c>
      <c r="BM555" s="2">
        <v>42005.095138888886</v>
      </c>
      <c r="BN555" s="2">
        <v>5.4</v>
      </c>
      <c r="BO555" s="2">
        <v>42005.092361111114</v>
      </c>
      <c r="BP555" s="2">
        <v>6.92</v>
      </c>
      <c r="BQ555" s="2">
        <v>42005.092361111114</v>
      </c>
      <c r="BR555" s="2">
        <v>11.07</v>
      </c>
      <c r="BS555" s="2">
        <v>42005.092361111114</v>
      </c>
      <c r="BT555">
        <v>0</v>
      </c>
      <c r="BU555">
        <v>0</v>
      </c>
      <c r="BV555" t="s">
        <v>135</v>
      </c>
      <c r="BW555">
        <v>0</v>
      </c>
      <c r="BX555">
        <v>0</v>
      </c>
      <c r="BY555" t="s">
        <v>135</v>
      </c>
      <c r="BZ555">
        <v>0</v>
      </c>
      <c r="CA555">
        <v>0</v>
      </c>
      <c r="CB555" t="s">
        <v>135</v>
      </c>
      <c r="CH555" s="2"/>
      <c r="CJ555" s="2"/>
      <c r="CL555" s="2"/>
      <c r="CN555" s="2"/>
      <c r="CQ555" s="2"/>
      <c r="CT555" s="2"/>
      <c r="CW555" s="2"/>
    </row>
    <row r="556" spans="1:101" x14ac:dyDescent="0.25">
      <c r="A556" s="1" t="s">
        <v>163</v>
      </c>
      <c r="B556" s="75" t="s">
        <v>164</v>
      </c>
      <c r="C556">
        <v>0</v>
      </c>
      <c r="D556">
        <v>0</v>
      </c>
      <c r="E556">
        <v>0</v>
      </c>
      <c r="F556">
        <v>604324.56000000006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3.91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7490</v>
      </c>
      <c r="AW556">
        <v>3350</v>
      </c>
      <c r="AX556">
        <v>1219</v>
      </c>
      <c r="AY556">
        <v>12059</v>
      </c>
      <c r="AZ556">
        <v>4202</v>
      </c>
      <c r="BA556">
        <v>7438</v>
      </c>
      <c r="BB556">
        <v>1432</v>
      </c>
      <c r="BC556">
        <v>13072</v>
      </c>
      <c r="BD556">
        <v>9486</v>
      </c>
      <c r="BE556">
        <v>9222</v>
      </c>
      <c r="BF556">
        <v>1768</v>
      </c>
      <c r="BG556">
        <v>20476</v>
      </c>
      <c r="BH556">
        <v>0</v>
      </c>
      <c r="BI556">
        <v>0</v>
      </c>
      <c r="BJ556">
        <v>0</v>
      </c>
      <c r="BK556">
        <v>0</v>
      </c>
      <c r="BL556" s="2">
        <v>24.82</v>
      </c>
      <c r="BM556" s="2">
        <v>42005.095138888886</v>
      </c>
      <c r="BN556" s="2">
        <v>5.4</v>
      </c>
      <c r="BO556" s="2">
        <v>42005.092361111114</v>
      </c>
      <c r="BP556" s="2">
        <v>6.92</v>
      </c>
      <c r="BQ556" s="2">
        <v>42005.092361111114</v>
      </c>
      <c r="BR556" s="2">
        <v>11.07</v>
      </c>
      <c r="BS556" s="2">
        <v>42005.092361111114</v>
      </c>
      <c r="BT556">
        <v>0</v>
      </c>
      <c r="BU556">
        <v>0</v>
      </c>
      <c r="BV556" t="s">
        <v>135</v>
      </c>
      <c r="BW556">
        <v>0</v>
      </c>
      <c r="BX556">
        <v>0</v>
      </c>
      <c r="BY556" t="s">
        <v>135</v>
      </c>
      <c r="BZ556">
        <v>0</v>
      </c>
      <c r="CA556">
        <v>0</v>
      </c>
      <c r="CB556" t="s">
        <v>135</v>
      </c>
      <c r="CH556" s="2"/>
      <c r="CJ556" s="2"/>
      <c r="CL556" s="2"/>
      <c r="CN556" s="2"/>
      <c r="CQ556" s="2"/>
      <c r="CT556" s="2"/>
      <c r="CW556" s="2"/>
    </row>
    <row r="557" spans="1:101" x14ac:dyDescent="0.25">
      <c r="A557" s="1" t="s">
        <v>163</v>
      </c>
      <c r="B557" s="75" t="s">
        <v>164</v>
      </c>
      <c r="C557">
        <v>0</v>
      </c>
      <c r="D557">
        <v>0</v>
      </c>
      <c r="E557">
        <v>0</v>
      </c>
      <c r="F557">
        <v>604324.56000000006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3.91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7490</v>
      </c>
      <c r="AW557">
        <v>3350</v>
      </c>
      <c r="AX557">
        <v>1219</v>
      </c>
      <c r="AY557">
        <v>12059</v>
      </c>
      <c r="AZ557">
        <v>4202</v>
      </c>
      <c r="BA557">
        <v>7438</v>
      </c>
      <c r="BB557">
        <v>1432</v>
      </c>
      <c r="BC557">
        <v>13072</v>
      </c>
      <c r="BD557">
        <v>9486</v>
      </c>
      <c r="BE557">
        <v>9222</v>
      </c>
      <c r="BF557">
        <v>1768</v>
      </c>
      <c r="BG557">
        <v>20476</v>
      </c>
      <c r="BH557">
        <v>0</v>
      </c>
      <c r="BI557">
        <v>0</v>
      </c>
      <c r="BJ557">
        <v>0</v>
      </c>
      <c r="BK557">
        <v>0</v>
      </c>
      <c r="BL557" s="2">
        <v>24.82</v>
      </c>
      <c r="BM557" s="2">
        <v>42005.095138888886</v>
      </c>
      <c r="BN557" s="2">
        <v>5.4</v>
      </c>
      <c r="BO557" s="2">
        <v>42005.092361111114</v>
      </c>
      <c r="BP557" s="2">
        <v>6.92</v>
      </c>
      <c r="BQ557" s="2">
        <v>42005.092361111114</v>
      </c>
      <c r="BR557" s="2">
        <v>11.07</v>
      </c>
      <c r="BS557" s="2">
        <v>42005.092361111114</v>
      </c>
      <c r="BT557">
        <v>0</v>
      </c>
      <c r="BU557">
        <v>0</v>
      </c>
      <c r="BV557" t="s">
        <v>135</v>
      </c>
      <c r="BW557">
        <v>0</v>
      </c>
      <c r="BX557">
        <v>0</v>
      </c>
      <c r="BY557" t="s">
        <v>135</v>
      </c>
      <c r="BZ557">
        <v>0</v>
      </c>
      <c r="CA557">
        <v>0</v>
      </c>
      <c r="CB557" t="s">
        <v>135</v>
      </c>
      <c r="CH557" s="2"/>
      <c r="CJ557" s="2"/>
      <c r="CL557" s="2"/>
      <c r="CN557" s="2"/>
      <c r="CQ557" s="2"/>
      <c r="CT557" s="2"/>
      <c r="CW557" s="2"/>
    </row>
    <row r="558" spans="1:101" x14ac:dyDescent="0.25">
      <c r="A558" s="1" t="s">
        <v>163</v>
      </c>
      <c r="B558" s="75" t="s">
        <v>164</v>
      </c>
      <c r="C558">
        <v>0</v>
      </c>
      <c r="D558">
        <v>0</v>
      </c>
      <c r="E558">
        <v>0</v>
      </c>
      <c r="F558">
        <v>604324.56000000006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3.91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7490</v>
      </c>
      <c r="AW558">
        <v>3350</v>
      </c>
      <c r="AX558">
        <v>1219</v>
      </c>
      <c r="AY558">
        <v>12059</v>
      </c>
      <c r="AZ558">
        <v>4202</v>
      </c>
      <c r="BA558">
        <v>7438</v>
      </c>
      <c r="BB558">
        <v>1432</v>
      </c>
      <c r="BC558">
        <v>13072</v>
      </c>
      <c r="BD558">
        <v>9486</v>
      </c>
      <c r="BE558">
        <v>9222</v>
      </c>
      <c r="BF558">
        <v>1768</v>
      </c>
      <c r="BG558">
        <v>20476</v>
      </c>
      <c r="BH558">
        <v>0</v>
      </c>
      <c r="BI558">
        <v>0</v>
      </c>
      <c r="BJ558">
        <v>0</v>
      </c>
      <c r="BK558">
        <v>0</v>
      </c>
      <c r="BL558" s="2">
        <v>24.82</v>
      </c>
      <c r="BM558" s="2">
        <v>42005.095138888886</v>
      </c>
      <c r="BN558" s="2">
        <v>5.4</v>
      </c>
      <c r="BO558" s="2">
        <v>42005.092361111114</v>
      </c>
      <c r="BP558" s="2">
        <v>6.92</v>
      </c>
      <c r="BQ558" s="2">
        <v>42005.092361111114</v>
      </c>
      <c r="BR558" s="2">
        <v>11.07</v>
      </c>
      <c r="BS558" s="2">
        <v>42005.092361111114</v>
      </c>
      <c r="BT558">
        <v>0</v>
      </c>
      <c r="BU558">
        <v>0</v>
      </c>
      <c r="BV558" t="s">
        <v>135</v>
      </c>
      <c r="BW558">
        <v>0</v>
      </c>
      <c r="BX558">
        <v>0</v>
      </c>
      <c r="BY558" t="s">
        <v>135</v>
      </c>
      <c r="BZ558">
        <v>0</v>
      </c>
      <c r="CA558">
        <v>0</v>
      </c>
      <c r="CB558" t="s">
        <v>135</v>
      </c>
      <c r="CH558" s="2"/>
      <c r="CJ558" s="2"/>
      <c r="CL558" s="2"/>
      <c r="CN558" s="2"/>
      <c r="CQ558" s="2"/>
      <c r="CT558" s="2"/>
      <c r="CW558" s="2"/>
    </row>
    <row r="559" spans="1:101" x14ac:dyDescent="0.25">
      <c r="A559" s="1" t="s">
        <v>163</v>
      </c>
      <c r="B559" s="75" t="s">
        <v>164</v>
      </c>
      <c r="C559">
        <v>0</v>
      </c>
      <c r="D559">
        <v>0</v>
      </c>
      <c r="E559">
        <v>0</v>
      </c>
      <c r="F559">
        <v>604324.56000000006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3.91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7490</v>
      </c>
      <c r="AW559">
        <v>3350</v>
      </c>
      <c r="AX559">
        <v>1219</v>
      </c>
      <c r="AY559">
        <v>12059</v>
      </c>
      <c r="AZ559">
        <v>4202</v>
      </c>
      <c r="BA559">
        <v>7438</v>
      </c>
      <c r="BB559">
        <v>1432</v>
      </c>
      <c r="BC559">
        <v>13072</v>
      </c>
      <c r="BD559">
        <v>9486</v>
      </c>
      <c r="BE559">
        <v>9222</v>
      </c>
      <c r="BF559">
        <v>1768</v>
      </c>
      <c r="BG559">
        <v>20476</v>
      </c>
      <c r="BH559">
        <v>0</v>
      </c>
      <c r="BI559">
        <v>0</v>
      </c>
      <c r="BJ559">
        <v>0</v>
      </c>
      <c r="BK559">
        <v>0</v>
      </c>
      <c r="BL559" s="2">
        <v>24.82</v>
      </c>
      <c r="BM559" s="2">
        <v>42005.095138888886</v>
      </c>
      <c r="BN559" s="2">
        <v>5.4</v>
      </c>
      <c r="BO559" s="2">
        <v>42005.092361111114</v>
      </c>
      <c r="BP559" s="2">
        <v>6.92</v>
      </c>
      <c r="BQ559" s="2">
        <v>42005.092361111114</v>
      </c>
      <c r="BR559" s="2">
        <v>11.07</v>
      </c>
      <c r="BS559" s="2">
        <v>42005.092361111114</v>
      </c>
      <c r="BT559">
        <v>0</v>
      </c>
      <c r="BU559">
        <v>0</v>
      </c>
      <c r="BV559" t="s">
        <v>135</v>
      </c>
      <c r="BW559">
        <v>0</v>
      </c>
      <c r="BX559">
        <v>0</v>
      </c>
      <c r="BY559" t="s">
        <v>135</v>
      </c>
      <c r="BZ559">
        <v>0</v>
      </c>
      <c r="CA559">
        <v>0</v>
      </c>
      <c r="CB559" t="s">
        <v>135</v>
      </c>
      <c r="CH559" s="2"/>
      <c r="CJ559" s="2"/>
      <c r="CL559" s="2"/>
      <c r="CN559" s="2"/>
      <c r="CQ559" s="2"/>
      <c r="CT559" s="2"/>
      <c r="CW559" s="2"/>
    </row>
    <row r="560" spans="1:101" x14ac:dyDescent="0.25">
      <c r="A560" s="1" t="s">
        <v>163</v>
      </c>
      <c r="B560" s="75" t="s">
        <v>164</v>
      </c>
      <c r="C560">
        <v>0</v>
      </c>
      <c r="D560">
        <v>0</v>
      </c>
      <c r="E560">
        <v>0</v>
      </c>
      <c r="F560">
        <v>604324.56000000006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3.91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7490</v>
      </c>
      <c r="AW560">
        <v>3350</v>
      </c>
      <c r="AX560">
        <v>1219</v>
      </c>
      <c r="AY560">
        <v>12059</v>
      </c>
      <c r="AZ560">
        <v>4202</v>
      </c>
      <c r="BA560">
        <v>7438</v>
      </c>
      <c r="BB560">
        <v>1432</v>
      </c>
      <c r="BC560">
        <v>13072</v>
      </c>
      <c r="BD560">
        <v>9486</v>
      </c>
      <c r="BE560">
        <v>9222</v>
      </c>
      <c r="BF560">
        <v>1768</v>
      </c>
      <c r="BG560">
        <v>20476</v>
      </c>
      <c r="BH560">
        <v>0</v>
      </c>
      <c r="BI560">
        <v>0</v>
      </c>
      <c r="BJ560">
        <v>0</v>
      </c>
      <c r="BK560">
        <v>0</v>
      </c>
      <c r="BL560" s="2">
        <v>24.82</v>
      </c>
      <c r="BM560" s="2">
        <v>42005.095138888886</v>
      </c>
      <c r="BN560" s="2">
        <v>5.4</v>
      </c>
      <c r="BO560" s="2">
        <v>42005.092361111114</v>
      </c>
      <c r="BP560" s="2">
        <v>6.92</v>
      </c>
      <c r="BQ560" s="2">
        <v>42005.092361111114</v>
      </c>
      <c r="BR560" s="2">
        <v>11.07</v>
      </c>
      <c r="BS560" s="2">
        <v>42005.092361111114</v>
      </c>
      <c r="BT560">
        <v>0</v>
      </c>
      <c r="BU560">
        <v>0</v>
      </c>
      <c r="BV560" t="s">
        <v>135</v>
      </c>
      <c r="BW560">
        <v>0</v>
      </c>
      <c r="BX560">
        <v>0</v>
      </c>
      <c r="BY560" t="s">
        <v>135</v>
      </c>
      <c r="BZ560">
        <v>0</v>
      </c>
      <c r="CA560">
        <v>0</v>
      </c>
      <c r="CB560" t="s">
        <v>135</v>
      </c>
      <c r="CH560" s="2"/>
      <c r="CJ560" s="2"/>
      <c r="CL560" s="2"/>
      <c r="CN560" s="2"/>
      <c r="CQ560" s="2"/>
      <c r="CT560" s="2"/>
      <c r="CW560" s="2"/>
    </row>
    <row r="561" spans="1:101" x14ac:dyDescent="0.25">
      <c r="A561" s="1" t="s">
        <v>163</v>
      </c>
      <c r="B561" s="75" t="s">
        <v>164</v>
      </c>
      <c r="C561">
        <v>0</v>
      </c>
      <c r="D561">
        <v>0</v>
      </c>
      <c r="E561">
        <v>0</v>
      </c>
      <c r="F561">
        <v>604324.56000000006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3.91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7490</v>
      </c>
      <c r="AW561">
        <v>3350</v>
      </c>
      <c r="AX561">
        <v>1219</v>
      </c>
      <c r="AY561">
        <v>12059</v>
      </c>
      <c r="AZ561">
        <v>4202</v>
      </c>
      <c r="BA561">
        <v>7438</v>
      </c>
      <c r="BB561">
        <v>1432</v>
      </c>
      <c r="BC561">
        <v>13072</v>
      </c>
      <c r="BD561">
        <v>9486</v>
      </c>
      <c r="BE561">
        <v>9222</v>
      </c>
      <c r="BF561">
        <v>1768</v>
      </c>
      <c r="BG561">
        <v>20476</v>
      </c>
      <c r="BH561">
        <v>0</v>
      </c>
      <c r="BI561">
        <v>0</v>
      </c>
      <c r="BJ561">
        <v>0</v>
      </c>
      <c r="BK561">
        <v>0</v>
      </c>
      <c r="BL561" s="2">
        <v>24.82</v>
      </c>
      <c r="BM561" s="2">
        <v>42005.095138888886</v>
      </c>
      <c r="BN561" s="2">
        <v>5.4</v>
      </c>
      <c r="BO561" s="2">
        <v>42005.092361111114</v>
      </c>
      <c r="BP561" s="2">
        <v>6.92</v>
      </c>
      <c r="BQ561" s="2">
        <v>42005.092361111114</v>
      </c>
      <c r="BR561" s="2">
        <v>11.07</v>
      </c>
      <c r="BS561" s="2">
        <v>42005.092361111114</v>
      </c>
      <c r="BT561">
        <v>0</v>
      </c>
      <c r="BU561">
        <v>0</v>
      </c>
      <c r="BV561" t="s">
        <v>135</v>
      </c>
      <c r="BW561">
        <v>0</v>
      </c>
      <c r="BX561">
        <v>0</v>
      </c>
      <c r="BY561" t="s">
        <v>135</v>
      </c>
      <c r="BZ561">
        <v>0</v>
      </c>
      <c r="CA561">
        <v>0</v>
      </c>
      <c r="CB561" t="s">
        <v>135</v>
      </c>
      <c r="CH561" s="2"/>
      <c r="CJ561" s="2"/>
      <c r="CL561" s="2"/>
      <c r="CN561" s="2"/>
      <c r="CQ561" s="2"/>
      <c r="CT561" s="2"/>
      <c r="CW561" s="2"/>
    </row>
    <row r="562" spans="1:101" x14ac:dyDescent="0.25">
      <c r="A562" s="1" t="s">
        <v>163</v>
      </c>
      <c r="B562" s="75" t="s">
        <v>164</v>
      </c>
      <c r="C562">
        <v>0</v>
      </c>
      <c r="D562">
        <v>0</v>
      </c>
      <c r="E562">
        <v>0</v>
      </c>
      <c r="F562">
        <v>604324.56000000006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3.91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7490</v>
      </c>
      <c r="AW562">
        <v>3350</v>
      </c>
      <c r="AX562">
        <v>1219</v>
      </c>
      <c r="AY562">
        <v>12059</v>
      </c>
      <c r="AZ562">
        <v>4202</v>
      </c>
      <c r="BA562">
        <v>7438</v>
      </c>
      <c r="BB562">
        <v>1432</v>
      </c>
      <c r="BC562">
        <v>13072</v>
      </c>
      <c r="BD562">
        <v>9486</v>
      </c>
      <c r="BE562">
        <v>9222</v>
      </c>
      <c r="BF562">
        <v>1768</v>
      </c>
      <c r="BG562">
        <v>20476</v>
      </c>
      <c r="BH562">
        <v>0</v>
      </c>
      <c r="BI562">
        <v>0</v>
      </c>
      <c r="BJ562">
        <v>0</v>
      </c>
      <c r="BK562">
        <v>0</v>
      </c>
      <c r="BL562" s="2">
        <v>24.82</v>
      </c>
      <c r="BM562" s="2">
        <v>42005.095138888886</v>
      </c>
      <c r="BN562" s="2">
        <v>5.4</v>
      </c>
      <c r="BO562" s="2">
        <v>42005.092361111114</v>
      </c>
      <c r="BP562" s="2">
        <v>6.92</v>
      </c>
      <c r="BQ562" s="2">
        <v>42005.092361111114</v>
      </c>
      <c r="BR562" s="2">
        <v>11.07</v>
      </c>
      <c r="BS562" s="2">
        <v>42005.092361111114</v>
      </c>
      <c r="BT562">
        <v>0</v>
      </c>
      <c r="BU562">
        <v>0</v>
      </c>
      <c r="BV562" t="s">
        <v>135</v>
      </c>
      <c r="BW562">
        <v>0</v>
      </c>
      <c r="BX562">
        <v>0</v>
      </c>
      <c r="BY562" t="s">
        <v>135</v>
      </c>
      <c r="BZ562">
        <v>0</v>
      </c>
      <c r="CA562">
        <v>0</v>
      </c>
      <c r="CB562" t="s">
        <v>135</v>
      </c>
      <c r="CH562" s="2"/>
      <c r="CJ562" s="2"/>
      <c r="CL562" s="2"/>
      <c r="CN562" s="2"/>
      <c r="CQ562" s="2"/>
      <c r="CT562" s="2"/>
      <c r="CW562" s="2"/>
    </row>
    <row r="563" spans="1:101" x14ac:dyDescent="0.25">
      <c r="A563" s="1" t="s">
        <v>163</v>
      </c>
      <c r="B563" s="75" t="s">
        <v>164</v>
      </c>
      <c r="C563">
        <v>0</v>
      </c>
      <c r="D563">
        <v>0</v>
      </c>
      <c r="E563">
        <v>0</v>
      </c>
      <c r="F563">
        <v>604324.56000000006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3.91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7490</v>
      </c>
      <c r="AW563">
        <v>3350</v>
      </c>
      <c r="AX563">
        <v>1219</v>
      </c>
      <c r="AY563">
        <v>12059</v>
      </c>
      <c r="AZ563">
        <v>4202</v>
      </c>
      <c r="BA563">
        <v>7438</v>
      </c>
      <c r="BB563">
        <v>1432</v>
      </c>
      <c r="BC563">
        <v>13072</v>
      </c>
      <c r="BD563">
        <v>9486</v>
      </c>
      <c r="BE563">
        <v>9222</v>
      </c>
      <c r="BF563">
        <v>1768</v>
      </c>
      <c r="BG563">
        <v>20476</v>
      </c>
      <c r="BH563">
        <v>0</v>
      </c>
      <c r="BI563">
        <v>0</v>
      </c>
      <c r="BJ563">
        <v>0</v>
      </c>
      <c r="BK563">
        <v>0</v>
      </c>
      <c r="BL563" s="2">
        <v>24.82</v>
      </c>
      <c r="BM563" s="2">
        <v>42005.095138888886</v>
      </c>
      <c r="BN563" s="2">
        <v>5.4</v>
      </c>
      <c r="BO563" s="2">
        <v>42005.092361111114</v>
      </c>
      <c r="BP563" s="2">
        <v>6.92</v>
      </c>
      <c r="BQ563" s="2">
        <v>42005.092361111114</v>
      </c>
      <c r="BR563" s="2">
        <v>11.07</v>
      </c>
      <c r="BS563" s="2">
        <v>42005.092361111114</v>
      </c>
      <c r="BT563">
        <v>0</v>
      </c>
      <c r="BU563">
        <v>0</v>
      </c>
      <c r="BV563" t="s">
        <v>135</v>
      </c>
      <c r="BW563">
        <v>0</v>
      </c>
      <c r="BX563">
        <v>0</v>
      </c>
      <c r="BY563" t="s">
        <v>135</v>
      </c>
      <c r="BZ563">
        <v>0</v>
      </c>
      <c r="CA563">
        <v>0</v>
      </c>
      <c r="CB563" t="s">
        <v>135</v>
      </c>
      <c r="CH563" s="2"/>
      <c r="CJ563" s="2"/>
      <c r="CL563" s="2"/>
      <c r="CN563" s="2"/>
      <c r="CQ563" s="2"/>
      <c r="CT563" s="2"/>
      <c r="CW563" s="2"/>
    </row>
    <row r="564" spans="1:101" x14ac:dyDescent="0.25">
      <c r="A564" s="1" t="s">
        <v>163</v>
      </c>
      <c r="B564" s="75" t="s">
        <v>164</v>
      </c>
      <c r="C564">
        <v>0</v>
      </c>
      <c r="D564">
        <v>0</v>
      </c>
      <c r="E564">
        <v>0</v>
      </c>
      <c r="F564">
        <v>604324.56000000006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3.91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7490</v>
      </c>
      <c r="AW564">
        <v>3350</v>
      </c>
      <c r="AX564">
        <v>1219</v>
      </c>
      <c r="AY564">
        <v>12059</v>
      </c>
      <c r="AZ564">
        <v>4202</v>
      </c>
      <c r="BA564">
        <v>7438</v>
      </c>
      <c r="BB564">
        <v>1432</v>
      </c>
      <c r="BC564">
        <v>13072</v>
      </c>
      <c r="BD564">
        <v>9486</v>
      </c>
      <c r="BE564">
        <v>9222</v>
      </c>
      <c r="BF564">
        <v>1768</v>
      </c>
      <c r="BG564">
        <v>20476</v>
      </c>
      <c r="BH564">
        <v>0</v>
      </c>
      <c r="BI564">
        <v>0</v>
      </c>
      <c r="BJ564">
        <v>0</v>
      </c>
      <c r="BK564">
        <v>0</v>
      </c>
      <c r="BL564" s="2">
        <v>24.82</v>
      </c>
      <c r="BM564" s="2">
        <v>42005.095138888886</v>
      </c>
      <c r="BN564" s="2">
        <v>5.4</v>
      </c>
      <c r="BO564" s="2">
        <v>42005.092361111114</v>
      </c>
      <c r="BP564" s="2">
        <v>6.92</v>
      </c>
      <c r="BQ564" s="2">
        <v>42005.092361111114</v>
      </c>
      <c r="BR564" s="2">
        <v>11.07</v>
      </c>
      <c r="BS564" s="2">
        <v>42005.092361111114</v>
      </c>
      <c r="BT564">
        <v>0</v>
      </c>
      <c r="BU564">
        <v>0</v>
      </c>
      <c r="BV564" t="s">
        <v>135</v>
      </c>
      <c r="BW564">
        <v>0</v>
      </c>
      <c r="BX564">
        <v>0</v>
      </c>
      <c r="BY564" t="s">
        <v>135</v>
      </c>
      <c r="BZ564">
        <v>0</v>
      </c>
      <c r="CA564">
        <v>0</v>
      </c>
      <c r="CB564" t="s">
        <v>135</v>
      </c>
      <c r="CH564" s="2"/>
      <c r="CJ564" s="2"/>
      <c r="CL564" s="2"/>
      <c r="CN564" s="2"/>
      <c r="CQ564" s="2"/>
      <c r="CT564" s="2"/>
      <c r="CW564" s="2"/>
    </row>
    <row r="565" spans="1:101" x14ac:dyDescent="0.25">
      <c r="A565" s="1" t="s">
        <v>163</v>
      </c>
      <c r="B565" s="75" t="s">
        <v>164</v>
      </c>
      <c r="C565">
        <v>0</v>
      </c>
      <c r="D565">
        <v>0</v>
      </c>
      <c r="E565">
        <v>0</v>
      </c>
      <c r="F565">
        <v>604324.56000000006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3.91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7490</v>
      </c>
      <c r="AW565">
        <v>3350</v>
      </c>
      <c r="AX565">
        <v>1219</v>
      </c>
      <c r="AY565">
        <v>12059</v>
      </c>
      <c r="AZ565">
        <v>4202</v>
      </c>
      <c r="BA565">
        <v>7438</v>
      </c>
      <c r="BB565">
        <v>1432</v>
      </c>
      <c r="BC565">
        <v>13072</v>
      </c>
      <c r="BD565">
        <v>9486</v>
      </c>
      <c r="BE565">
        <v>9222</v>
      </c>
      <c r="BF565">
        <v>1768</v>
      </c>
      <c r="BG565">
        <v>20476</v>
      </c>
      <c r="BH565">
        <v>0</v>
      </c>
      <c r="BI565">
        <v>0</v>
      </c>
      <c r="BJ565">
        <v>0</v>
      </c>
      <c r="BK565">
        <v>0</v>
      </c>
      <c r="BL565" s="2">
        <v>24.82</v>
      </c>
      <c r="BM565" s="2">
        <v>42005.095138888886</v>
      </c>
      <c r="BN565" s="2">
        <v>5.4</v>
      </c>
      <c r="BO565" s="2">
        <v>42005.092361111114</v>
      </c>
      <c r="BP565" s="2">
        <v>6.92</v>
      </c>
      <c r="BQ565" s="2">
        <v>42005.092361111114</v>
      </c>
      <c r="BR565" s="2">
        <v>11.07</v>
      </c>
      <c r="BS565" s="2">
        <v>42005.092361111114</v>
      </c>
      <c r="BT565">
        <v>0</v>
      </c>
      <c r="BU565">
        <v>0</v>
      </c>
      <c r="BV565" t="s">
        <v>135</v>
      </c>
      <c r="BW565">
        <v>0</v>
      </c>
      <c r="BX565">
        <v>0</v>
      </c>
      <c r="BY565" t="s">
        <v>135</v>
      </c>
      <c r="BZ565">
        <v>0</v>
      </c>
      <c r="CA565">
        <v>0</v>
      </c>
      <c r="CB565" t="s">
        <v>135</v>
      </c>
      <c r="CH565" s="2"/>
      <c r="CJ565" s="2"/>
      <c r="CL565" s="2"/>
      <c r="CN565" s="2"/>
      <c r="CQ565" s="2"/>
      <c r="CT565" s="2"/>
      <c r="CW565" s="2"/>
    </row>
    <row r="566" spans="1:101" x14ac:dyDescent="0.25">
      <c r="A566" s="1" t="s">
        <v>163</v>
      </c>
      <c r="B566" s="75" t="s">
        <v>164</v>
      </c>
      <c r="C566">
        <v>0</v>
      </c>
      <c r="D566">
        <v>0</v>
      </c>
      <c r="E566">
        <v>0</v>
      </c>
      <c r="F566">
        <v>604324.56000000006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3.91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7490</v>
      </c>
      <c r="AW566">
        <v>3350</v>
      </c>
      <c r="AX566">
        <v>1219</v>
      </c>
      <c r="AY566">
        <v>12059</v>
      </c>
      <c r="AZ566">
        <v>4202</v>
      </c>
      <c r="BA566">
        <v>7438</v>
      </c>
      <c r="BB566">
        <v>1432</v>
      </c>
      <c r="BC566">
        <v>13072</v>
      </c>
      <c r="BD566">
        <v>9486</v>
      </c>
      <c r="BE566">
        <v>9222</v>
      </c>
      <c r="BF566">
        <v>1768</v>
      </c>
      <c r="BG566">
        <v>20476</v>
      </c>
      <c r="BH566">
        <v>0</v>
      </c>
      <c r="BI566">
        <v>0</v>
      </c>
      <c r="BJ566">
        <v>0</v>
      </c>
      <c r="BK566">
        <v>0</v>
      </c>
      <c r="BL566" s="2">
        <v>24.82</v>
      </c>
      <c r="BM566" s="2">
        <v>42005.095138888886</v>
      </c>
      <c r="BN566" s="2">
        <v>5.4</v>
      </c>
      <c r="BO566" s="2">
        <v>42005.092361111114</v>
      </c>
      <c r="BP566" s="2">
        <v>6.92</v>
      </c>
      <c r="BQ566" s="2">
        <v>42005.092361111114</v>
      </c>
      <c r="BR566" s="2">
        <v>11.07</v>
      </c>
      <c r="BS566" s="2">
        <v>42005.092361111114</v>
      </c>
      <c r="BT566">
        <v>0</v>
      </c>
      <c r="BU566">
        <v>0</v>
      </c>
      <c r="BV566" t="s">
        <v>135</v>
      </c>
      <c r="BW566">
        <v>0</v>
      </c>
      <c r="BX566">
        <v>0</v>
      </c>
      <c r="BY566" t="s">
        <v>135</v>
      </c>
      <c r="BZ566">
        <v>0</v>
      </c>
      <c r="CA566">
        <v>0</v>
      </c>
      <c r="CB566" t="s">
        <v>135</v>
      </c>
      <c r="CH566" s="2"/>
      <c r="CJ566" s="2"/>
      <c r="CL566" s="2"/>
      <c r="CN566" s="2"/>
      <c r="CQ566" s="2"/>
      <c r="CT566" s="2"/>
      <c r="CW566" s="2"/>
    </row>
    <row r="567" spans="1:101" x14ac:dyDescent="0.25">
      <c r="A567" s="1" t="s">
        <v>163</v>
      </c>
      <c r="B567" s="75" t="s">
        <v>164</v>
      </c>
      <c r="C567">
        <v>0</v>
      </c>
      <c r="D567">
        <v>0</v>
      </c>
      <c r="E567">
        <v>0</v>
      </c>
      <c r="F567">
        <v>604324.56000000006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3.91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7490</v>
      </c>
      <c r="AW567">
        <v>3350</v>
      </c>
      <c r="AX567">
        <v>1219</v>
      </c>
      <c r="AY567">
        <v>12059</v>
      </c>
      <c r="AZ567">
        <v>4202</v>
      </c>
      <c r="BA567">
        <v>7438</v>
      </c>
      <c r="BB567">
        <v>1432</v>
      </c>
      <c r="BC567">
        <v>13072</v>
      </c>
      <c r="BD567">
        <v>9486</v>
      </c>
      <c r="BE567">
        <v>9222</v>
      </c>
      <c r="BF567">
        <v>1768</v>
      </c>
      <c r="BG567">
        <v>20476</v>
      </c>
      <c r="BH567">
        <v>0</v>
      </c>
      <c r="BI567">
        <v>0</v>
      </c>
      <c r="BJ567">
        <v>0</v>
      </c>
      <c r="BK567">
        <v>0</v>
      </c>
      <c r="BL567" s="2">
        <v>24.82</v>
      </c>
      <c r="BM567" s="2">
        <v>42005.095138888886</v>
      </c>
      <c r="BN567" s="2">
        <v>5.4</v>
      </c>
      <c r="BO567" s="2">
        <v>42005.092361111114</v>
      </c>
      <c r="BP567" s="2">
        <v>6.92</v>
      </c>
      <c r="BQ567" s="2">
        <v>42005.092361111114</v>
      </c>
      <c r="BR567" s="2">
        <v>11.07</v>
      </c>
      <c r="BS567" s="2">
        <v>42005.092361111114</v>
      </c>
      <c r="BT567">
        <v>0</v>
      </c>
      <c r="BU567">
        <v>0</v>
      </c>
      <c r="BV567" t="s">
        <v>135</v>
      </c>
      <c r="BW567">
        <v>0</v>
      </c>
      <c r="BX567">
        <v>0</v>
      </c>
      <c r="BY567" t="s">
        <v>135</v>
      </c>
      <c r="BZ567">
        <v>0</v>
      </c>
      <c r="CA567">
        <v>0</v>
      </c>
      <c r="CB567" t="s">
        <v>135</v>
      </c>
      <c r="CH567" s="2"/>
      <c r="CJ567" s="2"/>
      <c r="CL567" s="2"/>
      <c r="CN567" s="2"/>
      <c r="CQ567" s="2"/>
      <c r="CT567" s="2"/>
      <c r="CW567" s="2"/>
    </row>
    <row r="568" spans="1:101" x14ac:dyDescent="0.25">
      <c r="A568" s="1" t="s">
        <v>163</v>
      </c>
      <c r="B568" s="75" t="s">
        <v>164</v>
      </c>
      <c r="C568">
        <v>0</v>
      </c>
      <c r="D568">
        <v>0</v>
      </c>
      <c r="E568">
        <v>0</v>
      </c>
      <c r="F568">
        <v>604324.56000000006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3.91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7490</v>
      </c>
      <c r="AW568">
        <v>3350</v>
      </c>
      <c r="AX568">
        <v>1219</v>
      </c>
      <c r="AY568">
        <v>12059</v>
      </c>
      <c r="AZ568">
        <v>4202</v>
      </c>
      <c r="BA568">
        <v>7438</v>
      </c>
      <c r="BB568">
        <v>1432</v>
      </c>
      <c r="BC568">
        <v>13072</v>
      </c>
      <c r="BD568">
        <v>9486</v>
      </c>
      <c r="BE568">
        <v>9222</v>
      </c>
      <c r="BF568">
        <v>1768</v>
      </c>
      <c r="BG568">
        <v>20476</v>
      </c>
      <c r="BH568">
        <v>0</v>
      </c>
      <c r="BI568">
        <v>0</v>
      </c>
      <c r="BJ568">
        <v>0</v>
      </c>
      <c r="BK568">
        <v>0</v>
      </c>
      <c r="BL568" s="2">
        <v>24.82</v>
      </c>
      <c r="BM568" s="2">
        <v>42005.095138888886</v>
      </c>
      <c r="BN568" s="2">
        <v>5.4</v>
      </c>
      <c r="BO568" s="2">
        <v>42005.092361111114</v>
      </c>
      <c r="BP568" s="2">
        <v>6.92</v>
      </c>
      <c r="BQ568" s="2">
        <v>42005.092361111114</v>
      </c>
      <c r="BR568" s="2">
        <v>11.07</v>
      </c>
      <c r="BS568" s="2">
        <v>42005.092361111114</v>
      </c>
      <c r="BT568">
        <v>0</v>
      </c>
      <c r="BU568">
        <v>0</v>
      </c>
      <c r="BV568" t="s">
        <v>135</v>
      </c>
      <c r="BW568">
        <v>0</v>
      </c>
      <c r="BX568">
        <v>0</v>
      </c>
      <c r="BY568" t="s">
        <v>135</v>
      </c>
      <c r="BZ568">
        <v>0</v>
      </c>
      <c r="CA568">
        <v>0</v>
      </c>
      <c r="CB568" t="s">
        <v>135</v>
      </c>
      <c r="CH568" s="2"/>
      <c r="CJ568" s="2"/>
      <c r="CL568" s="2"/>
      <c r="CN568" s="2"/>
      <c r="CQ568" s="2"/>
      <c r="CT568" s="2"/>
      <c r="CW568" s="2"/>
    </row>
    <row r="569" spans="1:101" x14ac:dyDescent="0.25">
      <c r="A569" s="1" t="s">
        <v>163</v>
      </c>
      <c r="B569" s="75" t="s">
        <v>164</v>
      </c>
      <c r="C569">
        <v>0</v>
      </c>
      <c r="D569">
        <v>0</v>
      </c>
      <c r="E569">
        <v>0</v>
      </c>
      <c r="F569">
        <v>604324.56000000006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3.91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7490</v>
      </c>
      <c r="AW569">
        <v>3350</v>
      </c>
      <c r="AX569">
        <v>1219</v>
      </c>
      <c r="AY569">
        <v>12059</v>
      </c>
      <c r="AZ569">
        <v>4202</v>
      </c>
      <c r="BA569">
        <v>7438</v>
      </c>
      <c r="BB569">
        <v>1432</v>
      </c>
      <c r="BC569">
        <v>13072</v>
      </c>
      <c r="BD569">
        <v>9486</v>
      </c>
      <c r="BE569">
        <v>9222</v>
      </c>
      <c r="BF569">
        <v>1768</v>
      </c>
      <c r="BG569">
        <v>20476</v>
      </c>
      <c r="BH569">
        <v>0</v>
      </c>
      <c r="BI569">
        <v>0</v>
      </c>
      <c r="BJ569">
        <v>0</v>
      </c>
      <c r="BK569">
        <v>0</v>
      </c>
      <c r="BL569" s="2">
        <v>24.82</v>
      </c>
      <c r="BM569" s="2">
        <v>42005.095138888886</v>
      </c>
      <c r="BN569" s="2">
        <v>5.4</v>
      </c>
      <c r="BO569" s="2">
        <v>42005.092361111114</v>
      </c>
      <c r="BP569" s="2">
        <v>6.92</v>
      </c>
      <c r="BQ569" s="2">
        <v>42005.092361111114</v>
      </c>
      <c r="BR569" s="2">
        <v>11.07</v>
      </c>
      <c r="BS569" s="2">
        <v>42005.092361111114</v>
      </c>
      <c r="BT569">
        <v>0</v>
      </c>
      <c r="BU569">
        <v>0</v>
      </c>
      <c r="BV569" t="s">
        <v>135</v>
      </c>
      <c r="BW569">
        <v>0</v>
      </c>
      <c r="BX569">
        <v>0</v>
      </c>
      <c r="BY569" t="s">
        <v>135</v>
      </c>
      <c r="BZ569">
        <v>0</v>
      </c>
      <c r="CA569">
        <v>0</v>
      </c>
      <c r="CB569" t="s">
        <v>135</v>
      </c>
      <c r="CH569" s="2"/>
      <c r="CJ569" s="2"/>
      <c r="CL569" s="2"/>
      <c r="CN569" s="2"/>
      <c r="CQ569" s="2"/>
      <c r="CT569" s="2"/>
      <c r="CW569" s="2"/>
    </row>
    <row r="570" spans="1:101" x14ac:dyDescent="0.25">
      <c r="A570" s="1" t="s">
        <v>163</v>
      </c>
      <c r="B570" s="75" t="s">
        <v>164</v>
      </c>
      <c r="C570">
        <v>0</v>
      </c>
      <c r="D570">
        <v>0</v>
      </c>
      <c r="E570">
        <v>0</v>
      </c>
      <c r="F570">
        <v>604324.56000000006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3.91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7490</v>
      </c>
      <c r="AW570">
        <v>3350</v>
      </c>
      <c r="AX570">
        <v>1219</v>
      </c>
      <c r="AY570">
        <v>12059</v>
      </c>
      <c r="AZ570">
        <v>4202</v>
      </c>
      <c r="BA570">
        <v>7438</v>
      </c>
      <c r="BB570">
        <v>1432</v>
      </c>
      <c r="BC570">
        <v>13072</v>
      </c>
      <c r="BD570">
        <v>9486</v>
      </c>
      <c r="BE570">
        <v>9222</v>
      </c>
      <c r="BF570">
        <v>1768</v>
      </c>
      <c r="BG570">
        <v>20476</v>
      </c>
      <c r="BH570">
        <v>0</v>
      </c>
      <c r="BI570">
        <v>0</v>
      </c>
      <c r="BJ570">
        <v>0</v>
      </c>
      <c r="BK570">
        <v>0</v>
      </c>
      <c r="BL570" s="2">
        <v>24.82</v>
      </c>
      <c r="BM570" s="2">
        <v>42005.095138888886</v>
      </c>
      <c r="BN570" s="2">
        <v>5.4</v>
      </c>
      <c r="BO570" s="2">
        <v>42005.092361111114</v>
      </c>
      <c r="BP570" s="2">
        <v>6.92</v>
      </c>
      <c r="BQ570" s="2">
        <v>42005.092361111114</v>
      </c>
      <c r="BR570" s="2">
        <v>11.07</v>
      </c>
      <c r="BS570" s="2">
        <v>42005.092361111114</v>
      </c>
      <c r="BT570">
        <v>0</v>
      </c>
      <c r="BU570">
        <v>0</v>
      </c>
      <c r="BV570" t="s">
        <v>135</v>
      </c>
      <c r="BW570">
        <v>0</v>
      </c>
      <c r="BX570">
        <v>0</v>
      </c>
      <c r="BY570" t="s">
        <v>135</v>
      </c>
      <c r="BZ570">
        <v>0</v>
      </c>
      <c r="CA570">
        <v>0</v>
      </c>
      <c r="CB570" t="s">
        <v>135</v>
      </c>
      <c r="CH570" s="2"/>
      <c r="CJ570" s="2"/>
      <c r="CL570" s="2"/>
      <c r="CN570" s="2"/>
      <c r="CQ570" s="2"/>
      <c r="CT570" s="2"/>
      <c r="CW570" s="2"/>
    </row>
    <row r="571" spans="1:101" x14ac:dyDescent="0.25">
      <c r="A571" s="1" t="s">
        <v>163</v>
      </c>
      <c r="B571" s="75" t="s">
        <v>164</v>
      </c>
      <c r="C571">
        <v>0</v>
      </c>
      <c r="D571">
        <v>0</v>
      </c>
      <c r="E571">
        <v>0</v>
      </c>
      <c r="F571">
        <v>604324.56000000006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3.91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7490</v>
      </c>
      <c r="AW571">
        <v>3350</v>
      </c>
      <c r="AX571">
        <v>1219</v>
      </c>
      <c r="AY571">
        <v>12059</v>
      </c>
      <c r="AZ571">
        <v>4202</v>
      </c>
      <c r="BA571">
        <v>7438</v>
      </c>
      <c r="BB571">
        <v>1432</v>
      </c>
      <c r="BC571">
        <v>13072</v>
      </c>
      <c r="BD571">
        <v>9486</v>
      </c>
      <c r="BE571">
        <v>9222</v>
      </c>
      <c r="BF571">
        <v>1768</v>
      </c>
      <c r="BG571">
        <v>20476</v>
      </c>
      <c r="BH571">
        <v>0</v>
      </c>
      <c r="BI571">
        <v>0</v>
      </c>
      <c r="BJ571">
        <v>0</v>
      </c>
      <c r="BK571">
        <v>0</v>
      </c>
      <c r="BL571" s="2">
        <v>24.82</v>
      </c>
      <c r="BM571" s="2">
        <v>42005.095138888886</v>
      </c>
      <c r="BN571" s="2">
        <v>5.4</v>
      </c>
      <c r="BO571" s="2">
        <v>42005.092361111114</v>
      </c>
      <c r="BP571" s="2">
        <v>6.92</v>
      </c>
      <c r="BQ571" s="2">
        <v>42005.092361111114</v>
      </c>
      <c r="BR571" s="2">
        <v>11.07</v>
      </c>
      <c r="BS571" s="2">
        <v>42005.092361111114</v>
      </c>
      <c r="BT571">
        <v>0</v>
      </c>
      <c r="BU571">
        <v>0</v>
      </c>
      <c r="BV571" t="s">
        <v>135</v>
      </c>
      <c r="BW571">
        <v>0</v>
      </c>
      <c r="BX571">
        <v>0</v>
      </c>
      <c r="BY571" t="s">
        <v>135</v>
      </c>
      <c r="BZ571">
        <v>0</v>
      </c>
      <c r="CA571">
        <v>0</v>
      </c>
      <c r="CB571" t="s">
        <v>135</v>
      </c>
      <c r="CH571" s="2"/>
      <c r="CJ571" s="2"/>
      <c r="CL571" s="2"/>
      <c r="CN571" s="2"/>
      <c r="CQ571" s="2"/>
      <c r="CT571" s="2"/>
      <c r="CW571" s="2"/>
    </row>
    <row r="572" spans="1:101" x14ac:dyDescent="0.25">
      <c r="A572" s="1" t="s">
        <v>163</v>
      </c>
      <c r="B572" s="75" t="s">
        <v>164</v>
      </c>
      <c r="C572">
        <v>0</v>
      </c>
      <c r="D572">
        <v>0</v>
      </c>
      <c r="E572">
        <v>0</v>
      </c>
      <c r="F572">
        <v>604324.56000000006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3.91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7490</v>
      </c>
      <c r="AW572">
        <v>3350</v>
      </c>
      <c r="AX572">
        <v>1219</v>
      </c>
      <c r="AY572">
        <v>12059</v>
      </c>
      <c r="AZ572">
        <v>4202</v>
      </c>
      <c r="BA572">
        <v>7438</v>
      </c>
      <c r="BB572">
        <v>1432</v>
      </c>
      <c r="BC572">
        <v>13072</v>
      </c>
      <c r="BD572">
        <v>9486</v>
      </c>
      <c r="BE572">
        <v>9222</v>
      </c>
      <c r="BF572">
        <v>1768</v>
      </c>
      <c r="BG572">
        <v>20476</v>
      </c>
      <c r="BH572">
        <v>0</v>
      </c>
      <c r="BI572">
        <v>0</v>
      </c>
      <c r="BJ572">
        <v>0</v>
      </c>
      <c r="BK572">
        <v>0</v>
      </c>
      <c r="BL572" s="2">
        <v>24.82</v>
      </c>
      <c r="BM572" s="2">
        <v>42005.095138888886</v>
      </c>
      <c r="BN572" s="2">
        <v>5.4</v>
      </c>
      <c r="BO572" s="2">
        <v>42005.092361111114</v>
      </c>
      <c r="BP572" s="2">
        <v>6.92</v>
      </c>
      <c r="BQ572" s="2">
        <v>42005.092361111114</v>
      </c>
      <c r="BR572" s="2">
        <v>11.07</v>
      </c>
      <c r="BS572" s="2">
        <v>42005.092361111114</v>
      </c>
      <c r="BT572">
        <v>0</v>
      </c>
      <c r="BU572">
        <v>0</v>
      </c>
      <c r="BV572" t="s">
        <v>135</v>
      </c>
      <c r="BW572">
        <v>0</v>
      </c>
      <c r="BX572">
        <v>0</v>
      </c>
      <c r="BY572" t="s">
        <v>135</v>
      </c>
      <c r="BZ572">
        <v>0</v>
      </c>
      <c r="CA572">
        <v>0</v>
      </c>
      <c r="CB572" t="s">
        <v>135</v>
      </c>
      <c r="CH572" s="2"/>
      <c r="CJ572" s="2"/>
      <c r="CL572" s="2"/>
      <c r="CN572" s="2"/>
      <c r="CQ572" s="2"/>
      <c r="CT572" s="2"/>
      <c r="CW572" s="2"/>
    </row>
    <row r="573" spans="1:101" x14ac:dyDescent="0.25">
      <c r="A573" s="1" t="s">
        <v>163</v>
      </c>
      <c r="B573" s="75" t="s">
        <v>164</v>
      </c>
      <c r="C573">
        <v>0</v>
      </c>
      <c r="D573">
        <v>0</v>
      </c>
      <c r="E573">
        <v>0</v>
      </c>
      <c r="F573">
        <v>604324.56000000006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3.91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7490</v>
      </c>
      <c r="AW573">
        <v>3350</v>
      </c>
      <c r="AX573">
        <v>1219</v>
      </c>
      <c r="AY573">
        <v>12059</v>
      </c>
      <c r="AZ573">
        <v>4202</v>
      </c>
      <c r="BA573">
        <v>7438</v>
      </c>
      <c r="BB573">
        <v>1432</v>
      </c>
      <c r="BC573">
        <v>13072</v>
      </c>
      <c r="BD573">
        <v>9486</v>
      </c>
      <c r="BE573">
        <v>9222</v>
      </c>
      <c r="BF573">
        <v>1768</v>
      </c>
      <c r="BG573">
        <v>20476</v>
      </c>
      <c r="BH573">
        <v>0</v>
      </c>
      <c r="BI573">
        <v>0</v>
      </c>
      <c r="BJ573">
        <v>0</v>
      </c>
      <c r="BK573">
        <v>0</v>
      </c>
      <c r="BL573" s="2">
        <v>24.82</v>
      </c>
      <c r="BM573" s="2">
        <v>42005.095138888886</v>
      </c>
      <c r="BN573" s="2">
        <v>5.4</v>
      </c>
      <c r="BO573" s="2">
        <v>42005.092361111114</v>
      </c>
      <c r="BP573" s="2">
        <v>6.92</v>
      </c>
      <c r="BQ573" s="2">
        <v>42005.092361111114</v>
      </c>
      <c r="BR573" s="2">
        <v>11.07</v>
      </c>
      <c r="BS573" s="2">
        <v>42005.092361111114</v>
      </c>
      <c r="BT573">
        <v>0</v>
      </c>
      <c r="BU573">
        <v>0</v>
      </c>
      <c r="BV573" t="s">
        <v>135</v>
      </c>
      <c r="BW573">
        <v>0</v>
      </c>
      <c r="BX573">
        <v>0</v>
      </c>
      <c r="BY573" t="s">
        <v>135</v>
      </c>
      <c r="BZ573">
        <v>0</v>
      </c>
      <c r="CA573">
        <v>0</v>
      </c>
      <c r="CB573" t="s">
        <v>135</v>
      </c>
      <c r="CH573" s="2"/>
      <c r="CJ573" s="2"/>
      <c r="CL573" s="2"/>
      <c r="CN573" s="2"/>
      <c r="CQ573" s="2"/>
      <c r="CT573" s="2"/>
      <c r="CW573" s="2"/>
    </row>
    <row r="574" spans="1:101" x14ac:dyDescent="0.25">
      <c r="A574" s="1" t="s">
        <v>163</v>
      </c>
      <c r="B574" s="75" t="s">
        <v>164</v>
      </c>
      <c r="C574">
        <v>0</v>
      </c>
      <c r="D574">
        <v>0</v>
      </c>
      <c r="E574">
        <v>0</v>
      </c>
      <c r="F574">
        <v>604324.56000000006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3.91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7490</v>
      </c>
      <c r="AW574">
        <v>3350</v>
      </c>
      <c r="AX574">
        <v>1219</v>
      </c>
      <c r="AY574">
        <v>12059</v>
      </c>
      <c r="AZ574">
        <v>4202</v>
      </c>
      <c r="BA574">
        <v>7438</v>
      </c>
      <c r="BB574">
        <v>1432</v>
      </c>
      <c r="BC574">
        <v>13072</v>
      </c>
      <c r="BD574">
        <v>9486</v>
      </c>
      <c r="BE574">
        <v>9222</v>
      </c>
      <c r="BF574">
        <v>1768</v>
      </c>
      <c r="BG574">
        <v>20476</v>
      </c>
      <c r="BH574">
        <v>0</v>
      </c>
      <c r="BI574">
        <v>0</v>
      </c>
      <c r="BJ574">
        <v>0</v>
      </c>
      <c r="BK574">
        <v>0</v>
      </c>
      <c r="BL574" s="2">
        <v>24.82</v>
      </c>
      <c r="BM574" s="2">
        <v>42005.095138888886</v>
      </c>
      <c r="BN574" s="2">
        <v>5.4</v>
      </c>
      <c r="BO574" s="2">
        <v>42005.092361111114</v>
      </c>
      <c r="BP574" s="2">
        <v>6.92</v>
      </c>
      <c r="BQ574" s="2">
        <v>42005.092361111114</v>
      </c>
      <c r="BR574" s="2">
        <v>11.07</v>
      </c>
      <c r="BS574" s="2">
        <v>42005.092361111114</v>
      </c>
      <c r="BT574">
        <v>0</v>
      </c>
      <c r="BU574">
        <v>0</v>
      </c>
      <c r="BV574" t="s">
        <v>135</v>
      </c>
      <c r="BW574">
        <v>0</v>
      </c>
      <c r="BX574">
        <v>0</v>
      </c>
      <c r="BY574" t="s">
        <v>135</v>
      </c>
      <c r="BZ574">
        <v>0</v>
      </c>
      <c r="CA574">
        <v>0</v>
      </c>
      <c r="CB574" t="s">
        <v>135</v>
      </c>
      <c r="CH574" s="2"/>
      <c r="CJ574" s="2"/>
      <c r="CL574" s="2"/>
      <c r="CN574" s="2"/>
      <c r="CQ574" s="2"/>
      <c r="CT574" s="2"/>
      <c r="CW574" s="2"/>
    </row>
    <row r="575" spans="1:101" x14ac:dyDescent="0.25">
      <c r="A575" s="1" t="s">
        <v>163</v>
      </c>
      <c r="B575" s="75" t="s">
        <v>164</v>
      </c>
      <c r="C575">
        <v>0</v>
      </c>
      <c r="D575">
        <v>0</v>
      </c>
      <c r="E575">
        <v>0</v>
      </c>
      <c r="F575">
        <v>604324.56000000006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3.91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7490</v>
      </c>
      <c r="AW575">
        <v>3350</v>
      </c>
      <c r="AX575">
        <v>1219</v>
      </c>
      <c r="AY575">
        <v>12059</v>
      </c>
      <c r="AZ575">
        <v>4202</v>
      </c>
      <c r="BA575">
        <v>7438</v>
      </c>
      <c r="BB575">
        <v>1432</v>
      </c>
      <c r="BC575">
        <v>13072</v>
      </c>
      <c r="BD575">
        <v>9486</v>
      </c>
      <c r="BE575">
        <v>9222</v>
      </c>
      <c r="BF575">
        <v>1768</v>
      </c>
      <c r="BG575">
        <v>20476</v>
      </c>
      <c r="BH575">
        <v>0</v>
      </c>
      <c r="BI575">
        <v>0</v>
      </c>
      <c r="BJ575">
        <v>0</v>
      </c>
      <c r="BK575">
        <v>0</v>
      </c>
      <c r="BL575" s="2">
        <v>24.82</v>
      </c>
      <c r="BM575" s="2">
        <v>42005.095138888886</v>
      </c>
      <c r="BN575" s="2">
        <v>5.4</v>
      </c>
      <c r="BO575" s="2">
        <v>42005.092361111114</v>
      </c>
      <c r="BP575" s="2">
        <v>6.92</v>
      </c>
      <c r="BQ575" s="2">
        <v>42005.092361111114</v>
      </c>
      <c r="BR575" s="2">
        <v>11.07</v>
      </c>
      <c r="BS575" s="2">
        <v>42005.092361111114</v>
      </c>
      <c r="BT575">
        <v>0</v>
      </c>
      <c r="BU575">
        <v>0</v>
      </c>
      <c r="BV575" t="s">
        <v>135</v>
      </c>
      <c r="BW575">
        <v>0</v>
      </c>
      <c r="BX575">
        <v>0</v>
      </c>
      <c r="BY575" t="s">
        <v>135</v>
      </c>
      <c r="BZ575">
        <v>0</v>
      </c>
      <c r="CA575">
        <v>0</v>
      </c>
      <c r="CB575" t="s">
        <v>135</v>
      </c>
      <c r="CH575" s="2"/>
      <c r="CJ575" s="2"/>
      <c r="CL575" s="2"/>
      <c r="CN575" s="2"/>
      <c r="CQ575" s="2"/>
      <c r="CT575" s="2"/>
      <c r="CW575" s="2"/>
    </row>
    <row r="576" spans="1:101" x14ac:dyDescent="0.25">
      <c r="A576" s="1" t="s">
        <v>163</v>
      </c>
      <c r="B576" s="75" t="s">
        <v>164</v>
      </c>
      <c r="C576">
        <v>0</v>
      </c>
      <c r="D576">
        <v>0</v>
      </c>
      <c r="E576">
        <v>0</v>
      </c>
      <c r="F576">
        <v>604324.56000000006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3.91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7490</v>
      </c>
      <c r="AW576">
        <v>3350</v>
      </c>
      <c r="AX576">
        <v>1219</v>
      </c>
      <c r="AY576">
        <v>12059</v>
      </c>
      <c r="AZ576">
        <v>4202</v>
      </c>
      <c r="BA576">
        <v>7438</v>
      </c>
      <c r="BB576">
        <v>1432</v>
      </c>
      <c r="BC576">
        <v>13072</v>
      </c>
      <c r="BD576">
        <v>9486</v>
      </c>
      <c r="BE576">
        <v>9222</v>
      </c>
      <c r="BF576">
        <v>1768</v>
      </c>
      <c r="BG576">
        <v>20476</v>
      </c>
      <c r="BH576">
        <v>0</v>
      </c>
      <c r="BI576">
        <v>0</v>
      </c>
      <c r="BJ576">
        <v>0</v>
      </c>
      <c r="BK576">
        <v>0</v>
      </c>
      <c r="BL576" s="2">
        <v>24.82</v>
      </c>
      <c r="BM576" s="2">
        <v>42005.095138888886</v>
      </c>
      <c r="BN576" s="2">
        <v>5.4</v>
      </c>
      <c r="BO576" s="2">
        <v>42005.092361111114</v>
      </c>
      <c r="BP576" s="2">
        <v>6.92</v>
      </c>
      <c r="BQ576" s="2">
        <v>42005.092361111114</v>
      </c>
      <c r="BR576" s="2">
        <v>11.07</v>
      </c>
      <c r="BS576" s="2">
        <v>42005.092361111114</v>
      </c>
      <c r="BT576">
        <v>0</v>
      </c>
      <c r="BU576">
        <v>0</v>
      </c>
      <c r="BV576" t="s">
        <v>135</v>
      </c>
      <c r="BW576">
        <v>0</v>
      </c>
      <c r="BX576">
        <v>0</v>
      </c>
      <c r="BY576" t="s">
        <v>135</v>
      </c>
      <c r="BZ576">
        <v>0</v>
      </c>
      <c r="CA576">
        <v>0</v>
      </c>
      <c r="CB576" t="s">
        <v>135</v>
      </c>
      <c r="CH576" s="2"/>
      <c r="CJ576" s="2"/>
      <c r="CL576" s="2"/>
      <c r="CN576" s="2"/>
      <c r="CQ576" s="2"/>
      <c r="CT576" s="2"/>
      <c r="CW576" s="2"/>
    </row>
    <row r="577" spans="1:101" x14ac:dyDescent="0.25">
      <c r="A577" s="1" t="s">
        <v>163</v>
      </c>
      <c r="B577" s="75" t="s">
        <v>164</v>
      </c>
      <c r="C577">
        <v>0</v>
      </c>
      <c r="D577">
        <v>0</v>
      </c>
      <c r="E577">
        <v>0</v>
      </c>
      <c r="F577">
        <v>604324.56000000006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3.91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7490</v>
      </c>
      <c r="AW577">
        <v>3350</v>
      </c>
      <c r="AX577">
        <v>1219</v>
      </c>
      <c r="AY577">
        <v>12059</v>
      </c>
      <c r="AZ577">
        <v>4202</v>
      </c>
      <c r="BA577">
        <v>7438</v>
      </c>
      <c r="BB577">
        <v>1432</v>
      </c>
      <c r="BC577">
        <v>13072</v>
      </c>
      <c r="BD577">
        <v>9486</v>
      </c>
      <c r="BE577">
        <v>9222</v>
      </c>
      <c r="BF577">
        <v>1768</v>
      </c>
      <c r="BG577">
        <v>20476</v>
      </c>
      <c r="BH577">
        <v>0</v>
      </c>
      <c r="BI577">
        <v>0</v>
      </c>
      <c r="BJ577">
        <v>0</v>
      </c>
      <c r="BK577">
        <v>0</v>
      </c>
      <c r="BL577" s="2">
        <v>24.82</v>
      </c>
      <c r="BM577" s="2">
        <v>42005.095138888886</v>
      </c>
      <c r="BN577" s="2">
        <v>5.4</v>
      </c>
      <c r="BO577" s="2">
        <v>42005.092361111114</v>
      </c>
      <c r="BP577" s="2">
        <v>6.92</v>
      </c>
      <c r="BQ577" s="2">
        <v>42005.092361111114</v>
      </c>
      <c r="BR577" s="2">
        <v>11.07</v>
      </c>
      <c r="BS577" s="2">
        <v>42005.092361111114</v>
      </c>
      <c r="BT577">
        <v>0</v>
      </c>
      <c r="BU577">
        <v>0</v>
      </c>
      <c r="BV577" t="s">
        <v>135</v>
      </c>
      <c r="BW577">
        <v>0</v>
      </c>
      <c r="BX577">
        <v>0</v>
      </c>
      <c r="BY577" t="s">
        <v>135</v>
      </c>
      <c r="BZ577">
        <v>0</v>
      </c>
      <c r="CA577">
        <v>0</v>
      </c>
      <c r="CB577" t="s">
        <v>135</v>
      </c>
      <c r="CH577" s="2"/>
      <c r="CJ577" s="2"/>
      <c r="CL577" s="2"/>
      <c r="CN577" s="2"/>
      <c r="CQ577" s="2"/>
      <c r="CT577" s="2"/>
      <c r="CW577" s="2"/>
    </row>
    <row r="578" spans="1:101" x14ac:dyDescent="0.25">
      <c r="A578" s="1" t="s">
        <v>163</v>
      </c>
      <c r="B578" s="75" t="s">
        <v>164</v>
      </c>
      <c r="C578">
        <v>0</v>
      </c>
      <c r="D578">
        <v>0</v>
      </c>
      <c r="E578">
        <v>0</v>
      </c>
      <c r="F578">
        <v>604324.56000000006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3.91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7490</v>
      </c>
      <c r="AW578">
        <v>3350</v>
      </c>
      <c r="AX578">
        <v>1219</v>
      </c>
      <c r="AY578">
        <v>12059</v>
      </c>
      <c r="AZ578">
        <v>4202</v>
      </c>
      <c r="BA578">
        <v>7438</v>
      </c>
      <c r="BB578">
        <v>1432</v>
      </c>
      <c r="BC578">
        <v>13072</v>
      </c>
      <c r="BD578">
        <v>9486</v>
      </c>
      <c r="BE578">
        <v>9222</v>
      </c>
      <c r="BF578">
        <v>1768</v>
      </c>
      <c r="BG578">
        <v>20476</v>
      </c>
      <c r="BH578">
        <v>0</v>
      </c>
      <c r="BI578">
        <v>0</v>
      </c>
      <c r="BJ578">
        <v>0</v>
      </c>
      <c r="BK578">
        <v>0</v>
      </c>
      <c r="BL578" s="2">
        <v>24.82</v>
      </c>
      <c r="BM578" s="2">
        <v>42005.095138888886</v>
      </c>
      <c r="BN578" s="2">
        <v>5.4</v>
      </c>
      <c r="BO578" s="2">
        <v>42005.092361111114</v>
      </c>
      <c r="BP578" s="2">
        <v>6.92</v>
      </c>
      <c r="BQ578" s="2">
        <v>42005.092361111114</v>
      </c>
      <c r="BR578" s="2">
        <v>11.07</v>
      </c>
      <c r="BS578" s="2">
        <v>42005.092361111114</v>
      </c>
      <c r="BT578">
        <v>0</v>
      </c>
      <c r="BU578">
        <v>0</v>
      </c>
      <c r="BV578" t="s">
        <v>135</v>
      </c>
      <c r="BW578">
        <v>0</v>
      </c>
      <c r="BX578">
        <v>0</v>
      </c>
      <c r="BY578" t="s">
        <v>135</v>
      </c>
      <c r="BZ578">
        <v>0</v>
      </c>
      <c r="CA578">
        <v>0</v>
      </c>
      <c r="CB578" t="s">
        <v>135</v>
      </c>
      <c r="CH578" s="2"/>
      <c r="CJ578" s="2"/>
      <c r="CL578" s="2"/>
      <c r="CN578" s="2"/>
      <c r="CQ578" s="2"/>
      <c r="CT578" s="2"/>
      <c r="CW578" s="2"/>
    </row>
    <row r="579" spans="1:101" x14ac:dyDescent="0.25">
      <c r="A579" s="1" t="s">
        <v>163</v>
      </c>
      <c r="B579" s="75" t="s">
        <v>164</v>
      </c>
      <c r="C579">
        <v>0</v>
      </c>
      <c r="D579">
        <v>0</v>
      </c>
      <c r="E579">
        <v>0</v>
      </c>
      <c r="F579">
        <v>604324.56000000006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3.91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7490</v>
      </c>
      <c r="AW579">
        <v>3350</v>
      </c>
      <c r="AX579">
        <v>1219</v>
      </c>
      <c r="AY579">
        <v>12059</v>
      </c>
      <c r="AZ579">
        <v>4202</v>
      </c>
      <c r="BA579">
        <v>7438</v>
      </c>
      <c r="BB579">
        <v>1432</v>
      </c>
      <c r="BC579">
        <v>13072</v>
      </c>
      <c r="BD579">
        <v>9486</v>
      </c>
      <c r="BE579">
        <v>9222</v>
      </c>
      <c r="BF579">
        <v>1768</v>
      </c>
      <c r="BG579">
        <v>20476</v>
      </c>
      <c r="BH579">
        <v>0</v>
      </c>
      <c r="BI579">
        <v>0</v>
      </c>
      <c r="BJ579">
        <v>0</v>
      </c>
      <c r="BK579">
        <v>0</v>
      </c>
      <c r="BL579" s="2">
        <v>24.82</v>
      </c>
      <c r="BM579" s="2">
        <v>42005.095138888886</v>
      </c>
      <c r="BN579" s="2">
        <v>5.4</v>
      </c>
      <c r="BO579" s="2">
        <v>42005.092361111114</v>
      </c>
      <c r="BP579" s="2">
        <v>6.92</v>
      </c>
      <c r="BQ579" s="2">
        <v>42005.092361111114</v>
      </c>
      <c r="BR579" s="2">
        <v>11.07</v>
      </c>
      <c r="BS579" s="2">
        <v>42005.092361111114</v>
      </c>
      <c r="BT579">
        <v>0</v>
      </c>
      <c r="BU579">
        <v>0</v>
      </c>
      <c r="BV579" t="s">
        <v>135</v>
      </c>
      <c r="BW579">
        <v>0</v>
      </c>
      <c r="BX579">
        <v>0</v>
      </c>
      <c r="BY579" t="s">
        <v>135</v>
      </c>
      <c r="BZ579">
        <v>0</v>
      </c>
      <c r="CA579">
        <v>0</v>
      </c>
      <c r="CB579" t="s">
        <v>135</v>
      </c>
      <c r="CH579" s="2"/>
      <c r="CJ579" s="2"/>
      <c r="CL579" s="2"/>
      <c r="CN579" s="2"/>
      <c r="CQ579" s="2"/>
      <c r="CT579" s="2"/>
      <c r="CW579" s="2"/>
    </row>
    <row r="580" spans="1:101" x14ac:dyDescent="0.25">
      <c r="A580" s="1" t="s">
        <v>163</v>
      </c>
      <c r="B580" s="75" t="s">
        <v>164</v>
      </c>
      <c r="C580">
        <v>0</v>
      </c>
      <c r="D580">
        <v>0</v>
      </c>
      <c r="E580">
        <v>0</v>
      </c>
      <c r="F580">
        <v>604324.56000000006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3.91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7490</v>
      </c>
      <c r="AW580">
        <v>3350</v>
      </c>
      <c r="AX580">
        <v>1219</v>
      </c>
      <c r="AY580">
        <v>12059</v>
      </c>
      <c r="AZ580">
        <v>4202</v>
      </c>
      <c r="BA580">
        <v>7438</v>
      </c>
      <c r="BB580">
        <v>1432</v>
      </c>
      <c r="BC580">
        <v>13072</v>
      </c>
      <c r="BD580">
        <v>9486</v>
      </c>
      <c r="BE580">
        <v>9222</v>
      </c>
      <c r="BF580">
        <v>1768</v>
      </c>
      <c r="BG580">
        <v>20476</v>
      </c>
      <c r="BH580">
        <v>0</v>
      </c>
      <c r="BI580">
        <v>0</v>
      </c>
      <c r="BJ580">
        <v>0</v>
      </c>
      <c r="BK580">
        <v>0</v>
      </c>
      <c r="BL580" s="2">
        <v>24.82</v>
      </c>
      <c r="BM580" s="2">
        <v>42005.095138888886</v>
      </c>
      <c r="BN580" s="2">
        <v>5.4</v>
      </c>
      <c r="BO580" s="2">
        <v>42005.092361111114</v>
      </c>
      <c r="BP580" s="2">
        <v>6.92</v>
      </c>
      <c r="BQ580" s="2">
        <v>42005.092361111114</v>
      </c>
      <c r="BR580" s="2">
        <v>11.07</v>
      </c>
      <c r="BS580" s="2">
        <v>42005.092361111114</v>
      </c>
      <c r="BT580">
        <v>0</v>
      </c>
      <c r="BU580">
        <v>0</v>
      </c>
      <c r="BV580" t="s">
        <v>135</v>
      </c>
      <c r="BW580">
        <v>0</v>
      </c>
      <c r="BX580">
        <v>0</v>
      </c>
      <c r="BY580" t="s">
        <v>135</v>
      </c>
      <c r="BZ580">
        <v>0</v>
      </c>
      <c r="CA580">
        <v>0</v>
      </c>
      <c r="CB580" t="s">
        <v>135</v>
      </c>
      <c r="CH580" s="2"/>
      <c r="CJ580" s="2"/>
      <c r="CL580" s="2"/>
      <c r="CN580" s="2"/>
      <c r="CQ580" s="2"/>
      <c r="CT580" s="2"/>
      <c r="CW580" s="2"/>
    </row>
    <row r="581" spans="1:101" x14ac:dyDescent="0.25">
      <c r="A581" s="1" t="s">
        <v>163</v>
      </c>
      <c r="B581" s="75" t="s">
        <v>164</v>
      </c>
      <c r="C581">
        <v>0</v>
      </c>
      <c r="D581">
        <v>0</v>
      </c>
      <c r="E581">
        <v>0</v>
      </c>
      <c r="F581">
        <v>604324.56000000006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3.91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7490</v>
      </c>
      <c r="AW581">
        <v>3350</v>
      </c>
      <c r="AX581">
        <v>1219</v>
      </c>
      <c r="AY581">
        <v>12059</v>
      </c>
      <c r="AZ581">
        <v>4202</v>
      </c>
      <c r="BA581">
        <v>7438</v>
      </c>
      <c r="BB581">
        <v>1432</v>
      </c>
      <c r="BC581">
        <v>13072</v>
      </c>
      <c r="BD581">
        <v>9486</v>
      </c>
      <c r="BE581">
        <v>9222</v>
      </c>
      <c r="BF581">
        <v>1768</v>
      </c>
      <c r="BG581">
        <v>20476</v>
      </c>
      <c r="BH581">
        <v>0</v>
      </c>
      <c r="BI581">
        <v>0</v>
      </c>
      <c r="BJ581">
        <v>0</v>
      </c>
      <c r="BK581">
        <v>0</v>
      </c>
      <c r="BL581" s="2">
        <v>24.82</v>
      </c>
      <c r="BM581" s="2">
        <v>42005.095138888886</v>
      </c>
      <c r="BN581" s="2">
        <v>5.4</v>
      </c>
      <c r="BO581" s="2">
        <v>42005.092361111114</v>
      </c>
      <c r="BP581" s="2">
        <v>6.92</v>
      </c>
      <c r="BQ581" s="2">
        <v>42005.092361111114</v>
      </c>
      <c r="BR581" s="2">
        <v>11.07</v>
      </c>
      <c r="BS581" s="2">
        <v>42005.092361111114</v>
      </c>
      <c r="BT581">
        <v>0</v>
      </c>
      <c r="BU581">
        <v>0</v>
      </c>
      <c r="BV581" t="s">
        <v>135</v>
      </c>
      <c r="BW581">
        <v>0</v>
      </c>
      <c r="BX581">
        <v>0</v>
      </c>
      <c r="BY581" t="s">
        <v>135</v>
      </c>
      <c r="BZ581">
        <v>0</v>
      </c>
      <c r="CA581">
        <v>0</v>
      </c>
      <c r="CB581" t="s">
        <v>135</v>
      </c>
      <c r="CH581" s="2"/>
      <c r="CJ581" s="2"/>
      <c r="CL581" s="2"/>
      <c r="CN581" s="2"/>
      <c r="CQ581" s="2"/>
      <c r="CT581" s="2"/>
      <c r="CW581" s="2"/>
    </row>
    <row r="582" spans="1:101" x14ac:dyDescent="0.25">
      <c r="A582" s="1" t="s">
        <v>163</v>
      </c>
      <c r="B582" s="75" t="s">
        <v>164</v>
      </c>
      <c r="C582">
        <v>0</v>
      </c>
      <c r="D582">
        <v>0</v>
      </c>
      <c r="E582">
        <v>0</v>
      </c>
      <c r="F582">
        <v>604324.56000000006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3.91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7490</v>
      </c>
      <c r="AW582">
        <v>3350</v>
      </c>
      <c r="AX582">
        <v>1219</v>
      </c>
      <c r="AY582">
        <v>12059</v>
      </c>
      <c r="AZ582">
        <v>4202</v>
      </c>
      <c r="BA582">
        <v>7438</v>
      </c>
      <c r="BB582">
        <v>1432</v>
      </c>
      <c r="BC582">
        <v>13072</v>
      </c>
      <c r="BD582">
        <v>9486</v>
      </c>
      <c r="BE582">
        <v>9222</v>
      </c>
      <c r="BF582">
        <v>1768</v>
      </c>
      <c r="BG582">
        <v>20476</v>
      </c>
      <c r="BH582">
        <v>0</v>
      </c>
      <c r="BI582">
        <v>0</v>
      </c>
      <c r="BJ582">
        <v>0</v>
      </c>
      <c r="BK582">
        <v>0</v>
      </c>
      <c r="BL582" s="2">
        <v>24.82</v>
      </c>
      <c r="BM582" s="2">
        <v>42005.095138888886</v>
      </c>
      <c r="BN582" s="2">
        <v>5.4</v>
      </c>
      <c r="BO582" s="2">
        <v>42005.092361111114</v>
      </c>
      <c r="BP582" s="2">
        <v>6.92</v>
      </c>
      <c r="BQ582" s="2">
        <v>42005.092361111114</v>
      </c>
      <c r="BR582" s="2">
        <v>11.07</v>
      </c>
      <c r="BS582" s="2">
        <v>42005.092361111114</v>
      </c>
      <c r="BT582">
        <v>0</v>
      </c>
      <c r="BU582">
        <v>0</v>
      </c>
      <c r="BV582" t="s">
        <v>135</v>
      </c>
      <c r="BW582">
        <v>0</v>
      </c>
      <c r="BX582">
        <v>0</v>
      </c>
      <c r="BY582" t="s">
        <v>135</v>
      </c>
      <c r="BZ582">
        <v>0</v>
      </c>
      <c r="CA582">
        <v>0</v>
      </c>
      <c r="CB582" t="s">
        <v>135</v>
      </c>
      <c r="CH582" s="2"/>
      <c r="CJ582" s="2"/>
      <c r="CL582" s="2"/>
      <c r="CN582" s="2"/>
      <c r="CQ582" s="2"/>
      <c r="CT582" s="2"/>
      <c r="CW582" s="2"/>
    </row>
    <row r="583" spans="1:101" x14ac:dyDescent="0.25">
      <c r="A583" s="1" t="s">
        <v>163</v>
      </c>
      <c r="B583" s="75" t="s">
        <v>164</v>
      </c>
      <c r="C583">
        <v>0</v>
      </c>
      <c r="D583">
        <v>0</v>
      </c>
      <c r="E583">
        <v>0</v>
      </c>
      <c r="F583">
        <v>604324.56000000006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3.91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7490</v>
      </c>
      <c r="AW583">
        <v>3350</v>
      </c>
      <c r="AX583">
        <v>1219</v>
      </c>
      <c r="AY583">
        <v>12059</v>
      </c>
      <c r="AZ583">
        <v>4202</v>
      </c>
      <c r="BA583">
        <v>7438</v>
      </c>
      <c r="BB583">
        <v>1432</v>
      </c>
      <c r="BC583">
        <v>13072</v>
      </c>
      <c r="BD583">
        <v>9486</v>
      </c>
      <c r="BE583">
        <v>9222</v>
      </c>
      <c r="BF583">
        <v>1768</v>
      </c>
      <c r="BG583">
        <v>20476</v>
      </c>
      <c r="BH583">
        <v>0</v>
      </c>
      <c r="BI583">
        <v>0</v>
      </c>
      <c r="BJ583">
        <v>0</v>
      </c>
      <c r="BK583">
        <v>0</v>
      </c>
      <c r="BL583" s="2">
        <v>24.82</v>
      </c>
      <c r="BM583" s="2">
        <v>42005.095138888886</v>
      </c>
      <c r="BN583" s="2">
        <v>5.4</v>
      </c>
      <c r="BO583" s="2">
        <v>42005.092361111114</v>
      </c>
      <c r="BP583" s="2">
        <v>6.92</v>
      </c>
      <c r="BQ583" s="2">
        <v>42005.092361111114</v>
      </c>
      <c r="BR583" s="2">
        <v>11.07</v>
      </c>
      <c r="BS583" s="2">
        <v>42005.092361111114</v>
      </c>
      <c r="BT583">
        <v>0</v>
      </c>
      <c r="BU583">
        <v>0</v>
      </c>
      <c r="BV583" t="s">
        <v>135</v>
      </c>
      <c r="BW583">
        <v>0</v>
      </c>
      <c r="BX583">
        <v>0</v>
      </c>
      <c r="BY583" t="s">
        <v>135</v>
      </c>
      <c r="BZ583">
        <v>0</v>
      </c>
      <c r="CA583">
        <v>0</v>
      </c>
      <c r="CB583" t="s">
        <v>135</v>
      </c>
      <c r="CH583" s="2"/>
      <c r="CJ583" s="2"/>
      <c r="CL583" s="2"/>
      <c r="CN583" s="2"/>
      <c r="CQ583" s="2"/>
      <c r="CT583" s="2"/>
      <c r="CW583" s="2"/>
    </row>
    <row r="584" spans="1:101" x14ac:dyDescent="0.25">
      <c r="A584" s="1" t="s">
        <v>163</v>
      </c>
      <c r="B584" s="75" t="s">
        <v>164</v>
      </c>
      <c r="C584">
        <v>0</v>
      </c>
      <c r="D584">
        <v>0</v>
      </c>
      <c r="E584">
        <v>0</v>
      </c>
      <c r="F584">
        <v>604324.56000000006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3.91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7490</v>
      </c>
      <c r="AW584">
        <v>3350</v>
      </c>
      <c r="AX584">
        <v>1219</v>
      </c>
      <c r="AY584">
        <v>12059</v>
      </c>
      <c r="AZ584">
        <v>4202</v>
      </c>
      <c r="BA584">
        <v>7438</v>
      </c>
      <c r="BB584">
        <v>1432</v>
      </c>
      <c r="BC584">
        <v>13072</v>
      </c>
      <c r="BD584">
        <v>9486</v>
      </c>
      <c r="BE584">
        <v>9222</v>
      </c>
      <c r="BF584">
        <v>1768</v>
      </c>
      <c r="BG584">
        <v>20476</v>
      </c>
      <c r="BH584">
        <v>0</v>
      </c>
      <c r="BI584">
        <v>0</v>
      </c>
      <c r="BJ584">
        <v>0</v>
      </c>
      <c r="BK584">
        <v>0</v>
      </c>
      <c r="BL584" s="2">
        <v>24.82</v>
      </c>
      <c r="BM584" s="2">
        <v>42005.095138888886</v>
      </c>
      <c r="BN584" s="2">
        <v>5.4</v>
      </c>
      <c r="BO584" s="2">
        <v>42005.092361111114</v>
      </c>
      <c r="BP584" s="2">
        <v>6.92</v>
      </c>
      <c r="BQ584" s="2">
        <v>42005.092361111114</v>
      </c>
      <c r="BR584" s="2">
        <v>11.07</v>
      </c>
      <c r="BS584" s="2">
        <v>42005.092361111114</v>
      </c>
      <c r="BT584">
        <v>0</v>
      </c>
      <c r="BU584">
        <v>0</v>
      </c>
      <c r="BV584" t="s">
        <v>135</v>
      </c>
      <c r="BW584">
        <v>0</v>
      </c>
      <c r="BX584">
        <v>0</v>
      </c>
      <c r="BY584" t="s">
        <v>135</v>
      </c>
      <c r="BZ584">
        <v>0</v>
      </c>
      <c r="CA584">
        <v>0</v>
      </c>
      <c r="CB584" t="s">
        <v>135</v>
      </c>
      <c r="CH584" s="2"/>
      <c r="CJ584" s="2"/>
      <c r="CL584" s="2"/>
      <c r="CN584" s="2"/>
      <c r="CQ584" s="2"/>
      <c r="CT584" s="2"/>
      <c r="CW584" s="2"/>
    </row>
    <row r="585" spans="1:101" x14ac:dyDescent="0.25">
      <c r="A585" s="1" t="s">
        <v>163</v>
      </c>
      <c r="B585" s="75" t="s">
        <v>164</v>
      </c>
      <c r="C585">
        <v>0</v>
      </c>
      <c r="D585">
        <v>0</v>
      </c>
      <c r="E585">
        <v>0</v>
      </c>
      <c r="F585">
        <v>604324.56000000006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3.91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7490</v>
      </c>
      <c r="AW585">
        <v>3350</v>
      </c>
      <c r="AX585">
        <v>1219</v>
      </c>
      <c r="AY585">
        <v>12059</v>
      </c>
      <c r="AZ585">
        <v>4202</v>
      </c>
      <c r="BA585">
        <v>7438</v>
      </c>
      <c r="BB585">
        <v>1432</v>
      </c>
      <c r="BC585">
        <v>13072</v>
      </c>
      <c r="BD585">
        <v>9486</v>
      </c>
      <c r="BE585">
        <v>9222</v>
      </c>
      <c r="BF585">
        <v>1768</v>
      </c>
      <c r="BG585">
        <v>20476</v>
      </c>
      <c r="BH585">
        <v>0</v>
      </c>
      <c r="BI585">
        <v>0</v>
      </c>
      <c r="BJ585">
        <v>0</v>
      </c>
      <c r="BK585">
        <v>0</v>
      </c>
      <c r="BL585" s="2">
        <v>24.82</v>
      </c>
      <c r="BM585" s="2">
        <v>42005.095138888886</v>
      </c>
      <c r="BN585" s="2">
        <v>5.4</v>
      </c>
      <c r="BO585" s="2">
        <v>42005.092361111114</v>
      </c>
      <c r="BP585" s="2">
        <v>6.92</v>
      </c>
      <c r="BQ585" s="2">
        <v>42005.092361111114</v>
      </c>
      <c r="BR585" s="2">
        <v>11.07</v>
      </c>
      <c r="BS585" s="2">
        <v>42005.092361111114</v>
      </c>
      <c r="BT585">
        <v>0</v>
      </c>
      <c r="BU585">
        <v>0</v>
      </c>
      <c r="BV585" t="s">
        <v>135</v>
      </c>
      <c r="BW585">
        <v>0</v>
      </c>
      <c r="BX585">
        <v>0</v>
      </c>
      <c r="BY585" t="s">
        <v>135</v>
      </c>
      <c r="BZ585">
        <v>0</v>
      </c>
      <c r="CA585">
        <v>0</v>
      </c>
      <c r="CB585" t="s">
        <v>135</v>
      </c>
      <c r="CH585" s="2"/>
      <c r="CJ585" s="2"/>
      <c r="CL585" s="2"/>
      <c r="CN585" s="2"/>
      <c r="CQ585" s="2"/>
      <c r="CT585" s="2"/>
      <c r="CW585" s="2"/>
    </row>
    <row r="586" spans="1:101" x14ac:dyDescent="0.25">
      <c r="A586" s="1" t="s">
        <v>163</v>
      </c>
      <c r="B586" s="75" t="s">
        <v>164</v>
      </c>
      <c r="C586">
        <v>0</v>
      </c>
      <c r="D586">
        <v>0</v>
      </c>
      <c r="E586">
        <v>0</v>
      </c>
      <c r="F586">
        <v>604324.56000000006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3.91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7490</v>
      </c>
      <c r="AW586">
        <v>3350</v>
      </c>
      <c r="AX586">
        <v>1219</v>
      </c>
      <c r="AY586">
        <v>12059</v>
      </c>
      <c r="AZ586">
        <v>4202</v>
      </c>
      <c r="BA586">
        <v>7438</v>
      </c>
      <c r="BB586">
        <v>1432</v>
      </c>
      <c r="BC586">
        <v>13072</v>
      </c>
      <c r="BD586">
        <v>9486</v>
      </c>
      <c r="BE586">
        <v>9222</v>
      </c>
      <c r="BF586">
        <v>1768</v>
      </c>
      <c r="BG586">
        <v>20476</v>
      </c>
      <c r="BH586">
        <v>0</v>
      </c>
      <c r="BI586">
        <v>0</v>
      </c>
      <c r="BJ586">
        <v>0</v>
      </c>
      <c r="BK586">
        <v>0</v>
      </c>
      <c r="BL586" s="2">
        <v>24.82</v>
      </c>
      <c r="BM586" s="2">
        <v>42005.095138888886</v>
      </c>
      <c r="BN586" s="2">
        <v>5.4</v>
      </c>
      <c r="BO586" s="2">
        <v>42005.092361111114</v>
      </c>
      <c r="BP586" s="2">
        <v>6.92</v>
      </c>
      <c r="BQ586" s="2">
        <v>42005.092361111114</v>
      </c>
      <c r="BR586" s="2">
        <v>11.07</v>
      </c>
      <c r="BS586" s="2">
        <v>42005.092361111114</v>
      </c>
      <c r="BT586">
        <v>0</v>
      </c>
      <c r="BU586">
        <v>0</v>
      </c>
      <c r="BV586" t="s">
        <v>135</v>
      </c>
      <c r="BW586">
        <v>0</v>
      </c>
      <c r="BX586">
        <v>0</v>
      </c>
      <c r="BY586" t="s">
        <v>135</v>
      </c>
      <c r="BZ586">
        <v>0</v>
      </c>
      <c r="CA586">
        <v>0</v>
      </c>
      <c r="CB586" t="s">
        <v>135</v>
      </c>
      <c r="CH586" s="2"/>
      <c r="CJ586" s="2"/>
      <c r="CL586" s="2"/>
      <c r="CN586" s="2"/>
      <c r="CQ586" s="2"/>
      <c r="CT586" s="2"/>
      <c r="CW586" s="2"/>
    </row>
    <row r="587" spans="1:101" x14ac:dyDescent="0.25">
      <c r="A587" s="1" t="s">
        <v>163</v>
      </c>
      <c r="B587" s="75" t="s">
        <v>164</v>
      </c>
      <c r="C587">
        <v>0</v>
      </c>
      <c r="D587">
        <v>0</v>
      </c>
      <c r="E587">
        <v>0</v>
      </c>
      <c r="F587">
        <v>604324.56000000006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3.91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7490</v>
      </c>
      <c r="AW587">
        <v>3350</v>
      </c>
      <c r="AX587">
        <v>1219</v>
      </c>
      <c r="AY587">
        <v>12059</v>
      </c>
      <c r="AZ587">
        <v>4202</v>
      </c>
      <c r="BA587">
        <v>7438</v>
      </c>
      <c r="BB587">
        <v>1432</v>
      </c>
      <c r="BC587">
        <v>13072</v>
      </c>
      <c r="BD587">
        <v>9486</v>
      </c>
      <c r="BE587">
        <v>9222</v>
      </c>
      <c r="BF587">
        <v>1768</v>
      </c>
      <c r="BG587">
        <v>20476</v>
      </c>
      <c r="BH587">
        <v>0</v>
      </c>
      <c r="BI587">
        <v>0</v>
      </c>
      <c r="BJ587">
        <v>0</v>
      </c>
      <c r="BK587">
        <v>0</v>
      </c>
      <c r="BL587" s="2">
        <v>24.82</v>
      </c>
      <c r="BM587" s="2">
        <v>42005.095138888886</v>
      </c>
      <c r="BN587" s="2">
        <v>5.4</v>
      </c>
      <c r="BO587" s="2">
        <v>42005.092361111114</v>
      </c>
      <c r="BP587" s="2">
        <v>6.92</v>
      </c>
      <c r="BQ587" s="2">
        <v>42005.092361111114</v>
      </c>
      <c r="BR587" s="2">
        <v>11.07</v>
      </c>
      <c r="BS587" s="2">
        <v>42005.092361111114</v>
      </c>
      <c r="BT587">
        <v>0</v>
      </c>
      <c r="BU587">
        <v>0</v>
      </c>
      <c r="BV587" t="s">
        <v>135</v>
      </c>
      <c r="BW587">
        <v>0</v>
      </c>
      <c r="BX587">
        <v>0</v>
      </c>
      <c r="BY587" t="s">
        <v>135</v>
      </c>
      <c r="BZ587">
        <v>0</v>
      </c>
      <c r="CA587">
        <v>0</v>
      </c>
      <c r="CB587" t="s">
        <v>135</v>
      </c>
      <c r="CH587" s="2"/>
      <c r="CJ587" s="2"/>
      <c r="CL587" s="2"/>
      <c r="CN587" s="2"/>
      <c r="CQ587" s="2"/>
      <c r="CT587" s="2"/>
      <c r="CW587" s="2"/>
    </row>
    <row r="588" spans="1:101" x14ac:dyDescent="0.25">
      <c r="A588" s="1" t="s">
        <v>163</v>
      </c>
      <c r="B588" s="75" t="s">
        <v>164</v>
      </c>
      <c r="C588">
        <v>0</v>
      </c>
      <c r="D588">
        <v>0</v>
      </c>
      <c r="E588">
        <v>0</v>
      </c>
      <c r="F588">
        <v>604324.56000000006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3.91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7490</v>
      </c>
      <c r="AW588">
        <v>3350</v>
      </c>
      <c r="AX588">
        <v>1219</v>
      </c>
      <c r="AY588">
        <v>12059</v>
      </c>
      <c r="AZ588">
        <v>4202</v>
      </c>
      <c r="BA588">
        <v>7438</v>
      </c>
      <c r="BB588">
        <v>1432</v>
      </c>
      <c r="BC588">
        <v>13072</v>
      </c>
      <c r="BD588">
        <v>9486</v>
      </c>
      <c r="BE588">
        <v>9222</v>
      </c>
      <c r="BF588">
        <v>1768</v>
      </c>
      <c r="BG588">
        <v>20476</v>
      </c>
      <c r="BH588">
        <v>0</v>
      </c>
      <c r="BI588">
        <v>0</v>
      </c>
      <c r="BJ588">
        <v>0</v>
      </c>
      <c r="BK588">
        <v>0</v>
      </c>
      <c r="BL588" s="2">
        <v>24.82</v>
      </c>
      <c r="BM588" s="2">
        <v>42005.095138888886</v>
      </c>
      <c r="BN588" s="2">
        <v>5.4</v>
      </c>
      <c r="BO588" s="2">
        <v>42005.092361111114</v>
      </c>
      <c r="BP588" s="2">
        <v>6.92</v>
      </c>
      <c r="BQ588" s="2">
        <v>42005.092361111114</v>
      </c>
      <c r="BR588" s="2">
        <v>11.07</v>
      </c>
      <c r="BS588" s="2">
        <v>42005.092361111114</v>
      </c>
      <c r="BT588">
        <v>0</v>
      </c>
      <c r="BU588">
        <v>0</v>
      </c>
      <c r="BV588" t="s">
        <v>135</v>
      </c>
      <c r="BW588">
        <v>0</v>
      </c>
      <c r="BX588">
        <v>0</v>
      </c>
      <c r="BY588" t="s">
        <v>135</v>
      </c>
      <c r="BZ588">
        <v>0</v>
      </c>
      <c r="CA588">
        <v>0</v>
      </c>
      <c r="CB588" t="s">
        <v>135</v>
      </c>
      <c r="CH588" s="2"/>
      <c r="CJ588" s="2"/>
      <c r="CL588" s="2"/>
      <c r="CN588" s="2"/>
      <c r="CQ588" s="2"/>
      <c r="CT588" s="2"/>
      <c r="CW588" s="2"/>
    </row>
    <row r="589" spans="1:101" x14ac:dyDescent="0.25">
      <c r="A589" s="1" t="s">
        <v>163</v>
      </c>
      <c r="B589" s="75" t="s">
        <v>164</v>
      </c>
      <c r="C589">
        <v>0</v>
      </c>
      <c r="D589">
        <v>0</v>
      </c>
      <c r="E589">
        <v>0</v>
      </c>
      <c r="F589">
        <v>604324.56000000006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3.91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7490</v>
      </c>
      <c r="AW589">
        <v>3350</v>
      </c>
      <c r="AX589">
        <v>1219</v>
      </c>
      <c r="AY589">
        <v>12059</v>
      </c>
      <c r="AZ589">
        <v>4202</v>
      </c>
      <c r="BA589">
        <v>7438</v>
      </c>
      <c r="BB589">
        <v>1432</v>
      </c>
      <c r="BC589">
        <v>13072</v>
      </c>
      <c r="BD589">
        <v>9486</v>
      </c>
      <c r="BE589">
        <v>9222</v>
      </c>
      <c r="BF589">
        <v>1768</v>
      </c>
      <c r="BG589">
        <v>20476</v>
      </c>
      <c r="BH589">
        <v>0</v>
      </c>
      <c r="BI589">
        <v>0</v>
      </c>
      <c r="BJ589">
        <v>0</v>
      </c>
      <c r="BK589">
        <v>0</v>
      </c>
      <c r="BL589" s="2">
        <v>24.82</v>
      </c>
      <c r="BM589" s="2">
        <v>42005.095138888886</v>
      </c>
      <c r="BN589" s="2">
        <v>5.4</v>
      </c>
      <c r="BO589" s="2">
        <v>42005.092361111114</v>
      </c>
      <c r="BP589" s="2">
        <v>6.92</v>
      </c>
      <c r="BQ589" s="2">
        <v>42005.092361111114</v>
      </c>
      <c r="BR589" s="2">
        <v>11.07</v>
      </c>
      <c r="BS589" s="2">
        <v>42005.092361111114</v>
      </c>
      <c r="BT589">
        <v>0</v>
      </c>
      <c r="BU589">
        <v>0</v>
      </c>
      <c r="BV589" t="s">
        <v>135</v>
      </c>
      <c r="BW589">
        <v>0</v>
      </c>
      <c r="BX589">
        <v>0</v>
      </c>
      <c r="BY589" t="s">
        <v>135</v>
      </c>
      <c r="BZ589">
        <v>0</v>
      </c>
      <c r="CA589">
        <v>0</v>
      </c>
      <c r="CB589" t="s">
        <v>135</v>
      </c>
      <c r="CH589" s="2"/>
      <c r="CJ589" s="2"/>
      <c r="CL589" s="2"/>
      <c r="CN589" s="2"/>
      <c r="CQ589" s="2"/>
      <c r="CT589" s="2"/>
      <c r="CW589" s="2"/>
    </row>
    <row r="590" spans="1:101" x14ac:dyDescent="0.25">
      <c r="A590" s="1" t="s">
        <v>163</v>
      </c>
      <c r="B590" s="75" t="s">
        <v>164</v>
      </c>
      <c r="C590">
        <v>0</v>
      </c>
      <c r="D590">
        <v>0</v>
      </c>
      <c r="E590">
        <v>0</v>
      </c>
      <c r="F590">
        <v>604324.56000000006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3.91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7490</v>
      </c>
      <c r="AW590">
        <v>3350</v>
      </c>
      <c r="AX590">
        <v>1219</v>
      </c>
      <c r="AY590">
        <v>12059</v>
      </c>
      <c r="AZ590">
        <v>4202</v>
      </c>
      <c r="BA590">
        <v>7438</v>
      </c>
      <c r="BB590">
        <v>1432</v>
      </c>
      <c r="BC590">
        <v>13072</v>
      </c>
      <c r="BD590">
        <v>9486</v>
      </c>
      <c r="BE590">
        <v>9222</v>
      </c>
      <c r="BF590">
        <v>1768</v>
      </c>
      <c r="BG590">
        <v>20476</v>
      </c>
      <c r="BH590">
        <v>0</v>
      </c>
      <c r="BI590">
        <v>0</v>
      </c>
      <c r="BJ590">
        <v>0</v>
      </c>
      <c r="BK590">
        <v>0</v>
      </c>
      <c r="BL590" s="2">
        <v>24.82</v>
      </c>
      <c r="BM590" s="2">
        <v>42005.095138888886</v>
      </c>
      <c r="BN590" s="2">
        <v>5.4</v>
      </c>
      <c r="BO590" s="2">
        <v>42005.092361111114</v>
      </c>
      <c r="BP590" s="2">
        <v>6.92</v>
      </c>
      <c r="BQ590" s="2">
        <v>42005.092361111114</v>
      </c>
      <c r="BR590" s="2">
        <v>11.07</v>
      </c>
      <c r="BS590" s="2">
        <v>42005.092361111114</v>
      </c>
      <c r="BT590">
        <v>0</v>
      </c>
      <c r="BU590">
        <v>0</v>
      </c>
      <c r="BV590" t="s">
        <v>135</v>
      </c>
      <c r="BW590">
        <v>0</v>
      </c>
      <c r="BX590">
        <v>0</v>
      </c>
      <c r="BY590" t="s">
        <v>135</v>
      </c>
      <c r="BZ590">
        <v>0</v>
      </c>
      <c r="CA590">
        <v>0</v>
      </c>
      <c r="CB590" t="s">
        <v>135</v>
      </c>
      <c r="CH590" s="2"/>
      <c r="CJ590" s="2"/>
      <c r="CL590" s="2"/>
      <c r="CN590" s="2"/>
      <c r="CQ590" s="2"/>
      <c r="CT590" s="2"/>
      <c r="CW590" s="2"/>
    </row>
    <row r="591" spans="1:101" x14ac:dyDescent="0.25">
      <c r="A591" s="1" t="s">
        <v>163</v>
      </c>
      <c r="B591" s="75" t="s">
        <v>164</v>
      </c>
      <c r="C591">
        <v>0</v>
      </c>
      <c r="D591">
        <v>0</v>
      </c>
      <c r="E591">
        <v>0</v>
      </c>
      <c r="F591">
        <v>604324.56000000006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3.91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7490</v>
      </c>
      <c r="AW591">
        <v>3350</v>
      </c>
      <c r="AX591">
        <v>1219</v>
      </c>
      <c r="AY591">
        <v>12059</v>
      </c>
      <c r="AZ591">
        <v>4202</v>
      </c>
      <c r="BA591">
        <v>7438</v>
      </c>
      <c r="BB591">
        <v>1432</v>
      </c>
      <c r="BC591">
        <v>13072</v>
      </c>
      <c r="BD591">
        <v>9486</v>
      </c>
      <c r="BE591">
        <v>9222</v>
      </c>
      <c r="BF591">
        <v>1768</v>
      </c>
      <c r="BG591">
        <v>20476</v>
      </c>
      <c r="BH591">
        <v>0</v>
      </c>
      <c r="BI591">
        <v>0</v>
      </c>
      <c r="BJ591">
        <v>0</v>
      </c>
      <c r="BK591">
        <v>0</v>
      </c>
      <c r="BL591" s="2">
        <v>24.82</v>
      </c>
      <c r="BM591" s="2">
        <v>42005.095138888886</v>
      </c>
      <c r="BN591" s="2">
        <v>5.4</v>
      </c>
      <c r="BO591" s="2">
        <v>42005.092361111114</v>
      </c>
      <c r="BP591" s="2">
        <v>6.92</v>
      </c>
      <c r="BQ591" s="2">
        <v>42005.092361111114</v>
      </c>
      <c r="BR591" s="2">
        <v>11.07</v>
      </c>
      <c r="BS591" s="2">
        <v>42005.092361111114</v>
      </c>
      <c r="BT591">
        <v>0</v>
      </c>
      <c r="BU591">
        <v>0</v>
      </c>
      <c r="BV591" t="s">
        <v>135</v>
      </c>
      <c r="BW591">
        <v>0</v>
      </c>
      <c r="BX591">
        <v>0</v>
      </c>
      <c r="BY591" t="s">
        <v>135</v>
      </c>
      <c r="BZ591">
        <v>0</v>
      </c>
      <c r="CA591">
        <v>0</v>
      </c>
      <c r="CB591" t="s">
        <v>135</v>
      </c>
      <c r="CH591" s="2"/>
      <c r="CJ591" s="2"/>
      <c r="CL591" s="2"/>
      <c r="CN591" s="2"/>
      <c r="CQ591" s="2"/>
      <c r="CT591" s="2"/>
      <c r="CW591" s="2"/>
    </row>
    <row r="592" spans="1:101" x14ac:dyDescent="0.25">
      <c r="A592" s="1" t="s">
        <v>163</v>
      </c>
      <c r="B592" s="75" t="s">
        <v>164</v>
      </c>
      <c r="C592">
        <v>0</v>
      </c>
      <c r="D592">
        <v>0</v>
      </c>
      <c r="E592">
        <v>0</v>
      </c>
      <c r="F592">
        <v>604324.56000000006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3.91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7490</v>
      </c>
      <c r="AW592">
        <v>3350</v>
      </c>
      <c r="AX592">
        <v>1219</v>
      </c>
      <c r="AY592">
        <v>12059</v>
      </c>
      <c r="AZ592">
        <v>4202</v>
      </c>
      <c r="BA592">
        <v>7438</v>
      </c>
      <c r="BB592">
        <v>1432</v>
      </c>
      <c r="BC592">
        <v>13072</v>
      </c>
      <c r="BD592">
        <v>9486</v>
      </c>
      <c r="BE592">
        <v>9222</v>
      </c>
      <c r="BF592">
        <v>1768</v>
      </c>
      <c r="BG592">
        <v>20476</v>
      </c>
      <c r="BH592">
        <v>0</v>
      </c>
      <c r="BI592">
        <v>0</v>
      </c>
      <c r="BJ592">
        <v>0</v>
      </c>
      <c r="BK592">
        <v>0</v>
      </c>
      <c r="BL592" s="2">
        <v>24.82</v>
      </c>
      <c r="BM592" s="2">
        <v>42005.095138888886</v>
      </c>
      <c r="BN592" s="2">
        <v>5.4</v>
      </c>
      <c r="BO592" s="2">
        <v>42005.092361111114</v>
      </c>
      <c r="BP592" s="2">
        <v>6.92</v>
      </c>
      <c r="BQ592" s="2">
        <v>42005.092361111114</v>
      </c>
      <c r="BR592" s="2">
        <v>11.07</v>
      </c>
      <c r="BS592" s="2">
        <v>42005.092361111114</v>
      </c>
      <c r="BT592">
        <v>0</v>
      </c>
      <c r="BU592">
        <v>0</v>
      </c>
      <c r="BV592" t="s">
        <v>135</v>
      </c>
      <c r="BW592">
        <v>0</v>
      </c>
      <c r="BX592">
        <v>0</v>
      </c>
      <c r="BY592" t="s">
        <v>135</v>
      </c>
      <c r="BZ592">
        <v>0</v>
      </c>
      <c r="CA592">
        <v>0</v>
      </c>
      <c r="CB592" t="s">
        <v>135</v>
      </c>
      <c r="CH592" s="2"/>
      <c r="CJ592" s="2"/>
      <c r="CL592" s="2"/>
      <c r="CN592" s="2"/>
      <c r="CQ592" s="2"/>
      <c r="CT592" s="2"/>
      <c r="CW592" s="2"/>
    </row>
    <row r="593" spans="1:101" x14ac:dyDescent="0.25">
      <c r="A593" s="1" t="s">
        <v>163</v>
      </c>
      <c r="B593" s="75" t="s">
        <v>164</v>
      </c>
      <c r="C593">
        <v>0</v>
      </c>
      <c r="D593">
        <v>0</v>
      </c>
      <c r="E593">
        <v>0</v>
      </c>
      <c r="F593">
        <v>604324.56000000006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3.91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7490</v>
      </c>
      <c r="AW593">
        <v>3350</v>
      </c>
      <c r="AX593">
        <v>1219</v>
      </c>
      <c r="AY593">
        <v>12059</v>
      </c>
      <c r="AZ593">
        <v>4202</v>
      </c>
      <c r="BA593">
        <v>7438</v>
      </c>
      <c r="BB593">
        <v>1432</v>
      </c>
      <c r="BC593">
        <v>13072</v>
      </c>
      <c r="BD593">
        <v>9486</v>
      </c>
      <c r="BE593">
        <v>9222</v>
      </c>
      <c r="BF593">
        <v>1768</v>
      </c>
      <c r="BG593">
        <v>20476</v>
      </c>
      <c r="BH593">
        <v>0</v>
      </c>
      <c r="BI593">
        <v>0</v>
      </c>
      <c r="BJ593">
        <v>0</v>
      </c>
      <c r="BK593">
        <v>0</v>
      </c>
      <c r="BL593" s="2">
        <v>24.82</v>
      </c>
      <c r="BM593" s="2">
        <v>42005.095138888886</v>
      </c>
      <c r="BN593" s="2">
        <v>5.4</v>
      </c>
      <c r="BO593" s="2">
        <v>42005.092361111114</v>
      </c>
      <c r="BP593" s="2">
        <v>6.92</v>
      </c>
      <c r="BQ593" s="2">
        <v>42005.092361111114</v>
      </c>
      <c r="BR593" s="2">
        <v>11.07</v>
      </c>
      <c r="BS593" s="2">
        <v>42005.092361111114</v>
      </c>
      <c r="BT593">
        <v>0</v>
      </c>
      <c r="BU593">
        <v>0</v>
      </c>
      <c r="BV593" t="s">
        <v>135</v>
      </c>
      <c r="BW593">
        <v>0</v>
      </c>
      <c r="BX593">
        <v>0</v>
      </c>
      <c r="BY593" t="s">
        <v>135</v>
      </c>
      <c r="BZ593">
        <v>0</v>
      </c>
      <c r="CA593">
        <v>0</v>
      </c>
      <c r="CB593" t="s">
        <v>135</v>
      </c>
      <c r="CH593" s="2"/>
      <c r="CJ593" s="2"/>
      <c r="CL593" s="2"/>
      <c r="CN593" s="2"/>
      <c r="CQ593" s="2"/>
      <c r="CT593" s="2"/>
      <c r="CW593" s="2"/>
    </row>
    <row r="594" spans="1:101" x14ac:dyDescent="0.25">
      <c r="A594" s="1" t="s">
        <v>163</v>
      </c>
      <c r="B594" s="75" t="s">
        <v>164</v>
      </c>
      <c r="C594">
        <v>0</v>
      </c>
      <c r="D594">
        <v>0</v>
      </c>
      <c r="E594">
        <v>0</v>
      </c>
      <c r="F594">
        <v>604324.56000000006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3.91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7490</v>
      </c>
      <c r="AW594">
        <v>3350</v>
      </c>
      <c r="AX594">
        <v>1219</v>
      </c>
      <c r="AY594">
        <v>12059</v>
      </c>
      <c r="AZ594">
        <v>4202</v>
      </c>
      <c r="BA594">
        <v>7438</v>
      </c>
      <c r="BB594">
        <v>1432</v>
      </c>
      <c r="BC594">
        <v>13072</v>
      </c>
      <c r="BD594">
        <v>9486</v>
      </c>
      <c r="BE594">
        <v>9222</v>
      </c>
      <c r="BF594">
        <v>1768</v>
      </c>
      <c r="BG594">
        <v>20476</v>
      </c>
      <c r="BH594">
        <v>0</v>
      </c>
      <c r="BI594">
        <v>0</v>
      </c>
      <c r="BJ594">
        <v>0</v>
      </c>
      <c r="BK594">
        <v>0</v>
      </c>
      <c r="BL594" s="2">
        <v>24.82</v>
      </c>
      <c r="BM594" s="2">
        <v>42005.095138888886</v>
      </c>
      <c r="BN594" s="2">
        <v>5.4</v>
      </c>
      <c r="BO594" s="2">
        <v>42005.092361111114</v>
      </c>
      <c r="BP594" s="2">
        <v>6.92</v>
      </c>
      <c r="BQ594" s="2">
        <v>42005.092361111114</v>
      </c>
      <c r="BR594" s="2">
        <v>11.07</v>
      </c>
      <c r="BS594" s="2">
        <v>42005.092361111114</v>
      </c>
      <c r="BT594">
        <v>0</v>
      </c>
      <c r="BU594">
        <v>0</v>
      </c>
      <c r="BV594" t="s">
        <v>135</v>
      </c>
      <c r="BW594">
        <v>0</v>
      </c>
      <c r="BX594">
        <v>0</v>
      </c>
      <c r="BY594" t="s">
        <v>135</v>
      </c>
      <c r="BZ594">
        <v>0</v>
      </c>
      <c r="CA594">
        <v>0</v>
      </c>
      <c r="CB594" t="s">
        <v>135</v>
      </c>
      <c r="CH594" s="2"/>
      <c r="CJ594" s="2"/>
      <c r="CL594" s="2"/>
      <c r="CN594" s="2"/>
      <c r="CQ594" s="2"/>
      <c r="CT594" s="2"/>
      <c r="CW594" s="2"/>
    </row>
    <row r="595" spans="1:101" x14ac:dyDescent="0.25">
      <c r="A595" s="1" t="s">
        <v>163</v>
      </c>
      <c r="B595" s="75" t="s">
        <v>164</v>
      </c>
      <c r="C595">
        <v>0</v>
      </c>
      <c r="D595">
        <v>0</v>
      </c>
      <c r="E595">
        <v>0</v>
      </c>
      <c r="F595">
        <v>604324.56000000006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3.91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7490</v>
      </c>
      <c r="AW595">
        <v>3350</v>
      </c>
      <c r="AX595">
        <v>1219</v>
      </c>
      <c r="AY595">
        <v>12059</v>
      </c>
      <c r="AZ595">
        <v>4202</v>
      </c>
      <c r="BA595">
        <v>7438</v>
      </c>
      <c r="BB595">
        <v>1432</v>
      </c>
      <c r="BC595">
        <v>13072</v>
      </c>
      <c r="BD595">
        <v>9486</v>
      </c>
      <c r="BE595">
        <v>9222</v>
      </c>
      <c r="BF595">
        <v>1768</v>
      </c>
      <c r="BG595">
        <v>20476</v>
      </c>
      <c r="BH595">
        <v>0</v>
      </c>
      <c r="BI595">
        <v>0</v>
      </c>
      <c r="BJ595">
        <v>0</v>
      </c>
      <c r="BK595">
        <v>0</v>
      </c>
      <c r="BL595" s="2">
        <v>24.82</v>
      </c>
      <c r="BM595" s="2">
        <v>42005.095138888886</v>
      </c>
      <c r="BN595" s="2">
        <v>5.4</v>
      </c>
      <c r="BO595" s="2">
        <v>42005.092361111114</v>
      </c>
      <c r="BP595" s="2">
        <v>6.92</v>
      </c>
      <c r="BQ595" s="2">
        <v>42005.092361111114</v>
      </c>
      <c r="BR595" s="2">
        <v>11.07</v>
      </c>
      <c r="BS595" s="2">
        <v>42005.092361111114</v>
      </c>
      <c r="BT595">
        <v>0</v>
      </c>
      <c r="BU595">
        <v>0</v>
      </c>
      <c r="BV595" t="s">
        <v>135</v>
      </c>
      <c r="BW595">
        <v>0</v>
      </c>
      <c r="BX595">
        <v>0</v>
      </c>
      <c r="BY595" t="s">
        <v>135</v>
      </c>
      <c r="BZ595">
        <v>0</v>
      </c>
      <c r="CA595">
        <v>0</v>
      </c>
      <c r="CB595" t="s">
        <v>135</v>
      </c>
      <c r="CH595" s="2"/>
      <c r="CJ595" s="2"/>
      <c r="CL595" s="2"/>
      <c r="CN595" s="2"/>
      <c r="CQ595" s="2"/>
      <c r="CT595" s="2"/>
      <c r="CW595" s="2"/>
    </row>
    <row r="596" spans="1:101" x14ac:dyDescent="0.25">
      <c r="A596" s="1" t="s">
        <v>163</v>
      </c>
      <c r="B596" s="75" t="s">
        <v>164</v>
      </c>
      <c r="C596">
        <v>0</v>
      </c>
      <c r="D596">
        <v>0</v>
      </c>
      <c r="E596">
        <v>0</v>
      </c>
      <c r="F596">
        <v>604324.56000000006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3.91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7490</v>
      </c>
      <c r="AW596">
        <v>3350</v>
      </c>
      <c r="AX596">
        <v>1219</v>
      </c>
      <c r="AY596">
        <v>12059</v>
      </c>
      <c r="AZ596">
        <v>4202</v>
      </c>
      <c r="BA596">
        <v>7438</v>
      </c>
      <c r="BB596">
        <v>1432</v>
      </c>
      <c r="BC596">
        <v>13072</v>
      </c>
      <c r="BD596">
        <v>9486</v>
      </c>
      <c r="BE596">
        <v>9222</v>
      </c>
      <c r="BF596">
        <v>1768</v>
      </c>
      <c r="BG596">
        <v>20476</v>
      </c>
      <c r="BH596">
        <v>0</v>
      </c>
      <c r="BI596">
        <v>0</v>
      </c>
      <c r="BJ596">
        <v>0</v>
      </c>
      <c r="BK596">
        <v>0</v>
      </c>
      <c r="BL596" s="2">
        <v>24.82</v>
      </c>
      <c r="BM596" s="2">
        <v>42005.095138888886</v>
      </c>
      <c r="BN596" s="2">
        <v>5.4</v>
      </c>
      <c r="BO596" s="2">
        <v>42005.092361111114</v>
      </c>
      <c r="BP596" s="2">
        <v>6.92</v>
      </c>
      <c r="BQ596" s="2">
        <v>42005.092361111114</v>
      </c>
      <c r="BR596" s="2">
        <v>11.07</v>
      </c>
      <c r="BS596" s="2">
        <v>42005.092361111114</v>
      </c>
      <c r="BT596">
        <v>0</v>
      </c>
      <c r="BU596">
        <v>0</v>
      </c>
      <c r="BV596" t="s">
        <v>135</v>
      </c>
      <c r="BW596">
        <v>0</v>
      </c>
      <c r="BX596">
        <v>0</v>
      </c>
      <c r="BY596" t="s">
        <v>135</v>
      </c>
      <c r="BZ596">
        <v>0</v>
      </c>
      <c r="CA596">
        <v>0</v>
      </c>
      <c r="CB596" t="s">
        <v>135</v>
      </c>
      <c r="CH596" s="2"/>
      <c r="CJ596" s="2"/>
      <c r="CL596" s="2"/>
      <c r="CN596" s="2"/>
      <c r="CQ596" s="2"/>
      <c r="CT596" s="2"/>
      <c r="CW596" s="2"/>
    </row>
    <row r="597" spans="1:101" x14ac:dyDescent="0.25">
      <c r="A597" s="1" t="s">
        <v>163</v>
      </c>
      <c r="B597" s="75" t="s">
        <v>164</v>
      </c>
      <c r="C597">
        <v>0</v>
      </c>
      <c r="D597">
        <v>0</v>
      </c>
      <c r="E597">
        <v>0</v>
      </c>
      <c r="F597">
        <v>604324.56000000006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3.91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7490</v>
      </c>
      <c r="AW597">
        <v>3350</v>
      </c>
      <c r="AX597">
        <v>1219</v>
      </c>
      <c r="AY597">
        <v>12059</v>
      </c>
      <c r="AZ597">
        <v>4202</v>
      </c>
      <c r="BA597">
        <v>7438</v>
      </c>
      <c r="BB597">
        <v>1432</v>
      </c>
      <c r="BC597">
        <v>13072</v>
      </c>
      <c r="BD597">
        <v>9486</v>
      </c>
      <c r="BE597">
        <v>9222</v>
      </c>
      <c r="BF597">
        <v>1768</v>
      </c>
      <c r="BG597">
        <v>20476</v>
      </c>
      <c r="BH597">
        <v>0</v>
      </c>
      <c r="BI597">
        <v>0</v>
      </c>
      <c r="BJ597">
        <v>0</v>
      </c>
      <c r="BK597">
        <v>0</v>
      </c>
      <c r="BL597" s="2">
        <v>24.82</v>
      </c>
      <c r="BM597" s="2">
        <v>42005.095138888886</v>
      </c>
      <c r="BN597" s="2">
        <v>5.4</v>
      </c>
      <c r="BO597" s="2">
        <v>42005.092361111114</v>
      </c>
      <c r="BP597" s="2">
        <v>6.92</v>
      </c>
      <c r="BQ597" s="2">
        <v>42005.092361111114</v>
      </c>
      <c r="BR597" s="2">
        <v>11.07</v>
      </c>
      <c r="BS597" s="2">
        <v>42005.092361111114</v>
      </c>
      <c r="BT597">
        <v>0</v>
      </c>
      <c r="BU597">
        <v>0</v>
      </c>
      <c r="BV597" t="s">
        <v>135</v>
      </c>
      <c r="BW597">
        <v>0</v>
      </c>
      <c r="BX597">
        <v>0</v>
      </c>
      <c r="BY597" t="s">
        <v>135</v>
      </c>
      <c r="BZ597">
        <v>0</v>
      </c>
      <c r="CA597">
        <v>0</v>
      </c>
      <c r="CB597" t="s">
        <v>135</v>
      </c>
      <c r="CH597" s="2"/>
      <c r="CJ597" s="2"/>
      <c r="CL597" s="2"/>
      <c r="CN597" s="2"/>
      <c r="CQ597" s="2"/>
      <c r="CT597" s="2"/>
      <c r="CW597" s="2"/>
    </row>
    <row r="598" spans="1:101" x14ac:dyDescent="0.25">
      <c r="A598" s="1" t="s">
        <v>163</v>
      </c>
      <c r="B598" s="75" t="s">
        <v>164</v>
      </c>
      <c r="C598">
        <v>0</v>
      </c>
      <c r="D598">
        <v>0</v>
      </c>
      <c r="E598">
        <v>0</v>
      </c>
      <c r="F598">
        <v>604324.56000000006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3.91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7490</v>
      </c>
      <c r="AW598">
        <v>3350</v>
      </c>
      <c r="AX598">
        <v>1219</v>
      </c>
      <c r="AY598">
        <v>12059</v>
      </c>
      <c r="AZ598">
        <v>4202</v>
      </c>
      <c r="BA598">
        <v>7438</v>
      </c>
      <c r="BB598">
        <v>1432</v>
      </c>
      <c r="BC598">
        <v>13072</v>
      </c>
      <c r="BD598">
        <v>9486</v>
      </c>
      <c r="BE598">
        <v>9222</v>
      </c>
      <c r="BF598">
        <v>1768</v>
      </c>
      <c r="BG598">
        <v>20476</v>
      </c>
      <c r="BH598">
        <v>0</v>
      </c>
      <c r="BI598">
        <v>0</v>
      </c>
      <c r="BJ598">
        <v>0</v>
      </c>
      <c r="BK598">
        <v>0</v>
      </c>
      <c r="BL598" s="2">
        <v>24.82</v>
      </c>
      <c r="BM598" s="2">
        <v>42005.095138888886</v>
      </c>
      <c r="BN598" s="2">
        <v>5.4</v>
      </c>
      <c r="BO598" s="2">
        <v>42005.092361111114</v>
      </c>
      <c r="BP598" s="2">
        <v>6.92</v>
      </c>
      <c r="BQ598" s="2">
        <v>42005.092361111114</v>
      </c>
      <c r="BR598" s="2">
        <v>11.07</v>
      </c>
      <c r="BS598" s="2">
        <v>42005.092361111114</v>
      </c>
      <c r="BT598">
        <v>0</v>
      </c>
      <c r="BU598">
        <v>0</v>
      </c>
      <c r="BV598" t="s">
        <v>135</v>
      </c>
      <c r="BW598">
        <v>0</v>
      </c>
      <c r="BX598">
        <v>0</v>
      </c>
      <c r="BY598" t="s">
        <v>135</v>
      </c>
      <c r="BZ598">
        <v>0</v>
      </c>
      <c r="CA598">
        <v>0</v>
      </c>
      <c r="CB598" t="s">
        <v>135</v>
      </c>
      <c r="CH598" s="2"/>
      <c r="CJ598" s="2"/>
      <c r="CL598" s="2"/>
      <c r="CN598" s="2"/>
      <c r="CQ598" s="2"/>
      <c r="CT598" s="2"/>
      <c r="CW598" s="2"/>
    </row>
    <row r="599" spans="1:101" x14ac:dyDescent="0.25">
      <c r="A599" s="1" t="s">
        <v>163</v>
      </c>
      <c r="B599" s="75" t="s">
        <v>164</v>
      </c>
      <c r="C599">
        <v>0</v>
      </c>
      <c r="D599">
        <v>0</v>
      </c>
      <c r="E599">
        <v>0</v>
      </c>
      <c r="F599">
        <v>604324.56000000006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3.91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7490</v>
      </c>
      <c r="AW599">
        <v>3350</v>
      </c>
      <c r="AX599">
        <v>1219</v>
      </c>
      <c r="AY599">
        <v>12059</v>
      </c>
      <c r="AZ599">
        <v>4202</v>
      </c>
      <c r="BA599">
        <v>7438</v>
      </c>
      <c r="BB599">
        <v>1432</v>
      </c>
      <c r="BC599">
        <v>13072</v>
      </c>
      <c r="BD599">
        <v>9486</v>
      </c>
      <c r="BE599">
        <v>9222</v>
      </c>
      <c r="BF599">
        <v>1768</v>
      </c>
      <c r="BG599">
        <v>20476</v>
      </c>
      <c r="BH599">
        <v>0</v>
      </c>
      <c r="BI599">
        <v>0</v>
      </c>
      <c r="BJ599">
        <v>0</v>
      </c>
      <c r="BK599">
        <v>0</v>
      </c>
      <c r="BL599" s="2">
        <v>24.82</v>
      </c>
      <c r="BM599" s="2">
        <v>42005.095138888886</v>
      </c>
      <c r="BN599" s="2">
        <v>5.4</v>
      </c>
      <c r="BO599" s="2">
        <v>42005.092361111114</v>
      </c>
      <c r="BP599" s="2">
        <v>6.92</v>
      </c>
      <c r="BQ599" s="2">
        <v>42005.092361111114</v>
      </c>
      <c r="BR599" s="2">
        <v>11.07</v>
      </c>
      <c r="BS599" s="2">
        <v>42005.092361111114</v>
      </c>
      <c r="BT599">
        <v>0</v>
      </c>
      <c r="BU599">
        <v>0</v>
      </c>
      <c r="BV599" t="s">
        <v>135</v>
      </c>
      <c r="BW599">
        <v>0</v>
      </c>
      <c r="BX599">
        <v>0</v>
      </c>
      <c r="BY599" t="s">
        <v>135</v>
      </c>
      <c r="BZ599">
        <v>0</v>
      </c>
      <c r="CA599">
        <v>0</v>
      </c>
      <c r="CB599" t="s">
        <v>135</v>
      </c>
      <c r="CH599" s="2"/>
      <c r="CJ599" s="2"/>
      <c r="CL599" s="2"/>
      <c r="CN599" s="2"/>
      <c r="CQ599" s="2"/>
      <c r="CT599" s="2"/>
      <c r="CW599" s="2"/>
    </row>
    <row r="600" spans="1:101" x14ac:dyDescent="0.25">
      <c r="A600" s="1" t="s">
        <v>163</v>
      </c>
      <c r="B600" s="75" t="s">
        <v>164</v>
      </c>
      <c r="C600">
        <v>0</v>
      </c>
      <c r="D600">
        <v>0</v>
      </c>
      <c r="E600">
        <v>0</v>
      </c>
      <c r="F600">
        <v>604324.56000000006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3.91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7490</v>
      </c>
      <c r="AW600">
        <v>3350</v>
      </c>
      <c r="AX600">
        <v>1219</v>
      </c>
      <c r="AY600">
        <v>12059</v>
      </c>
      <c r="AZ600">
        <v>4202</v>
      </c>
      <c r="BA600">
        <v>7438</v>
      </c>
      <c r="BB600">
        <v>1432</v>
      </c>
      <c r="BC600">
        <v>13072</v>
      </c>
      <c r="BD600">
        <v>9486</v>
      </c>
      <c r="BE600">
        <v>9222</v>
      </c>
      <c r="BF600">
        <v>1768</v>
      </c>
      <c r="BG600">
        <v>20476</v>
      </c>
      <c r="BH600">
        <v>0</v>
      </c>
      <c r="BI600">
        <v>0</v>
      </c>
      <c r="BJ600">
        <v>0</v>
      </c>
      <c r="BK600">
        <v>0</v>
      </c>
      <c r="BL600" s="2">
        <v>24.82</v>
      </c>
      <c r="BM600" s="2">
        <v>42005.095138888886</v>
      </c>
      <c r="BN600" s="2">
        <v>5.4</v>
      </c>
      <c r="BO600" s="2">
        <v>42005.092361111114</v>
      </c>
      <c r="BP600" s="2">
        <v>6.92</v>
      </c>
      <c r="BQ600" s="2">
        <v>42005.092361111114</v>
      </c>
      <c r="BR600" s="2">
        <v>11.07</v>
      </c>
      <c r="BS600" s="2">
        <v>42005.092361111114</v>
      </c>
      <c r="BT600">
        <v>0</v>
      </c>
      <c r="BU600">
        <v>0</v>
      </c>
      <c r="BV600" t="s">
        <v>135</v>
      </c>
      <c r="BW600">
        <v>0</v>
      </c>
      <c r="BX600">
        <v>0</v>
      </c>
      <c r="BY600" t="s">
        <v>135</v>
      </c>
      <c r="BZ600">
        <v>0</v>
      </c>
      <c r="CA600">
        <v>0</v>
      </c>
      <c r="CB600" t="s">
        <v>135</v>
      </c>
      <c r="CH600" s="2"/>
      <c r="CJ600" s="2"/>
      <c r="CL600" s="2"/>
      <c r="CN600" s="2"/>
      <c r="CQ600" s="2"/>
      <c r="CT600" s="2"/>
      <c r="CW600" s="2"/>
    </row>
    <row r="601" spans="1:101" x14ac:dyDescent="0.25">
      <c r="A601" s="1" t="s">
        <v>163</v>
      </c>
      <c r="B601" s="75" t="s">
        <v>164</v>
      </c>
      <c r="C601">
        <v>0</v>
      </c>
      <c r="D601">
        <v>0</v>
      </c>
      <c r="E601">
        <v>0</v>
      </c>
      <c r="F601">
        <v>604324.56000000006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3.91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7490</v>
      </c>
      <c r="AW601">
        <v>3350</v>
      </c>
      <c r="AX601">
        <v>1219</v>
      </c>
      <c r="AY601">
        <v>12059</v>
      </c>
      <c r="AZ601">
        <v>4202</v>
      </c>
      <c r="BA601">
        <v>7438</v>
      </c>
      <c r="BB601">
        <v>1432</v>
      </c>
      <c r="BC601">
        <v>13072</v>
      </c>
      <c r="BD601">
        <v>9486</v>
      </c>
      <c r="BE601">
        <v>9222</v>
      </c>
      <c r="BF601">
        <v>1768</v>
      </c>
      <c r="BG601">
        <v>20476</v>
      </c>
      <c r="BH601">
        <v>0</v>
      </c>
      <c r="BI601">
        <v>0</v>
      </c>
      <c r="BJ601">
        <v>0</v>
      </c>
      <c r="BK601">
        <v>0</v>
      </c>
      <c r="BL601" s="2">
        <v>24.82</v>
      </c>
      <c r="BM601" s="2">
        <v>42005.095138888886</v>
      </c>
      <c r="BN601" s="2">
        <v>5.4</v>
      </c>
      <c r="BO601" s="2">
        <v>42005.092361111114</v>
      </c>
      <c r="BP601" s="2">
        <v>6.92</v>
      </c>
      <c r="BQ601" s="2">
        <v>42005.092361111114</v>
      </c>
      <c r="BR601" s="2">
        <v>11.07</v>
      </c>
      <c r="BS601" s="2">
        <v>42005.092361111114</v>
      </c>
      <c r="BT601">
        <v>0</v>
      </c>
      <c r="BU601">
        <v>0</v>
      </c>
      <c r="BV601" t="s">
        <v>135</v>
      </c>
      <c r="BW601">
        <v>0</v>
      </c>
      <c r="BX601">
        <v>0</v>
      </c>
      <c r="BY601" t="s">
        <v>135</v>
      </c>
      <c r="BZ601">
        <v>0</v>
      </c>
      <c r="CA601">
        <v>0</v>
      </c>
      <c r="CB601" t="s">
        <v>135</v>
      </c>
      <c r="CH601" s="2"/>
      <c r="CJ601" s="2"/>
      <c r="CL601" s="2"/>
      <c r="CN601" s="2"/>
      <c r="CQ601" s="2"/>
      <c r="CT601" s="2"/>
      <c r="CW601" s="2"/>
    </row>
    <row r="602" spans="1:101" x14ac:dyDescent="0.25">
      <c r="A602" s="1" t="s">
        <v>163</v>
      </c>
      <c r="B602" s="75" t="s">
        <v>164</v>
      </c>
      <c r="C602">
        <v>0</v>
      </c>
      <c r="D602">
        <v>0</v>
      </c>
      <c r="E602">
        <v>0</v>
      </c>
      <c r="F602">
        <v>604324.56000000006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3.91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7490</v>
      </c>
      <c r="AW602">
        <v>3350</v>
      </c>
      <c r="AX602">
        <v>1219</v>
      </c>
      <c r="AY602">
        <v>12059</v>
      </c>
      <c r="AZ602">
        <v>4202</v>
      </c>
      <c r="BA602">
        <v>7438</v>
      </c>
      <c r="BB602">
        <v>1432</v>
      </c>
      <c r="BC602">
        <v>13072</v>
      </c>
      <c r="BD602">
        <v>9486</v>
      </c>
      <c r="BE602">
        <v>9222</v>
      </c>
      <c r="BF602">
        <v>1768</v>
      </c>
      <c r="BG602">
        <v>20476</v>
      </c>
      <c r="BH602">
        <v>0</v>
      </c>
      <c r="BI602">
        <v>0</v>
      </c>
      <c r="BJ602">
        <v>0</v>
      </c>
      <c r="BK602">
        <v>0</v>
      </c>
      <c r="BL602" s="2">
        <v>24.82</v>
      </c>
      <c r="BM602" s="2">
        <v>42005.095138888886</v>
      </c>
      <c r="BN602" s="2">
        <v>5.4</v>
      </c>
      <c r="BO602" s="2">
        <v>42005.092361111114</v>
      </c>
      <c r="BP602" s="2">
        <v>6.92</v>
      </c>
      <c r="BQ602" s="2">
        <v>42005.092361111114</v>
      </c>
      <c r="BR602" s="2">
        <v>11.07</v>
      </c>
      <c r="BS602" s="2">
        <v>42005.092361111114</v>
      </c>
      <c r="BT602">
        <v>0</v>
      </c>
      <c r="BU602">
        <v>0</v>
      </c>
      <c r="BV602" t="s">
        <v>135</v>
      </c>
      <c r="BW602">
        <v>0</v>
      </c>
      <c r="BX602">
        <v>0</v>
      </c>
      <c r="BY602" t="s">
        <v>135</v>
      </c>
      <c r="BZ602">
        <v>0</v>
      </c>
      <c r="CA602">
        <v>0</v>
      </c>
      <c r="CB602" t="s">
        <v>135</v>
      </c>
      <c r="CH602" s="2"/>
      <c r="CJ602" s="2"/>
      <c r="CL602" s="2"/>
      <c r="CN602" s="2"/>
      <c r="CQ602" s="2"/>
      <c r="CT602" s="2"/>
      <c r="CW602" s="2"/>
    </row>
    <row r="603" spans="1:101" x14ac:dyDescent="0.25">
      <c r="A603" s="1" t="s">
        <v>163</v>
      </c>
      <c r="B603" s="75" t="s">
        <v>164</v>
      </c>
      <c r="C603">
        <v>0</v>
      </c>
      <c r="D603">
        <v>0</v>
      </c>
      <c r="E603">
        <v>0</v>
      </c>
      <c r="F603">
        <v>604324.56000000006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3.91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7490</v>
      </c>
      <c r="AW603">
        <v>3350</v>
      </c>
      <c r="AX603">
        <v>1219</v>
      </c>
      <c r="AY603">
        <v>12059</v>
      </c>
      <c r="AZ603">
        <v>4202</v>
      </c>
      <c r="BA603">
        <v>7438</v>
      </c>
      <c r="BB603">
        <v>1432</v>
      </c>
      <c r="BC603">
        <v>13072</v>
      </c>
      <c r="BD603">
        <v>9486</v>
      </c>
      <c r="BE603">
        <v>9222</v>
      </c>
      <c r="BF603">
        <v>1768</v>
      </c>
      <c r="BG603">
        <v>20476</v>
      </c>
      <c r="BH603">
        <v>0</v>
      </c>
      <c r="BI603">
        <v>0</v>
      </c>
      <c r="BJ603">
        <v>0</v>
      </c>
      <c r="BK603">
        <v>0</v>
      </c>
      <c r="BL603" s="2">
        <v>24.82</v>
      </c>
      <c r="BM603" s="2">
        <v>42005.095138888886</v>
      </c>
      <c r="BN603" s="2">
        <v>5.4</v>
      </c>
      <c r="BO603" s="2">
        <v>42005.092361111114</v>
      </c>
      <c r="BP603" s="2">
        <v>6.92</v>
      </c>
      <c r="BQ603" s="2">
        <v>42005.092361111114</v>
      </c>
      <c r="BR603" s="2">
        <v>11.07</v>
      </c>
      <c r="BS603" s="2">
        <v>42005.092361111114</v>
      </c>
      <c r="BT603">
        <v>0</v>
      </c>
      <c r="BU603">
        <v>0</v>
      </c>
      <c r="BV603" t="s">
        <v>135</v>
      </c>
      <c r="BW603">
        <v>0</v>
      </c>
      <c r="BX603">
        <v>0</v>
      </c>
      <c r="BY603" t="s">
        <v>135</v>
      </c>
      <c r="BZ603">
        <v>0</v>
      </c>
      <c r="CA603">
        <v>0</v>
      </c>
      <c r="CB603" t="s">
        <v>135</v>
      </c>
      <c r="CH603" s="2"/>
      <c r="CJ603" s="2"/>
      <c r="CL603" s="2"/>
      <c r="CN603" s="2"/>
      <c r="CQ603" s="2"/>
      <c r="CT603" s="2"/>
      <c r="CW603" s="2"/>
    </row>
    <row r="604" spans="1:101" x14ac:dyDescent="0.25">
      <c r="A604" s="1" t="s">
        <v>163</v>
      </c>
      <c r="B604" s="75" t="s">
        <v>164</v>
      </c>
      <c r="C604">
        <v>0</v>
      </c>
      <c r="D604">
        <v>0</v>
      </c>
      <c r="E604">
        <v>0</v>
      </c>
      <c r="F604">
        <v>604324.56000000006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3.91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7490</v>
      </c>
      <c r="AW604">
        <v>3350</v>
      </c>
      <c r="AX604">
        <v>1219</v>
      </c>
      <c r="AY604">
        <v>12059</v>
      </c>
      <c r="AZ604">
        <v>4202</v>
      </c>
      <c r="BA604">
        <v>7438</v>
      </c>
      <c r="BB604">
        <v>1432</v>
      </c>
      <c r="BC604">
        <v>13072</v>
      </c>
      <c r="BD604">
        <v>9486</v>
      </c>
      <c r="BE604">
        <v>9222</v>
      </c>
      <c r="BF604">
        <v>1768</v>
      </c>
      <c r="BG604">
        <v>20476</v>
      </c>
      <c r="BH604">
        <v>0</v>
      </c>
      <c r="BI604">
        <v>0</v>
      </c>
      <c r="BJ604">
        <v>0</v>
      </c>
      <c r="BK604">
        <v>0</v>
      </c>
      <c r="BL604" s="2">
        <v>24.82</v>
      </c>
      <c r="BM604" s="2">
        <v>42005.095138888886</v>
      </c>
      <c r="BN604" s="2">
        <v>5.4</v>
      </c>
      <c r="BO604" s="2">
        <v>42005.092361111114</v>
      </c>
      <c r="BP604" s="2">
        <v>6.92</v>
      </c>
      <c r="BQ604" s="2">
        <v>42005.092361111114</v>
      </c>
      <c r="BR604" s="2">
        <v>11.07</v>
      </c>
      <c r="BS604" s="2">
        <v>42005.092361111114</v>
      </c>
      <c r="BT604">
        <v>0</v>
      </c>
      <c r="BU604">
        <v>0</v>
      </c>
      <c r="BV604" t="s">
        <v>135</v>
      </c>
      <c r="BW604">
        <v>0</v>
      </c>
      <c r="BX604">
        <v>0</v>
      </c>
      <c r="BY604" t="s">
        <v>135</v>
      </c>
      <c r="BZ604">
        <v>0</v>
      </c>
      <c r="CA604">
        <v>0</v>
      </c>
      <c r="CB604" t="s">
        <v>135</v>
      </c>
      <c r="CH604" s="2"/>
      <c r="CJ604" s="2"/>
      <c r="CL604" s="2"/>
      <c r="CN604" s="2"/>
      <c r="CQ604" s="2"/>
      <c r="CT604" s="2"/>
      <c r="CW604" s="2"/>
    </row>
    <row r="605" spans="1:101" x14ac:dyDescent="0.25">
      <c r="A605" s="1" t="s">
        <v>163</v>
      </c>
      <c r="B605" s="75" t="s">
        <v>164</v>
      </c>
      <c r="C605">
        <v>0</v>
      </c>
      <c r="D605">
        <v>0</v>
      </c>
      <c r="E605">
        <v>0</v>
      </c>
      <c r="F605">
        <v>604324.56000000006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3.91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7490</v>
      </c>
      <c r="AW605">
        <v>3350</v>
      </c>
      <c r="AX605">
        <v>1219</v>
      </c>
      <c r="AY605">
        <v>12059</v>
      </c>
      <c r="AZ605">
        <v>4202</v>
      </c>
      <c r="BA605">
        <v>7438</v>
      </c>
      <c r="BB605">
        <v>1432</v>
      </c>
      <c r="BC605">
        <v>13072</v>
      </c>
      <c r="BD605">
        <v>9486</v>
      </c>
      <c r="BE605">
        <v>9222</v>
      </c>
      <c r="BF605">
        <v>1768</v>
      </c>
      <c r="BG605">
        <v>20476</v>
      </c>
      <c r="BH605">
        <v>0</v>
      </c>
      <c r="BI605">
        <v>0</v>
      </c>
      <c r="BJ605">
        <v>0</v>
      </c>
      <c r="BK605">
        <v>0</v>
      </c>
      <c r="BL605" s="2">
        <v>24.82</v>
      </c>
      <c r="BM605" s="2">
        <v>42005.095138888886</v>
      </c>
      <c r="BN605" s="2">
        <v>5.4</v>
      </c>
      <c r="BO605" s="2">
        <v>42005.092361111114</v>
      </c>
      <c r="BP605" s="2">
        <v>6.92</v>
      </c>
      <c r="BQ605" s="2">
        <v>42005.092361111114</v>
      </c>
      <c r="BR605" s="2">
        <v>11.07</v>
      </c>
      <c r="BS605" s="2">
        <v>42005.092361111114</v>
      </c>
      <c r="BT605">
        <v>0</v>
      </c>
      <c r="BU605">
        <v>0</v>
      </c>
      <c r="BV605" t="s">
        <v>135</v>
      </c>
      <c r="BW605">
        <v>0</v>
      </c>
      <c r="BX605">
        <v>0</v>
      </c>
      <c r="BY605" t="s">
        <v>135</v>
      </c>
      <c r="BZ605">
        <v>0</v>
      </c>
      <c r="CA605">
        <v>0</v>
      </c>
      <c r="CB605" t="s">
        <v>135</v>
      </c>
      <c r="CH605" s="2"/>
      <c r="CJ605" s="2"/>
      <c r="CL605" s="2"/>
      <c r="CN605" s="2"/>
      <c r="CQ605" s="2"/>
      <c r="CT605" s="2"/>
      <c r="CW605" s="2"/>
    </row>
    <row r="606" spans="1:101" x14ac:dyDescent="0.25">
      <c r="A606" s="1" t="s">
        <v>163</v>
      </c>
      <c r="B606" s="75" t="s">
        <v>164</v>
      </c>
      <c r="C606">
        <v>0</v>
      </c>
      <c r="D606">
        <v>0</v>
      </c>
      <c r="E606">
        <v>0</v>
      </c>
      <c r="F606">
        <v>604324.56000000006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3.91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7490</v>
      </c>
      <c r="AW606">
        <v>3350</v>
      </c>
      <c r="AX606">
        <v>1219</v>
      </c>
      <c r="AY606">
        <v>12059</v>
      </c>
      <c r="AZ606">
        <v>4202</v>
      </c>
      <c r="BA606">
        <v>7438</v>
      </c>
      <c r="BB606">
        <v>1432</v>
      </c>
      <c r="BC606">
        <v>13072</v>
      </c>
      <c r="BD606">
        <v>9486</v>
      </c>
      <c r="BE606">
        <v>9222</v>
      </c>
      <c r="BF606">
        <v>1768</v>
      </c>
      <c r="BG606">
        <v>20476</v>
      </c>
      <c r="BH606">
        <v>0</v>
      </c>
      <c r="BI606">
        <v>0</v>
      </c>
      <c r="BJ606">
        <v>0</v>
      </c>
      <c r="BK606">
        <v>0</v>
      </c>
      <c r="BL606" s="2">
        <v>24.82</v>
      </c>
      <c r="BM606" s="2">
        <v>42005.095138888886</v>
      </c>
      <c r="BN606" s="2">
        <v>5.4</v>
      </c>
      <c r="BO606" s="2">
        <v>42005.092361111114</v>
      </c>
      <c r="BP606" s="2">
        <v>6.92</v>
      </c>
      <c r="BQ606" s="2">
        <v>42005.092361111114</v>
      </c>
      <c r="BR606" s="2">
        <v>11.07</v>
      </c>
      <c r="BS606" s="2">
        <v>42005.092361111114</v>
      </c>
      <c r="BT606">
        <v>0</v>
      </c>
      <c r="BU606">
        <v>0</v>
      </c>
      <c r="BV606" t="s">
        <v>135</v>
      </c>
      <c r="BW606">
        <v>0</v>
      </c>
      <c r="BX606">
        <v>0</v>
      </c>
      <c r="BY606" t="s">
        <v>135</v>
      </c>
      <c r="BZ606">
        <v>0</v>
      </c>
      <c r="CA606">
        <v>0</v>
      </c>
      <c r="CB606" t="s">
        <v>135</v>
      </c>
      <c r="CH606" s="2"/>
      <c r="CJ606" s="2"/>
      <c r="CL606" s="2"/>
      <c r="CN606" s="2"/>
      <c r="CQ606" s="2"/>
      <c r="CT606" s="2"/>
      <c r="CW606" s="2"/>
    </row>
    <row r="607" spans="1:101" x14ac:dyDescent="0.25">
      <c r="A607" s="1" t="s">
        <v>163</v>
      </c>
      <c r="B607" s="75" t="s">
        <v>164</v>
      </c>
      <c r="C607">
        <v>0</v>
      </c>
      <c r="D607">
        <v>0</v>
      </c>
      <c r="E607">
        <v>0</v>
      </c>
      <c r="F607">
        <v>604324.56000000006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3.91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7490</v>
      </c>
      <c r="AW607">
        <v>3350</v>
      </c>
      <c r="AX607">
        <v>1219</v>
      </c>
      <c r="AY607">
        <v>12059</v>
      </c>
      <c r="AZ607">
        <v>4202</v>
      </c>
      <c r="BA607">
        <v>7438</v>
      </c>
      <c r="BB607">
        <v>1432</v>
      </c>
      <c r="BC607">
        <v>13072</v>
      </c>
      <c r="BD607">
        <v>9486</v>
      </c>
      <c r="BE607">
        <v>9222</v>
      </c>
      <c r="BF607">
        <v>1768</v>
      </c>
      <c r="BG607">
        <v>20476</v>
      </c>
      <c r="BH607">
        <v>0</v>
      </c>
      <c r="BI607">
        <v>0</v>
      </c>
      <c r="BJ607">
        <v>0</v>
      </c>
      <c r="BK607">
        <v>0</v>
      </c>
      <c r="BL607" s="2">
        <v>24.82</v>
      </c>
      <c r="BM607" s="2">
        <v>42005.095138888886</v>
      </c>
      <c r="BN607" s="2">
        <v>5.4</v>
      </c>
      <c r="BO607" s="2">
        <v>42005.092361111114</v>
      </c>
      <c r="BP607" s="2">
        <v>6.92</v>
      </c>
      <c r="BQ607" s="2">
        <v>42005.092361111114</v>
      </c>
      <c r="BR607" s="2">
        <v>11.07</v>
      </c>
      <c r="BS607" s="2">
        <v>42005.092361111114</v>
      </c>
      <c r="BT607">
        <v>0</v>
      </c>
      <c r="BU607">
        <v>0</v>
      </c>
      <c r="BV607" t="s">
        <v>135</v>
      </c>
      <c r="BW607">
        <v>0</v>
      </c>
      <c r="BX607">
        <v>0</v>
      </c>
      <c r="BY607" t="s">
        <v>135</v>
      </c>
      <c r="BZ607">
        <v>0</v>
      </c>
      <c r="CA607">
        <v>0</v>
      </c>
      <c r="CB607" t="s">
        <v>135</v>
      </c>
      <c r="CH607" s="2"/>
      <c r="CJ607" s="2"/>
      <c r="CL607" s="2"/>
      <c r="CN607" s="2"/>
      <c r="CQ607" s="2"/>
      <c r="CT607" s="2"/>
      <c r="CW607" s="2"/>
    </row>
    <row r="608" spans="1:101" x14ac:dyDescent="0.25">
      <c r="A608" s="1" t="s">
        <v>163</v>
      </c>
      <c r="B608" s="75" t="s">
        <v>164</v>
      </c>
      <c r="C608">
        <v>0</v>
      </c>
      <c r="D608">
        <v>0</v>
      </c>
      <c r="E608">
        <v>0</v>
      </c>
      <c r="F608">
        <v>604324.56000000006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3.91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7490</v>
      </c>
      <c r="AW608">
        <v>3350</v>
      </c>
      <c r="AX608">
        <v>1219</v>
      </c>
      <c r="AY608">
        <v>12059</v>
      </c>
      <c r="AZ608">
        <v>4202</v>
      </c>
      <c r="BA608">
        <v>7438</v>
      </c>
      <c r="BB608">
        <v>1432</v>
      </c>
      <c r="BC608">
        <v>13072</v>
      </c>
      <c r="BD608">
        <v>9486</v>
      </c>
      <c r="BE608">
        <v>9222</v>
      </c>
      <c r="BF608">
        <v>1768</v>
      </c>
      <c r="BG608">
        <v>20476</v>
      </c>
      <c r="BH608">
        <v>0</v>
      </c>
      <c r="BI608">
        <v>0</v>
      </c>
      <c r="BJ608">
        <v>0</v>
      </c>
      <c r="BK608">
        <v>0</v>
      </c>
      <c r="BL608" s="2">
        <v>24.82</v>
      </c>
      <c r="BM608" s="2">
        <v>42005.095138888886</v>
      </c>
      <c r="BN608" s="2">
        <v>5.4</v>
      </c>
      <c r="BO608" s="2">
        <v>42005.092361111114</v>
      </c>
      <c r="BP608" s="2">
        <v>6.92</v>
      </c>
      <c r="BQ608" s="2">
        <v>42005.092361111114</v>
      </c>
      <c r="BR608" s="2">
        <v>11.07</v>
      </c>
      <c r="BS608" s="2">
        <v>42005.092361111114</v>
      </c>
      <c r="BT608">
        <v>0</v>
      </c>
      <c r="BU608">
        <v>0</v>
      </c>
      <c r="BV608" t="s">
        <v>135</v>
      </c>
      <c r="BW608">
        <v>0</v>
      </c>
      <c r="BX608">
        <v>0</v>
      </c>
      <c r="BY608" t="s">
        <v>135</v>
      </c>
      <c r="BZ608">
        <v>0</v>
      </c>
      <c r="CA608">
        <v>0</v>
      </c>
      <c r="CB608" t="s">
        <v>135</v>
      </c>
      <c r="CH608" s="2"/>
      <c r="CJ608" s="2"/>
      <c r="CL608" s="2"/>
      <c r="CN608" s="2"/>
      <c r="CQ608" s="2"/>
      <c r="CT608" s="2"/>
      <c r="CW608" s="2"/>
    </row>
    <row r="609" spans="1:101" x14ac:dyDescent="0.25">
      <c r="A609" s="1" t="s">
        <v>163</v>
      </c>
      <c r="B609" s="75" t="s">
        <v>164</v>
      </c>
      <c r="C609">
        <v>0</v>
      </c>
      <c r="D609">
        <v>0</v>
      </c>
      <c r="E609">
        <v>0</v>
      </c>
      <c r="F609">
        <v>604324.56000000006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3.91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7490</v>
      </c>
      <c r="AW609">
        <v>3350</v>
      </c>
      <c r="AX609">
        <v>1219</v>
      </c>
      <c r="AY609">
        <v>12059</v>
      </c>
      <c r="AZ609">
        <v>4202</v>
      </c>
      <c r="BA609">
        <v>7438</v>
      </c>
      <c r="BB609">
        <v>1432</v>
      </c>
      <c r="BC609">
        <v>13072</v>
      </c>
      <c r="BD609">
        <v>9486</v>
      </c>
      <c r="BE609">
        <v>9222</v>
      </c>
      <c r="BF609">
        <v>1768</v>
      </c>
      <c r="BG609">
        <v>20476</v>
      </c>
      <c r="BH609">
        <v>0</v>
      </c>
      <c r="BI609">
        <v>0</v>
      </c>
      <c r="BJ609">
        <v>0</v>
      </c>
      <c r="BK609">
        <v>0</v>
      </c>
      <c r="BL609" s="2">
        <v>24.82</v>
      </c>
      <c r="BM609" s="2">
        <v>42005.095138888886</v>
      </c>
      <c r="BN609" s="2">
        <v>5.4</v>
      </c>
      <c r="BO609" s="2">
        <v>42005.092361111114</v>
      </c>
      <c r="BP609" s="2">
        <v>6.92</v>
      </c>
      <c r="BQ609" s="2">
        <v>42005.092361111114</v>
      </c>
      <c r="BR609" s="2">
        <v>11.07</v>
      </c>
      <c r="BS609" s="2">
        <v>42005.092361111114</v>
      </c>
      <c r="BT609">
        <v>0</v>
      </c>
      <c r="BU609">
        <v>0</v>
      </c>
      <c r="BV609" t="s">
        <v>135</v>
      </c>
      <c r="BW609">
        <v>0</v>
      </c>
      <c r="BX609">
        <v>0</v>
      </c>
      <c r="BY609" t="s">
        <v>135</v>
      </c>
      <c r="BZ609">
        <v>0</v>
      </c>
      <c r="CA609">
        <v>0</v>
      </c>
      <c r="CB609" t="s">
        <v>135</v>
      </c>
      <c r="CH609" s="2"/>
      <c r="CJ609" s="2"/>
      <c r="CL609" s="2"/>
      <c r="CN609" s="2"/>
      <c r="CQ609" s="2"/>
      <c r="CT609" s="2"/>
      <c r="CW609" s="2"/>
    </row>
    <row r="610" spans="1:101" x14ac:dyDescent="0.25">
      <c r="A610" s="1" t="s">
        <v>163</v>
      </c>
      <c r="B610" s="75" t="s">
        <v>164</v>
      </c>
      <c r="C610">
        <v>0</v>
      </c>
      <c r="D610">
        <v>0</v>
      </c>
      <c r="E610">
        <v>0</v>
      </c>
      <c r="F610">
        <v>604324.56000000006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3.91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7490</v>
      </c>
      <c r="AW610">
        <v>3350</v>
      </c>
      <c r="AX610">
        <v>1219</v>
      </c>
      <c r="AY610">
        <v>12059</v>
      </c>
      <c r="AZ610">
        <v>4202</v>
      </c>
      <c r="BA610">
        <v>7438</v>
      </c>
      <c r="BB610">
        <v>1432</v>
      </c>
      <c r="BC610">
        <v>13072</v>
      </c>
      <c r="BD610">
        <v>9486</v>
      </c>
      <c r="BE610">
        <v>9222</v>
      </c>
      <c r="BF610">
        <v>1768</v>
      </c>
      <c r="BG610">
        <v>20476</v>
      </c>
      <c r="BH610">
        <v>0</v>
      </c>
      <c r="BI610">
        <v>0</v>
      </c>
      <c r="BJ610">
        <v>0</v>
      </c>
      <c r="BK610">
        <v>0</v>
      </c>
      <c r="BL610" s="2">
        <v>24.82</v>
      </c>
      <c r="BM610" s="2">
        <v>42005.095138888886</v>
      </c>
      <c r="BN610" s="2">
        <v>5.4</v>
      </c>
      <c r="BO610" s="2">
        <v>42005.092361111114</v>
      </c>
      <c r="BP610" s="2">
        <v>6.92</v>
      </c>
      <c r="BQ610" s="2">
        <v>42005.092361111114</v>
      </c>
      <c r="BR610" s="2">
        <v>11.07</v>
      </c>
      <c r="BS610" s="2">
        <v>42005.092361111114</v>
      </c>
      <c r="BT610">
        <v>0</v>
      </c>
      <c r="BU610">
        <v>0</v>
      </c>
      <c r="BV610" t="s">
        <v>135</v>
      </c>
      <c r="BW610">
        <v>0</v>
      </c>
      <c r="BX610">
        <v>0</v>
      </c>
      <c r="BY610" t="s">
        <v>135</v>
      </c>
      <c r="BZ610">
        <v>0</v>
      </c>
      <c r="CA610">
        <v>0</v>
      </c>
      <c r="CB610" t="s">
        <v>135</v>
      </c>
      <c r="CH610" s="2"/>
      <c r="CJ610" s="2"/>
      <c r="CL610" s="2"/>
      <c r="CN610" s="2"/>
      <c r="CQ610" s="2"/>
      <c r="CT610" s="2"/>
      <c r="CW610" s="2"/>
    </row>
    <row r="611" spans="1:101" x14ac:dyDescent="0.25">
      <c r="A611" s="1" t="s">
        <v>163</v>
      </c>
      <c r="B611" s="75" t="s">
        <v>164</v>
      </c>
      <c r="C611">
        <v>0</v>
      </c>
      <c r="D611">
        <v>0</v>
      </c>
      <c r="E611">
        <v>0</v>
      </c>
      <c r="F611">
        <v>604324.56000000006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3.91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7490</v>
      </c>
      <c r="AW611">
        <v>3350</v>
      </c>
      <c r="AX611">
        <v>1219</v>
      </c>
      <c r="AY611">
        <v>12059</v>
      </c>
      <c r="AZ611">
        <v>4202</v>
      </c>
      <c r="BA611">
        <v>7438</v>
      </c>
      <c r="BB611">
        <v>1432</v>
      </c>
      <c r="BC611">
        <v>13072</v>
      </c>
      <c r="BD611">
        <v>9486</v>
      </c>
      <c r="BE611">
        <v>9222</v>
      </c>
      <c r="BF611">
        <v>1768</v>
      </c>
      <c r="BG611">
        <v>20476</v>
      </c>
      <c r="BH611">
        <v>0</v>
      </c>
      <c r="BI611">
        <v>0</v>
      </c>
      <c r="BJ611">
        <v>0</v>
      </c>
      <c r="BK611">
        <v>0</v>
      </c>
      <c r="BL611" s="2">
        <v>24.82</v>
      </c>
      <c r="BM611" s="2">
        <v>42005.095138888886</v>
      </c>
      <c r="BN611" s="2">
        <v>5.4</v>
      </c>
      <c r="BO611" s="2">
        <v>42005.092361111114</v>
      </c>
      <c r="BP611" s="2">
        <v>6.92</v>
      </c>
      <c r="BQ611" s="2">
        <v>42005.092361111114</v>
      </c>
      <c r="BR611" s="2">
        <v>11.07</v>
      </c>
      <c r="BS611" s="2">
        <v>42005.092361111114</v>
      </c>
      <c r="BT611">
        <v>0</v>
      </c>
      <c r="BU611">
        <v>0</v>
      </c>
      <c r="BV611" t="s">
        <v>135</v>
      </c>
      <c r="BW611">
        <v>0</v>
      </c>
      <c r="BX611">
        <v>0</v>
      </c>
      <c r="BY611" t="s">
        <v>135</v>
      </c>
      <c r="BZ611">
        <v>0</v>
      </c>
      <c r="CA611">
        <v>0</v>
      </c>
      <c r="CB611" t="s">
        <v>135</v>
      </c>
      <c r="CH611" s="2"/>
      <c r="CJ611" s="2"/>
      <c r="CL611" s="2"/>
      <c r="CN611" s="2"/>
      <c r="CQ611" s="2"/>
      <c r="CT611" s="2"/>
      <c r="CW611" s="2"/>
    </row>
    <row r="612" spans="1:101" x14ac:dyDescent="0.25">
      <c r="A612" s="1" t="s">
        <v>163</v>
      </c>
      <c r="B612" s="75" t="s">
        <v>164</v>
      </c>
      <c r="C612">
        <v>0</v>
      </c>
      <c r="D612">
        <v>0</v>
      </c>
      <c r="E612">
        <v>0</v>
      </c>
      <c r="F612">
        <v>604324.56000000006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3.91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7490</v>
      </c>
      <c r="AW612">
        <v>3350</v>
      </c>
      <c r="AX612">
        <v>1219</v>
      </c>
      <c r="AY612">
        <v>12059</v>
      </c>
      <c r="AZ612">
        <v>4202</v>
      </c>
      <c r="BA612">
        <v>7438</v>
      </c>
      <c r="BB612">
        <v>1432</v>
      </c>
      <c r="BC612">
        <v>13072</v>
      </c>
      <c r="BD612">
        <v>9486</v>
      </c>
      <c r="BE612">
        <v>9222</v>
      </c>
      <c r="BF612">
        <v>1768</v>
      </c>
      <c r="BG612">
        <v>20476</v>
      </c>
      <c r="BH612">
        <v>0</v>
      </c>
      <c r="BI612">
        <v>0</v>
      </c>
      <c r="BJ612">
        <v>0</v>
      </c>
      <c r="BK612">
        <v>0</v>
      </c>
      <c r="BL612" s="2">
        <v>24.82</v>
      </c>
      <c r="BM612" s="2">
        <v>42005.095138888886</v>
      </c>
      <c r="BN612" s="2">
        <v>5.4</v>
      </c>
      <c r="BO612" s="2">
        <v>42005.092361111114</v>
      </c>
      <c r="BP612" s="2">
        <v>6.92</v>
      </c>
      <c r="BQ612" s="2">
        <v>42005.092361111114</v>
      </c>
      <c r="BR612" s="2">
        <v>11.07</v>
      </c>
      <c r="BS612" s="2">
        <v>42005.092361111114</v>
      </c>
      <c r="BT612">
        <v>0</v>
      </c>
      <c r="BU612">
        <v>0</v>
      </c>
      <c r="BV612" t="s">
        <v>135</v>
      </c>
      <c r="BW612">
        <v>0</v>
      </c>
      <c r="BX612">
        <v>0</v>
      </c>
      <c r="BY612" t="s">
        <v>135</v>
      </c>
      <c r="BZ612">
        <v>0</v>
      </c>
      <c r="CA612">
        <v>0</v>
      </c>
      <c r="CB612" t="s">
        <v>135</v>
      </c>
      <c r="CH612" s="2"/>
      <c r="CJ612" s="2"/>
      <c r="CL612" s="2"/>
      <c r="CN612" s="2"/>
      <c r="CQ612" s="2"/>
      <c r="CT612" s="2"/>
      <c r="CW612" s="2"/>
    </row>
    <row r="613" spans="1:101" x14ac:dyDescent="0.25">
      <c r="A613" s="1" t="s">
        <v>163</v>
      </c>
      <c r="B613" s="75" t="s">
        <v>164</v>
      </c>
      <c r="C613">
        <v>0</v>
      </c>
      <c r="D613">
        <v>0</v>
      </c>
      <c r="E613">
        <v>0</v>
      </c>
      <c r="F613">
        <v>604324.56000000006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3.91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7490</v>
      </c>
      <c r="AW613">
        <v>3350</v>
      </c>
      <c r="AX613">
        <v>1219</v>
      </c>
      <c r="AY613">
        <v>12059</v>
      </c>
      <c r="AZ613">
        <v>4202</v>
      </c>
      <c r="BA613">
        <v>7438</v>
      </c>
      <c r="BB613">
        <v>1432</v>
      </c>
      <c r="BC613">
        <v>13072</v>
      </c>
      <c r="BD613">
        <v>9486</v>
      </c>
      <c r="BE613">
        <v>9222</v>
      </c>
      <c r="BF613">
        <v>1768</v>
      </c>
      <c r="BG613">
        <v>20476</v>
      </c>
      <c r="BH613">
        <v>0</v>
      </c>
      <c r="BI613">
        <v>0</v>
      </c>
      <c r="BJ613">
        <v>0</v>
      </c>
      <c r="BK613">
        <v>0</v>
      </c>
      <c r="BL613" s="2">
        <v>24.82</v>
      </c>
      <c r="BM613" s="2">
        <v>42005.095138888886</v>
      </c>
      <c r="BN613" s="2">
        <v>5.4</v>
      </c>
      <c r="BO613" s="2">
        <v>42005.092361111114</v>
      </c>
      <c r="BP613" s="2">
        <v>6.92</v>
      </c>
      <c r="BQ613" s="2">
        <v>42005.092361111114</v>
      </c>
      <c r="BR613" s="2">
        <v>11.07</v>
      </c>
      <c r="BS613" s="2">
        <v>42005.092361111114</v>
      </c>
      <c r="BT613">
        <v>0</v>
      </c>
      <c r="BU613">
        <v>0</v>
      </c>
      <c r="BV613" t="s">
        <v>135</v>
      </c>
      <c r="BW613">
        <v>0</v>
      </c>
      <c r="BX613">
        <v>0</v>
      </c>
      <c r="BY613" t="s">
        <v>135</v>
      </c>
      <c r="BZ613">
        <v>0</v>
      </c>
      <c r="CA613">
        <v>0</v>
      </c>
      <c r="CB613" t="s">
        <v>135</v>
      </c>
      <c r="CH613" s="2"/>
      <c r="CJ613" s="2"/>
      <c r="CL613" s="2"/>
      <c r="CN613" s="2"/>
      <c r="CQ613" s="2"/>
      <c r="CT613" s="2"/>
      <c r="CW613" s="2"/>
    </row>
    <row r="614" spans="1:101" x14ac:dyDescent="0.25">
      <c r="A614" s="1" t="s">
        <v>163</v>
      </c>
      <c r="B614" s="75" t="s">
        <v>164</v>
      </c>
      <c r="C614">
        <v>0</v>
      </c>
      <c r="D614">
        <v>0</v>
      </c>
      <c r="E614">
        <v>0</v>
      </c>
      <c r="F614">
        <v>604324.56000000006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3.91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7490</v>
      </c>
      <c r="AW614">
        <v>3350</v>
      </c>
      <c r="AX614">
        <v>1219</v>
      </c>
      <c r="AY614">
        <v>12059</v>
      </c>
      <c r="AZ614">
        <v>4202</v>
      </c>
      <c r="BA614">
        <v>7438</v>
      </c>
      <c r="BB614">
        <v>1432</v>
      </c>
      <c r="BC614">
        <v>13072</v>
      </c>
      <c r="BD614">
        <v>9486</v>
      </c>
      <c r="BE614">
        <v>9222</v>
      </c>
      <c r="BF614">
        <v>1768</v>
      </c>
      <c r="BG614">
        <v>20476</v>
      </c>
      <c r="BH614">
        <v>0</v>
      </c>
      <c r="BI614">
        <v>0</v>
      </c>
      <c r="BJ614">
        <v>0</v>
      </c>
      <c r="BK614">
        <v>0</v>
      </c>
      <c r="BL614" s="2">
        <v>24.82</v>
      </c>
      <c r="BM614" s="2">
        <v>42005.095138888886</v>
      </c>
      <c r="BN614" s="2">
        <v>5.4</v>
      </c>
      <c r="BO614" s="2">
        <v>42005.092361111114</v>
      </c>
      <c r="BP614" s="2">
        <v>6.92</v>
      </c>
      <c r="BQ614" s="2">
        <v>42005.092361111114</v>
      </c>
      <c r="BR614" s="2">
        <v>11.07</v>
      </c>
      <c r="BS614" s="2">
        <v>42005.092361111114</v>
      </c>
      <c r="BT614">
        <v>0</v>
      </c>
      <c r="BU614">
        <v>0</v>
      </c>
      <c r="BV614" t="s">
        <v>135</v>
      </c>
      <c r="BW614">
        <v>0</v>
      </c>
      <c r="BX614">
        <v>0</v>
      </c>
      <c r="BY614" t="s">
        <v>135</v>
      </c>
      <c r="BZ614">
        <v>0</v>
      </c>
      <c r="CA614">
        <v>0</v>
      </c>
      <c r="CB614" t="s">
        <v>135</v>
      </c>
      <c r="CH614" s="2"/>
      <c r="CJ614" s="2"/>
      <c r="CL614" s="2"/>
      <c r="CN614" s="2"/>
      <c r="CQ614" s="2"/>
      <c r="CT614" s="2"/>
      <c r="CW614" s="2"/>
    </row>
    <row r="615" spans="1:101" x14ac:dyDescent="0.25">
      <c r="A615" s="1" t="s">
        <v>163</v>
      </c>
      <c r="B615" s="75" t="s">
        <v>164</v>
      </c>
      <c r="C615">
        <v>0</v>
      </c>
      <c r="D615">
        <v>0</v>
      </c>
      <c r="E615">
        <v>0</v>
      </c>
      <c r="F615">
        <v>604324.56000000006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3.91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7490</v>
      </c>
      <c r="AW615">
        <v>3350</v>
      </c>
      <c r="AX615">
        <v>1219</v>
      </c>
      <c r="AY615">
        <v>12059</v>
      </c>
      <c r="AZ615">
        <v>4202</v>
      </c>
      <c r="BA615">
        <v>7438</v>
      </c>
      <c r="BB615">
        <v>1432</v>
      </c>
      <c r="BC615">
        <v>13072</v>
      </c>
      <c r="BD615">
        <v>9486</v>
      </c>
      <c r="BE615">
        <v>9222</v>
      </c>
      <c r="BF615">
        <v>1768</v>
      </c>
      <c r="BG615">
        <v>20476</v>
      </c>
      <c r="BH615">
        <v>0</v>
      </c>
      <c r="BI615">
        <v>0</v>
      </c>
      <c r="BJ615">
        <v>0</v>
      </c>
      <c r="BK615">
        <v>0</v>
      </c>
      <c r="BL615" s="2">
        <v>24.82</v>
      </c>
      <c r="BM615" s="2">
        <v>42005.095138888886</v>
      </c>
      <c r="BN615" s="2">
        <v>5.4</v>
      </c>
      <c r="BO615" s="2">
        <v>42005.092361111114</v>
      </c>
      <c r="BP615" s="2">
        <v>6.92</v>
      </c>
      <c r="BQ615" s="2">
        <v>42005.092361111114</v>
      </c>
      <c r="BR615" s="2">
        <v>11.07</v>
      </c>
      <c r="BS615" s="2">
        <v>42005.092361111114</v>
      </c>
      <c r="BT615">
        <v>0</v>
      </c>
      <c r="BU615">
        <v>0</v>
      </c>
      <c r="BV615" t="s">
        <v>135</v>
      </c>
      <c r="BW615">
        <v>0</v>
      </c>
      <c r="BX615">
        <v>0</v>
      </c>
      <c r="BY615" t="s">
        <v>135</v>
      </c>
      <c r="BZ615">
        <v>0</v>
      </c>
      <c r="CA615">
        <v>0</v>
      </c>
      <c r="CB615" t="s">
        <v>135</v>
      </c>
      <c r="CH615" s="2"/>
      <c r="CJ615" s="2"/>
      <c r="CL615" s="2"/>
      <c r="CN615" s="2"/>
      <c r="CQ615" s="2"/>
      <c r="CT615" s="2"/>
      <c r="CW615" s="2"/>
    </row>
    <row r="616" spans="1:101" x14ac:dyDescent="0.25">
      <c r="A616" s="1" t="s">
        <v>163</v>
      </c>
      <c r="B616" s="75" t="s">
        <v>164</v>
      </c>
      <c r="C616">
        <v>0</v>
      </c>
      <c r="D616">
        <v>0</v>
      </c>
      <c r="E616">
        <v>0</v>
      </c>
      <c r="F616">
        <v>604324.56000000006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3.91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7490</v>
      </c>
      <c r="AW616">
        <v>3350</v>
      </c>
      <c r="AX616">
        <v>1219</v>
      </c>
      <c r="AY616">
        <v>12059</v>
      </c>
      <c r="AZ616">
        <v>4202</v>
      </c>
      <c r="BA616">
        <v>7438</v>
      </c>
      <c r="BB616">
        <v>1432</v>
      </c>
      <c r="BC616">
        <v>13072</v>
      </c>
      <c r="BD616">
        <v>9486</v>
      </c>
      <c r="BE616">
        <v>9222</v>
      </c>
      <c r="BF616">
        <v>1768</v>
      </c>
      <c r="BG616">
        <v>20476</v>
      </c>
      <c r="BH616">
        <v>0</v>
      </c>
      <c r="BI616">
        <v>0</v>
      </c>
      <c r="BJ616">
        <v>0</v>
      </c>
      <c r="BK616">
        <v>0</v>
      </c>
      <c r="BL616" s="2">
        <v>24.82</v>
      </c>
      <c r="BM616" s="2">
        <v>42005.095138888886</v>
      </c>
      <c r="BN616" s="2">
        <v>5.4</v>
      </c>
      <c r="BO616" s="2">
        <v>42005.092361111114</v>
      </c>
      <c r="BP616" s="2">
        <v>6.92</v>
      </c>
      <c r="BQ616" s="2">
        <v>42005.092361111114</v>
      </c>
      <c r="BR616" s="2">
        <v>11.07</v>
      </c>
      <c r="BS616" s="2">
        <v>42005.092361111114</v>
      </c>
      <c r="BT616">
        <v>0</v>
      </c>
      <c r="BU616">
        <v>0</v>
      </c>
      <c r="BV616" t="s">
        <v>135</v>
      </c>
      <c r="BW616">
        <v>0</v>
      </c>
      <c r="BX616">
        <v>0</v>
      </c>
      <c r="BY616" t="s">
        <v>135</v>
      </c>
      <c r="BZ616">
        <v>0</v>
      </c>
      <c r="CA616">
        <v>0</v>
      </c>
      <c r="CB616" t="s">
        <v>135</v>
      </c>
      <c r="CH616" s="2"/>
      <c r="CJ616" s="2"/>
      <c r="CL616" s="2"/>
      <c r="CN616" s="2"/>
      <c r="CQ616" s="2"/>
      <c r="CT616" s="2"/>
      <c r="CW616" s="2"/>
    </row>
    <row r="617" spans="1:101" x14ac:dyDescent="0.25">
      <c r="A617" s="1" t="s">
        <v>163</v>
      </c>
      <c r="B617" s="75" t="s">
        <v>164</v>
      </c>
      <c r="C617">
        <v>0</v>
      </c>
      <c r="D617">
        <v>0</v>
      </c>
      <c r="E617">
        <v>0</v>
      </c>
      <c r="F617">
        <v>604324.56000000006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3.91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7490</v>
      </c>
      <c r="AW617">
        <v>3350</v>
      </c>
      <c r="AX617">
        <v>1219</v>
      </c>
      <c r="AY617">
        <v>12059</v>
      </c>
      <c r="AZ617">
        <v>4202</v>
      </c>
      <c r="BA617">
        <v>7438</v>
      </c>
      <c r="BB617">
        <v>1432</v>
      </c>
      <c r="BC617">
        <v>13072</v>
      </c>
      <c r="BD617">
        <v>9486</v>
      </c>
      <c r="BE617">
        <v>9222</v>
      </c>
      <c r="BF617">
        <v>1768</v>
      </c>
      <c r="BG617">
        <v>20476</v>
      </c>
      <c r="BH617">
        <v>0</v>
      </c>
      <c r="BI617">
        <v>0</v>
      </c>
      <c r="BJ617">
        <v>0</v>
      </c>
      <c r="BK617">
        <v>0</v>
      </c>
      <c r="BL617" s="2">
        <v>24.82</v>
      </c>
      <c r="BM617" s="2">
        <v>42005.095138888886</v>
      </c>
      <c r="BN617" s="2">
        <v>5.4</v>
      </c>
      <c r="BO617" s="2">
        <v>42005.092361111114</v>
      </c>
      <c r="BP617" s="2">
        <v>6.92</v>
      </c>
      <c r="BQ617" s="2">
        <v>42005.092361111114</v>
      </c>
      <c r="BR617" s="2">
        <v>11.07</v>
      </c>
      <c r="BS617" s="2">
        <v>42005.092361111114</v>
      </c>
      <c r="BT617">
        <v>0</v>
      </c>
      <c r="BU617">
        <v>0</v>
      </c>
      <c r="BV617" t="s">
        <v>135</v>
      </c>
      <c r="BW617">
        <v>0</v>
      </c>
      <c r="BX617">
        <v>0</v>
      </c>
      <c r="BY617" t="s">
        <v>135</v>
      </c>
      <c r="BZ617">
        <v>0</v>
      </c>
      <c r="CA617">
        <v>0</v>
      </c>
      <c r="CB617" t="s">
        <v>135</v>
      </c>
      <c r="CH617" s="2"/>
      <c r="CJ617" s="2"/>
      <c r="CL617" s="2"/>
      <c r="CN617" s="2"/>
      <c r="CQ617" s="2"/>
      <c r="CT617" s="2"/>
      <c r="CW617" s="2"/>
    </row>
    <row r="618" spans="1:101" x14ac:dyDescent="0.25">
      <c r="A618" s="1" t="s">
        <v>163</v>
      </c>
      <c r="B618" s="75" t="s">
        <v>164</v>
      </c>
      <c r="C618">
        <v>0</v>
      </c>
      <c r="D618">
        <v>0</v>
      </c>
      <c r="E618">
        <v>0</v>
      </c>
      <c r="F618">
        <v>604324.56000000006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3.91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7490</v>
      </c>
      <c r="AW618">
        <v>3350</v>
      </c>
      <c r="AX618">
        <v>1219</v>
      </c>
      <c r="AY618">
        <v>12059</v>
      </c>
      <c r="AZ618">
        <v>4202</v>
      </c>
      <c r="BA618">
        <v>7438</v>
      </c>
      <c r="BB618">
        <v>1432</v>
      </c>
      <c r="BC618">
        <v>13072</v>
      </c>
      <c r="BD618">
        <v>9486</v>
      </c>
      <c r="BE618">
        <v>9222</v>
      </c>
      <c r="BF618">
        <v>1768</v>
      </c>
      <c r="BG618">
        <v>20476</v>
      </c>
      <c r="BH618">
        <v>0</v>
      </c>
      <c r="BI618">
        <v>0</v>
      </c>
      <c r="BJ618">
        <v>0</v>
      </c>
      <c r="BK618">
        <v>0</v>
      </c>
      <c r="BL618" s="2">
        <v>24.82</v>
      </c>
      <c r="BM618" s="2">
        <v>42005.095138888886</v>
      </c>
      <c r="BN618" s="2">
        <v>5.4</v>
      </c>
      <c r="BO618" s="2">
        <v>42005.092361111114</v>
      </c>
      <c r="BP618" s="2">
        <v>6.92</v>
      </c>
      <c r="BQ618" s="2">
        <v>42005.092361111114</v>
      </c>
      <c r="BR618" s="2">
        <v>11.07</v>
      </c>
      <c r="BS618" s="2">
        <v>42005.092361111114</v>
      </c>
      <c r="BT618">
        <v>0</v>
      </c>
      <c r="BU618">
        <v>0</v>
      </c>
      <c r="BV618" t="s">
        <v>135</v>
      </c>
      <c r="BW618">
        <v>0</v>
      </c>
      <c r="BX618">
        <v>0</v>
      </c>
      <c r="BY618" t="s">
        <v>135</v>
      </c>
      <c r="BZ618">
        <v>0</v>
      </c>
      <c r="CA618">
        <v>0</v>
      </c>
      <c r="CB618" t="s">
        <v>135</v>
      </c>
      <c r="CH618" s="2"/>
      <c r="CJ618" s="2"/>
      <c r="CL618" s="2"/>
      <c r="CN618" s="2"/>
      <c r="CQ618" s="2"/>
      <c r="CT618" s="2"/>
      <c r="CW618" s="2"/>
    </row>
    <row r="619" spans="1:101" x14ac:dyDescent="0.25">
      <c r="A619" s="1" t="s">
        <v>163</v>
      </c>
      <c r="B619" s="75" t="s">
        <v>164</v>
      </c>
      <c r="C619">
        <v>0</v>
      </c>
      <c r="D619">
        <v>0</v>
      </c>
      <c r="E619">
        <v>0</v>
      </c>
      <c r="F619">
        <v>604324.56000000006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3.91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7490</v>
      </c>
      <c r="AW619">
        <v>3350</v>
      </c>
      <c r="AX619">
        <v>1219</v>
      </c>
      <c r="AY619">
        <v>12059</v>
      </c>
      <c r="AZ619">
        <v>4202</v>
      </c>
      <c r="BA619">
        <v>7438</v>
      </c>
      <c r="BB619">
        <v>1432</v>
      </c>
      <c r="BC619">
        <v>13072</v>
      </c>
      <c r="BD619">
        <v>9486</v>
      </c>
      <c r="BE619">
        <v>9222</v>
      </c>
      <c r="BF619">
        <v>1768</v>
      </c>
      <c r="BG619">
        <v>20476</v>
      </c>
      <c r="BH619">
        <v>0</v>
      </c>
      <c r="BI619">
        <v>0</v>
      </c>
      <c r="BJ619">
        <v>0</v>
      </c>
      <c r="BK619">
        <v>0</v>
      </c>
      <c r="BL619" s="2">
        <v>24.82</v>
      </c>
      <c r="BM619" s="2">
        <v>42005.095138888886</v>
      </c>
      <c r="BN619" s="2">
        <v>5.4</v>
      </c>
      <c r="BO619" s="2">
        <v>42005.092361111114</v>
      </c>
      <c r="BP619" s="2">
        <v>6.92</v>
      </c>
      <c r="BQ619" s="2">
        <v>42005.092361111114</v>
      </c>
      <c r="BR619" s="2">
        <v>11.07</v>
      </c>
      <c r="BS619" s="2">
        <v>42005.092361111114</v>
      </c>
      <c r="BT619">
        <v>0</v>
      </c>
      <c r="BU619">
        <v>0</v>
      </c>
      <c r="BV619" t="s">
        <v>135</v>
      </c>
      <c r="BW619">
        <v>0</v>
      </c>
      <c r="BX619">
        <v>0</v>
      </c>
      <c r="BY619" t="s">
        <v>135</v>
      </c>
      <c r="BZ619">
        <v>0</v>
      </c>
      <c r="CA619">
        <v>0</v>
      </c>
      <c r="CB619" t="s">
        <v>135</v>
      </c>
      <c r="CH619" s="2"/>
      <c r="CJ619" s="2"/>
      <c r="CL619" s="2"/>
      <c r="CN619" s="2"/>
      <c r="CQ619" s="2"/>
      <c r="CT619" s="2"/>
      <c r="CW619" s="2"/>
    </row>
    <row r="620" spans="1:101" x14ac:dyDescent="0.25">
      <c r="A620" s="1" t="s">
        <v>163</v>
      </c>
      <c r="B620" s="75" t="s">
        <v>164</v>
      </c>
      <c r="C620">
        <v>0</v>
      </c>
      <c r="D620">
        <v>0</v>
      </c>
      <c r="E620">
        <v>0</v>
      </c>
      <c r="F620">
        <v>604324.56000000006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3.91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7490</v>
      </c>
      <c r="AW620">
        <v>3350</v>
      </c>
      <c r="AX620">
        <v>1219</v>
      </c>
      <c r="AY620">
        <v>12059</v>
      </c>
      <c r="AZ620">
        <v>4202</v>
      </c>
      <c r="BA620">
        <v>7438</v>
      </c>
      <c r="BB620">
        <v>1432</v>
      </c>
      <c r="BC620">
        <v>13072</v>
      </c>
      <c r="BD620">
        <v>9486</v>
      </c>
      <c r="BE620">
        <v>9222</v>
      </c>
      <c r="BF620">
        <v>1768</v>
      </c>
      <c r="BG620">
        <v>20476</v>
      </c>
      <c r="BH620">
        <v>0</v>
      </c>
      <c r="BI620">
        <v>0</v>
      </c>
      <c r="BJ620">
        <v>0</v>
      </c>
      <c r="BK620">
        <v>0</v>
      </c>
      <c r="BL620" s="2">
        <v>24.82</v>
      </c>
      <c r="BM620" s="2">
        <v>42005.095138888886</v>
      </c>
      <c r="BN620" s="2">
        <v>5.4</v>
      </c>
      <c r="BO620" s="2">
        <v>42005.092361111114</v>
      </c>
      <c r="BP620" s="2">
        <v>6.92</v>
      </c>
      <c r="BQ620" s="2">
        <v>42005.092361111114</v>
      </c>
      <c r="BR620" s="2">
        <v>11.07</v>
      </c>
      <c r="BS620" s="2">
        <v>42005.092361111114</v>
      </c>
      <c r="BT620">
        <v>0</v>
      </c>
      <c r="BU620">
        <v>0</v>
      </c>
      <c r="BV620" t="s">
        <v>135</v>
      </c>
      <c r="BW620">
        <v>0</v>
      </c>
      <c r="BX620">
        <v>0</v>
      </c>
      <c r="BY620" t="s">
        <v>135</v>
      </c>
      <c r="BZ620">
        <v>0</v>
      </c>
      <c r="CA620">
        <v>0</v>
      </c>
      <c r="CB620" t="s">
        <v>135</v>
      </c>
      <c r="CH620" s="2"/>
      <c r="CJ620" s="2"/>
      <c r="CL620" s="2"/>
      <c r="CN620" s="2"/>
      <c r="CQ620" s="2"/>
      <c r="CT620" s="2"/>
      <c r="CW620" s="2"/>
    </row>
    <row r="621" spans="1:101" x14ac:dyDescent="0.25">
      <c r="A621" s="1" t="s">
        <v>163</v>
      </c>
      <c r="B621" s="75" t="s">
        <v>164</v>
      </c>
      <c r="C621">
        <v>0</v>
      </c>
      <c r="D621">
        <v>0</v>
      </c>
      <c r="E621">
        <v>0</v>
      </c>
      <c r="F621">
        <v>604324.56000000006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3.91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7490</v>
      </c>
      <c r="AW621">
        <v>3350</v>
      </c>
      <c r="AX621">
        <v>1219</v>
      </c>
      <c r="AY621">
        <v>12059</v>
      </c>
      <c r="AZ621">
        <v>4202</v>
      </c>
      <c r="BA621">
        <v>7438</v>
      </c>
      <c r="BB621">
        <v>1432</v>
      </c>
      <c r="BC621">
        <v>13072</v>
      </c>
      <c r="BD621">
        <v>9486</v>
      </c>
      <c r="BE621">
        <v>9222</v>
      </c>
      <c r="BF621">
        <v>1768</v>
      </c>
      <c r="BG621">
        <v>20476</v>
      </c>
      <c r="BH621">
        <v>0</v>
      </c>
      <c r="BI621">
        <v>0</v>
      </c>
      <c r="BJ621">
        <v>0</v>
      </c>
      <c r="BK621">
        <v>0</v>
      </c>
      <c r="BL621" s="2">
        <v>24.82</v>
      </c>
      <c r="BM621" s="2">
        <v>42005.095138888886</v>
      </c>
      <c r="BN621" s="2">
        <v>5.4</v>
      </c>
      <c r="BO621" s="2">
        <v>42005.092361111114</v>
      </c>
      <c r="BP621" s="2">
        <v>6.92</v>
      </c>
      <c r="BQ621" s="2">
        <v>42005.092361111114</v>
      </c>
      <c r="BR621" s="2">
        <v>11.07</v>
      </c>
      <c r="BS621" s="2">
        <v>42005.092361111114</v>
      </c>
      <c r="BT621">
        <v>0</v>
      </c>
      <c r="BU621">
        <v>0</v>
      </c>
      <c r="BV621" t="s">
        <v>135</v>
      </c>
      <c r="BW621">
        <v>0</v>
      </c>
      <c r="BX621">
        <v>0</v>
      </c>
      <c r="BY621" t="s">
        <v>135</v>
      </c>
      <c r="BZ621">
        <v>0</v>
      </c>
      <c r="CA621">
        <v>0</v>
      </c>
      <c r="CB621" t="s">
        <v>135</v>
      </c>
      <c r="CH621" s="2"/>
      <c r="CJ621" s="2"/>
      <c r="CL621" s="2"/>
      <c r="CN621" s="2"/>
      <c r="CQ621" s="2"/>
      <c r="CT621" s="2"/>
      <c r="CW621" s="2"/>
    </row>
    <row r="622" spans="1:101" x14ac:dyDescent="0.25">
      <c r="A622" s="1" t="s">
        <v>163</v>
      </c>
      <c r="B622" s="75" t="s">
        <v>164</v>
      </c>
      <c r="C622">
        <v>0</v>
      </c>
      <c r="D622">
        <v>0</v>
      </c>
      <c r="E622">
        <v>0</v>
      </c>
      <c r="F622">
        <v>604324.56000000006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3.91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7490</v>
      </c>
      <c r="AW622">
        <v>3350</v>
      </c>
      <c r="AX622">
        <v>1219</v>
      </c>
      <c r="AY622">
        <v>12059</v>
      </c>
      <c r="AZ622">
        <v>4202</v>
      </c>
      <c r="BA622">
        <v>7438</v>
      </c>
      <c r="BB622">
        <v>1432</v>
      </c>
      <c r="BC622">
        <v>13072</v>
      </c>
      <c r="BD622">
        <v>9486</v>
      </c>
      <c r="BE622">
        <v>9222</v>
      </c>
      <c r="BF622">
        <v>1768</v>
      </c>
      <c r="BG622">
        <v>20476</v>
      </c>
      <c r="BH622">
        <v>0</v>
      </c>
      <c r="BI622">
        <v>0</v>
      </c>
      <c r="BJ622">
        <v>0</v>
      </c>
      <c r="BK622">
        <v>0</v>
      </c>
      <c r="BL622" s="2">
        <v>24.82</v>
      </c>
      <c r="BM622" s="2">
        <v>42005.095138888886</v>
      </c>
      <c r="BN622" s="2">
        <v>5.4</v>
      </c>
      <c r="BO622" s="2">
        <v>42005.092361111114</v>
      </c>
      <c r="BP622" s="2">
        <v>6.92</v>
      </c>
      <c r="BQ622" s="2">
        <v>42005.092361111114</v>
      </c>
      <c r="BR622" s="2">
        <v>11.07</v>
      </c>
      <c r="BS622" s="2">
        <v>42005.092361111114</v>
      </c>
      <c r="BT622">
        <v>0</v>
      </c>
      <c r="BU622">
        <v>0</v>
      </c>
      <c r="BV622" t="s">
        <v>135</v>
      </c>
      <c r="BW622">
        <v>0</v>
      </c>
      <c r="BX622">
        <v>0</v>
      </c>
      <c r="BY622" t="s">
        <v>135</v>
      </c>
      <c r="BZ622">
        <v>0</v>
      </c>
      <c r="CA622">
        <v>0</v>
      </c>
      <c r="CB622" t="s">
        <v>135</v>
      </c>
      <c r="CH622" s="2"/>
      <c r="CJ622" s="2"/>
      <c r="CL622" s="2"/>
      <c r="CN622" s="2"/>
      <c r="CQ622" s="2"/>
      <c r="CT622" s="2"/>
      <c r="CW622" s="2"/>
    </row>
    <row r="623" spans="1:101" x14ac:dyDescent="0.25">
      <c r="A623" s="1" t="s">
        <v>163</v>
      </c>
      <c r="B623" s="75" t="s">
        <v>164</v>
      </c>
      <c r="C623">
        <v>0</v>
      </c>
      <c r="D623">
        <v>0</v>
      </c>
      <c r="E623">
        <v>0</v>
      </c>
      <c r="F623">
        <v>604324.56000000006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3.91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7490</v>
      </c>
      <c r="AW623">
        <v>3350</v>
      </c>
      <c r="AX623">
        <v>1219</v>
      </c>
      <c r="AY623">
        <v>12059</v>
      </c>
      <c r="AZ623">
        <v>4202</v>
      </c>
      <c r="BA623">
        <v>7438</v>
      </c>
      <c r="BB623">
        <v>1432</v>
      </c>
      <c r="BC623">
        <v>13072</v>
      </c>
      <c r="BD623">
        <v>9486</v>
      </c>
      <c r="BE623">
        <v>9222</v>
      </c>
      <c r="BF623">
        <v>1768</v>
      </c>
      <c r="BG623">
        <v>20476</v>
      </c>
      <c r="BH623">
        <v>0</v>
      </c>
      <c r="BI623">
        <v>0</v>
      </c>
      <c r="BJ623">
        <v>0</v>
      </c>
      <c r="BK623">
        <v>0</v>
      </c>
      <c r="BL623" s="2">
        <v>24.82</v>
      </c>
      <c r="BM623" s="2">
        <v>42005.095138888886</v>
      </c>
      <c r="BN623" s="2">
        <v>5.4</v>
      </c>
      <c r="BO623" s="2">
        <v>42005.092361111114</v>
      </c>
      <c r="BP623" s="2">
        <v>6.92</v>
      </c>
      <c r="BQ623" s="2">
        <v>42005.092361111114</v>
      </c>
      <c r="BR623" s="2">
        <v>11.07</v>
      </c>
      <c r="BS623" s="2">
        <v>42005.092361111114</v>
      </c>
      <c r="BT623">
        <v>0</v>
      </c>
      <c r="BU623">
        <v>0</v>
      </c>
      <c r="BV623" t="s">
        <v>135</v>
      </c>
      <c r="BW623">
        <v>0</v>
      </c>
      <c r="BX623">
        <v>0</v>
      </c>
      <c r="BY623" t="s">
        <v>135</v>
      </c>
      <c r="BZ623">
        <v>0</v>
      </c>
      <c r="CA623">
        <v>0</v>
      </c>
      <c r="CB623" t="s">
        <v>135</v>
      </c>
      <c r="CH623" s="2"/>
      <c r="CJ623" s="2"/>
      <c r="CL623" s="2"/>
      <c r="CN623" s="2"/>
      <c r="CQ623" s="2"/>
      <c r="CT623" s="2"/>
      <c r="CW623" s="2"/>
    </row>
    <row r="624" spans="1:101" x14ac:dyDescent="0.25">
      <c r="A624" s="1" t="s">
        <v>163</v>
      </c>
      <c r="B624" s="75" t="s">
        <v>164</v>
      </c>
      <c r="C624">
        <v>0</v>
      </c>
      <c r="D624">
        <v>0</v>
      </c>
      <c r="E624">
        <v>0</v>
      </c>
      <c r="F624">
        <v>604324.56000000006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3.91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7490</v>
      </c>
      <c r="AW624">
        <v>3350</v>
      </c>
      <c r="AX624">
        <v>1219</v>
      </c>
      <c r="AY624">
        <v>12059</v>
      </c>
      <c r="AZ624">
        <v>4202</v>
      </c>
      <c r="BA624">
        <v>7438</v>
      </c>
      <c r="BB624">
        <v>1432</v>
      </c>
      <c r="BC624">
        <v>13072</v>
      </c>
      <c r="BD624">
        <v>9486</v>
      </c>
      <c r="BE624">
        <v>9222</v>
      </c>
      <c r="BF624">
        <v>1768</v>
      </c>
      <c r="BG624">
        <v>20476</v>
      </c>
      <c r="BH624">
        <v>0</v>
      </c>
      <c r="BI624">
        <v>0</v>
      </c>
      <c r="BJ624">
        <v>0</v>
      </c>
      <c r="BK624">
        <v>0</v>
      </c>
      <c r="BL624" s="2">
        <v>24.82</v>
      </c>
      <c r="BM624" s="2">
        <v>42005.095138888886</v>
      </c>
      <c r="BN624" s="2">
        <v>5.4</v>
      </c>
      <c r="BO624" s="2">
        <v>42005.092361111114</v>
      </c>
      <c r="BP624" s="2">
        <v>6.92</v>
      </c>
      <c r="BQ624" s="2">
        <v>42005.092361111114</v>
      </c>
      <c r="BR624" s="2">
        <v>11.07</v>
      </c>
      <c r="BS624" s="2">
        <v>42005.092361111114</v>
      </c>
      <c r="BT624">
        <v>0</v>
      </c>
      <c r="BU624">
        <v>0</v>
      </c>
      <c r="BV624" t="s">
        <v>135</v>
      </c>
      <c r="BW624">
        <v>0</v>
      </c>
      <c r="BX624">
        <v>0</v>
      </c>
      <c r="BY624" t="s">
        <v>135</v>
      </c>
      <c r="BZ624">
        <v>0</v>
      </c>
      <c r="CA624">
        <v>0</v>
      </c>
      <c r="CB624" t="s">
        <v>135</v>
      </c>
      <c r="CH624" s="2"/>
      <c r="CJ624" s="2"/>
      <c r="CL624" s="2"/>
      <c r="CN624" s="2"/>
      <c r="CQ624" s="2"/>
      <c r="CT624" s="2"/>
      <c r="CW624" s="2"/>
    </row>
    <row r="625" spans="1:101" x14ac:dyDescent="0.25">
      <c r="A625" s="1" t="s">
        <v>163</v>
      </c>
      <c r="B625" s="75" t="s">
        <v>164</v>
      </c>
      <c r="C625">
        <v>0</v>
      </c>
      <c r="D625">
        <v>0</v>
      </c>
      <c r="E625">
        <v>0</v>
      </c>
      <c r="F625">
        <v>604324.56000000006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3.91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7490</v>
      </c>
      <c r="AW625">
        <v>3350</v>
      </c>
      <c r="AX625">
        <v>1219</v>
      </c>
      <c r="AY625">
        <v>12059</v>
      </c>
      <c r="AZ625">
        <v>4202</v>
      </c>
      <c r="BA625">
        <v>7438</v>
      </c>
      <c r="BB625">
        <v>1432</v>
      </c>
      <c r="BC625">
        <v>13072</v>
      </c>
      <c r="BD625">
        <v>9486</v>
      </c>
      <c r="BE625">
        <v>9222</v>
      </c>
      <c r="BF625">
        <v>1768</v>
      </c>
      <c r="BG625">
        <v>20476</v>
      </c>
      <c r="BH625">
        <v>0</v>
      </c>
      <c r="BI625">
        <v>0</v>
      </c>
      <c r="BJ625">
        <v>0</v>
      </c>
      <c r="BK625">
        <v>0</v>
      </c>
      <c r="BL625" s="2">
        <v>24.82</v>
      </c>
      <c r="BM625" s="2">
        <v>42005.095138888886</v>
      </c>
      <c r="BN625" s="2">
        <v>5.4</v>
      </c>
      <c r="BO625" s="2">
        <v>42005.092361111114</v>
      </c>
      <c r="BP625" s="2">
        <v>6.92</v>
      </c>
      <c r="BQ625" s="2">
        <v>42005.092361111114</v>
      </c>
      <c r="BR625" s="2">
        <v>11.07</v>
      </c>
      <c r="BS625" s="2">
        <v>42005.092361111114</v>
      </c>
      <c r="BT625">
        <v>0</v>
      </c>
      <c r="BU625">
        <v>0</v>
      </c>
      <c r="BV625" t="s">
        <v>135</v>
      </c>
      <c r="BW625">
        <v>0</v>
      </c>
      <c r="BX625">
        <v>0</v>
      </c>
      <c r="BY625" t="s">
        <v>135</v>
      </c>
      <c r="BZ625">
        <v>0</v>
      </c>
      <c r="CA625">
        <v>0</v>
      </c>
      <c r="CB625" t="s">
        <v>135</v>
      </c>
      <c r="CH625" s="2"/>
      <c r="CJ625" s="2"/>
      <c r="CL625" s="2"/>
      <c r="CN625" s="2"/>
      <c r="CQ625" s="2"/>
      <c r="CT625" s="2"/>
      <c r="CW625" s="2"/>
    </row>
    <row r="626" spans="1:101" x14ac:dyDescent="0.25">
      <c r="A626" s="1" t="s">
        <v>163</v>
      </c>
      <c r="B626" s="75" t="s">
        <v>164</v>
      </c>
      <c r="C626">
        <v>0</v>
      </c>
      <c r="D626">
        <v>0</v>
      </c>
      <c r="E626">
        <v>0</v>
      </c>
      <c r="F626">
        <v>604324.56000000006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3.91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7490</v>
      </c>
      <c r="AW626">
        <v>3350</v>
      </c>
      <c r="AX626">
        <v>1219</v>
      </c>
      <c r="AY626">
        <v>12059</v>
      </c>
      <c r="AZ626">
        <v>4202</v>
      </c>
      <c r="BA626">
        <v>7438</v>
      </c>
      <c r="BB626">
        <v>1432</v>
      </c>
      <c r="BC626">
        <v>13072</v>
      </c>
      <c r="BD626">
        <v>9486</v>
      </c>
      <c r="BE626">
        <v>9222</v>
      </c>
      <c r="BF626">
        <v>1768</v>
      </c>
      <c r="BG626">
        <v>20476</v>
      </c>
      <c r="BH626">
        <v>0</v>
      </c>
      <c r="BI626">
        <v>0</v>
      </c>
      <c r="BJ626">
        <v>0</v>
      </c>
      <c r="BK626">
        <v>0</v>
      </c>
      <c r="BL626" s="2">
        <v>24.82</v>
      </c>
      <c r="BM626" s="2">
        <v>42005.095138888886</v>
      </c>
      <c r="BN626" s="2">
        <v>5.4</v>
      </c>
      <c r="BO626" s="2">
        <v>42005.092361111114</v>
      </c>
      <c r="BP626" s="2">
        <v>6.92</v>
      </c>
      <c r="BQ626" s="2">
        <v>42005.092361111114</v>
      </c>
      <c r="BR626" s="2">
        <v>11.07</v>
      </c>
      <c r="BS626" s="2">
        <v>42005.092361111114</v>
      </c>
      <c r="BT626">
        <v>0</v>
      </c>
      <c r="BU626">
        <v>0</v>
      </c>
      <c r="BV626" t="s">
        <v>135</v>
      </c>
      <c r="BW626">
        <v>0</v>
      </c>
      <c r="BX626">
        <v>0</v>
      </c>
      <c r="BY626" t="s">
        <v>135</v>
      </c>
      <c r="BZ626">
        <v>0</v>
      </c>
      <c r="CA626">
        <v>0</v>
      </c>
      <c r="CB626" t="s">
        <v>135</v>
      </c>
      <c r="CH626" s="2"/>
      <c r="CJ626" s="2"/>
      <c r="CL626" s="2"/>
      <c r="CN626" s="2"/>
      <c r="CQ626" s="2"/>
      <c r="CT626" s="2"/>
      <c r="CW626" s="2"/>
    </row>
    <row r="627" spans="1:101" x14ac:dyDescent="0.25">
      <c r="A627" s="1" t="s">
        <v>163</v>
      </c>
      <c r="B627" s="75" t="s">
        <v>164</v>
      </c>
      <c r="C627">
        <v>0</v>
      </c>
      <c r="D627">
        <v>0</v>
      </c>
      <c r="E627">
        <v>0</v>
      </c>
      <c r="F627">
        <v>604324.56000000006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3.91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7490</v>
      </c>
      <c r="AW627">
        <v>3350</v>
      </c>
      <c r="AX627">
        <v>1219</v>
      </c>
      <c r="AY627">
        <v>12059</v>
      </c>
      <c r="AZ627">
        <v>4202</v>
      </c>
      <c r="BA627">
        <v>7438</v>
      </c>
      <c r="BB627">
        <v>1432</v>
      </c>
      <c r="BC627">
        <v>13072</v>
      </c>
      <c r="BD627">
        <v>9486</v>
      </c>
      <c r="BE627">
        <v>9222</v>
      </c>
      <c r="BF627">
        <v>1768</v>
      </c>
      <c r="BG627">
        <v>20476</v>
      </c>
      <c r="BH627">
        <v>0</v>
      </c>
      <c r="BI627">
        <v>0</v>
      </c>
      <c r="BJ627">
        <v>0</v>
      </c>
      <c r="BK627">
        <v>0</v>
      </c>
      <c r="BL627" s="2">
        <v>24.82</v>
      </c>
      <c r="BM627" s="2">
        <v>42005.095138888886</v>
      </c>
      <c r="BN627" s="2">
        <v>5.4</v>
      </c>
      <c r="BO627" s="2">
        <v>42005.092361111114</v>
      </c>
      <c r="BP627" s="2">
        <v>6.92</v>
      </c>
      <c r="BQ627" s="2">
        <v>42005.092361111114</v>
      </c>
      <c r="BR627" s="2">
        <v>11.07</v>
      </c>
      <c r="BS627" s="2">
        <v>42005.092361111114</v>
      </c>
      <c r="BT627">
        <v>0</v>
      </c>
      <c r="BU627">
        <v>0</v>
      </c>
      <c r="BV627" t="s">
        <v>135</v>
      </c>
      <c r="BW627">
        <v>0</v>
      </c>
      <c r="BX627">
        <v>0</v>
      </c>
      <c r="BY627" t="s">
        <v>135</v>
      </c>
      <c r="BZ627">
        <v>0</v>
      </c>
      <c r="CA627">
        <v>0</v>
      </c>
      <c r="CB627" t="s">
        <v>135</v>
      </c>
      <c r="CH627" s="2"/>
      <c r="CJ627" s="2"/>
      <c r="CL627" s="2"/>
      <c r="CN627" s="2"/>
      <c r="CQ627" s="2"/>
      <c r="CT627" s="2"/>
      <c r="CW627" s="2"/>
    </row>
    <row r="628" spans="1:101" x14ac:dyDescent="0.25">
      <c r="A628" s="1" t="s">
        <v>163</v>
      </c>
      <c r="B628" s="75" t="s">
        <v>164</v>
      </c>
      <c r="C628">
        <v>0</v>
      </c>
      <c r="D628">
        <v>0</v>
      </c>
      <c r="E628">
        <v>0</v>
      </c>
      <c r="F628">
        <v>604324.56000000006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3.91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7490</v>
      </c>
      <c r="AW628">
        <v>3350</v>
      </c>
      <c r="AX628">
        <v>1219</v>
      </c>
      <c r="AY628">
        <v>12059</v>
      </c>
      <c r="AZ628">
        <v>4202</v>
      </c>
      <c r="BA628">
        <v>7438</v>
      </c>
      <c r="BB628">
        <v>1432</v>
      </c>
      <c r="BC628">
        <v>13072</v>
      </c>
      <c r="BD628">
        <v>9486</v>
      </c>
      <c r="BE628">
        <v>9222</v>
      </c>
      <c r="BF628">
        <v>1768</v>
      </c>
      <c r="BG628">
        <v>20476</v>
      </c>
      <c r="BH628">
        <v>0</v>
      </c>
      <c r="BI628">
        <v>0</v>
      </c>
      <c r="BJ628">
        <v>0</v>
      </c>
      <c r="BK628">
        <v>0</v>
      </c>
      <c r="BL628" s="2">
        <v>24.82</v>
      </c>
      <c r="BM628" s="2">
        <v>42005.095138888886</v>
      </c>
      <c r="BN628" s="2">
        <v>5.4</v>
      </c>
      <c r="BO628" s="2">
        <v>42005.092361111114</v>
      </c>
      <c r="BP628" s="2">
        <v>6.92</v>
      </c>
      <c r="BQ628" s="2">
        <v>42005.092361111114</v>
      </c>
      <c r="BR628" s="2">
        <v>11.07</v>
      </c>
      <c r="BS628" s="2">
        <v>42005.092361111114</v>
      </c>
      <c r="BT628">
        <v>0</v>
      </c>
      <c r="BU628">
        <v>0</v>
      </c>
      <c r="BV628" t="s">
        <v>135</v>
      </c>
      <c r="BW628">
        <v>0</v>
      </c>
      <c r="BX628">
        <v>0</v>
      </c>
      <c r="BY628" t="s">
        <v>135</v>
      </c>
      <c r="BZ628">
        <v>0</v>
      </c>
      <c r="CA628">
        <v>0</v>
      </c>
      <c r="CB628" t="s">
        <v>135</v>
      </c>
      <c r="CH628" s="2"/>
      <c r="CJ628" s="2"/>
      <c r="CL628" s="2"/>
      <c r="CN628" s="2"/>
      <c r="CQ628" s="2"/>
      <c r="CT628" s="2"/>
      <c r="CW628" s="2"/>
    </row>
    <row r="629" spans="1:101" x14ac:dyDescent="0.25">
      <c r="A629" s="1" t="s">
        <v>163</v>
      </c>
      <c r="B629" s="75" t="s">
        <v>164</v>
      </c>
      <c r="C629">
        <v>0</v>
      </c>
      <c r="D629">
        <v>0</v>
      </c>
      <c r="E629">
        <v>0</v>
      </c>
      <c r="F629">
        <v>604324.56000000006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3.91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7490</v>
      </c>
      <c r="AW629">
        <v>3350</v>
      </c>
      <c r="AX629">
        <v>1219</v>
      </c>
      <c r="AY629">
        <v>12059</v>
      </c>
      <c r="AZ629">
        <v>4202</v>
      </c>
      <c r="BA629">
        <v>7438</v>
      </c>
      <c r="BB629">
        <v>1432</v>
      </c>
      <c r="BC629">
        <v>13072</v>
      </c>
      <c r="BD629">
        <v>9486</v>
      </c>
      <c r="BE629">
        <v>9222</v>
      </c>
      <c r="BF629">
        <v>1768</v>
      </c>
      <c r="BG629">
        <v>20476</v>
      </c>
      <c r="BH629">
        <v>0</v>
      </c>
      <c r="BI629">
        <v>0</v>
      </c>
      <c r="BJ629">
        <v>0</v>
      </c>
      <c r="BK629">
        <v>0</v>
      </c>
      <c r="BL629" s="2">
        <v>24.82</v>
      </c>
      <c r="BM629" s="2">
        <v>42005.095138888886</v>
      </c>
      <c r="BN629" s="2">
        <v>5.4</v>
      </c>
      <c r="BO629" s="2">
        <v>42005.092361111114</v>
      </c>
      <c r="BP629" s="2">
        <v>6.92</v>
      </c>
      <c r="BQ629" s="2">
        <v>42005.092361111114</v>
      </c>
      <c r="BR629" s="2">
        <v>11.07</v>
      </c>
      <c r="BS629" s="2">
        <v>42005.092361111114</v>
      </c>
      <c r="BT629">
        <v>0</v>
      </c>
      <c r="BU629">
        <v>0</v>
      </c>
      <c r="BV629" t="s">
        <v>135</v>
      </c>
      <c r="BW629">
        <v>0</v>
      </c>
      <c r="BX629">
        <v>0</v>
      </c>
      <c r="BY629" t="s">
        <v>135</v>
      </c>
      <c r="BZ629">
        <v>0</v>
      </c>
      <c r="CA629">
        <v>0</v>
      </c>
      <c r="CB629" t="s">
        <v>135</v>
      </c>
      <c r="CH629" s="2"/>
      <c r="CJ629" s="2"/>
      <c r="CL629" s="2"/>
      <c r="CN629" s="2"/>
      <c r="CQ629" s="2"/>
      <c r="CT629" s="2"/>
      <c r="CW629" s="2"/>
    </row>
    <row r="630" spans="1:101" x14ac:dyDescent="0.25">
      <c r="A630" s="1" t="s">
        <v>163</v>
      </c>
      <c r="B630" s="75" t="s">
        <v>164</v>
      </c>
      <c r="C630">
        <v>0</v>
      </c>
      <c r="D630">
        <v>0</v>
      </c>
      <c r="E630">
        <v>0</v>
      </c>
      <c r="F630">
        <v>604324.56000000006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3.91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7490</v>
      </c>
      <c r="AW630">
        <v>3350</v>
      </c>
      <c r="AX630">
        <v>1219</v>
      </c>
      <c r="AY630">
        <v>12059</v>
      </c>
      <c r="AZ630">
        <v>4202</v>
      </c>
      <c r="BA630">
        <v>7438</v>
      </c>
      <c r="BB630">
        <v>1432</v>
      </c>
      <c r="BC630">
        <v>13072</v>
      </c>
      <c r="BD630">
        <v>9486</v>
      </c>
      <c r="BE630">
        <v>9222</v>
      </c>
      <c r="BF630">
        <v>1768</v>
      </c>
      <c r="BG630">
        <v>20476</v>
      </c>
      <c r="BH630">
        <v>0</v>
      </c>
      <c r="BI630">
        <v>0</v>
      </c>
      <c r="BJ630">
        <v>0</v>
      </c>
      <c r="BK630">
        <v>0</v>
      </c>
      <c r="BL630" s="2">
        <v>24.82</v>
      </c>
      <c r="BM630" s="2">
        <v>42005.095138888886</v>
      </c>
      <c r="BN630" s="2">
        <v>5.4</v>
      </c>
      <c r="BO630" s="2">
        <v>42005.092361111114</v>
      </c>
      <c r="BP630" s="2">
        <v>6.92</v>
      </c>
      <c r="BQ630" s="2">
        <v>42005.092361111114</v>
      </c>
      <c r="BR630" s="2">
        <v>11.07</v>
      </c>
      <c r="BS630" s="2">
        <v>42005.092361111114</v>
      </c>
      <c r="BT630">
        <v>0</v>
      </c>
      <c r="BU630">
        <v>0</v>
      </c>
      <c r="BV630" t="s">
        <v>135</v>
      </c>
      <c r="BW630">
        <v>0</v>
      </c>
      <c r="BX630">
        <v>0</v>
      </c>
      <c r="BY630" t="s">
        <v>135</v>
      </c>
      <c r="BZ630">
        <v>0</v>
      </c>
      <c r="CA630">
        <v>0</v>
      </c>
      <c r="CB630" t="s">
        <v>135</v>
      </c>
      <c r="CH630" s="2"/>
      <c r="CJ630" s="2"/>
      <c r="CL630" s="2"/>
      <c r="CN630" s="2"/>
      <c r="CQ630" s="2"/>
      <c r="CT630" s="2"/>
      <c r="CW630" s="2"/>
    </row>
    <row r="631" spans="1:101" x14ac:dyDescent="0.25">
      <c r="A631" s="1" t="s">
        <v>163</v>
      </c>
      <c r="B631" s="75" t="s">
        <v>164</v>
      </c>
      <c r="C631">
        <v>0</v>
      </c>
      <c r="D631">
        <v>0</v>
      </c>
      <c r="E631">
        <v>0</v>
      </c>
      <c r="F631">
        <v>604324.56000000006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3.91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7490</v>
      </c>
      <c r="AW631">
        <v>3350</v>
      </c>
      <c r="AX631">
        <v>1219</v>
      </c>
      <c r="AY631">
        <v>12059</v>
      </c>
      <c r="AZ631">
        <v>4202</v>
      </c>
      <c r="BA631">
        <v>7438</v>
      </c>
      <c r="BB631">
        <v>1432</v>
      </c>
      <c r="BC631">
        <v>13072</v>
      </c>
      <c r="BD631">
        <v>9486</v>
      </c>
      <c r="BE631">
        <v>9222</v>
      </c>
      <c r="BF631">
        <v>1768</v>
      </c>
      <c r="BG631">
        <v>20476</v>
      </c>
      <c r="BH631">
        <v>0</v>
      </c>
      <c r="BI631">
        <v>0</v>
      </c>
      <c r="BJ631">
        <v>0</v>
      </c>
      <c r="BK631">
        <v>0</v>
      </c>
      <c r="BL631" s="2">
        <v>24.82</v>
      </c>
      <c r="BM631" s="2">
        <v>42005.095138888886</v>
      </c>
      <c r="BN631" s="2">
        <v>5.4</v>
      </c>
      <c r="BO631" s="2">
        <v>42005.092361111114</v>
      </c>
      <c r="BP631" s="2">
        <v>6.92</v>
      </c>
      <c r="BQ631" s="2">
        <v>42005.092361111114</v>
      </c>
      <c r="BR631" s="2">
        <v>11.07</v>
      </c>
      <c r="BS631" s="2">
        <v>42005.092361111114</v>
      </c>
      <c r="BT631">
        <v>0</v>
      </c>
      <c r="BU631">
        <v>0</v>
      </c>
      <c r="BV631" t="s">
        <v>135</v>
      </c>
      <c r="BW631">
        <v>0</v>
      </c>
      <c r="BX631">
        <v>0</v>
      </c>
      <c r="BY631" t="s">
        <v>135</v>
      </c>
      <c r="BZ631">
        <v>0</v>
      </c>
      <c r="CA631">
        <v>0</v>
      </c>
      <c r="CB631" t="s">
        <v>135</v>
      </c>
      <c r="CH631" s="2"/>
      <c r="CJ631" s="2"/>
      <c r="CL631" s="2"/>
      <c r="CN631" s="2"/>
      <c r="CQ631" s="2"/>
      <c r="CT631" s="2"/>
      <c r="CW631" s="2"/>
    </row>
    <row r="632" spans="1:101" x14ac:dyDescent="0.25">
      <c r="A632" s="1" t="s">
        <v>163</v>
      </c>
      <c r="B632" s="75" t="s">
        <v>164</v>
      </c>
      <c r="C632">
        <v>0</v>
      </c>
      <c r="D632">
        <v>0</v>
      </c>
      <c r="E632">
        <v>0</v>
      </c>
      <c r="F632">
        <v>604324.56000000006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3.91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7490</v>
      </c>
      <c r="AW632">
        <v>3350</v>
      </c>
      <c r="AX632">
        <v>1219</v>
      </c>
      <c r="AY632">
        <v>12059</v>
      </c>
      <c r="AZ632">
        <v>4202</v>
      </c>
      <c r="BA632">
        <v>7438</v>
      </c>
      <c r="BB632">
        <v>1432</v>
      </c>
      <c r="BC632">
        <v>13072</v>
      </c>
      <c r="BD632">
        <v>9486</v>
      </c>
      <c r="BE632">
        <v>9222</v>
      </c>
      <c r="BF632">
        <v>1768</v>
      </c>
      <c r="BG632">
        <v>20476</v>
      </c>
      <c r="BH632">
        <v>0</v>
      </c>
      <c r="BI632">
        <v>0</v>
      </c>
      <c r="BJ632">
        <v>0</v>
      </c>
      <c r="BK632">
        <v>0</v>
      </c>
      <c r="BL632" s="2">
        <v>24.82</v>
      </c>
      <c r="BM632" s="2">
        <v>42005.095138888886</v>
      </c>
      <c r="BN632" s="2">
        <v>5.4</v>
      </c>
      <c r="BO632" s="2">
        <v>42005.092361111114</v>
      </c>
      <c r="BP632" s="2">
        <v>6.92</v>
      </c>
      <c r="BQ632" s="2">
        <v>42005.092361111114</v>
      </c>
      <c r="BR632" s="2">
        <v>11.07</v>
      </c>
      <c r="BS632" s="2">
        <v>42005.092361111114</v>
      </c>
      <c r="BT632">
        <v>0</v>
      </c>
      <c r="BU632">
        <v>0</v>
      </c>
      <c r="BV632" t="s">
        <v>135</v>
      </c>
      <c r="BW632">
        <v>0</v>
      </c>
      <c r="BX632">
        <v>0</v>
      </c>
      <c r="BY632" t="s">
        <v>135</v>
      </c>
      <c r="BZ632">
        <v>0</v>
      </c>
      <c r="CA632">
        <v>0</v>
      </c>
      <c r="CB632" t="s">
        <v>135</v>
      </c>
      <c r="CH632" s="2"/>
      <c r="CJ632" s="2"/>
      <c r="CL632" s="2"/>
      <c r="CN632" s="2"/>
      <c r="CQ632" s="2"/>
      <c r="CT632" s="2"/>
      <c r="CW632" s="2"/>
    </row>
    <row r="633" spans="1:101" x14ac:dyDescent="0.25">
      <c r="A633" s="1" t="s">
        <v>163</v>
      </c>
      <c r="B633" s="75" t="s">
        <v>164</v>
      </c>
      <c r="C633">
        <v>0</v>
      </c>
      <c r="D633">
        <v>0</v>
      </c>
      <c r="E633">
        <v>0</v>
      </c>
      <c r="F633">
        <v>604324.56000000006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3.91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7490</v>
      </c>
      <c r="AW633">
        <v>3350</v>
      </c>
      <c r="AX633">
        <v>1219</v>
      </c>
      <c r="AY633">
        <v>12059</v>
      </c>
      <c r="AZ633">
        <v>4202</v>
      </c>
      <c r="BA633">
        <v>7438</v>
      </c>
      <c r="BB633">
        <v>1432</v>
      </c>
      <c r="BC633">
        <v>13072</v>
      </c>
      <c r="BD633">
        <v>9486</v>
      </c>
      <c r="BE633">
        <v>9222</v>
      </c>
      <c r="BF633">
        <v>1768</v>
      </c>
      <c r="BG633">
        <v>20476</v>
      </c>
      <c r="BH633">
        <v>0</v>
      </c>
      <c r="BI633">
        <v>0</v>
      </c>
      <c r="BJ633">
        <v>0</v>
      </c>
      <c r="BK633">
        <v>0</v>
      </c>
      <c r="BL633" s="2">
        <v>24.82</v>
      </c>
      <c r="BM633" s="2">
        <v>42005.095138888886</v>
      </c>
      <c r="BN633" s="2">
        <v>5.4</v>
      </c>
      <c r="BO633" s="2">
        <v>42005.092361111114</v>
      </c>
      <c r="BP633" s="2">
        <v>6.92</v>
      </c>
      <c r="BQ633" s="2">
        <v>42005.092361111114</v>
      </c>
      <c r="BR633" s="2">
        <v>11.07</v>
      </c>
      <c r="BS633" s="2">
        <v>42005.092361111114</v>
      </c>
      <c r="BT633">
        <v>0</v>
      </c>
      <c r="BU633">
        <v>0</v>
      </c>
      <c r="BV633" t="s">
        <v>135</v>
      </c>
      <c r="BW633">
        <v>0</v>
      </c>
      <c r="BX633">
        <v>0</v>
      </c>
      <c r="BY633" t="s">
        <v>135</v>
      </c>
      <c r="BZ633">
        <v>0</v>
      </c>
      <c r="CA633">
        <v>0</v>
      </c>
      <c r="CB633" t="s">
        <v>135</v>
      </c>
      <c r="CH633" s="2"/>
      <c r="CJ633" s="2"/>
      <c r="CL633" s="2"/>
      <c r="CN633" s="2"/>
      <c r="CQ633" s="2"/>
      <c r="CT633" s="2"/>
      <c r="CW633" s="2"/>
    </row>
    <row r="634" spans="1:101" x14ac:dyDescent="0.25">
      <c r="A634" s="1" t="s">
        <v>163</v>
      </c>
      <c r="B634" s="75" t="s">
        <v>164</v>
      </c>
      <c r="C634">
        <v>0</v>
      </c>
      <c r="D634">
        <v>0</v>
      </c>
      <c r="E634">
        <v>0</v>
      </c>
      <c r="F634">
        <v>604324.56000000006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3.91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7490</v>
      </c>
      <c r="AW634">
        <v>3350</v>
      </c>
      <c r="AX634">
        <v>1219</v>
      </c>
      <c r="AY634">
        <v>12059</v>
      </c>
      <c r="AZ634">
        <v>4202</v>
      </c>
      <c r="BA634">
        <v>7438</v>
      </c>
      <c r="BB634">
        <v>1432</v>
      </c>
      <c r="BC634">
        <v>13072</v>
      </c>
      <c r="BD634">
        <v>9486</v>
      </c>
      <c r="BE634">
        <v>9222</v>
      </c>
      <c r="BF634">
        <v>1768</v>
      </c>
      <c r="BG634">
        <v>20476</v>
      </c>
      <c r="BH634">
        <v>0</v>
      </c>
      <c r="BI634">
        <v>0</v>
      </c>
      <c r="BJ634">
        <v>0</v>
      </c>
      <c r="BK634">
        <v>0</v>
      </c>
      <c r="BL634" s="2">
        <v>24.82</v>
      </c>
      <c r="BM634" s="2">
        <v>42005.095138888886</v>
      </c>
      <c r="BN634" s="2">
        <v>5.4</v>
      </c>
      <c r="BO634" s="2">
        <v>42005.092361111114</v>
      </c>
      <c r="BP634" s="2">
        <v>6.92</v>
      </c>
      <c r="BQ634" s="2">
        <v>42005.092361111114</v>
      </c>
      <c r="BR634" s="2">
        <v>11.07</v>
      </c>
      <c r="BS634" s="2">
        <v>42005.092361111114</v>
      </c>
      <c r="BT634">
        <v>0</v>
      </c>
      <c r="BU634">
        <v>0</v>
      </c>
      <c r="BV634" t="s">
        <v>135</v>
      </c>
      <c r="BW634">
        <v>0</v>
      </c>
      <c r="BX634">
        <v>0</v>
      </c>
      <c r="BY634" t="s">
        <v>135</v>
      </c>
      <c r="BZ634">
        <v>0</v>
      </c>
      <c r="CA634">
        <v>0</v>
      </c>
      <c r="CB634" t="s">
        <v>135</v>
      </c>
      <c r="CH634" s="2"/>
      <c r="CJ634" s="2"/>
      <c r="CL634" s="2"/>
      <c r="CN634" s="2"/>
      <c r="CQ634" s="2"/>
      <c r="CT634" s="2"/>
      <c r="CW634" s="2"/>
    </row>
    <row r="635" spans="1:101" x14ac:dyDescent="0.25">
      <c r="A635" s="1" t="s">
        <v>163</v>
      </c>
      <c r="B635" s="75" t="s">
        <v>164</v>
      </c>
      <c r="C635">
        <v>0</v>
      </c>
      <c r="D635">
        <v>0</v>
      </c>
      <c r="E635">
        <v>0</v>
      </c>
      <c r="F635">
        <v>604324.56000000006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3.91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7490</v>
      </c>
      <c r="AW635">
        <v>3350</v>
      </c>
      <c r="AX635">
        <v>1219</v>
      </c>
      <c r="AY635">
        <v>12059</v>
      </c>
      <c r="AZ635">
        <v>4202</v>
      </c>
      <c r="BA635">
        <v>7438</v>
      </c>
      <c r="BB635">
        <v>1432</v>
      </c>
      <c r="BC635">
        <v>13072</v>
      </c>
      <c r="BD635">
        <v>9486</v>
      </c>
      <c r="BE635">
        <v>9222</v>
      </c>
      <c r="BF635">
        <v>1768</v>
      </c>
      <c r="BG635">
        <v>20476</v>
      </c>
      <c r="BH635">
        <v>0</v>
      </c>
      <c r="BI635">
        <v>0</v>
      </c>
      <c r="BJ635">
        <v>0</v>
      </c>
      <c r="BK635">
        <v>0</v>
      </c>
      <c r="BL635" s="2">
        <v>24.82</v>
      </c>
      <c r="BM635" s="2">
        <v>42005.095138888886</v>
      </c>
      <c r="BN635" s="2">
        <v>5.4</v>
      </c>
      <c r="BO635" s="2">
        <v>42005.092361111114</v>
      </c>
      <c r="BP635" s="2">
        <v>6.92</v>
      </c>
      <c r="BQ635" s="2">
        <v>42005.092361111114</v>
      </c>
      <c r="BR635" s="2">
        <v>11.07</v>
      </c>
      <c r="BS635" s="2">
        <v>42005.092361111114</v>
      </c>
      <c r="BT635">
        <v>0</v>
      </c>
      <c r="BU635">
        <v>0</v>
      </c>
      <c r="BV635" t="s">
        <v>135</v>
      </c>
      <c r="BW635">
        <v>0</v>
      </c>
      <c r="BX635">
        <v>0</v>
      </c>
      <c r="BY635" t="s">
        <v>135</v>
      </c>
      <c r="BZ635">
        <v>0</v>
      </c>
      <c r="CA635">
        <v>0</v>
      </c>
      <c r="CB635" t="s">
        <v>135</v>
      </c>
      <c r="CH635" s="2"/>
      <c r="CJ635" s="2"/>
      <c r="CL635" s="2"/>
      <c r="CN635" s="2"/>
      <c r="CQ635" s="2"/>
      <c r="CT635" s="2"/>
      <c r="CW635" s="2"/>
    </row>
    <row r="636" spans="1:101" x14ac:dyDescent="0.25">
      <c r="A636" s="1" t="s">
        <v>163</v>
      </c>
      <c r="B636" s="75" t="s">
        <v>164</v>
      </c>
      <c r="C636">
        <v>0</v>
      </c>
      <c r="D636">
        <v>0</v>
      </c>
      <c r="E636">
        <v>0</v>
      </c>
      <c r="F636">
        <v>604324.56000000006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3.91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7490</v>
      </c>
      <c r="AW636">
        <v>3350</v>
      </c>
      <c r="AX636">
        <v>1219</v>
      </c>
      <c r="AY636">
        <v>12059</v>
      </c>
      <c r="AZ636">
        <v>4202</v>
      </c>
      <c r="BA636">
        <v>7438</v>
      </c>
      <c r="BB636">
        <v>1432</v>
      </c>
      <c r="BC636">
        <v>13072</v>
      </c>
      <c r="BD636">
        <v>9486</v>
      </c>
      <c r="BE636">
        <v>9222</v>
      </c>
      <c r="BF636">
        <v>1768</v>
      </c>
      <c r="BG636">
        <v>20476</v>
      </c>
      <c r="BH636">
        <v>0</v>
      </c>
      <c r="BI636">
        <v>0</v>
      </c>
      <c r="BJ636">
        <v>0</v>
      </c>
      <c r="BK636">
        <v>0</v>
      </c>
      <c r="BL636" s="2">
        <v>24.82</v>
      </c>
      <c r="BM636" s="2">
        <v>42005.095138888886</v>
      </c>
      <c r="BN636" s="2">
        <v>5.4</v>
      </c>
      <c r="BO636" s="2">
        <v>42005.092361111114</v>
      </c>
      <c r="BP636" s="2">
        <v>6.92</v>
      </c>
      <c r="BQ636" s="2">
        <v>42005.092361111114</v>
      </c>
      <c r="BR636" s="2">
        <v>11.07</v>
      </c>
      <c r="BS636" s="2">
        <v>42005.092361111114</v>
      </c>
      <c r="BT636">
        <v>0</v>
      </c>
      <c r="BU636">
        <v>0</v>
      </c>
      <c r="BV636" t="s">
        <v>135</v>
      </c>
      <c r="BW636">
        <v>0</v>
      </c>
      <c r="BX636">
        <v>0</v>
      </c>
      <c r="BY636" t="s">
        <v>135</v>
      </c>
      <c r="BZ636">
        <v>0</v>
      </c>
      <c r="CA636">
        <v>0</v>
      </c>
      <c r="CB636" t="s">
        <v>135</v>
      </c>
      <c r="CH636" s="2"/>
      <c r="CJ636" s="2"/>
      <c r="CL636" s="2"/>
      <c r="CN636" s="2"/>
      <c r="CQ636" s="2"/>
      <c r="CT636" s="2"/>
      <c r="CW636" s="2"/>
    </row>
    <row r="637" spans="1:101" x14ac:dyDescent="0.25">
      <c r="A637" s="1" t="s">
        <v>163</v>
      </c>
      <c r="B637" s="75" t="s">
        <v>164</v>
      </c>
      <c r="C637">
        <v>0</v>
      </c>
      <c r="D637">
        <v>0</v>
      </c>
      <c r="E637">
        <v>0</v>
      </c>
      <c r="F637">
        <v>604324.56000000006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3.91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7490</v>
      </c>
      <c r="AW637">
        <v>3350</v>
      </c>
      <c r="AX637">
        <v>1219</v>
      </c>
      <c r="AY637">
        <v>12059</v>
      </c>
      <c r="AZ637">
        <v>4202</v>
      </c>
      <c r="BA637">
        <v>7438</v>
      </c>
      <c r="BB637">
        <v>1432</v>
      </c>
      <c r="BC637">
        <v>13072</v>
      </c>
      <c r="BD637">
        <v>9486</v>
      </c>
      <c r="BE637">
        <v>9222</v>
      </c>
      <c r="BF637">
        <v>1768</v>
      </c>
      <c r="BG637">
        <v>20476</v>
      </c>
      <c r="BH637">
        <v>0</v>
      </c>
      <c r="BI637">
        <v>0</v>
      </c>
      <c r="BJ637">
        <v>0</v>
      </c>
      <c r="BK637">
        <v>0</v>
      </c>
      <c r="BL637" s="2">
        <v>24.82</v>
      </c>
      <c r="BM637" s="2">
        <v>42005.095138888886</v>
      </c>
      <c r="BN637" s="2">
        <v>5.4</v>
      </c>
      <c r="BO637" s="2">
        <v>42005.092361111114</v>
      </c>
      <c r="BP637" s="2">
        <v>6.92</v>
      </c>
      <c r="BQ637" s="2">
        <v>42005.092361111114</v>
      </c>
      <c r="BR637" s="2">
        <v>11.07</v>
      </c>
      <c r="BS637" s="2">
        <v>42005.092361111114</v>
      </c>
      <c r="BT637">
        <v>0</v>
      </c>
      <c r="BU637">
        <v>0</v>
      </c>
      <c r="BV637" t="s">
        <v>135</v>
      </c>
      <c r="BW637">
        <v>0</v>
      </c>
      <c r="BX637">
        <v>0</v>
      </c>
      <c r="BY637" t="s">
        <v>135</v>
      </c>
      <c r="BZ637">
        <v>0</v>
      </c>
      <c r="CA637">
        <v>0</v>
      </c>
      <c r="CB637" t="s">
        <v>135</v>
      </c>
      <c r="CH637" s="2"/>
      <c r="CJ637" s="2"/>
      <c r="CL637" s="2"/>
      <c r="CN637" s="2"/>
      <c r="CQ637" s="2"/>
      <c r="CT637" s="2"/>
      <c r="CW637" s="2"/>
    </row>
    <row r="638" spans="1:101" x14ac:dyDescent="0.25">
      <c r="A638" s="1" t="s">
        <v>163</v>
      </c>
      <c r="B638" s="75" t="s">
        <v>164</v>
      </c>
      <c r="C638">
        <v>0</v>
      </c>
      <c r="D638">
        <v>0</v>
      </c>
      <c r="E638">
        <v>0</v>
      </c>
      <c r="F638">
        <v>604324.56000000006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3.91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7490</v>
      </c>
      <c r="AW638">
        <v>3350</v>
      </c>
      <c r="AX638">
        <v>1219</v>
      </c>
      <c r="AY638">
        <v>12059</v>
      </c>
      <c r="AZ638">
        <v>4202</v>
      </c>
      <c r="BA638">
        <v>7438</v>
      </c>
      <c r="BB638">
        <v>1432</v>
      </c>
      <c r="BC638">
        <v>13072</v>
      </c>
      <c r="BD638">
        <v>9486</v>
      </c>
      <c r="BE638">
        <v>9222</v>
      </c>
      <c r="BF638">
        <v>1768</v>
      </c>
      <c r="BG638">
        <v>20476</v>
      </c>
      <c r="BH638">
        <v>0</v>
      </c>
      <c r="BI638">
        <v>0</v>
      </c>
      <c r="BJ638">
        <v>0</v>
      </c>
      <c r="BK638">
        <v>0</v>
      </c>
      <c r="BL638" s="2">
        <v>24.82</v>
      </c>
      <c r="BM638" s="2">
        <v>42005.095138888886</v>
      </c>
      <c r="BN638" s="2">
        <v>5.4</v>
      </c>
      <c r="BO638" s="2">
        <v>42005.092361111114</v>
      </c>
      <c r="BP638" s="2">
        <v>6.92</v>
      </c>
      <c r="BQ638" s="2">
        <v>42005.092361111114</v>
      </c>
      <c r="BR638" s="2">
        <v>11.07</v>
      </c>
      <c r="BS638" s="2">
        <v>42005.092361111114</v>
      </c>
      <c r="BT638">
        <v>0</v>
      </c>
      <c r="BU638">
        <v>0</v>
      </c>
      <c r="BV638" t="s">
        <v>135</v>
      </c>
      <c r="BW638">
        <v>0</v>
      </c>
      <c r="BX638">
        <v>0</v>
      </c>
      <c r="BY638" t="s">
        <v>135</v>
      </c>
      <c r="BZ638">
        <v>0</v>
      </c>
      <c r="CA638">
        <v>0</v>
      </c>
      <c r="CB638" t="s">
        <v>135</v>
      </c>
      <c r="CH638" s="2"/>
      <c r="CJ638" s="2"/>
      <c r="CL638" s="2"/>
      <c r="CN638" s="2"/>
      <c r="CQ638" s="2"/>
      <c r="CT638" s="2"/>
      <c r="CW638" s="2"/>
    </row>
    <row r="639" spans="1:101" x14ac:dyDescent="0.25">
      <c r="A639" s="1" t="s">
        <v>163</v>
      </c>
      <c r="B639" s="75" t="s">
        <v>164</v>
      </c>
      <c r="C639">
        <v>0</v>
      </c>
      <c r="D639">
        <v>0</v>
      </c>
      <c r="E639">
        <v>0</v>
      </c>
      <c r="F639">
        <v>604324.56000000006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3.91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7490</v>
      </c>
      <c r="AW639">
        <v>3350</v>
      </c>
      <c r="AX639">
        <v>1219</v>
      </c>
      <c r="AY639">
        <v>12059</v>
      </c>
      <c r="AZ639">
        <v>4202</v>
      </c>
      <c r="BA639">
        <v>7438</v>
      </c>
      <c r="BB639">
        <v>1432</v>
      </c>
      <c r="BC639">
        <v>13072</v>
      </c>
      <c r="BD639">
        <v>9486</v>
      </c>
      <c r="BE639">
        <v>9222</v>
      </c>
      <c r="BF639">
        <v>1768</v>
      </c>
      <c r="BG639">
        <v>20476</v>
      </c>
      <c r="BH639">
        <v>0</v>
      </c>
      <c r="BI639">
        <v>0</v>
      </c>
      <c r="BJ639">
        <v>0</v>
      </c>
      <c r="BK639">
        <v>0</v>
      </c>
      <c r="BL639" s="2">
        <v>24.82</v>
      </c>
      <c r="BM639" s="2">
        <v>42005.095138888886</v>
      </c>
      <c r="BN639" s="2">
        <v>5.4</v>
      </c>
      <c r="BO639" s="2">
        <v>42005.092361111114</v>
      </c>
      <c r="BP639" s="2">
        <v>6.92</v>
      </c>
      <c r="BQ639" s="2">
        <v>42005.092361111114</v>
      </c>
      <c r="BR639" s="2">
        <v>11.07</v>
      </c>
      <c r="BS639" s="2">
        <v>42005.092361111114</v>
      </c>
      <c r="BT639">
        <v>0</v>
      </c>
      <c r="BU639">
        <v>0</v>
      </c>
      <c r="BV639" t="s">
        <v>135</v>
      </c>
      <c r="BW639">
        <v>0</v>
      </c>
      <c r="BX639">
        <v>0</v>
      </c>
      <c r="BY639" t="s">
        <v>135</v>
      </c>
      <c r="BZ639">
        <v>0</v>
      </c>
      <c r="CA639">
        <v>0</v>
      </c>
      <c r="CB639" t="s">
        <v>135</v>
      </c>
      <c r="CH639" s="2"/>
      <c r="CJ639" s="2"/>
      <c r="CL639" s="2"/>
      <c r="CN639" s="2"/>
      <c r="CQ639" s="2"/>
      <c r="CT639" s="2"/>
      <c r="CW639" s="2"/>
    </row>
    <row r="640" spans="1:101" x14ac:dyDescent="0.25">
      <c r="A640" s="1" t="s">
        <v>163</v>
      </c>
      <c r="B640" s="75" t="s">
        <v>164</v>
      </c>
      <c r="C640">
        <v>0</v>
      </c>
      <c r="D640">
        <v>0</v>
      </c>
      <c r="E640">
        <v>0</v>
      </c>
      <c r="F640">
        <v>604324.56000000006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3.91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7490</v>
      </c>
      <c r="AW640">
        <v>3350</v>
      </c>
      <c r="AX640">
        <v>1219</v>
      </c>
      <c r="AY640">
        <v>12059</v>
      </c>
      <c r="AZ640">
        <v>4202</v>
      </c>
      <c r="BA640">
        <v>7438</v>
      </c>
      <c r="BB640">
        <v>1432</v>
      </c>
      <c r="BC640">
        <v>13072</v>
      </c>
      <c r="BD640">
        <v>9486</v>
      </c>
      <c r="BE640">
        <v>9222</v>
      </c>
      <c r="BF640">
        <v>1768</v>
      </c>
      <c r="BG640">
        <v>20476</v>
      </c>
      <c r="BH640">
        <v>0</v>
      </c>
      <c r="BI640">
        <v>0</v>
      </c>
      <c r="BJ640">
        <v>0</v>
      </c>
      <c r="BK640">
        <v>0</v>
      </c>
      <c r="BL640" s="2">
        <v>24.82</v>
      </c>
      <c r="BM640" s="2">
        <v>42005.095138888886</v>
      </c>
      <c r="BN640" s="2">
        <v>5.4</v>
      </c>
      <c r="BO640" s="2">
        <v>42005.092361111114</v>
      </c>
      <c r="BP640" s="2">
        <v>6.92</v>
      </c>
      <c r="BQ640" s="2">
        <v>42005.092361111114</v>
      </c>
      <c r="BR640" s="2">
        <v>11.07</v>
      </c>
      <c r="BS640" s="2">
        <v>42005.092361111114</v>
      </c>
      <c r="BT640">
        <v>0</v>
      </c>
      <c r="BU640">
        <v>0</v>
      </c>
      <c r="BV640" t="s">
        <v>135</v>
      </c>
      <c r="BW640">
        <v>0</v>
      </c>
      <c r="BX640">
        <v>0</v>
      </c>
      <c r="BY640" t="s">
        <v>135</v>
      </c>
      <c r="BZ640">
        <v>0</v>
      </c>
      <c r="CA640">
        <v>0</v>
      </c>
      <c r="CB640" t="s">
        <v>135</v>
      </c>
      <c r="CH640" s="2"/>
      <c r="CJ640" s="2"/>
      <c r="CL640" s="2"/>
      <c r="CN640" s="2"/>
      <c r="CQ640" s="2"/>
      <c r="CT640" s="2"/>
      <c r="CW640" s="2"/>
    </row>
    <row r="641" spans="1:101" x14ac:dyDescent="0.25">
      <c r="A641" s="1" t="s">
        <v>163</v>
      </c>
      <c r="B641" s="75" t="s">
        <v>164</v>
      </c>
      <c r="C641">
        <v>0</v>
      </c>
      <c r="D641">
        <v>0</v>
      </c>
      <c r="E641">
        <v>0</v>
      </c>
      <c r="F641">
        <v>604324.56000000006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3.91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7490</v>
      </c>
      <c r="AW641">
        <v>3350</v>
      </c>
      <c r="AX641">
        <v>1219</v>
      </c>
      <c r="AY641">
        <v>12059</v>
      </c>
      <c r="AZ641">
        <v>4202</v>
      </c>
      <c r="BA641">
        <v>7438</v>
      </c>
      <c r="BB641">
        <v>1432</v>
      </c>
      <c r="BC641">
        <v>13072</v>
      </c>
      <c r="BD641">
        <v>9486</v>
      </c>
      <c r="BE641">
        <v>9222</v>
      </c>
      <c r="BF641">
        <v>1768</v>
      </c>
      <c r="BG641">
        <v>20476</v>
      </c>
      <c r="BH641">
        <v>0</v>
      </c>
      <c r="BI641">
        <v>0</v>
      </c>
      <c r="BJ641">
        <v>0</v>
      </c>
      <c r="BK641">
        <v>0</v>
      </c>
      <c r="BL641" s="2">
        <v>24.82</v>
      </c>
      <c r="BM641" s="2">
        <v>42005.095138888886</v>
      </c>
      <c r="BN641" s="2">
        <v>5.4</v>
      </c>
      <c r="BO641" s="2">
        <v>42005.092361111114</v>
      </c>
      <c r="BP641" s="2">
        <v>6.92</v>
      </c>
      <c r="BQ641" s="2">
        <v>42005.092361111114</v>
      </c>
      <c r="BR641" s="2">
        <v>11.07</v>
      </c>
      <c r="BS641" s="2">
        <v>42005.092361111114</v>
      </c>
      <c r="BT641">
        <v>0</v>
      </c>
      <c r="BU641">
        <v>0</v>
      </c>
      <c r="BV641" t="s">
        <v>135</v>
      </c>
      <c r="BW641">
        <v>0</v>
      </c>
      <c r="BX641">
        <v>0</v>
      </c>
      <c r="BY641" t="s">
        <v>135</v>
      </c>
      <c r="BZ641">
        <v>0</v>
      </c>
      <c r="CA641">
        <v>0</v>
      </c>
      <c r="CB641" t="s">
        <v>135</v>
      </c>
      <c r="CH641" s="2"/>
      <c r="CJ641" s="2"/>
      <c r="CL641" s="2"/>
      <c r="CN641" s="2"/>
      <c r="CQ641" s="2"/>
      <c r="CT641" s="2"/>
      <c r="CW641" s="2"/>
    </row>
    <row r="642" spans="1:101" x14ac:dyDescent="0.25">
      <c r="A642" s="1" t="s">
        <v>163</v>
      </c>
      <c r="B642" s="75" t="s">
        <v>164</v>
      </c>
      <c r="C642">
        <v>0</v>
      </c>
      <c r="D642">
        <v>0</v>
      </c>
      <c r="E642">
        <v>0</v>
      </c>
      <c r="F642">
        <v>604324.56000000006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3.91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7490</v>
      </c>
      <c r="AW642">
        <v>3350</v>
      </c>
      <c r="AX642">
        <v>1219</v>
      </c>
      <c r="AY642">
        <v>12059</v>
      </c>
      <c r="AZ642">
        <v>4202</v>
      </c>
      <c r="BA642">
        <v>7438</v>
      </c>
      <c r="BB642">
        <v>1432</v>
      </c>
      <c r="BC642">
        <v>13072</v>
      </c>
      <c r="BD642">
        <v>9486</v>
      </c>
      <c r="BE642">
        <v>9222</v>
      </c>
      <c r="BF642">
        <v>1768</v>
      </c>
      <c r="BG642">
        <v>20476</v>
      </c>
      <c r="BH642">
        <v>0</v>
      </c>
      <c r="BI642">
        <v>0</v>
      </c>
      <c r="BJ642">
        <v>0</v>
      </c>
      <c r="BK642">
        <v>0</v>
      </c>
      <c r="BL642" s="2">
        <v>24.82</v>
      </c>
      <c r="BM642" s="2">
        <v>42005.095138888886</v>
      </c>
      <c r="BN642" s="2">
        <v>5.4</v>
      </c>
      <c r="BO642" s="2">
        <v>42005.092361111114</v>
      </c>
      <c r="BP642" s="2">
        <v>6.92</v>
      </c>
      <c r="BQ642" s="2">
        <v>42005.092361111114</v>
      </c>
      <c r="BR642" s="2">
        <v>11.07</v>
      </c>
      <c r="BS642" s="2">
        <v>42005.092361111114</v>
      </c>
      <c r="BT642">
        <v>0</v>
      </c>
      <c r="BU642">
        <v>0</v>
      </c>
      <c r="BV642" t="s">
        <v>135</v>
      </c>
      <c r="BW642">
        <v>0</v>
      </c>
      <c r="BX642">
        <v>0</v>
      </c>
      <c r="BY642" t="s">
        <v>135</v>
      </c>
      <c r="BZ642">
        <v>0</v>
      </c>
      <c r="CA642">
        <v>0</v>
      </c>
      <c r="CB642" t="s">
        <v>135</v>
      </c>
      <c r="CH642" s="2"/>
      <c r="CJ642" s="2"/>
      <c r="CL642" s="2"/>
      <c r="CN642" s="2"/>
      <c r="CQ642" s="2"/>
      <c r="CT642" s="2"/>
      <c r="CW642" s="2"/>
    </row>
    <row r="643" spans="1:101" x14ac:dyDescent="0.25">
      <c r="A643" s="1" t="s">
        <v>163</v>
      </c>
      <c r="B643" s="75" t="s">
        <v>164</v>
      </c>
      <c r="C643">
        <v>0</v>
      </c>
      <c r="D643">
        <v>0</v>
      </c>
      <c r="E643">
        <v>0</v>
      </c>
      <c r="F643">
        <v>604324.56000000006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3.91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7490</v>
      </c>
      <c r="AW643">
        <v>3350</v>
      </c>
      <c r="AX643">
        <v>1219</v>
      </c>
      <c r="AY643">
        <v>12059</v>
      </c>
      <c r="AZ643">
        <v>4202</v>
      </c>
      <c r="BA643">
        <v>7438</v>
      </c>
      <c r="BB643">
        <v>1432</v>
      </c>
      <c r="BC643">
        <v>13072</v>
      </c>
      <c r="BD643">
        <v>9486</v>
      </c>
      <c r="BE643">
        <v>9222</v>
      </c>
      <c r="BF643">
        <v>1768</v>
      </c>
      <c r="BG643">
        <v>20476</v>
      </c>
      <c r="BH643">
        <v>0</v>
      </c>
      <c r="BI643">
        <v>0</v>
      </c>
      <c r="BJ643">
        <v>0</v>
      </c>
      <c r="BK643">
        <v>0</v>
      </c>
      <c r="BL643" s="2">
        <v>24.82</v>
      </c>
      <c r="BM643" s="2">
        <v>42005.095138888886</v>
      </c>
      <c r="BN643" s="2">
        <v>5.4</v>
      </c>
      <c r="BO643" s="2">
        <v>42005.092361111114</v>
      </c>
      <c r="BP643" s="2">
        <v>6.92</v>
      </c>
      <c r="BQ643" s="2">
        <v>42005.092361111114</v>
      </c>
      <c r="BR643" s="2">
        <v>11.07</v>
      </c>
      <c r="BS643" s="2">
        <v>42005.092361111114</v>
      </c>
      <c r="BT643">
        <v>0</v>
      </c>
      <c r="BU643">
        <v>0</v>
      </c>
      <c r="BV643" t="s">
        <v>135</v>
      </c>
      <c r="BW643">
        <v>0</v>
      </c>
      <c r="BX643">
        <v>0</v>
      </c>
      <c r="BY643" t="s">
        <v>135</v>
      </c>
      <c r="BZ643">
        <v>0</v>
      </c>
      <c r="CA643">
        <v>0</v>
      </c>
      <c r="CB643" t="s">
        <v>135</v>
      </c>
      <c r="CH643" s="2"/>
      <c r="CJ643" s="2"/>
      <c r="CL643" s="2"/>
      <c r="CN643" s="2"/>
      <c r="CQ643" s="2"/>
      <c r="CT643" s="2"/>
      <c r="CW643" s="2"/>
    </row>
    <row r="644" spans="1:101" x14ac:dyDescent="0.25">
      <c r="A644" s="1" t="s">
        <v>163</v>
      </c>
      <c r="B644" s="75" t="s">
        <v>164</v>
      </c>
      <c r="C644">
        <v>0</v>
      </c>
      <c r="D644">
        <v>0</v>
      </c>
      <c r="E644">
        <v>0</v>
      </c>
      <c r="F644">
        <v>604324.56000000006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3.91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7490</v>
      </c>
      <c r="AW644">
        <v>3350</v>
      </c>
      <c r="AX644">
        <v>1219</v>
      </c>
      <c r="AY644">
        <v>12059</v>
      </c>
      <c r="AZ644">
        <v>4202</v>
      </c>
      <c r="BA644">
        <v>7438</v>
      </c>
      <c r="BB644">
        <v>1432</v>
      </c>
      <c r="BC644">
        <v>13072</v>
      </c>
      <c r="BD644">
        <v>9486</v>
      </c>
      <c r="BE644">
        <v>9222</v>
      </c>
      <c r="BF644">
        <v>1768</v>
      </c>
      <c r="BG644">
        <v>20476</v>
      </c>
      <c r="BH644">
        <v>0</v>
      </c>
      <c r="BI644">
        <v>0</v>
      </c>
      <c r="BJ644">
        <v>0</v>
      </c>
      <c r="BK644">
        <v>0</v>
      </c>
      <c r="BL644" s="2">
        <v>24.82</v>
      </c>
      <c r="BM644" s="2">
        <v>42005.095138888886</v>
      </c>
      <c r="BN644" s="2">
        <v>5.4</v>
      </c>
      <c r="BO644" s="2">
        <v>42005.092361111114</v>
      </c>
      <c r="BP644" s="2">
        <v>6.92</v>
      </c>
      <c r="BQ644" s="2">
        <v>42005.092361111114</v>
      </c>
      <c r="BR644" s="2">
        <v>11.07</v>
      </c>
      <c r="BS644" s="2">
        <v>42005.092361111114</v>
      </c>
      <c r="BT644">
        <v>0</v>
      </c>
      <c r="BU644">
        <v>0</v>
      </c>
      <c r="BV644" t="s">
        <v>135</v>
      </c>
      <c r="BW644">
        <v>0</v>
      </c>
      <c r="BX644">
        <v>0</v>
      </c>
      <c r="BY644" t="s">
        <v>135</v>
      </c>
      <c r="BZ644">
        <v>0</v>
      </c>
      <c r="CA644">
        <v>0</v>
      </c>
      <c r="CB644" t="s">
        <v>135</v>
      </c>
      <c r="CH644" s="2"/>
      <c r="CJ644" s="2"/>
      <c r="CL644" s="2"/>
      <c r="CN644" s="2"/>
      <c r="CQ644" s="2"/>
      <c r="CT644" s="2"/>
      <c r="CW644" s="2"/>
    </row>
    <row r="645" spans="1:101" x14ac:dyDescent="0.25">
      <c r="A645" s="1" t="s">
        <v>163</v>
      </c>
      <c r="B645" s="75" t="s">
        <v>164</v>
      </c>
      <c r="C645">
        <v>0</v>
      </c>
      <c r="D645">
        <v>0</v>
      </c>
      <c r="E645">
        <v>0</v>
      </c>
      <c r="F645">
        <v>604324.56000000006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3.91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7490</v>
      </c>
      <c r="AW645">
        <v>3350</v>
      </c>
      <c r="AX645">
        <v>1219</v>
      </c>
      <c r="AY645">
        <v>12059</v>
      </c>
      <c r="AZ645">
        <v>4202</v>
      </c>
      <c r="BA645">
        <v>7438</v>
      </c>
      <c r="BB645">
        <v>1432</v>
      </c>
      <c r="BC645">
        <v>13072</v>
      </c>
      <c r="BD645">
        <v>9486</v>
      </c>
      <c r="BE645">
        <v>9222</v>
      </c>
      <c r="BF645">
        <v>1768</v>
      </c>
      <c r="BG645">
        <v>20476</v>
      </c>
      <c r="BH645">
        <v>0</v>
      </c>
      <c r="BI645">
        <v>0</v>
      </c>
      <c r="BJ645">
        <v>0</v>
      </c>
      <c r="BK645">
        <v>0</v>
      </c>
      <c r="BL645" s="2">
        <v>24.82</v>
      </c>
      <c r="BM645" s="2">
        <v>42005.095138888886</v>
      </c>
      <c r="BN645" s="2">
        <v>5.4</v>
      </c>
      <c r="BO645" s="2">
        <v>42005.092361111114</v>
      </c>
      <c r="BP645" s="2">
        <v>6.92</v>
      </c>
      <c r="BQ645" s="2">
        <v>42005.092361111114</v>
      </c>
      <c r="BR645" s="2">
        <v>11.07</v>
      </c>
      <c r="BS645" s="2">
        <v>42005.092361111114</v>
      </c>
      <c r="BT645">
        <v>0</v>
      </c>
      <c r="BU645">
        <v>0</v>
      </c>
      <c r="BV645" t="s">
        <v>135</v>
      </c>
      <c r="BW645">
        <v>0</v>
      </c>
      <c r="BX645">
        <v>0</v>
      </c>
      <c r="BY645" t="s">
        <v>135</v>
      </c>
      <c r="BZ645">
        <v>0</v>
      </c>
      <c r="CA645">
        <v>0</v>
      </c>
      <c r="CB645" t="s">
        <v>135</v>
      </c>
      <c r="CH645" s="2"/>
      <c r="CJ645" s="2"/>
      <c r="CL645" s="2"/>
      <c r="CN645" s="2"/>
      <c r="CQ645" s="2"/>
      <c r="CT645" s="2"/>
      <c r="CW645" s="2"/>
    </row>
    <row r="646" spans="1:101" x14ac:dyDescent="0.25">
      <c r="A646" s="1" t="s">
        <v>163</v>
      </c>
      <c r="B646" s="75" t="s">
        <v>164</v>
      </c>
      <c r="C646">
        <v>0</v>
      </c>
      <c r="D646">
        <v>0</v>
      </c>
      <c r="E646">
        <v>0</v>
      </c>
      <c r="F646">
        <v>604324.56000000006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3.91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7490</v>
      </c>
      <c r="AW646">
        <v>3350</v>
      </c>
      <c r="AX646">
        <v>1219</v>
      </c>
      <c r="AY646">
        <v>12059</v>
      </c>
      <c r="AZ646">
        <v>4202</v>
      </c>
      <c r="BA646">
        <v>7438</v>
      </c>
      <c r="BB646">
        <v>1432</v>
      </c>
      <c r="BC646">
        <v>13072</v>
      </c>
      <c r="BD646">
        <v>9486</v>
      </c>
      <c r="BE646">
        <v>9222</v>
      </c>
      <c r="BF646">
        <v>1768</v>
      </c>
      <c r="BG646">
        <v>20476</v>
      </c>
      <c r="BH646">
        <v>0</v>
      </c>
      <c r="BI646">
        <v>0</v>
      </c>
      <c r="BJ646">
        <v>0</v>
      </c>
      <c r="BK646">
        <v>0</v>
      </c>
      <c r="BL646" s="2">
        <v>24.82</v>
      </c>
      <c r="BM646" s="2">
        <v>42005.095138888886</v>
      </c>
      <c r="BN646" s="2">
        <v>5.4</v>
      </c>
      <c r="BO646" s="2">
        <v>42005.092361111114</v>
      </c>
      <c r="BP646" s="2">
        <v>6.92</v>
      </c>
      <c r="BQ646" s="2">
        <v>42005.092361111114</v>
      </c>
      <c r="BR646" s="2">
        <v>11.07</v>
      </c>
      <c r="BS646" s="2">
        <v>42005.092361111114</v>
      </c>
      <c r="BT646">
        <v>0</v>
      </c>
      <c r="BU646">
        <v>0</v>
      </c>
      <c r="BV646" t="s">
        <v>135</v>
      </c>
      <c r="BW646">
        <v>0</v>
      </c>
      <c r="BX646">
        <v>0</v>
      </c>
      <c r="BY646" t="s">
        <v>135</v>
      </c>
      <c r="BZ646">
        <v>0</v>
      </c>
      <c r="CA646">
        <v>0</v>
      </c>
      <c r="CB646" t="s">
        <v>135</v>
      </c>
      <c r="CH646" s="2"/>
      <c r="CJ646" s="2"/>
      <c r="CL646" s="2"/>
      <c r="CN646" s="2"/>
      <c r="CQ646" s="2"/>
      <c r="CT646" s="2"/>
      <c r="CW646" s="2"/>
    </row>
    <row r="647" spans="1:101" x14ac:dyDescent="0.25">
      <c r="A647" s="1" t="s">
        <v>163</v>
      </c>
      <c r="B647" s="75" t="s">
        <v>164</v>
      </c>
      <c r="C647">
        <v>0</v>
      </c>
      <c r="D647">
        <v>0</v>
      </c>
      <c r="E647">
        <v>0</v>
      </c>
      <c r="F647">
        <v>604324.56000000006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3.91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7490</v>
      </c>
      <c r="AW647">
        <v>3350</v>
      </c>
      <c r="AX647">
        <v>1219</v>
      </c>
      <c r="AY647">
        <v>12059</v>
      </c>
      <c r="AZ647">
        <v>4202</v>
      </c>
      <c r="BA647">
        <v>7438</v>
      </c>
      <c r="BB647">
        <v>1432</v>
      </c>
      <c r="BC647">
        <v>13072</v>
      </c>
      <c r="BD647">
        <v>9486</v>
      </c>
      <c r="BE647">
        <v>9222</v>
      </c>
      <c r="BF647">
        <v>1768</v>
      </c>
      <c r="BG647">
        <v>20476</v>
      </c>
      <c r="BH647">
        <v>0</v>
      </c>
      <c r="BI647">
        <v>0</v>
      </c>
      <c r="BJ647">
        <v>0</v>
      </c>
      <c r="BK647">
        <v>0</v>
      </c>
      <c r="BL647" s="2">
        <v>24.82</v>
      </c>
      <c r="BM647" s="2">
        <v>42005.095138888886</v>
      </c>
      <c r="BN647" s="2">
        <v>5.4</v>
      </c>
      <c r="BO647" s="2">
        <v>42005.092361111114</v>
      </c>
      <c r="BP647" s="2">
        <v>6.92</v>
      </c>
      <c r="BQ647" s="2">
        <v>42005.092361111114</v>
      </c>
      <c r="BR647" s="2">
        <v>11.07</v>
      </c>
      <c r="BS647" s="2">
        <v>42005.092361111114</v>
      </c>
      <c r="BT647">
        <v>0</v>
      </c>
      <c r="BU647">
        <v>0</v>
      </c>
      <c r="BV647" t="s">
        <v>135</v>
      </c>
      <c r="BW647">
        <v>0</v>
      </c>
      <c r="BX647">
        <v>0</v>
      </c>
      <c r="BY647" t="s">
        <v>135</v>
      </c>
      <c r="BZ647">
        <v>0</v>
      </c>
      <c r="CA647">
        <v>0</v>
      </c>
      <c r="CB647" t="s">
        <v>135</v>
      </c>
      <c r="CH647" s="2"/>
      <c r="CJ647" s="2"/>
      <c r="CL647" s="2"/>
      <c r="CN647" s="2"/>
      <c r="CQ647" s="2"/>
      <c r="CT647" s="2"/>
      <c r="CW647" s="2"/>
    </row>
    <row r="648" spans="1:101" x14ac:dyDescent="0.25">
      <c r="A648" s="1" t="s">
        <v>163</v>
      </c>
      <c r="B648" s="75" t="s">
        <v>164</v>
      </c>
      <c r="C648">
        <v>0</v>
      </c>
      <c r="D648">
        <v>0</v>
      </c>
      <c r="E648">
        <v>0</v>
      </c>
      <c r="F648">
        <v>604324.56000000006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3.91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7490</v>
      </c>
      <c r="AW648">
        <v>3350</v>
      </c>
      <c r="AX648">
        <v>1219</v>
      </c>
      <c r="AY648">
        <v>12059</v>
      </c>
      <c r="AZ648">
        <v>4202</v>
      </c>
      <c r="BA648">
        <v>7438</v>
      </c>
      <c r="BB648">
        <v>1432</v>
      </c>
      <c r="BC648">
        <v>13072</v>
      </c>
      <c r="BD648">
        <v>9486</v>
      </c>
      <c r="BE648">
        <v>9222</v>
      </c>
      <c r="BF648">
        <v>1768</v>
      </c>
      <c r="BG648">
        <v>20476</v>
      </c>
      <c r="BH648">
        <v>0</v>
      </c>
      <c r="BI648">
        <v>0</v>
      </c>
      <c r="BJ648">
        <v>0</v>
      </c>
      <c r="BK648">
        <v>0</v>
      </c>
      <c r="BL648" s="2">
        <v>24.82</v>
      </c>
      <c r="BM648" s="2">
        <v>42005.095138888886</v>
      </c>
      <c r="BN648" s="2">
        <v>5.4</v>
      </c>
      <c r="BO648" s="2">
        <v>42005.092361111114</v>
      </c>
      <c r="BP648" s="2">
        <v>6.92</v>
      </c>
      <c r="BQ648" s="2">
        <v>42005.092361111114</v>
      </c>
      <c r="BR648" s="2">
        <v>11.07</v>
      </c>
      <c r="BS648" s="2">
        <v>42005.092361111114</v>
      </c>
      <c r="BT648">
        <v>0</v>
      </c>
      <c r="BU648">
        <v>0</v>
      </c>
      <c r="BV648" t="s">
        <v>135</v>
      </c>
      <c r="BW648">
        <v>0</v>
      </c>
      <c r="BX648">
        <v>0</v>
      </c>
      <c r="BY648" t="s">
        <v>135</v>
      </c>
      <c r="BZ648">
        <v>0</v>
      </c>
      <c r="CA648">
        <v>0</v>
      </c>
      <c r="CB648" t="s">
        <v>135</v>
      </c>
      <c r="CH648" s="2"/>
      <c r="CJ648" s="2"/>
      <c r="CL648" s="2"/>
      <c r="CN648" s="2"/>
      <c r="CQ648" s="2"/>
      <c r="CT648" s="2"/>
      <c r="CW648" s="2"/>
    </row>
    <row r="649" spans="1:101" x14ac:dyDescent="0.25">
      <c r="A649" s="1" t="s">
        <v>163</v>
      </c>
      <c r="B649" s="75" t="s">
        <v>164</v>
      </c>
      <c r="C649">
        <v>0</v>
      </c>
      <c r="D649">
        <v>0</v>
      </c>
      <c r="E649">
        <v>0</v>
      </c>
      <c r="F649">
        <v>604324.56000000006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3.91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7490</v>
      </c>
      <c r="AW649">
        <v>3350</v>
      </c>
      <c r="AX649">
        <v>1219</v>
      </c>
      <c r="AY649">
        <v>12059</v>
      </c>
      <c r="AZ649">
        <v>4202</v>
      </c>
      <c r="BA649">
        <v>7438</v>
      </c>
      <c r="BB649">
        <v>1432</v>
      </c>
      <c r="BC649">
        <v>13072</v>
      </c>
      <c r="BD649">
        <v>9486</v>
      </c>
      <c r="BE649">
        <v>9222</v>
      </c>
      <c r="BF649">
        <v>1768</v>
      </c>
      <c r="BG649">
        <v>20476</v>
      </c>
      <c r="BH649">
        <v>0</v>
      </c>
      <c r="BI649">
        <v>0</v>
      </c>
      <c r="BJ649">
        <v>0</v>
      </c>
      <c r="BK649">
        <v>0</v>
      </c>
      <c r="BL649" s="2">
        <v>24.82</v>
      </c>
      <c r="BM649" s="2">
        <v>42005.095138888886</v>
      </c>
      <c r="BN649" s="2">
        <v>5.4</v>
      </c>
      <c r="BO649" s="2">
        <v>42005.092361111114</v>
      </c>
      <c r="BP649" s="2">
        <v>6.92</v>
      </c>
      <c r="BQ649" s="2">
        <v>42005.092361111114</v>
      </c>
      <c r="BR649" s="2">
        <v>11.07</v>
      </c>
      <c r="BS649" s="2">
        <v>42005.092361111114</v>
      </c>
      <c r="BT649">
        <v>0</v>
      </c>
      <c r="BU649">
        <v>0</v>
      </c>
      <c r="BV649" t="s">
        <v>135</v>
      </c>
      <c r="BW649">
        <v>0</v>
      </c>
      <c r="BX649">
        <v>0</v>
      </c>
      <c r="BY649" t="s">
        <v>135</v>
      </c>
      <c r="BZ649">
        <v>0</v>
      </c>
      <c r="CA649">
        <v>0</v>
      </c>
      <c r="CB649" t="s">
        <v>135</v>
      </c>
      <c r="CH649" s="2"/>
      <c r="CJ649" s="2"/>
      <c r="CL649" s="2"/>
      <c r="CN649" s="2"/>
      <c r="CQ649" s="2"/>
      <c r="CT649" s="2"/>
      <c r="CW649" s="2"/>
    </row>
    <row r="650" spans="1:101" x14ac:dyDescent="0.25">
      <c r="A650" s="1" t="s">
        <v>163</v>
      </c>
      <c r="B650" s="75" t="s">
        <v>164</v>
      </c>
      <c r="C650">
        <v>0</v>
      </c>
      <c r="D650">
        <v>0</v>
      </c>
      <c r="E650">
        <v>0</v>
      </c>
      <c r="F650">
        <v>604324.56000000006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3.91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7490</v>
      </c>
      <c r="AW650">
        <v>3350</v>
      </c>
      <c r="AX650">
        <v>1219</v>
      </c>
      <c r="AY650">
        <v>12059</v>
      </c>
      <c r="AZ650">
        <v>4202</v>
      </c>
      <c r="BA650">
        <v>7438</v>
      </c>
      <c r="BB650">
        <v>1432</v>
      </c>
      <c r="BC650">
        <v>13072</v>
      </c>
      <c r="BD650">
        <v>9486</v>
      </c>
      <c r="BE650">
        <v>9222</v>
      </c>
      <c r="BF650">
        <v>1768</v>
      </c>
      <c r="BG650">
        <v>20476</v>
      </c>
      <c r="BH650">
        <v>0</v>
      </c>
      <c r="BI650">
        <v>0</v>
      </c>
      <c r="BJ650">
        <v>0</v>
      </c>
      <c r="BK650">
        <v>0</v>
      </c>
      <c r="BL650" s="2">
        <v>24.82</v>
      </c>
      <c r="BM650" s="2">
        <v>42005.095138888886</v>
      </c>
      <c r="BN650" s="2">
        <v>5.4</v>
      </c>
      <c r="BO650" s="2">
        <v>42005.092361111114</v>
      </c>
      <c r="BP650" s="2">
        <v>6.92</v>
      </c>
      <c r="BQ650" s="2">
        <v>42005.092361111114</v>
      </c>
      <c r="BR650" s="2">
        <v>11.07</v>
      </c>
      <c r="BS650" s="2">
        <v>42005.092361111114</v>
      </c>
      <c r="BT650">
        <v>0</v>
      </c>
      <c r="BU650">
        <v>0</v>
      </c>
      <c r="BV650" t="s">
        <v>135</v>
      </c>
      <c r="BW650">
        <v>0</v>
      </c>
      <c r="BX650">
        <v>0</v>
      </c>
      <c r="BY650" t="s">
        <v>135</v>
      </c>
      <c r="BZ650">
        <v>0</v>
      </c>
      <c r="CA650">
        <v>0</v>
      </c>
      <c r="CB650" t="s">
        <v>135</v>
      </c>
      <c r="CH650" s="2"/>
      <c r="CJ650" s="2"/>
      <c r="CL650" s="2"/>
      <c r="CN650" s="2"/>
      <c r="CQ650" s="2"/>
      <c r="CT650" s="2"/>
      <c r="CW650" s="2"/>
    </row>
    <row r="651" spans="1:101" x14ac:dyDescent="0.25">
      <c r="A651" s="1" t="s">
        <v>163</v>
      </c>
      <c r="B651" s="75" t="s">
        <v>164</v>
      </c>
      <c r="C651">
        <v>0</v>
      </c>
      <c r="D651">
        <v>0</v>
      </c>
      <c r="E651">
        <v>0</v>
      </c>
      <c r="F651">
        <v>604324.56000000006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3.91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7490</v>
      </c>
      <c r="AW651">
        <v>3350</v>
      </c>
      <c r="AX651">
        <v>1219</v>
      </c>
      <c r="AY651">
        <v>12059</v>
      </c>
      <c r="AZ651">
        <v>4202</v>
      </c>
      <c r="BA651">
        <v>7438</v>
      </c>
      <c r="BB651">
        <v>1432</v>
      </c>
      <c r="BC651">
        <v>13072</v>
      </c>
      <c r="BD651">
        <v>9486</v>
      </c>
      <c r="BE651">
        <v>9222</v>
      </c>
      <c r="BF651">
        <v>1768</v>
      </c>
      <c r="BG651">
        <v>20476</v>
      </c>
      <c r="BH651">
        <v>0</v>
      </c>
      <c r="BI651">
        <v>0</v>
      </c>
      <c r="BJ651">
        <v>0</v>
      </c>
      <c r="BK651">
        <v>0</v>
      </c>
      <c r="BL651" s="2">
        <v>24.82</v>
      </c>
      <c r="BM651" s="2">
        <v>42005.095138888886</v>
      </c>
      <c r="BN651" s="2">
        <v>5.4</v>
      </c>
      <c r="BO651" s="2">
        <v>42005.092361111114</v>
      </c>
      <c r="BP651" s="2">
        <v>6.92</v>
      </c>
      <c r="BQ651" s="2">
        <v>42005.092361111114</v>
      </c>
      <c r="BR651" s="2">
        <v>11.07</v>
      </c>
      <c r="BS651" s="2">
        <v>42005.092361111114</v>
      </c>
      <c r="BT651">
        <v>0</v>
      </c>
      <c r="BU651">
        <v>0</v>
      </c>
      <c r="BV651" t="s">
        <v>135</v>
      </c>
      <c r="BW651">
        <v>0</v>
      </c>
      <c r="BX651">
        <v>0</v>
      </c>
      <c r="BY651" t="s">
        <v>135</v>
      </c>
      <c r="BZ651">
        <v>0</v>
      </c>
      <c r="CA651">
        <v>0</v>
      </c>
      <c r="CB651" t="s">
        <v>135</v>
      </c>
      <c r="CH651" s="2"/>
      <c r="CJ651" s="2"/>
      <c r="CL651" s="2"/>
      <c r="CN651" s="2"/>
      <c r="CQ651" s="2"/>
      <c r="CT651" s="2"/>
      <c r="CW651" s="2"/>
    </row>
    <row r="652" spans="1:101" x14ac:dyDescent="0.25">
      <c r="A652" s="1" t="s">
        <v>163</v>
      </c>
      <c r="B652" s="75" t="s">
        <v>164</v>
      </c>
      <c r="C652">
        <v>0</v>
      </c>
      <c r="D652">
        <v>0</v>
      </c>
      <c r="E652">
        <v>0</v>
      </c>
      <c r="F652">
        <v>604324.56000000006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3.91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7490</v>
      </c>
      <c r="AW652">
        <v>3350</v>
      </c>
      <c r="AX652">
        <v>1219</v>
      </c>
      <c r="AY652">
        <v>12059</v>
      </c>
      <c r="AZ652">
        <v>4202</v>
      </c>
      <c r="BA652">
        <v>7438</v>
      </c>
      <c r="BB652">
        <v>1432</v>
      </c>
      <c r="BC652">
        <v>13072</v>
      </c>
      <c r="BD652">
        <v>9486</v>
      </c>
      <c r="BE652">
        <v>9222</v>
      </c>
      <c r="BF652">
        <v>1768</v>
      </c>
      <c r="BG652">
        <v>20476</v>
      </c>
      <c r="BH652">
        <v>0</v>
      </c>
      <c r="BI652">
        <v>0</v>
      </c>
      <c r="BJ652">
        <v>0</v>
      </c>
      <c r="BK652">
        <v>0</v>
      </c>
      <c r="BL652" s="2">
        <v>24.82</v>
      </c>
      <c r="BM652" s="2">
        <v>42005.095138888886</v>
      </c>
      <c r="BN652" s="2">
        <v>5.4</v>
      </c>
      <c r="BO652" s="2">
        <v>42005.092361111114</v>
      </c>
      <c r="BP652" s="2">
        <v>6.92</v>
      </c>
      <c r="BQ652" s="2">
        <v>42005.092361111114</v>
      </c>
      <c r="BR652" s="2">
        <v>11.07</v>
      </c>
      <c r="BS652" s="2">
        <v>42005.092361111114</v>
      </c>
      <c r="BT652">
        <v>0</v>
      </c>
      <c r="BU652">
        <v>0</v>
      </c>
      <c r="BV652" t="s">
        <v>135</v>
      </c>
      <c r="BW652">
        <v>0</v>
      </c>
      <c r="BX652">
        <v>0</v>
      </c>
      <c r="BY652" t="s">
        <v>135</v>
      </c>
      <c r="BZ652">
        <v>0</v>
      </c>
      <c r="CA652">
        <v>0</v>
      </c>
      <c r="CB652" t="s">
        <v>135</v>
      </c>
      <c r="CH652" s="2"/>
      <c r="CJ652" s="2"/>
      <c r="CL652" s="2"/>
      <c r="CN652" s="2"/>
      <c r="CQ652" s="2"/>
      <c r="CT652" s="2"/>
      <c r="CW652" s="2"/>
    </row>
    <row r="653" spans="1:101" x14ac:dyDescent="0.25">
      <c r="A653" s="1" t="s">
        <v>163</v>
      </c>
      <c r="B653" s="75" t="s">
        <v>164</v>
      </c>
      <c r="C653">
        <v>0</v>
      </c>
      <c r="D653">
        <v>0</v>
      </c>
      <c r="E653">
        <v>0</v>
      </c>
      <c r="F653">
        <v>604324.56000000006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3.91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7490</v>
      </c>
      <c r="AW653">
        <v>3350</v>
      </c>
      <c r="AX653">
        <v>1219</v>
      </c>
      <c r="AY653">
        <v>12059</v>
      </c>
      <c r="AZ653">
        <v>4202</v>
      </c>
      <c r="BA653">
        <v>7438</v>
      </c>
      <c r="BB653">
        <v>1432</v>
      </c>
      <c r="BC653">
        <v>13072</v>
      </c>
      <c r="BD653">
        <v>9486</v>
      </c>
      <c r="BE653">
        <v>9222</v>
      </c>
      <c r="BF653">
        <v>1768</v>
      </c>
      <c r="BG653">
        <v>20476</v>
      </c>
      <c r="BH653">
        <v>0</v>
      </c>
      <c r="BI653">
        <v>0</v>
      </c>
      <c r="BJ653">
        <v>0</v>
      </c>
      <c r="BK653">
        <v>0</v>
      </c>
      <c r="BL653" s="2">
        <v>24.82</v>
      </c>
      <c r="BM653" s="2">
        <v>42005.095138888886</v>
      </c>
      <c r="BN653" s="2">
        <v>5.4</v>
      </c>
      <c r="BO653" s="2">
        <v>42005.092361111114</v>
      </c>
      <c r="BP653" s="2">
        <v>6.92</v>
      </c>
      <c r="BQ653" s="2">
        <v>42005.092361111114</v>
      </c>
      <c r="BR653" s="2">
        <v>11.07</v>
      </c>
      <c r="BS653" s="2">
        <v>42005.092361111114</v>
      </c>
      <c r="BT653">
        <v>0</v>
      </c>
      <c r="BU653">
        <v>0</v>
      </c>
      <c r="BV653" t="s">
        <v>135</v>
      </c>
      <c r="BW653">
        <v>0</v>
      </c>
      <c r="BX653">
        <v>0</v>
      </c>
      <c r="BY653" t="s">
        <v>135</v>
      </c>
      <c r="BZ653">
        <v>0</v>
      </c>
      <c r="CA653">
        <v>0</v>
      </c>
      <c r="CB653" t="s">
        <v>135</v>
      </c>
      <c r="CH653" s="2"/>
      <c r="CJ653" s="2"/>
      <c r="CL653" s="2"/>
      <c r="CN653" s="2"/>
      <c r="CQ653" s="2"/>
      <c r="CT653" s="2"/>
      <c r="CW653" s="2"/>
    </row>
    <row r="654" spans="1:101" x14ac:dyDescent="0.25">
      <c r="A654" s="1" t="s">
        <v>163</v>
      </c>
      <c r="B654" s="75" t="s">
        <v>164</v>
      </c>
      <c r="C654">
        <v>0</v>
      </c>
      <c r="D654">
        <v>0</v>
      </c>
      <c r="E654">
        <v>0</v>
      </c>
      <c r="F654">
        <v>604324.56000000006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3.91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7490</v>
      </c>
      <c r="AW654">
        <v>3350</v>
      </c>
      <c r="AX654">
        <v>1219</v>
      </c>
      <c r="AY654">
        <v>12059</v>
      </c>
      <c r="AZ654">
        <v>4202</v>
      </c>
      <c r="BA654">
        <v>7438</v>
      </c>
      <c r="BB654">
        <v>1432</v>
      </c>
      <c r="BC654">
        <v>13072</v>
      </c>
      <c r="BD654">
        <v>9486</v>
      </c>
      <c r="BE654">
        <v>9222</v>
      </c>
      <c r="BF654">
        <v>1768</v>
      </c>
      <c r="BG654">
        <v>20476</v>
      </c>
      <c r="BH654">
        <v>0</v>
      </c>
      <c r="BI654">
        <v>0</v>
      </c>
      <c r="BJ654">
        <v>0</v>
      </c>
      <c r="BK654">
        <v>0</v>
      </c>
      <c r="BL654" s="2">
        <v>24.82</v>
      </c>
      <c r="BM654" s="2">
        <v>42005.095138888886</v>
      </c>
      <c r="BN654" s="2">
        <v>5.4</v>
      </c>
      <c r="BO654" s="2">
        <v>42005.092361111114</v>
      </c>
      <c r="BP654" s="2">
        <v>6.92</v>
      </c>
      <c r="BQ654" s="2">
        <v>42005.092361111114</v>
      </c>
      <c r="BR654" s="2">
        <v>11.07</v>
      </c>
      <c r="BS654" s="2">
        <v>42005.092361111114</v>
      </c>
      <c r="BT654">
        <v>0</v>
      </c>
      <c r="BU654">
        <v>0</v>
      </c>
      <c r="BV654" t="s">
        <v>135</v>
      </c>
      <c r="BW654">
        <v>0</v>
      </c>
      <c r="BX654">
        <v>0</v>
      </c>
      <c r="BY654" t="s">
        <v>135</v>
      </c>
      <c r="BZ654">
        <v>0</v>
      </c>
      <c r="CA654">
        <v>0</v>
      </c>
      <c r="CB654" t="s">
        <v>135</v>
      </c>
      <c r="CH654" s="2"/>
      <c r="CJ654" s="2"/>
      <c r="CL654" s="2"/>
      <c r="CN654" s="2"/>
      <c r="CQ654" s="2"/>
      <c r="CT654" s="2"/>
      <c r="CW654" s="2"/>
    </row>
    <row r="655" spans="1:101" x14ac:dyDescent="0.25">
      <c r="A655" s="1" t="s">
        <v>163</v>
      </c>
      <c r="B655" s="75" t="s">
        <v>164</v>
      </c>
      <c r="C655">
        <v>0</v>
      </c>
      <c r="D655">
        <v>0</v>
      </c>
      <c r="E655">
        <v>0</v>
      </c>
      <c r="F655">
        <v>604324.56000000006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3.91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7490</v>
      </c>
      <c r="AW655">
        <v>3350</v>
      </c>
      <c r="AX655">
        <v>1219</v>
      </c>
      <c r="AY655">
        <v>12059</v>
      </c>
      <c r="AZ655">
        <v>4202</v>
      </c>
      <c r="BA655">
        <v>7438</v>
      </c>
      <c r="BB655">
        <v>1432</v>
      </c>
      <c r="BC655">
        <v>13072</v>
      </c>
      <c r="BD655">
        <v>9486</v>
      </c>
      <c r="BE655">
        <v>9222</v>
      </c>
      <c r="BF655">
        <v>1768</v>
      </c>
      <c r="BG655">
        <v>20476</v>
      </c>
      <c r="BH655">
        <v>0</v>
      </c>
      <c r="BI655">
        <v>0</v>
      </c>
      <c r="BJ655">
        <v>0</v>
      </c>
      <c r="BK655">
        <v>0</v>
      </c>
      <c r="BL655" s="2">
        <v>24.82</v>
      </c>
      <c r="BM655" s="2">
        <v>42005.095138888886</v>
      </c>
      <c r="BN655" s="2">
        <v>5.4</v>
      </c>
      <c r="BO655" s="2">
        <v>42005.092361111114</v>
      </c>
      <c r="BP655" s="2">
        <v>6.92</v>
      </c>
      <c r="BQ655" s="2">
        <v>42005.092361111114</v>
      </c>
      <c r="BR655" s="2">
        <v>11.07</v>
      </c>
      <c r="BS655" s="2">
        <v>42005.092361111114</v>
      </c>
      <c r="BT655">
        <v>0</v>
      </c>
      <c r="BU655">
        <v>0</v>
      </c>
      <c r="BV655" t="s">
        <v>135</v>
      </c>
      <c r="BW655">
        <v>0</v>
      </c>
      <c r="BX655">
        <v>0</v>
      </c>
      <c r="BY655" t="s">
        <v>135</v>
      </c>
      <c r="BZ655">
        <v>0</v>
      </c>
      <c r="CA655">
        <v>0</v>
      </c>
      <c r="CB655" t="s">
        <v>135</v>
      </c>
      <c r="CH655" s="2"/>
      <c r="CJ655" s="2"/>
      <c r="CL655" s="2"/>
      <c r="CN655" s="2"/>
      <c r="CQ655" s="2"/>
      <c r="CT655" s="2"/>
      <c r="CW655" s="2"/>
    </row>
    <row r="656" spans="1:101" x14ac:dyDescent="0.25">
      <c r="A656" s="1" t="s">
        <v>163</v>
      </c>
      <c r="B656" s="75" t="s">
        <v>164</v>
      </c>
      <c r="C656">
        <v>0</v>
      </c>
      <c r="D656">
        <v>0</v>
      </c>
      <c r="E656">
        <v>0</v>
      </c>
      <c r="F656">
        <v>604324.56000000006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3.91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7490</v>
      </c>
      <c r="AW656">
        <v>3350</v>
      </c>
      <c r="AX656">
        <v>1219</v>
      </c>
      <c r="AY656">
        <v>12059</v>
      </c>
      <c r="AZ656">
        <v>4202</v>
      </c>
      <c r="BA656">
        <v>7438</v>
      </c>
      <c r="BB656">
        <v>1432</v>
      </c>
      <c r="BC656">
        <v>13072</v>
      </c>
      <c r="BD656">
        <v>9486</v>
      </c>
      <c r="BE656">
        <v>9222</v>
      </c>
      <c r="BF656">
        <v>1768</v>
      </c>
      <c r="BG656">
        <v>20476</v>
      </c>
      <c r="BH656">
        <v>0</v>
      </c>
      <c r="BI656">
        <v>0</v>
      </c>
      <c r="BJ656">
        <v>0</v>
      </c>
      <c r="BK656">
        <v>0</v>
      </c>
      <c r="BL656" s="2">
        <v>24.82</v>
      </c>
      <c r="BM656" s="2">
        <v>42005.095138888886</v>
      </c>
      <c r="BN656" s="2">
        <v>5.4</v>
      </c>
      <c r="BO656" s="2">
        <v>42005.092361111114</v>
      </c>
      <c r="BP656" s="2">
        <v>6.92</v>
      </c>
      <c r="BQ656" s="2">
        <v>42005.092361111114</v>
      </c>
      <c r="BR656" s="2">
        <v>11.07</v>
      </c>
      <c r="BS656" s="2">
        <v>42005.092361111114</v>
      </c>
      <c r="BT656">
        <v>0</v>
      </c>
      <c r="BU656">
        <v>0</v>
      </c>
      <c r="BV656" t="s">
        <v>135</v>
      </c>
      <c r="BW656">
        <v>0</v>
      </c>
      <c r="BX656">
        <v>0</v>
      </c>
      <c r="BY656" t="s">
        <v>135</v>
      </c>
      <c r="BZ656">
        <v>0</v>
      </c>
      <c r="CA656">
        <v>0</v>
      </c>
      <c r="CB656" t="s">
        <v>135</v>
      </c>
      <c r="CH656" s="2"/>
      <c r="CJ656" s="2"/>
      <c r="CL656" s="2"/>
      <c r="CN656" s="2"/>
      <c r="CQ656" s="2"/>
      <c r="CT656" s="2"/>
      <c r="CW656" s="2"/>
    </row>
    <row r="657" spans="1:101" x14ac:dyDescent="0.25">
      <c r="A657" s="1" t="s">
        <v>163</v>
      </c>
      <c r="B657" s="75" t="s">
        <v>164</v>
      </c>
      <c r="C657">
        <v>0</v>
      </c>
      <c r="D657">
        <v>0</v>
      </c>
      <c r="E657">
        <v>0</v>
      </c>
      <c r="F657">
        <v>604324.56000000006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3.91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7490</v>
      </c>
      <c r="AW657">
        <v>3350</v>
      </c>
      <c r="AX657">
        <v>1219</v>
      </c>
      <c r="AY657">
        <v>12059</v>
      </c>
      <c r="AZ657">
        <v>4202</v>
      </c>
      <c r="BA657">
        <v>7438</v>
      </c>
      <c r="BB657">
        <v>1432</v>
      </c>
      <c r="BC657">
        <v>13072</v>
      </c>
      <c r="BD657">
        <v>9486</v>
      </c>
      <c r="BE657">
        <v>9222</v>
      </c>
      <c r="BF657">
        <v>1768</v>
      </c>
      <c r="BG657">
        <v>20476</v>
      </c>
      <c r="BH657">
        <v>0</v>
      </c>
      <c r="BI657">
        <v>0</v>
      </c>
      <c r="BJ657">
        <v>0</v>
      </c>
      <c r="BK657">
        <v>0</v>
      </c>
      <c r="BL657" s="2">
        <v>24.82</v>
      </c>
      <c r="BM657" s="2">
        <v>42005.095138888886</v>
      </c>
      <c r="BN657" s="2">
        <v>5.4</v>
      </c>
      <c r="BO657" s="2">
        <v>42005.092361111114</v>
      </c>
      <c r="BP657" s="2">
        <v>6.92</v>
      </c>
      <c r="BQ657" s="2">
        <v>42005.092361111114</v>
      </c>
      <c r="BR657" s="2">
        <v>11.07</v>
      </c>
      <c r="BS657" s="2">
        <v>42005.092361111114</v>
      </c>
      <c r="BT657">
        <v>0</v>
      </c>
      <c r="BU657">
        <v>0</v>
      </c>
      <c r="BV657" t="s">
        <v>135</v>
      </c>
      <c r="BW657">
        <v>0</v>
      </c>
      <c r="BX657">
        <v>0</v>
      </c>
      <c r="BY657" t="s">
        <v>135</v>
      </c>
      <c r="BZ657">
        <v>0</v>
      </c>
      <c r="CA657">
        <v>0</v>
      </c>
      <c r="CB657" t="s">
        <v>135</v>
      </c>
      <c r="CH657" s="2"/>
      <c r="CJ657" s="2"/>
      <c r="CL657" s="2"/>
      <c r="CN657" s="2"/>
      <c r="CQ657" s="2"/>
      <c r="CT657" s="2"/>
      <c r="CW657" s="2"/>
    </row>
    <row r="658" spans="1:101" x14ac:dyDescent="0.25">
      <c r="A658" s="1" t="s">
        <v>163</v>
      </c>
      <c r="B658" s="75" t="s">
        <v>164</v>
      </c>
      <c r="C658">
        <v>0</v>
      </c>
      <c r="D658">
        <v>0</v>
      </c>
      <c r="E658">
        <v>0</v>
      </c>
      <c r="F658">
        <v>604324.56000000006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3.91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7490</v>
      </c>
      <c r="AW658">
        <v>3350</v>
      </c>
      <c r="AX658">
        <v>1219</v>
      </c>
      <c r="AY658">
        <v>12059</v>
      </c>
      <c r="AZ658">
        <v>4202</v>
      </c>
      <c r="BA658">
        <v>7438</v>
      </c>
      <c r="BB658">
        <v>1432</v>
      </c>
      <c r="BC658">
        <v>13072</v>
      </c>
      <c r="BD658">
        <v>9486</v>
      </c>
      <c r="BE658">
        <v>9222</v>
      </c>
      <c r="BF658">
        <v>1768</v>
      </c>
      <c r="BG658">
        <v>20476</v>
      </c>
      <c r="BH658">
        <v>0</v>
      </c>
      <c r="BI658">
        <v>0</v>
      </c>
      <c r="BJ658">
        <v>0</v>
      </c>
      <c r="BK658">
        <v>0</v>
      </c>
      <c r="BL658" s="2">
        <v>24.82</v>
      </c>
      <c r="BM658" s="2">
        <v>42005.095138888886</v>
      </c>
      <c r="BN658" s="2">
        <v>5.4</v>
      </c>
      <c r="BO658" s="2">
        <v>42005.092361111114</v>
      </c>
      <c r="BP658" s="2">
        <v>6.92</v>
      </c>
      <c r="BQ658" s="2">
        <v>42005.092361111114</v>
      </c>
      <c r="BR658" s="2">
        <v>11.07</v>
      </c>
      <c r="BS658" s="2">
        <v>42005.092361111114</v>
      </c>
      <c r="BT658">
        <v>0</v>
      </c>
      <c r="BU658">
        <v>0</v>
      </c>
      <c r="BV658" t="s">
        <v>135</v>
      </c>
      <c r="BW658">
        <v>0</v>
      </c>
      <c r="BX658">
        <v>0</v>
      </c>
      <c r="BY658" t="s">
        <v>135</v>
      </c>
      <c r="BZ658">
        <v>0</v>
      </c>
      <c r="CA658">
        <v>0</v>
      </c>
      <c r="CB658" t="s">
        <v>135</v>
      </c>
      <c r="CH658" s="2"/>
      <c r="CJ658" s="2"/>
      <c r="CL658" s="2"/>
      <c r="CN658" s="2"/>
      <c r="CQ658" s="2"/>
      <c r="CT658" s="2"/>
      <c r="CW658" s="2"/>
    </row>
    <row r="659" spans="1:101" x14ac:dyDescent="0.25">
      <c r="A659" s="1" t="s">
        <v>163</v>
      </c>
      <c r="B659" s="75" t="s">
        <v>164</v>
      </c>
      <c r="C659">
        <v>0</v>
      </c>
      <c r="D659">
        <v>0</v>
      </c>
      <c r="E659">
        <v>0</v>
      </c>
      <c r="F659">
        <v>604324.56000000006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3.91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7490</v>
      </c>
      <c r="AW659">
        <v>3350</v>
      </c>
      <c r="AX659">
        <v>1219</v>
      </c>
      <c r="AY659">
        <v>12059</v>
      </c>
      <c r="AZ659">
        <v>4202</v>
      </c>
      <c r="BA659">
        <v>7438</v>
      </c>
      <c r="BB659">
        <v>1432</v>
      </c>
      <c r="BC659">
        <v>13072</v>
      </c>
      <c r="BD659">
        <v>9486</v>
      </c>
      <c r="BE659">
        <v>9222</v>
      </c>
      <c r="BF659">
        <v>1768</v>
      </c>
      <c r="BG659">
        <v>20476</v>
      </c>
      <c r="BH659">
        <v>0</v>
      </c>
      <c r="BI659">
        <v>0</v>
      </c>
      <c r="BJ659">
        <v>0</v>
      </c>
      <c r="BK659">
        <v>0</v>
      </c>
      <c r="BL659" s="2">
        <v>24.82</v>
      </c>
      <c r="BM659" s="2">
        <v>42005.095138888886</v>
      </c>
      <c r="BN659" s="2">
        <v>5.4</v>
      </c>
      <c r="BO659" s="2">
        <v>42005.092361111114</v>
      </c>
      <c r="BP659" s="2">
        <v>6.92</v>
      </c>
      <c r="BQ659" s="2">
        <v>42005.092361111114</v>
      </c>
      <c r="BR659" s="2">
        <v>11.07</v>
      </c>
      <c r="BS659" s="2">
        <v>42005.092361111114</v>
      </c>
      <c r="BT659">
        <v>0</v>
      </c>
      <c r="BU659">
        <v>0</v>
      </c>
      <c r="BV659" t="s">
        <v>135</v>
      </c>
      <c r="BW659">
        <v>0</v>
      </c>
      <c r="BX659">
        <v>0</v>
      </c>
      <c r="BY659" t="s">
        <v>135</v>
      </c>
      <c r="BZ659">
        <v>0</v>
      </c>
      <c r="CA659">
        <v>0</v>
      </c>
      <c r="CB659" t="s">
        <v>135</v>
      </c>
      <c r="CH659" s="2"/>
      <c r="CJ659" s="2"/>
      <c r="CL659" s="2"/>
      <c r="CN659" s="2"/>
      <c r="CQ659" s="2"/>
      <c r="CT659" s="2"/>
      <c r="CW659" s="2"/>
    </row>
    <row r="660" spans="1:101" x14ac:dyDescent="0.25">
      <c r="A660" s="1" t="s">
        <v>163</v>
      </c>
      <c r="B660" s="75" t="s">
        <v>164</v>
      </c>
      <c r="C660">
        <v>0</v>
      </c>
      <c r="D660">
        <v>0</v>
      </c>
      <c r="E660">
        <v>0</v>
      </c>
      <c r="F660">
        <v>604324.56000000006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3.91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7490</v>
      </c>
      <c r="AW660">
        <v>3350</v>
      </c>
      <c r="AX660">
        <v>1219</v>
      </c>
      <c r="AY660">
        <v>12059</v>
      </c>
      <c r="AZ660">
        <v>4202</v>
      </c>
      <c r="BA660">
        <v>7438</v>
      </c>
      <c r="BB660">
        <v>1432</v>
      </c>
      <c r="BC660">
        <v>13072</v>
      </c>
      <c r="BD660">
        <v>9486</v>
      </c>
      <c r="BE660">
        <v>9222</v>
      </c>
      <c r="BF660">
        <v>1768</v>
      </c>
      <c r="BG660">
        <v>20476</v>
      </c>
      <c r="BH660">
        <v>0</v>
      </c>
      <c r="BI660">
        <v>0</v>
      </c>
      <c r="BJ660">
        <v>0</v>
      </c>
      <c r="BK660">
        <v>0</v>
      </c>
      <c r="BL660" s="2">
        <v>24.82</v>
      </c>
      <c r="BM660" s="2">
        <v>42005.095138888886</v>
      </c>
      <c r="BN660" s="2">
        <v>5.4</v>
      </c>
      <c r="BO660" s="2">
        <v>42005.092361111114</v>
      </c>
      <c r="BP660" s="2">
        <v>6.92</v>
      </c>
      <c r="BQ660" s="2">
        <v>42005.092361111114</v>
      </c>
      <c r="BR660" s="2">
        <v>11.07</v>
      </c>
      <c r="BS660" s="2">
        <v>42005.092361111114</v>
      </c>
      <c r="BT660">
        <v>0</v>
      </c>
      <c r="BU660">
        <v>0</v>
      </c>
      <c r="BV660" t="s">
        <v>135</v>
      </c>
      <c r="BW660">
        <v>0</v>
      </c>
      <c r="BX660">
        <v>0</v>
      </c>
      <c r="BY660" t="s">
        <v>135</v>
      </c>
      <c r="BZ660">
        <v>0</v>
      </c>
      <c r="CA660">
        <v>0</v>
      </c>
      <c r="CB660" t="s">
        <v>135</v>
      </c>
      <c r="CH660" s="2"/>
      <c r="CJ660" s="2"/>
      <c r="CL660" s="2"/>
      <c r="CN660" s="2"/>
      <c r="CQ660" s="2"/>
      <c r="CT660" s="2"/>
      <c r="CW660" s="2"/>
    </row>
    <row r="661" spans="1:101" x14ac:dyDescent="0.25">
      <c r="A661" s="1" t="s">
        <v>163</v>
      </c>
      <c r="B661" s="75" t="s">
        <v>164</v>
      </c>
      <c r="C661">
        <v>0</v>
      </c>
      <c r="D661">
        <v>0</v>
      </c>
      <c r="E661">
        <v>0</v>
      </c>
      <c r="F661">
        <v>604324.56000000006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3.91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7490</v>
      </c>
      <c r="AW661">
        <v>3350</v>
      </c>
      <c r="AX661">
        <v>1219</v>
      </c>
      <c r="AY661">
        <v>12059</v>
      </c>
      <c r="AZ661">
        <v>4202</v>
      </c>
      <c r="BA661">
        <v>7438</v>
      </c>
      <c r="BB661">
        <v>1432</v>
      </c>
      <c r="BC661">
        <v>13072</v>
      </c>
      <c r="BD661">
        <v>9486</v>
      </c>
      <c r="BE661">
        <v>9222</v>
      </c>
      <c r="BF661">
        <v>1768</v>
      </c>
      <c r="BG661">
        <v>20476</v>
      </c>
      <c r="BH661">
        <v>0</v>
      </c>
      <c r="BI661">
        <v>0</v>
      </c>
      <c r="BJ661">
        <v>0</v>
      </c>
      <c r="BK661">
        <v>0</v>
      </c>
      <c r="BL661" s="2">
        <v>24.82</v>
      </c>
      <c r="BM661" s="2">
        <v>42005.095138888886</v>
      </c>
      <c r="BN661" s="2">
        <v>5.4</v>
      </c>
      <c r="BO661" s="2">
        <v>42005.092361111114</v>
      </c>
      <c r="BP661" s="2">
        <v>6.92</v>
      </c>
      <c r="BQ661" s="2">
        <v>42005.092361111114</v>
      </c>
      <c r="BR661" s="2">
        <v>11.07</v>
      </c>
      <c r="BS661" s="2">
        <v>42005.092361111114</v>
      </c>
      <c r="BT661">
        <v>0</v>
      </c>
      <c r="BU661">
        <v>0</v>
      </c>
      <c r="BV661" t="s">
        <v>135</v>
      </c>
      <c r="BW661">
        <v>0</v>
      </c>
      <c r="BX661">
        <v>0</v>
      </c>
      <c r="BY661" t="s">
        <v>135</v>
      </c>
      <c r="BZ661">
        <v>0</v>
      </c>
      <c r="CA661">
        <v>0</v>
      </c>
      <c r="CB661" t="s">
        <v>135</v>
      </c>
      <c r="CH661" s="2"/>
      <c r="CJ661" s="2"/>
      <c r="CL661" s="2"/>
      <c r="CN661" s="2"/>
      <c r="CQ661" s="2"/>
      <c r="CT661" s="2"/>
      <c r="CW661" s="2"/>
    </row>
    <row r="662" spans="1:101" x14ac:dyDescent="0.25">
      <c r="A662" s="1" t="s">
        <v>163</v>
      </c>
      <c r="B662" s="75" t="s">
        <v>164</v>
      </c>
      <c r="C662">
        <v>0</v>
      </c>
      <c r="D662">
        <v>0</v>
      </c>
      <c r="E662">
        <v>0</v>
      </c>
      <c r="F662">
        <v>604324.56000000006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3.91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7490</v>
      </c>
      <c r="AW662">
        <v>3350</v>
      </c>
      <c r="AX662">
        <v>1219</v>
      </c>
      <c r="AY662">
        <v>12059</v>
      </c>
      <c r="AZ662">
        <v>4202</v>
      </c>
      <c r="BA662">
        <v>7438</v>
      </c>
      <c r="BB662">
        <v>1432</v>
      </c>
      <c r="BC662">
        <v>13072</v>
      </c>
      <c r="BD662">
        <v>9486</v>
      </c>
      <c r="BE662">
        <v>9222</v>
      </c>
      <c r="BF662">
        <v>1768</v>
      </c>
      <c r="BG662">
        <v>20476</v>
      </c>
      <c r="BH662">
        <v>0</v>
      </c>
      <c r="BI662">
        <v>0</v>
      </c>
      <c r="BJ662">
        <v>0</v>
      </c>
      <c r="BK662">
        <v>0</v>
      </c>
      <c r="BL662" s="2">
        <v>24.82</v>
      </c>
      <c r="BM662" s="2">
        <v>42005.095138888886</v>
      </c>
      <c r="BN662" s="2">
        <v>5.4</v>
      </c>
      <c r="BO662" s="2">
        <v>42005.092361111114</v>
      </c>
      <c r="BP662" s="2">
        <v>6.92</v>
      </c>
      <c r="BQ662" s="2">
        <v>42005.092361111114</v>
      </c>
      <c r="BR662" s="2">
        <v>11.07</v>
      </c>
      <c r="BS662" s="2">
        <v>42005.092361111114</v>
      </c>
      <c r="BT662">
        <v>0</v>
      </c>
      <c r="BU662">
        <v>0</v>
      </c>
      <c r="BV662" t="s">
        <v>135</v>
      </c>
      <c r="BW662">
        <v>0</v>
      </c>
      <c r="BX662">
        <v>0</v>
      </c>
      <c r="BY662" t="s">
        <v>135</v>
      </c>
      <c r="BZ662">
        <v>0</v>
      </c>
      <c r="CA662">
        <v>0</v>
      </c>
      <c r="CB662" t="s">
        <v>135</v>
      </c>
      <c r="CH662" s="2"/>
      <c r="CJ662" s="2"/>
      <c r="CL662" s="2"/>
      <c r="CN662" s="2"/>
      <c r="CQ662" s="2"/>
      <c r="CT662" s="2"/>
      <c r="CW662" s="2"/>
    </row>
    <row r="663" spans="1:101" x14ac:dyDescent="0.25">
      <c r="A663" s="1" t="s">
        <v>163</v>
      </c>
      <c r="B663" s="75" t="s">
        <v>164</v>
      </c>
      <c r="C663">
        <v>0</v>
      </c>
      <c r="D663">
        <v>0</v>
      </c>
      <c r="E663">
        <v>0</v>
      </c>
      <c r="F663">
        <v>604324.56000000006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3.91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7490</v>
      </c>
      <c r="AW663">
        <v>3350</v>
      </c>
      <c r="AX663">
        <v>1219</v>
      </c>
      <c r="AY663">
        <v>12059</v>
      </c>
      <c r="AZ663">
        <v>4202</v>
      </c>
      <c r="BA663">
        <v>7438</v>
      </c>
      <c r="BB663">
        <v>1432</v>
      </c>
      <c r="BC663">
        <v>13072</v>
      </c>
      <c r="BD663">
        <v>9486</v>
      </c>
      <c r="BE663">
        <v>9222</v>
      </c>
      <c r="BF663">
        <v>1768</v>
      </c>
      <c r="BG663">
        <v>20476</v>
      </c>
      <c r="BH663">
        <v>0</v>
      </c>
      <c r="BI663">
        <v>0</v>
      </c>
      <c r="BJ663">
        <v>0</v>
      </c>
      <c r="BK663">
        <v>0</v>
      </c>
      <c r="BL663" s="2">
        <v>24.82</v>
      </c>
      <c r="BM663" s="2">
        <v>42005.095138888886</v>
      </c>
      <c r="BN663" s="2">
        <v>5.4</v>
      </c>
      <c r="BO663" s="2">
        <v>42005.092361111114</v>
      </c>
      <c r="BP663" s="2">
        <v>6.92</v>
      </c>
      <c r="BQ663" s="2">
        <v>42005.092361111114</v>
      </c>
      <c r="BR663" s="2">
        <v>11.07</v>
      </c>
      <c r="BS663" s="2">
        <v>42005.092361111114</v>
      </c>
      <c r="BT663">
        <v>0</v>
      </c>
      <c r="BU663">
        <v>0</v>
      </c>
      <c r="BV663" t="s">
        <v>135</v>
      </c>
      <c r="BW663">
        <v>0</v>
      </c>
      <c r="BX663">
        <v>0</v>
      </c>
      <c r="BY663" t="s">
        <v>135</v>
      </c>
      <c r="BZ663">
        <v>0</v>
      </c>
      <c r="CA663">
        <v>0</v>
      </c>
      <c r="CB663" t="s">
        <v>135</v>
      </c>
      <c r="CH663" s="2"/>
      <c r="CJ663" s="2"/>
      <c r="CL663" s="2"/>
      <c r="CN663" s="2"/>
      <c r="CQ663" s="2"/>
      <c r="CT663" s="2"/>
      <c r="CW663" s="2"/>
    </row>
    <row r="664" spans="1:101" x14ac:dyDescent="0.25">
      <c r="A664" s="1" t="s">
        <v>163</v>
      </c>
      <c r="B664" s="75" t="s">
        <v>164</v>
      </c>
      <c r="C664">
        <v>0</v>
      </c>
      <c r="D664">
        <v>0</v>
      </c>
      <c r="E664">
        <v>0</v>
      </c>
      <c r="F664">
        <v>604324.56000000006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3.91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7490</v>
      </c>
      <c r="AW664">
        <v>3350</v>
      </c>
      <c r="AX664">
        <v>1219</v>
      </c>
      <c r="AY664">
        <v>12059</v>
      </c>
      <c r="AZ664">
        <v>4202</v>
      </c>
      <c r="BA664">
        <v>7438</v>
      </c>
      <c r="BB664">
        <v>1432</v>
      </c>
      <c r="BC664">
        <v>13072</v>
      </c>
      <c r="BD664">
        <v>9486</v>
      </c>
      <c r="BE664">
        <v>9222</v>
      </c>
      <c r="BF664">
        <v>1768</v>
      </c>
      <c r="BG664">
        <v>20476</v>
      </c>
      <c r="BH664">
        <v>0</v>
      </c>
      <c r="BI664">
        <v>0</v>
      </c>
      <c r="BJ664">
        <v>0</v>
      </c>
      <c r="BK664">
        <v>0</v>
      </c>
      <c r="BL664" s="2">
        <v>24.82</v>
      </c>
      <c r="BM664" s="2">
        <v>42005.095138888886</v>
      </c>
      <c r="BN664" s="2">
        <v>5.4</v>
      </c>
      <c r="BO664" s="2">
        <v>42005.092361111114</v>
      </c>
      <c r="BP664" s="2">
        <v>6.92</v>
      </c>
      <c r="BQ664" s="2">
        <v>42005.092361111114</v>
      </c>
      <c r="BR664" s="2">
        <v>11.07</v>
      </c>
      <c r="BS664" s="2">
        <v>42005.092361111114</v>
      </c>
      <c r="BT664">
        <v>0</v>
      </c>
      <c r="BU664">
        <v>0</v>
      </c>
      <c r="BV664" t="s">
        <v>135</v>
      </c>
      <c r="BW664">
        <v>0</v>
      </c>
      <c r="BX664">
        <v>0</v>
      </c>
      <c r="BY664" t="s">
        <v>135</v>
      </c>
      <c r="BZ664">
        <v>0</v>
      </c>
      <c r="CA664">
        <v>0</v>
      </c>
      <c r="CB664" t="s">
        <v>135</v>
      </c>
      <c r="CH664" s="2"/>
      <c r="CJ664" s="2"/>
      <c r="CL664" s="2"/>
      <c r="CN664" s="2"/>
      <c r="CQ664" s="2"/>
      <c r="CT664" s="2"/>
      <c r="CW664" s="2"/>
    </row>
    <row r="665" spans="1:101" x14ac:dyDescent="0.25">
      <c r="A665" s="1" t="s">
        <v>163</v>
      </c>
      <c r="B665" s="75" t="s">
        <v>164</v>
      </c>
      <c r="C665">
        <v>0</v>
      </c>
      <c r="D665">
        <v>0</v>
      </c>
      <c r="E665">
        <v>0</v>
      </c>
      <c r="F665">
        <v>604324.56000000006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3.91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7490</v>
      </c>
      <c r="AW665">
        <v>3350</v>
      </c>
      <c r="AX665">
        <v>1219</v>
      </c>
      <c r="AY665">
        <v>12059</v>
      </c>
      <c r="AZ665">
        <v>4202</v>
      </c>
      <c r="BA665">
        <v>7438</v>
      </c>
      <c r="BB665">
        <v>1432</v>
      </c>
      <c r="BC665">
        <v>13072</v>
      </c>
      <c r="BD665">
        <v>9486</v>
      </c>
      <c r="BE665">
        <v>9222</v>
      </c>
      <c r="BF665">
        <v>1768</v>
      </c>
      <c r="BG665">
        <v>20476</v>
      </c>
      <c r="BH665">
        <v>0</v>
      </c>
      <c r="BI665">
        <v>0</v>
      </c>
      <c r="BJ665">
        <v>0</v>
      </c>
      <c r="BK665">
        <v>0</v>
      </c>
      <c r="BL665" s="2">
        <v>24.82</v>
      </c>
      <c r="BM665" s="2">
        <v>42005.095138888886</v>
      </c>
      <c r="BN665" s="2">
        <v>5.4</v>
      </c>
      <c r="BO665" s="2">
        <v>42005.092361111114</v>
      </c>
      <c r="BP665" s="2">
        <v>6.92</v>
      </c>
      <c r="BQ665" s="2">
        <v>42005.092361111114</v>
      </c>
      <c r="BR665" s="2">
        <v>11.07</v>
      </c>
      <c r="BS665" s="2">
        <v>42005.092361111114</v>
      </c>
      <c r="BT665">
        <v>0</v>
      </c>
      <c r="BU665">
        <v>0</v>
      </c>
      <c r="BV665" t="s">
        <v>135</v>
      </c>
      <c r="BW665">
        <v>0</v>
      </c>
      <c r="BX665">
        <v>0</v>
      </c>
      <c r="BY665" t="s">
        <v>135</v>
      </c>
      <c r="BZ665">
        <v>0</v>
      </c>
      <c r="CA665">
        <v>0</v>
      </c>
      <c r="CB665" t="s">
        <v>135</v>
      </c>
      <c r="CH665" s="2"/>
      <c r="CJ665" s="2"/>
      <c r="CL665" s="2"/>
      <c r="CN665" s="2"/>
      <c r="CQ665" s="2"/>
      <c r="CT665" s="2"/>
      <c r="CW665" s="2"/>
    </row>
    <row r="666" spans="1:101" x14ac:dyDescent="0.25">
      <c r="A666" s="1" t="s">
        <v>163</v>
      </c>
      <c r="B666" s="75" t="s">
        <v>164</v>
      </c>
      <c r="C666">
        <v>0</v>
      </c>
      <c r="D666">
        <v>0</v>
      </c>
      <c r="E666">
        <v>0</v>
      </c>
      <c r="F666">
        <v>604324.56000000006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3.91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7490</v>
      </c>
      <c r="AW666">
        <v>3350</v>
      </c>
      <c r="AX666">
        <v>1219</v>
      </c>
      <c r="AY666">
        <v>12059</v>
      </c>
      <c r="AZ666">
        <v>4202</v>
      </c>
      <c r="BA666">
        <v>7438</v>
      </c>
      <c r="BB666">
        <v>1432</v>
      </c>
      <c r="BC666">
        <v>13072</v>
      </c>
      <c r="BD666">
        <v>9486</v>
      </c>
      <c r="BE666">
        <v>9222</v>
      </c>
      <c r="BF666">
        <v>1768</v>
      </c>
      <c r="BG666">
        <v>20476</v>
      </c>
      <c r="BH666">
        <v>0</v>
      </c>
      <c r="BI666">
        <v>0</v>
      </c>
      <c r="BJ666">
        <v>0</v>
      </c>
      <c r="BK666">
        <v>0</v>
      </c>
      <c r="BL666" s="2">
        <v>24.82</v>
      </c>
      <c r="BM666" s="2">
        <v>42005.095138888886</v>
      </c>
      <c r="BN666" s="2">
        <v>5.4</v>
      </c>
      <c r="BO666" s="2">
        <v>42005.092361111114</v>
      </c>
      <c r="BP666" s="2">
        <v>6.92</v>
      </c>
      <c r="BQ666" s="2">
        <v>42005.092361111114</v>
      </c>
      <c r="BR666" s="2">
        <v>11.07</v>
      </c>
      <c r="BS666" s="2">
        <v>42005.092361111114</v>
      </c>
      <c r="BT666">
        <v>0</v>
      </c>
      <c r="BU666">
        <v>0</v>
      </c>
      <c r="BV666" t="s">
        <v>135</v>
      </c>
      <c r="BW666">
        <v>0</v>
      </c>
      <c r="BX666">
        <v>0</v>
      </c>
      <c r="BY666" t="s">
        <v>135</v>
      </c>
      <c r="BZ666">
        <v>0</v>
      </c>
      <c r="CA666">
        <v>0</v>
      </c>
      <c r="CB666" t="s">
        <v>135</v>
      </c>
      <c r="CH666" s="2"/>
      <c r="CJ666" s="2"/>
      <c r="CL666" s="2"/>
      <c r="CN666" s="2"/>
      <c r="CQ666" s="2"/>
      <c r="CT666" s="2"/>
      <c r="CW666" s="2"/>
    </row>
    <row r="667" spans="1:101" x14ac:dyDescent="0.25">
      <c r="A667" s="1" t="s">
        <v>163</v>
      </c>
      <c r="B667" s="75" t="s">
        <v>164</v>
      </c>
      <c r="C667">
        <v>0</v>
      </c>
      <c r="D667">
        <v>0</v>
      </c>
      <c r="E667">
        <v>0</v>
      </c>
      <c r="F667">
        <v>604324.56000000006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3.91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7490</v>
      </c>
      <c r="AW667">
        <v>3350</v>
      </c>
      <c r="AX667">
        <v>1219</v>
      </c>
      <c r="AY667">
        <v>12059</v>
      </c>
      <c r="AZ667">
        <v>4202</v>
      </c>
      <c r="BA667">
        <v>7438</v>
      </c>
      <c r="BB667">
        <v>1432</v>
      </c>
      <c r="BC667">
        <v>13072</v>
      </c>
      <c r="BD667">
        <v>9486</v>
      </c>
      <c r="BE667">
        <v>9222</v>
      </c>
      <c r="BF667">
        <v>1768</v>
      </c>
      <c r="BG667">
        <v>20476</v>
      </c>
      <c r="BH667">
        <v>0</v>
      </c>
      <c r="BI667">
        <v>0</v>
      </c>
      <c r="BJ667">
        <v>0</v>
      </c>
      <c r="BK667">
        <v>0</v>
      </c>
      <c r="BL667" s="2">
        <v>24.82</v>
      </c>
      <c r="BM667" s="2">
        <v>42005.095138888886</v>
      </c>
      <c r="BN667" s="2">
        <v>5.4</v>
      </c>
      <c r="BO667" s="2">
        <v>42005.092361111114</v>
      </c>
      <c r="BP667" s="2">
        <v>6.92</v>
      </c>
      <c r="BQ667" s="2">
        <v>42005.092361111114</v>
      </c>
      <c r="BR667" s="2">
        <v>11.07</v>
      </c>
      <c r="BS667" s="2">
        <v>42005.092361111114</v>
      </c>
      <c r="BT667">
        <v>0</v>
      </c>
      <c r="BU667">
        <v>0</v>
      </c>
      <c r="BV667" t="s">
        <v>135</v>
      </c>
      <c r="BW667">
        <v>0</v>
      </c>
      <c r="BX667">
        <v>0</v>
      </c>
      <c r="BY667" t="s">
        <v>135</v>
      </c>
      <c r="BZ667">
        <v>0</v>
      </c>
      <c r="CA667">
        <v>0</v>
      </c>
      <c r="CB667" t="s">
        <v>135</v>
      </c>
      <c r="CH667" s="2"/>
      <c r="CJ667" s="2"/>
      <c r="CL667" s="2"/>
      <c r="CN667" s="2"/>
      <c r="CQ667" s="2"/>
      <c r="CT667" s="2"/>
      <c r="CW667" s="2"/>
    </row>
    <row r="668" spans="1:101" x14ac:dyDescent="0.25">
      <c r="A668" s="1" t="s">
        <v>163</v>
      </c>
      <c r="B668" s="75" t="s">
        <v>164</v>
      </c>
      <c r="C668">
        <v>0</v>
      </c>
      <c r="D668">
        <v>0</v>
      </c>
      <c r="E668">
        <v>0</v>
      </c>
      <c r="F668">
        <v>604324.56000000006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3.91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7490</v>
      </c>
      <c r="AW668">
        <v>3350</v>
      </c>
      <c r="AX668">
        <v>1219</v>
      </c>
      <c r="AY668">
        <v>12059</v>
      </c>
      <c r="AZ668">
        <v>4202</v>
      </c>
      <c r="BA668">
        <v>7438</v>
      </c>
      <c r="BB668">
        <v>1432</v>
      </c>
      <c r="BC668">
        <v>13072</v>
      </c>
      <c r="BD668">
        <v>9486</v>
      </c>
      <c r="BE668">
        <v>9222</v>
      </c>
      <c r="BF668">
        <v>1768</v>
      </c>
      <c r="BG668">
        <v>20476</v>
      </c>
      <c r="BH668">
        <v>0</v>
      </c>
      <c r="BI668">
        <v>0</v>
      </c>
      <c r="BJ668">
        <v>0</v>
      </c>
      <c r="BK668">
        <v>0</v>
      </c>
      <c r="BL668" s="2">
        <v>24.82</v>
      </c>
      <c r="BM668" s="2">
        <v>42005.095138888886</v>
      </c>
      <c r="BN668" s="2">
        <v>5.4</v>
      </c>
      <c r="BO668" s="2">
        <v>42005.092361111114</v>
      </c>
      <c r="BP668" s="2">
        <v>6.92</v>
      </c>
      <c r="BQ668" s="2">
        <v>42005.092361111114</v>
      </c>
      <c r="BR668" s="2">
        <v>11.07</v>
      </c>
      <c r="BS668" s="2">
        <v>42005.092361111114</v>
      </c>
      <c r="BT668">
        <v>0</v>
      </c>
      <c r="BU668">
        <v>0</v>
      </c>
      <c r="BV668" t="s">
        <v>135</v>
      </c>
      <c r="BW668">
        <v>0</v>
      </c>
      <c r="BX668">
        <v>0</v>
      </c>
      <c r="BY668" t="s">
        <v>135</v>
      </c>
      <c r="BZ668">
        <v>0</v>
      </c>
      <c r="CA668">
        <v>0</v>
      </c>
      <c r="CB668" t="s">
        <v>135</v>
      </c>
      <c r="CH668" s="2"/>
      <c r="CJ668" s="2"/>
      <c r="CL668" s="2"/>
      <c r="CN668" s="2"/>
      <c r="CQ668" s="2"/>
      <c r="CT668" s="2"/>
      <c r="CW668" s="2"/>
    </row>
    <row r="669" spans="1:101" x14ac:dyDescent="0.25">
      <c r="A669" s="1" t="s">
        <v>163</v>
      </c>
      <c r="B669" s="75" t="s">
        <v>164</v>
      </c>
      <c r="C669">
        <v>0</v>
      </c>
      <c r="D669">
        <v>0</v>
      </c>
      <c r="E669">
        <v>0</v>
      </c>
      <c r="F669">
        <v>604324.56000000006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3.91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7490</v>
      </c>
      <c r="AW669">
        <v>3350</v>
      </c>
      <c r="AX669">
        <v>1219</v>
      </c>
      <c r="AY669">
        <v>12059</v>
      </c>
      <c r="AZ669">
        <v>4202</v>
      </c>
      <c r="BA669">
        <v>7438</v>
      </c>
      <c r="BB669">
        <v>1432</v>
      </c>
      <c r="BC669">
        <v>13072</v>
      </c>
      <c r="BD669">
        <v>9486</v>
      </c>
      <c r="BE669">
        <v>9222</v>
      </c>
      <c r="BF669">
        <v>1768</v>
      </c>
      <c r="BG669">
        <v>20476</v>
      </c>
      <c r="BH669">
        <v>0</v>
      </c>
      <c r="BI669">
        <v>0</v>
      </c>
      <c r="BJ669">
        <v>0</v>
      </c>
      <c r="BK669">
        <v>0</v>
      </c>
      <c r="BL669" s="2">
        <v>24.82</v>
      </c>
      <c r="BM669" s="2">
        <v>42005.095138888886</v>
      </c>
      <c r="BN669" s="2">
        <v>5.4</v>
      </c>
      <c r="BO669" s="2">
        <v>42005.092361111114</v>
      </c>
      <c r="BP669" s="2">
        <v>6.92</v>
      </c>
      <c r="BQ669" s="2">
        <v>42005.092361111114</v>
      </c>
      <c r="BR669" s="2">
        <v>11.07</v>
      </c>
      <c r="BS669" s="2">
        <v>42005.092361111114</v>
      </c>
      <c r="BT669">
        <v>0</v>
      </c>
      <c r="BU669">
        <v>0</v>
      </c>
      <c r="BV669" t="s">
        <v>135</v>
      </c>
      <c r="BW669">
        <v>0</v>
      </c>
      <c r="BX669">
        <v>0</v>
      </c>
      <c r="BY669" t="s">
        <v>135</v>
      </c>
      <c r="BZ669">
        <v>0</v>
      </c>
      <c r="CA669">
        <v>0</v>
      </c>
      <c r="CB669" t="s">
        <v>135</v>
      </c>
      <c r="CH669" s="2"/>
      <c r="CJ669" s="2"/>
      <c r="CL669" s="2"/>
      <c r="CN669" s="2"/>
      <c r="CQ669" s="2"/>
      <c r="CT669" s="2"/>
      <c r="CW669" s="2"/>
    </row>
    <row r="670" spans="1:101" x14ac:dyDescent="0.25">
      <c r="A670" s="1" t="s">
        <v>163</v>
      </c>
      <c r="B670" s="75" t="s">
        <v>164</v>
      </c>
      <c r="C670">
        <v>0</v>
      </c>
      <c r="D670">
        <v>0</v>
      </c>
      <c r="E670">
        <v>0</v>
      </c>
      <c r="F670">
        <v>604324.56000000006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3.91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7490</v>
      </c>
      <c r="AW670">
        <v>3350</v>
      </c>
      <c r="AX670">
        <v>1219</v>
      </c>
      <c r="AY670">
        <v>12059</v>
      </c>
      <c r="AZ670">
        <v>4202</v>
      </c>
      <c r="BA670">
        <v>7438</v>
      </c>
      <c r="BB670">
        <v>1432</v>
      </c>
      <c r="BC670">
        <v>13072</v>
      </c>
      <c r="BD670">
        <v>9486</v>
      </c>
      <c r="BE670">
        <v>9222</v>
      </c>
      <c r="BF670">
        <v>1768</v>
      </c>
      <c r="BG670">
        <v>20476</v>
      </c>
      <c r="BH670">
        <v>0</v>
      </c>
      <c r="BI670">
        <v>0</v>
      </c>
      <c r="BJ670">
        <v>0</v>
      </c>
      <c r="BK670">
        <v>0</v>
      </c>
      <c r="BL670" s="2">
        <v>24.82</v>
      </c>
      <c r="BM670" s="2">
        <v>42005.095138888886</v>
      </c>
      <c r="BN670" s="2">
        <v>5.4</v>
      </c>
      <c r="BO670" s="2">
        <v>42005.092361111114</v>
      </c>
      <c r="BP670" s="2">
        <v>6.92</v>
      </c>
      <c r="BQ670" s="2">
        <v>42005.092361111114</v>
      </c>
      <c r="BR670" s="2">
        <v>11.07</v>
      </c>
      <c r="BS670" s="2">
        <v>42005.092361111114</v>
      </c>
      <c r="BT670">
        <v>0</v>
      </c>
      <c r="BU670">
        <v>0</v>
      </c>
      <c r="BV670" t="s">
        <v>135</v>
      </c>
      <c r="BW670">
        <v>0</v>
      </c>
      <c r="BX670">
        <v>0</v>
      </c>
      <c r="BY670" t="s">
        <v>135</v>
      </c>
      <c r="BZ670">
        <v>0</v>
      </c>
      <c r="CA670">
        <v>0</v>
      </c>
      <c r="CB670" t="s">
        <v>135</v>
      </c>
      <c r="CH670" s="2"/>
      <c r="CJ670" s="2"/>
      <c r="CL670" s="2"/>
      <c r="CN670" s="2"/>
      <c r="CQ670" s="2"/>
      <c r="CT670" s="2"/>
      <c r="CW670" s="2"/>
    </row>
    <row r="671" spans="1:101" x14ac:dyDescent="0.25">
      <c r="A671" s="1" t="s">
        <v>163</v>
      </c>
      <c r="B671" s="75" t="s">
        <v>164</v>
      </c>
      <c r="C671">
        <v>0</v>
      </c>
      <c r="D671">
        <v>0</v>
      </c>
      <c r="E671">
        <v>0</v>
      </c>
      <c r="F671">
        <v>604324.56000000006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3.91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7490</v>
      </c>
      <c r="AW671">
        <v>3350</v>
      </c>
      <c r="AX671">
        <v>1219</v>
      </c>
      <c r="AY671">
        <v>12059</v>
      </c>
      <c r="AZ671">
        <v>4202</v>
      </c>
      <c r="BA671">
        <v>7438</v>
      </c>
      <c r="BB671">
        <v>1432</v>
      </c>
      <c r="BC671">
        <v>13072</v>
      </c>
      <c r="BD671">
        <v>9486</v>
      </c>
      <c r="BE671">
        <v>9222</v>
      </c>
      <c r="BF671">
        <v>1768</v>
      </c>
      <c r="BG671">
        <v>20476</v>
      </c>
      <c r="BH671">
        <v>0</v>
      </c>
      <c r="BI671">
        <v>0</v>
      </c>
      <c r="BJ671">
        <v>0</v>
      </c>
      <c r="BK671">
        <v>0</v>
      </c>
      <c r="BL671" s="2">
        <v>24.82</v>
      </c>
      <c r="BM671" s="2">
        <v>42005.095138888886</v>
      </c>
      <c r="BN671" s="2">
        <v>5.4</v>
      </c>
      <c r="BO671" s="2">
        <v>42005.092361111114</v>
      </c>
      <c r="BP671" s="2">
        <v>6.92</v>
      </c>
      <c r="BQ671" s="2">
        <v>42005.092361111114</v>
      </c>
      <c r="BR671" s="2">
        <v>11.07</v>
      </c>
      <c r="BS671" s="2">
        <v>42005.092361111114</v>
      </c>
      <c r="BT671">
        <v>0</v>
      </c>
      <c r="BU671">
        <v>0</v>
      </c>
      <c r="BV671" t="s">
        <v>135</v>
      </c>
      <c r="BW671">
        <v>0</v>
      </c>
      <c r="BX671">
        <v>0</v>
      </c>
      <c r="BY671" t="s">
        <v>135</v>
      </c>
      <c r="BZ671">
        <v>0</v>
      </c>
      <c r="CA671">
        <v>0</v>
      </c>
      <c r="CB671" t="s">
        <v>135</v>
      </c>
      <c r="CH671" s="2"/>
      <c r="CJ671" s="2"/>
      <c r="CL671" s="2"/>
      <c r="CN671" s="2"/>
      <c r="CQ671" s="2"/>
      <c r="CT671" s="2"/>
      <c r="CW671" s="2"/>
    </row>
    <row r="672" spans="1:101" x14ac:dyDescent="0.25">
      <c r="A672" s="1" t="s">
        <v>163</v>
      </c>
      <c r="B672" s="75" t="s">
        <v>164</v>
      </c>
      <c r="C672">
        <v>0</v>
      </c>
      <c r="D672">
        <v>0</v>
      </c>
      <c r="E672">
        <v>0</v>
      </c>
      <c r="F672">
        <v>604324.56000000006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3.91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7490</v>
      </c>
      <c r="AW672">
        <v>3350</v>
      </c>
      <c r="AX672">
        <v>1219</v>
      </c>
      <c r="AY672">
        <v>12059</v>
      </c>
      <c r="AZ672">
        <v>4202</v>
      </c>
      <c r="BA672">
        <v>7438</v>
      </c>
      <c r="BB672">
        <v>1432</v>
      </c>
      <c r="BC672">
        <v>13072</v>
      </c>
      <c r="BD672">
        <v>9486</v>
      </c>
      <c r="BE672">
        <v>9222</v>
      </c>
      <c r="BF672">
        <v>1768</v>
      </c>
      <c r="BG672">
        <v>20476</v>
      </c>
      <c r="BH672">
        <v>0</v>
      </c>
      <c r="BI672">
        <v>0</v>
      </c>
      <c r="BJ672">
        <v>0</v>
      </c>
      <c r="BK672">
        <v>0</v>
      </c>
      <c r="BL672" s="2">
        <v>24.82</v>
      </c>
      <c r="BM672" s="2">
        <v>42005.095138888886</v>
      </c>
      <c r="BN672" s="2">
        <v>5.4</v>
      </c>
      <c r="BO672" s="2">
        <v>42005.092361111114</v>
      </c>
      <c r="BP672" s="2">
        <v>6.92</v>
      </c>
      <c r="BQ672" s="2">
        <v>42005.092361111114</v>
      </c>
      <c r="BR672" s="2">
        <v>11.07</v>
      </c>
      <c r="BS672" s="2">
        <v>42005.092361111114</v>
      </c>
      <c r="BT672">
        <v>0</v>
      </c>
      <c r="BU672">
        <v>0</v>
      </c>
      <c r="BV672" t="s">
        <v>135</v>
      </c>
      <c r="BW672">
        <v>0</v>
      </c>
      <c r="BX672">
        <v>0</v>
      </c>
      <c r="BY672" t="s">
        <v>135</v>
      </c>
      <c r="BZ672">
        <v>0</v>
      </c>
      <c r="CA672">
        <v>0</v>
      </c>
      <c r="CB672" t="s">
        <v>135</v>
      </c>
      <c r="CH672" s="2"/>
      <c r="CJ672" s="2"/>
      <c r="CL672" s="2"/>
      <c r="CN672" s="2"/>
      <c r="CQ672" s="2"/>
      <c r="CT672" s="2"/>
      <c r="CW672" s="2"/>
    </row>
    <row r="673" spans="1:101" x14ac:dyDescent="0.25">
      <c r="A673" s="1" t="s">
        <v>163</v>
      </c>
      <c r="B673" s="75" t="s">
        <v>164</v>
      </c>
      <c r="C673">
        <v>0</v>
      </c>
      <c r="D673">
        <v>0</v>
      </c>
      <c r="E673">
        <v>0</v>
      </c>
      <c r="F673">
        <v>604324.56000000006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3.91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7490</v>
      </c>
      <c r="AW673">
        <v>3350</v>
      </c>
      <c r="AX673">
        <v>1219</v>
      </c>
      <c r="AY673">
        <v>12059</v>
      </c>
      <c r="AZ673">
        <v>4202</v>
      </c>
      <c r="BA673">
        <v>7438</v>
      </c>
      <c r="BB673">
        <v>1432</v>
      </c>
      <c r="BC673">
        <v>13072</v>
      </c>
      <c r="BD673">
        <v>9486</v>
      </c>
      <c r="BE673">
        <v>9222</v>
      </c>
      <c r="BF673">
        <v>1768</v>
      </c>
      <c r="BG673">
        <v>20476</v>
      </c>
      <c r="BH673">
        <v>0</v>
      </c>
      <c r="BI673">
        <v>0</v>
      </c>
      <c r="BJ673">
        <v>0</v>
      </c>
      <c r="BK673">
        <v>0</v>
      </c>
      <c r="BL673" s="2">
        <v>24.82</v>
      </c>
      <c r="BM673" s="2">
        <v>42005.095138888886</v>
      </c>
      <c r="BN673" s="2">
        <v>5.4</v>
      </c>
      <c r="BO673" s="2">
        <v>42005.092361111114</v>
      </c>
      <c r="BP673" s="2">
        <v>6.92</v>
      </c>
      <c r="BQ673" s="2">
        <v>42005.092361111114</v>
      </c>
      <c r="BR673" s="2">
        <v>11.07</v>
      </c>
      <c r="BS673" s="2">
        <v>42005.092361111114</v>
      </c>
      <c r="BT673">
        <v>0</v>
      </c>
      <c r="BU673">
        <v>0</v>
      </c>
      <c r="BV673" t="s">
        <v>135</v>
      </c>
      <c r="BW673">
        <v>0</v>
      </c>
      <c r="BX673">
        <v>0</v>
      </c>
      <c r="BY673" t="s">
        <v>135</v>
      </c>
      <c r="BZ673">
        <v>0</v>
      </c>
      <c r="CA673">
        <v>0</v>
      </c>
      <c r="CB673" t="s">
        <v>135</v>
      </c>
      <c r="CH673" s="2"/>
      <c r="CJ673" s="2"/>
      <c r="CL673" s="2"/>
      <c r="CN673" s="2"/>
      <c r="CQ673" s="2"/>
      <c r="CT673" s="2"/>
      <c r="CW673" s="2"/>
    </row>
    <row r="674" spans="1:101" x14ac:dyDescent="0.25">
      <c r="A674" s="1" t="s">
        <v>163</v>
      </c>
      <c r="B674" s="75" t="s">
        <v>164</v>
      </c>
      <c r="C674">
        <v>0</v>
      </c>
      <c r="D674">
        <v>0</v>
      </c>
      <c r="E674">
        <v>0</v>
      </c>
      <c r="F674">
        <v>604324.56000000006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3.91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7490</v>
      </c>
      <c r="AW674">
        <v>3350</v>
      </c>
      <c r="AX674">
        <v>1219</v>
      </c>
      <c r="AY674">
        <v>12059</v>
      </c>
      <c r="AZ674">
        <v>4202</v>
      </c>
      <c r="BA674">
        <v>7438</v>
      </c>
      <c r="BB674">
        <v>1432</v>
      </c>
      <c r="BC674">
        <v>13072</v>
      </c>
      <c r="BD674">
        <v>9486</v>
      </c>
      <c r="BE674">
        <v>9222</v>
      </c>
      <c r="BF674">
        <v>1768</v>
      </c>
      <c r="BG674">
        <v>20476</v>
      </c>
      <c r="BH674">
        <v>0</v>
      </c>
      <c r="BI674">
        <v>0</v>
      </c>
      <c r="BJ674">
        <v>0</v>
      </c>
      <c r="BK674">
        <v>0</v>
      </c>
      <c r="BL674" s="2">
        <v>24.82</v>
      </c>
      <c r="BM674" s="2">
        <v>42005.095138888886</v>
      </c>
      <c r="BN674" s="2">
        <v>5.4</v>
      </c>
      <c r="BO674" s="2">
        <v>42005.092361111114</v>
      </c>
      <c r="BP674" s="2">
        <v>6.92</v>
      </c>
      <c r="BQ674" s="2">
        <v>42005.092361111114</v>
      </c>
      <c r="BR674" s="2">
        <v>11.07</v>
      </c>
      <c r="BS674" s="2">
        <v>42005.092361111114</v>
      </c>
      <c r="BT674">
        <v>0</v>
      </c>
      <c r="BU674">
        <v>0</v>
      </c>
      <c r="BV674" t="s">
        <v>135</v>
      </c>
      <c r="BW674">
        <v>0</v>
      </c>
      <c r="BX674">
        <v>0</v>
      </c>
      <c r="BY674" t="s">
        <v>135</v>
      </c>
      <c r="BZ674">
        <v>0</v>
      </c>
      <c r="CA674">
        <v>0</v>
      </c>
      <c r="CB674" t="s">
        <v>135</v>
      </c>
      <c r="CH674" s="2"/>
      <c r="CJ674" s="2"/>
      <c r="CL674" s="2"/>
      <c r="CN674" s="2"/>
      <c r="CQ674" s="2"/>
      <c r="CT674" s="2"/>
      <c r="CW674" s="2"/>
    </row>
    <row r="675" spans="1:101" x14ac:dyDescent="0.25">
      <c r="A675" s="1" t="s">
        <v>163</v>
      </c>
      <c r="B675" s="75" t="s">
        <v>164</v>
      </c>
      <c r="C675">
        <v>0</v>
      </c>
      <c r="D675">
        <v>0</v>
      </c>
      <c r="E675">
        <v>0</v>
      </c>
      <c r="F675">
        <v>604324.56000000006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3.91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7490</v>
      </c>
      <c r="AW675">
        <v>3350</v>
      </c>
      <c r="AX675">
        <v>1219</v>
      </c>
      <c r="AY675">
        <v>12059</v>
      </c>
      <c r="AZ675">
        <v>4202</v>
      </c>
      <c r="BA675">
        <v>7438</v>
      </c>
      <c r="BB675">
        <v>1432</v>
      </c>
      <c r="BC675">
        <v>13072</v>
      </c>
      <c r="BD675">
        <v>9486</v>
      </c>
      <c r="BE675">
        <v>9222</v>
      </c>
      <c r="BF675">
        <v>1768</v>
      </c>
      <c r="BG675">
        <v>20476</v>
      </c>
      <c r="BH675">
        <v>0</v>
      </c>
      <c r="BI675">
        <v>0</v>
      </c>
      <c r="BJ675">
        <v>0</v>
      </c>
      <c r="BK675">
        <v>0</v>
      </c>
      <c r="BL675" s="2">
        <v>24.82</v>
      </c>
      <c r="BM675" s="2">
        <v>42005.095138888886</v>
      </c>
      <c r="BN675" s="2">
        <v>5.4</v>
      </c>
      <c r="BO675" s="2">
        <v>42005.092361111114</v>
      </c>
      <c r="BP675" s="2">
        <v>6.92</v>
      </c>
      <c r="BQ675" s="2">
        <v>42005.092361111114</v>
      </c>
      <c r="BR675" s="2">
        <v>11.07</v>
      </c>
      <c r="BS675" s="2">
        <v>42005.092361111114</v>
      </c>
      <c r="BT675">
        <v>0</v>
      </c>
      <c r="BU675">
        <v>0</v>
      </c>
      <c r="BV675" t="s">
        <v>135</v>
      </c>
      <c r="BW675">
        <v>0</v>
      </c>
      <c r="BX675">
        <v>0</v>
      </c>
      <c r="BY675" t="s">
        <v>135</v>
      </c>
      <c r="BZ675">
        <v>0</v>
      </c>
      <c r="CA675">
        <v>0</v>
      </c>
      <c r="CB675" t="s">
        <v>135</v>
      </c>
      <c r="CH675" s="2"/>
      <c r="CJ675" s="2"/>
      <c r="CL675" s="2"/>
      <c r="CN675" s="2"/>
      <c r="CQ675" s="2"/>
      <c r="CT675" s="2"/>
      <c r="CW675" s="2"/>
    </row>
    <row r="676" spans="1:101" x14ac:dyDescent="0.25">
      <c r="A676" s="1" t="s">
        <v>163</v>
      </c>
      <c r="B676" s="75" t="s">
        <v>164</v>
      </c>
      <c r="C676">
        <v>0</v>
      </c>
      <c r="D676">
        <v>0</v>
      </c>
      <c r="E676">
        <v>0</v>
      </c>
      <c r="F676">
        <v>604324.56000000006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3.91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7490</v>
      </c>
      <c r="AW676">
        <v>3350</v>
      </c>
      <c r="AX676">
        <v>1219</v>
      </c>
      <c r="AY676">
        <v>12059</v>
      </c>
      <c r="AZ676">
        <v>4202</v>
      </c>
      <c r="BA676">
        <v>7438</v>
      </c>
      <c r="BB676">
        <v>1432</v>
      </c>
      <c r="BC676">
        <v>13072</v>
      </c>
      <c r="BD676">
        <v>9486</v>
      </c>
      <c r="BE676">
        <v>9222</v>
      </c>
      <c r="BF676">
        <v>1768</v>
      </c>
      <c r="BG676">
        <v>20476</v>
      </c>
      <c r="BH676">
        <v>0</v>
      </c>
      <c r="BI676">
        <v>0</v>
      </c>
      <c r="BJ676">
        <v>0</v>
      </c>
      <c r="BK676">
        <v>0</v>
      </c>
      <c r="BL676" s="2">
        <v>24.82</v>
      </c>
      <c r="BM676" s="2">
        <v>42005.095138888886</v>
      </c>
      <c r="BN676" s="2">
        <v>5.4</v>
      </c>
      <c r="BO676" s="2">
        <v>42005.092361111114</v>
      </c>
      <c r="BP676" s="2">
        <v>6.92</v>
      </c>
      <c r="BQ676" s="2">
        <v>42005.092361111114</v>
      </c>
      <c r="BR676" s="2">
        <v>11.07</v>
      </c>
      <c r="BS676" s="2">
        <v>42005.092361111114</v>
      </c>
      <c r="BT676">
        <v>0</v>
      </c>
      <c r="BU676">
        <v>0</v>
      </c>
      <c r="BV676" t="s">
        <v>135</v>
      </c>
      <c r="BW676">
        <v>0</v>
      </c>
      <c r="BX676">
        <v>0</v>
      </c>
      <c r="BY676" t="s">
        <v>135</v>
      </c>
      <c r="BZ676">
        <v>0</v>
      </c>
      <c r="CA676">
        <v>0</v>
      </c>
      <c r="CB676" t="s">
        <v>135</v>
      </c>
      <c r="CH676" s="2"/>
      <c r="CJ676" s="2"/>
      <c r="CL676" s="2"/>
      <c r="CN676" s="2"/>
      <c r="CQ676" s="2"/>
      <c r="CT676" s="2"/>
      <c r="CW676" s="2"/>
    </row>
    <row r="677" spans="1:101" x14ac:dyDescent="0.25">
      <c r="A677" s="1" t="s">
        <v>163</v>
      </c>
      <c r="B677" s="75" t="s">
        <v>164</v>
      </c>
      <c r="C677">
        <v>0</v>
      </c>
      <c r="D677">
        <v>0</v>
      </c>
      <c r="E677">
        <v>0</v>
      </c>
      <c r="F677">
        <v>604324.56000000006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3.91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7490</v>
      </c>
      <c r="AW677">
        <v>3350</v>
      </c>
      <c r="AX677">
        <v>1219</v>
      </c>
      <c r="AY677">
        <v>12059</v>
      </c>
      <c r="AZ677">
        <v>4202</v>
      </c>
      <c r="BA677">
        <v>7438</v>
      </c>
      <c r="BB677">
        <v>1432</v>
      </c>
      <c r="BC677">
        <v>13072</v>
      </c>
      <c r="BD677">
        <v>9486</v>
      </c>
      <c r="BE677">
        <v>9222</v>
      </c>
      <c r="BF677">
        <v>1768</v>
      </c>
      <c r="BG677">
        <v>20476</v>
      </c>
      <c r="BH677">
        <v>0</v>
      </c>
      <c r="BI677">
        <v>0</v>
      </c>
      <c r="BJ677">
        <v>0</v>
      </c>
      <c r="BK677">
        <v>0</v>
      </c>
      <c r="BL677" s="2">
        <v>24.82</v>
      </c>
      <c r="BM677" s="2">
        <v>42005.095138888886</v>
      </c>
      <c r="BN677" s="2">
        <v>5.4</v>
      </c>
      <c r="BO677" s="2">
        <v>42005.092361111114</v>
      </c>
      <c r="BP677" s="2">
        <v>6.92</v>
      </c>
      <c r="BQ677" s="2">
        <v>42005.092361111114</v>
      </c>
      <c r="BR677" s="2">
        <v>11.07</v>
      </c>
      <c r="BS677" s="2">
        <v>42005.092361111114</v>
      </c>
      <c r="BT677">
        <v>0</v>
      </c>
      <c r="BU677">
        <v>0</v>
      </c>
      <c r="BV677" t="s">
        <v>135</v>
      </c>
      <c r="BW677">
        <v>0</v>
      </c>
      <c r="BX677">
        <v>0</v>
      </c>
      <c r="BY677" t="s">
        <v>135</v>
      </c>
      <c r="BZ677">
        <v>0</v>
      </c>
      <c r="CA677">
        <v>0</v>
      </c>
      <c r="CB677" t="s">
        <v>135</v>
      </c>
      <c r="CH677" s="2"/>
      <c r="CJ677" s="2"/>
      <c r="CL677" s="2"/>
      <c r="CN677" s="2"/>
      <c r="CQ677" s="2"/>
      <c r="CT677" s="2"/>
      <c r="CW677" s="2"/>
    </row>
    <row r="678" spans="1:101" x14ac:dyDescent="0.25">
      <c r="A678" s="1" t="s">
        <v>163</v>
      </c>
      <c r="B678" s="75" t="s">
        <v>164</v>
      </c>
      <c r="C678">
        <v>0</v>
      </c>
      <c r="D678">
        <v>0</v>
      </c>
      <c r="E678">
        <v>0</v>
      </c>
      <c r="F678">
        <v>604324.56000000006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3.91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7490</v>
      </c>
      <c r="AW678">
        <v>3350</v>
      </c>
      <c r="AX678">
        <v>1219</v>
      </c>
      <c r="AY678">
        <v>12059</v>
      </c>
      <c r="AZ678">
        <v>4202</v>
      </c>
      <c r="BA678">
        <v>7438</v>
      </c>
      <c r="BB678">
        <v>1432</v>
      </c>
      <c r="BC678">
        <v>13072</v>
      </c>
      <c r="BD678">
        <v>9486</v>
      </c>
      <c r="BE678">
        <v>9222</v>
      </c>
      <c r="BF678">
        <v>1768</v>
      </c>
      <c r="BG678">
        <v>20476</v>
      </c>
      <c r="BH678">
        <v>0</v>
      </c>
      <c r="BI678">
        <v>0</v>
      </c>
      <c r="BJ678">
        <v>0</v>
      </c>
      <c r="BK678">
        <v>0</v>
      </c>
      <c r="BL678" s="2">
        <v>24.82</v>
      </c>
      <c r="BM678" s="2">
        <v>42005.095138888886</v>
      </c>
      <c r="BN678" s="2">
        <v>5.4</v>
      </c>
      <c r="BO678" s="2">
        <v>42005.092361111114</v>
      </c>
      <c r="BP678" s="2">
        <v>6.92</v>
      </c>
      <c r="BQ678" s="2">
        <v>42005.092361111114</v>
      </c>
      <c r="BR678" s="2">
        <v>11.07</v>
      </c>
      <c r="BS678" s="2">
        <v>42005.092361111114</v>
      </c>
      <c r="BT678">
        <v>0</v>
      </c>
      <c r="BU678">
        <v>0</v>
      </c>
      <c r="BV678" t="s">
        <v>135</v>
      </c>
      <c r="BW678">
        <v>0</v>
      </c>
      <c r="BX678">
        <v>0</v>
      </c>
      <c r="BY678" t="s">
        <v>135</v>
      </c>
      <c r="BZ678">
        <v>0</v>
      </c>
      <c r="CA678">
        <v>0</v>
      </c>
      <c r="CB678" t="s">
        <v>135</v>
      </c>
      <c r="CH678" s="2"/>
      <c r="CJ678" s="2"/>
      <c r="CL678" s="2"/>
      <c r="CN678" s="2"/>
      <c r="CQ678" s="2"/>
      <c r="CT678" s="2"/>
      <c r="CW678" s="2"/>
    </row>
    <row r="679" spans="1:101" x14ac:dyDescent="0.25">
      <c r="A679" s="1" t="s">
        <v>163</v>
      </c>
      <c r="B679" s="75" t="s">
        <v>164</v>
      </c>
      <c r="C679">
        <v>0</v>
      </c>
      <c r="D679">
        <v>0</v>
      </c>
      <c r="E679">
        <v>0</v>
      </c>
      <c r="F679">
        <v>604324.56000000006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3.91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7490</v>
      </c>
      <c r="AW679">
        <v>3350</v>
      </c>
      <c r="AX679">
        <v>1219</v>
      </c>
      <c r="AY679">
        <v>12059</v>
      </c>
      <c r="AZ679">
        <v>4202</v>
      </c>
      <c r="BA679">
        <v>7438</v>
      </c>
      <c r="BB679">
        <v>1432</v>
      </c>
      <c r="BC679">
        <v>13072</v>
      </c>
      <c r="BD679">
        <v>9486</v>
      </c>
      <c r="BE679">
        <v>9222</v>
      </c>
      <c r="BF679">
        <v>1768</v>
      </c>
      <c r="BG679">
        <v>20476</v>
      </c>
      <c r="BH679">
        <v>0</v>
      </c>
      <c r="BI679">
        <v>0</v>
      </c>
      <c r="BJ679">
        <v>0</v>
      </c>
      <c r="BK679">
        <v>0</v>
      </c>
      <c r="BL679" s="2">
        <v>24.82</v>
      </c>
      <c r="BM679" s="2">
        <v>42005.095138888886</v>
      </c>
      <c r="BN679" s="2">
        <v>5.4</v>
      </c>
      <c r="BO679" s="2">
        <v>42005.092361111114</v>
      </c>
      <c r="BP679" s="2">
        <v>6.92</v>
      </c>
      <c r="BQ679" s="2">
        <v>42005.092361111114</v>
      </c>
      <c r="BR679" s="2">
        <v>11.07</v>
      </c>
      <c r="BS679" s="2">
        <v>42005.092361111114</v>
      </c>
      <c r="BT679">
        <v>0</v>
      </c>
      <c r="BU679">
        <v>0</v>
      </c>
      <c r="BV679" t="s">
        <v>135</v>
      </c>
      <c r="BW679">
        <v>0</v>
      </c>
      <c r="BX679">
        <v>0</v>
      </c>
      <c r="BY679" t="s">
        <v>135</v>
      </c>
      <c r="BZ679">
        <v>0</v>
      </c>
      <c r="CA679">
        <v>0</v>
      </c>
      <c r="CB679" t="s">
        <v>135</v>
      </c>
      <c r="CH679" s="2"/>
      <c r="CJ679" s="2"/>
      <c r="CL679" s="2"/>
      <c r="CN679" s="2"/>
      <c r="CQ679" s="2"/>
      <c r="CT679" s="2"/>
      <c r="CW679" s="2"/>
    </row>
    <row r="680" spans="1:101" x14ac:dyDescent="0.25">
      <c r="A680" s="1" t="s">
        <v>163</v>
      </c>
      <c r="B680" s="75" t="s">
        <v>164</v>
      </c>
      <c r="C680">
        <v>0</v>
      </c>
      <c r="D680">
        <v>0</v>
      </c>
      <c r="E680">
        <v>0</v>
      </c>
      <c r="F680">
        <v>604324.56000000006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3.91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7490</v>
      </c>
      <c r="AW680">
        <v>3350</v>
      </c>
      <c r="AX680">
        <v>1219</v>
      </c>
      <c r="AY680">
        <v>12059</v>
      </c>
      <c r="AZ680">
        <v>4202</v>
      </c>
      <c r="BA680">
        <v>7438</v>
      </c>
      <c r="BB680">
        <v>1432</v>
      </c>
      <c r="BC680">
        <v>13072</v>
      </c>
      <c r="BD680">
        <v>9486</v>
      </c>
      <c r="BE680">
        <v>9222</v>
      </c>
      <c r="BF680">
        <v>1768</v>
      </c>
      <c r="BG680">
        <v>20476</v>
      </c>
      <c r="BH680">
        <v>0</v>
      </c>
      <c r="BI680">
        <v>0</v>
      </c>
      <c r="BJ680">
        <v>0</v>
      </c>
      <c r="BK680">
        <v>0</v>
      </c>
      <c r="BL680" s="2">
        <v>24.82</v>
      </c>
      <c r="BM680" s="2">
        <v>42005.095138888886</v>
      </c>
      <c r="BN680" s="2">
        <v>5.4</v>
      </c>
      <c r="BO680" s="2">
        <v>42005.092361111114</v>
      </c>
      <c r="BP680" s="2">
        <v>6.92</v>
      </c>
      <c r="BQ680" s="2">
        <v>42005.092361111114</v>
      </c>
      <c r="BR680" s="2">
        <v>11.07</v>
      </c>
      <c r="BS680" s="2">
        <v>42005.092361111114</v>
      </c>
      <c r="BT680">
        <v>0</v>
      </c>
      <c r="BU680">
        <v>0</v>
      </c>
      <c r="BV680" t="s">
        <v>135</v>
      </c>
      <c r="BW680">
        <v>0</v>
      </c>
      <c r="BX680">
        <v>0</v>
      </c>
      <c r="BY680" t="s">
        <v>135</v>
      </c>
      <c r="BZ680">
        <v>0</v>
      </c>
      <c r="CA680">
        <v>0</v>
      </c>
      <c r="CB680" t="s">
        <v>135</v>
      </c>
      <c r="CH680" s="2"/>
      <c r="CJ680" s="2"/>
      <c r="CL680" s="2"/>
      <c r="CN680" s="2"/>
      <c r="CQ680" s="2"/>
      <c r="CT680" s="2"/>
      <c r="CW680" s="2"/>
    </row>
    <row r="681" spans="1:101" x14ac:dyDescent="0.25">
      <c r="A681" s="1" t="s">
        <v>163</v>
      </c>
      <c r="B681" s="75" t="s">
        <v>164</v>
      </c>
      <c r="C681">
        <v>0</v>
      </c>
      <c r="D681">
        <v>0</v>
      </c>
      <c r="E681">
        <v>0</v>
      </c>
      <c r="F681">
        <v>604324.56000000006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3.91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7490</v>
      </c>
      <c r="AW681">
        <v>3350</v>
      </c>
      <c r="AX681">
        <v>1219</v>
      </c>
      <c r="AY681">
        <v>12059</v>
      </c>
      <c r="AZ681">
        <v>4202</v>
      </c>
      <c r="BA681">
        <v>7438</v>
      </c>
      <c r="BB681">
        <v>1432</v>
      </c>
      <c r="BC681">
        <v>13072</v>
      </c>
      <c r="BD681">
        <v>9486</v>
      </c>
      <c r="BE681">
        <v>9222</v>
      </c>
      <c r="BF681">
        <v>1768</v>
      </c>
      <c r="BG681">
        <v>20476</v>
      </c>
      <c r="BH681">
        <v>0</v>
      </c>
      <c r="BI681">
        <v>0</v>
      </c>
      <c r="BJ681">
        <v>0</v>
      </c>
      <c r="BK681">
        <v>0</v>
      </c>
      <c r="BL681" s="2">
        <v>24.82</v>
      </c>
      <c r="BM681" s="2">
        <v>42005.095138888886</v>
      </c>
      <c r="BN681" s="2">
        <v>5.4</v>
      </c>
      <c r="BO681" s="2">
        <v>42005.092361111114</v>
      </c>
      <c r="BP681" s="2">
        <v>6.92</v>
      </c>
      <c r="BQ681" s="2">
        <v>42005.092361111114</v>
      </c>
      <c r="BR681" s="2">
        <v>11.07</v>
      </c>
      <c r="BS681" s="2">
        <v>42005.092361111114</v>
      </c>
      <c r="BT681">
        <v>0</v>
      </c>
      <c r="BU681">
        <v>0</v>
      </c>
      <c r="BV681" t="s">
        <v>135</v>
      </c>
      <c r="BW681">
        <v>0</v>
      </c>
      <c r="BX681">
        <v>0</v>
      </c>
      <c r="BY681" t="s">
        <v>135</v>
      </c>
      <c r="BZ681">
        <v>0</v>
      </c>
      <c r="CA681">
        <v>0</v>
      </c>
      <c r="CB681" t="s">
        <v>135</v>
      </c>
      <c r="CH681" s="2"/>
      <c r="CJ681" s="2"/>
      <c r="CL681" s="2"/>
      <c r="CN681" s="2"/>
      <c r="CQ681" s="2"/>
      <c r="CT681" s="2"/>
      <c r="CW681" s="2"/>
    </row>
    <row r="682" spans="1:101" x14ac:dyDescent="0.25">
      <c r="A682" s="1" t="s">
        <v>163</v>
      </c>
      <c r="B682" s="75" t="s">
        <v>164</v>
      </c>
      <c r="C682">
        <v>0</v>
      </c>
      <c r="D682">
        <v>0</v>
      </c>
      <c r="E682">
        <v>0</v>
      </c>
      <c r="F682">
        <v>604324.56000000006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3.91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7490</v>
      </c>
      <c r="AW682">
        <v>3350</v>
      </c>
      <c r="AX682">
        <v>1219</v>
      </c>
      <c r="AY682">
        <v>12059</v>
      </c>
      <c r="AZ682">
        <v>4202</v>
      </c>
      <c r="BA682">
        <v>7438</v>
      </c>
      <c r="BB682">
        <v>1432</v>
      </c>
      <c r="BC682">
        <v>13072</v>
      </c>
      <c r="BD682">
        <v>9486</v>
      </c>
      <c r="BE682">
        <v>9222</v>
      </c>
      <c r="BF682">
        <v>1768</v>
      </c>
      <c r="BG682">
        <v>20476</v>
      </c>
      <c r="BH682">
        <v>0</v>
      </c>
      <c r="BI682">
        <v>0</v>
      </c>
      <c r="BJ682">
        <v>0</v>
      </c>
      <c r="BK682">
        <v>0</v>
      </c>
      <c r="BL682" s="2">
        <v>24.82</v>
      </c>
      <c r="BM682" s="2">
        <v>42005.095138888886</v>
      </c>
      <c r="BN682" s="2">
        <v>5.4</v>
      </c>
      <c r="BO682" s="2">
        <v>42005.092361111114</v>
      </c>
      <c r="BP682" s="2">
        <v>6.92</v>
      </c>
      <c r="BQ682" s="2">
        <v>42005.092361111114</v>
      </c>
      <c r="BR682" s="2">
        <v>11.07</v>
      </c>
      <c r="BS682" s="2">
        <v>42005.092361111114</v>
      </c>
      <c r="BT682">
        <v>0</v>
      </c>
      <c r="BU682">
        <v>0</v>
      </c>
      <c r="BV682" t="s">
        <v>135</v>
      </c>
      <c r="BW682">
        <v>0</v>
      </c>
      <c r="BX682">
        <v>0</v>
      </c>
      <c r="BY682" t="s">
        <v>135</v>
      </c>
      <c r="BZ682">
        <v>0</v>
      </c>
      <c r="CA682">
        <v>0</v>
      </c>
      <c r="CB682" t="s">
        <v>135</v>
      </c>
      <c r="CH682" s="2"/>
      <c r="CJ682" s="2"/>
      <c r="CL682" s="2"/>
      <c r="CN682" s="2"/>
      <c r="CQ682" s="2"/>
      <c r="CT682" s="2"/>
      <c r="CW682" s="2"/>
    </row>
    <row r="683" spans="1:101" x14ac:dyDescent="0.25">
      <c r="A683" s="1" t="s">
        <v>163</v>
      </c>
      <c r="B683" s="75" t="s">
        <v>164</v>
      </c>
      <c r="C683">
        <v>0</v>
      </c>
      <c r="D683">
        <v>0</v>
      </c>
      <c r="E683">
        <v>0</v>
      </c>
      <c r="F683">
        <v>604324.56000000006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3.91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7490</v>
      </c>
      <c r="AW683">
        <v>3350</v>
      </c>
      <c r="AX683">
        <v>1219</v>
      </c>
      <c r="AY683">
        <v>12059</v>
      </c>
      <c r="AZ683">
        <v>4202</v>
      </c>
      <c r="BA683">
        <v>7438</v>
      </c>
      <c r="BB683">
        <v>1432</v>
      </c>
      <c r="BC683">
        <v>13072</v>
      </c>
      <c r="BD683">
        <v>9486</v>
      </c>
      <c r="BE683">
        <v>9222</v>
      </c>
      <c r="BF683">
        <v>1768</v>
      </c>
      <c r="BG683">
        <v>20476</v>
      </c>
      <c r="BH683">
        <v>0</v>
      </c>
      <c r="BI683">
        <v>0</v>
      </c>
      <c r="BJ683">
        <v>0</v>
      </c>
      <c r="BK683">
        <v>0</v>
      </c>
      <c r="BL683" s="2">
        <v>24.82</v>
      </c>
      <c r="BM683" s="2">
        <v>42005.095138888886</v>
      </c>
      <c r="BN683" s="2">
        <v>5.4</v>
      </c>
      <c r="BO683" s="2">
        <v>42005.092361111114</v>
      </c>
      <c r="BP683" s="2">
        <v>6.92</v>
      </c>
      <c r="BQ683" s="2">
        <v>42005.092361111114</v>
      </c>
      <c r="BR683" s="2">
        <v>11.07</v>
      </c>
      <c r="BS683" s="2">
        <v>42005.092361111114</v>
      </c>
      <c r="BT683">
        <v>0</v>
      </c>
      <c r="BU683">
        <v>0</v>
      </c>
      <c r="BV683" t="s">
        <v>135</v>
      </c>
      <c r="BW683">
        <v>0</v>
      </c>
      <c r="BX683">
        <v>0</v>
      </c>
      <c r="BY683" t="s">
        <v>135</v>
      </c>
      <c r="BZ683">
        <v>0</v>
      </c>
      <c r="CA683">
        <v>0</v>
      </c>
      <c r="CB683" t="s">
        <v>135</v>
      </c>
      <c r="CH683" s="2"/>
      <c r="CJ683" s="2"/>
      <c r="CL683" s="2"/>
      <c r="CN683" s="2"/>
      <c r="CQ683" s="2"/>
      <c r="CT683" s="2"/>
      <c r="CW683" s="2"/>
    </row>
    <row r="684" spans="1:101" x14ac:dyDescent="0.25">
      <c r="A684" s="1" t="s">
        <v>163</v>
      </c>
      <c r="B684" s="75" t="s">
        <v>164</v>
      </c>
      <c r="C684">
        <v>0</v>
      </c>
      <c r="D684">
        <v>0</v>
      </c>
      <c r="E684">
        <v>0</v>
      </c>
      <c r="F684">
        <v>604324.56000000006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3.91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7490</v>
      </c>
      <c r="AW684">
        <v>3350</v>
      </c>
      <c r="AX684">
        <v>1219</v>
      </c>
      <c r="AY684">
        <v>12059</v>
      </c>
      <c r="AZ684">
        <v>4202</v>
      </c>
      <c r="BA684">
        <v>7438</v>
      </c>
      <c r="BB684">
        <v>1432</v>
      </c>
      <c r="BC684">
        <v>13072</v>
      </c>
      <c r="BD684">
        <v>9486</v>
      </c>
      <c r="BE684">
        <v>9222</v>
      </c>
      <c r="BF684">
        <v>1768</v>
      </c>
      <c r="BG684">
        <v>20476</v>
      </c>
      <c r="BH684">
        <v>0</v>
      </c>
      <c r="BI684">
        <v>0</v>
      </c>
      <c r="BJ684">
        <v>0</v>
      </c>
      <c r="BK684">
        <v>0</v>
      </c>
      <c r="BL684" s="2">
        <v>24.82</v>
      </c>
      <c r="BM684" s="2">
        <v>42005.095138888886</v>
      </c>
      <c r="BN684" s="2">
        <v>5.4</v>
      </c>
      <c r="BO684" s="2">
        <v>42005.092361111114</v>
      </c>
      <c r="BP684" s="2">
        <v>6.92</v>
      </c>
      <c r="BQ684" s="2">
        <v>42005.092361111114</v>
      </c>
      <c r="BR684" s="2">
        <v>11.07</v>
      </c>
      <c r="BS684" s="2">
        <v>42005.092361111114</v>
      </c>
      <c r="BT684">
        <v>0</v>
      </c>
      <c r="BU684">
        <v>0</v>
      </c>
      <c r="BV684" t="s">
        <v>135</v>
      </c>
      <c r="BW684">
        <v>0</v>
      </c>
      <c r="BX684">
        <v>0</v>
      </c>
      <c r="BY684" t="s">
        <v>135</v>
      </c>
      <c r="BZ684">
        <v>0</v>
      </c>
      <c r="CA684">
        <v>0</v>
      </c>
      <c r="CB684" t="s">
        <v>135</v>
      </c>
      <c r="CH684" s="2"/>
      <c r="CJ684" s="2"/>
      <c r="CL684" s="2"/>
      <c r="CN684" s="2"/>
      <c r="CQ684" s="2"/>
      <c r="CT684" s="2"/>
      <c r="CW684" s="2"/>
    </row>
    <row r="685" spans="1:101" x14ac:dyDescent="0.25">
      <c r="A685" s="1" t="s">
        <v>163</v>
      </c>
      <c r="B685" s="75" t="s">
        <v>164</v>
      </c>
      <c r="C685">
        <v>0</v>
      </c>
      <c r="D685">
        <v>0</v>
      </c>
      <c r="E685">
        <v>0</v>
      </c>
      <c r="F685">
        <v>604324.56000000006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3.91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7490</v>
      </c>
      <c r="AW685">
        <v>3350</v>
      </c>
      <c r="AX685">
        <v>1219</v>
      </c>
      <c r="AY685">
        <v>12059</v>
      </c>
      <c r="AZ685">
        <v>4202</v>
      </c>
      <c r="BA685">
        <v>7438</v>
      </c>
      <c r="BB685">
        <v>1432</v>
      </c>
      <c r="BC685">
        <v>13072</v>
      </c>
      <c r="BD685">
        <v>9486</v>
      </c>
      <c r="BE685">
        <v>9222</v>
      </c>
      <c r="BF685">
        <v>1768</v>
      </c>
      <c r="BG685">
        <v>20476</v>
      </c>
      <c r="BH685">
        <v>0</v>
      </c>
      <c r="BI685">
        <v>0</v>
      </c>
      <c r="BJ685">
        <v>0</v>
      </c>
      <c r="BK685">
        <v>0</v>
      </c>
      <c r="BL685" s="2">
        <v>24.82</v>
      </c>
      <c r="BM685" s="2">
        <v>42005.095138888886</v>
      </c>
      <c r="BN685" s="2">
        <v>5.4</v>
      </c>
      <c r="BO685" s="2">
        <v>42005.092361111114</v>
      </c>
      <c r="BP685" s="2">
        <v>6.92</v>
      </c>
      <c r="BQ685" s="2">
        <v>42005.092361111114</v>
      </c>
      <c r="BR685" s="2">
        <v>11.07</v>
      </c>
      <c r="BS685" s="2">
        <v>42005.092361111114</v>
      </c>
      <c r="BT685">
        <v>0</v>
      </c>
      <c r="BU685">
        <v>0</v>
      </c>
      <c r="BV685" t="s">
        <v>135</v>
      </c>
      <c r="BW685">
        <v>0</v>
      </c>
      <c r="BX685">
        <v>0</v>
      </c>
      <c r="BY685" t="s">
        <v>135</v>
      </c>
      <c r="BZ685">
        <v>0</v>
      </c>
      <c r="CA685">
        <v>0</v>
      </c>
      <c r="CB685" t="s">
        <v>135</v>
      </c>
      <c r="CH685" s="2"/>
      <c r="CJ685" s="2"/>
      <c r="CL685" s="2"/>
      <c r="CN685" s="2"/>
      <c r="CQ685" s="2"/>
      <c r="CT685" s="2"/>
      <c r="CW685" s="2"/>
    </row>
    <row r="686" spans="1:101" x14ac:dyDescent="0.25">
      <c r="A686" s="1" t="s">
        <v>163</v>
      </c>
      <c r="B686" s="75" t="s">
        <v>164</v>
      </c>
      <c r="C686">
        <v>0</v>
      </c>
      <c r="D686">
        <v>0</v>
      </c>
      <c r="E686">
        <v>0</v>
      </c>
      <c r="F686">
        <v>604324.56000000006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3.91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7490</v>
      </c>
      <c r="AW686">
        <v>3350</v>
      </c>
      <c r="AX686">
        <v>1219</v>
      </c>
      <c r="AY686">
        <v>12059</v>
      </c>
      <c r="AZ686">
        <v>4202</v>
      </c>
      <c r="BA686">
        <v>7438</v>
      </c>
      <c r="BB686">
        <v>1432</v>
      </c>
      <c r="BC686">
        <v>13072</v>
      </c>
      <c r="BD686">
        <v>9486</v>
      </c>
      <c r="BE686">
        <v>9222</v>
      </c>
      <c r="BF686">
        <v>1768</v>
      </c>
      <c r="BG686">
        <v>20476</v>
      </c>
      <c r="BH686">
        <v>0</v>
      </c>
      <c r="BI686">
        <v>0</v>
      </c>
      <c r="BJ686">
        <v>0</v>
      </c>
      <c r="BK686">
        <v>0</v>
      </c>
      <c r="BL686" s="2">
        <v>24.82</v>
      </c>
      <c r="BM686" s="2">
        <v>42005.095138888886</v>
      </c>
      <c r="BN686" s="2">
        <v>5.4</v>
      </c>
      <c r="BO686" s="2">
        <v>42005.092361111114</v>
      </c>
      <c r="BP686" s="2">
        <v>6.92</v>
      </c>
      <c r="BQ686" s="2">
        <v>42005.092361111114</v>
      </c>
      <c r="BR686" s="2">
        <v>11.07</v>
      </c>
      <c r="BS686" s="2">
        <v>42005.092361111114</v>
      </c>
      <c r="BT686">
        <v>0</v>
      </c>
      <c r="BU686">
        <v>0</v>
      </c>
      <c r="BV686" t="s">
        <v>135</v>
      </c>
      <c r="BW686">
        <v>0</v>
      </c>
      <c r="BX686">
        <v>0</v>
      </c>
      <c r="BY686" t="s">
        <v>135</v>
      </c>
      <c r="BZ686">
        <v>0</v>
      </c>
      <c r="CA686">
        <v>0</v>
      </c>
      <c r="CB686" t="s">
        <v>135</v>
      </c>
      <c r="CH686" s="2"/>
      <c r="CJ686" s="2"/>
      <c r="CL686" s="2"/>
      <c r="CN686" s="2"/>
      <c r="CQ686" s="2"/>
      <c r="CT686" s="2"/>
      <c r="CW686" s="2"/>
    </row>
    <row r="687" spans="1:101" x14ac:dyDescent="0.25">
      <c r="A687" s="1" t="s">
        <v>163</v>
      </c>
      <c r="B687" s="75" t="s">
        <v>164</v>
      </c>
      <c r="C687">
        <v>0</v>
      </c>
      <c r="D687">
        <v>0</v>
      </c>
      <c r="E687">
        <v>0</v>
      </c>
      <c r="F687">
        <v>604324.56000000006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3.91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7490</v>
      </c>
      <c r="AW687">
        <v>3350</v>
      </c>
      <c r="AX687">
        <v>1219</v>
      </c>
      <c r="AY687">
        <v>12059</v>
      </c>
      <c r="AZ687">
        <v>4202</v>
      </c>
      <c r="BA687">
        <v>7438</v>
      </c>
      <c r="BB687">
        <v>1432</v>
      </c>
      <c r="BC687">
        <v>13072</v>
      </c>
      <c r="BD687">
        <v>9486</v>
      </c>
      <c r="BE687">
        <v>9222</v>
      </c>
      <c r="BF687">
        <v>1768</v>
      </c>
      <c r="BG687">
        <v>20476</v>
      </c>
      <c r="BH687">
        <v>0</v>
      </c>
      <c r="BI687">
        <v>0</v>
      </c>
      <c r="BJ687">
        <v>0</v>
      </c>
      <c r="BK687">
        <v>0</v>
      </c>
      <c r="BL687" s="2">
        <v>24.82</v>
      </c>
      <c r="BM687" s="2">
        <v>42005.095138888886</v>
      </c>
      <c r="BN687" s="2">
        <v>5.4</v>
      </c>
      <c r="BO687" s="2">
        <v>42005.092361111114</v>
      </c>
      <c r="BP687" s="2">
        <v>6.92</v>
      </c>
      <c r="BQ687" s="2">
        <v>42005.092361111114</v>
      </c>
      <c r="BR687" s="2">
        <v>11.07</v>
      </c>
      <c r="BS687" s="2">
        <v>42005.092361111114</v>
      </c>
      <c r="BT687">
        <v>0</v>
      </c>
      <c r="BU687">
        <v>0</v>
      </c>
      <c r="BV687" t="s">
        <v>135</v>
      </c>
      <c r="BW687">
        <v>0</v>
      </c>
      <c r="BX687">
        <v>0</v>
      </c>
      <c r="BY687" t="s">
        <v>135</v>
      </c>
      <c r="BZ687">
        <v>0</v>
      </c>
      <c r="CA687">
        <v>0</v>
      </c>
      <c r="CB687" t="s">
        <v>135</v>
      </c>
      <c r="CH687" s="2"/>
      <c r="CJ687" s="2"/>
      <c r="CL687" s="2"/>
      <c r="CN687" s="2"/>
      <c r="CQ687" s="2"/>
      <c r="CT687" s="2"/>
      <c r="CW687" s="2"/>
    </row>
    <row r="688" spans="1:101" x14ac:dyDescent="0.25">
      <c r="A688" s="1" t="s">
        <v>163</v>
      </c>
      <c r="B688" s="75" t="s">
        <v>164</v>
      </c>
      <c r="C688">
        <v>0</v>
      </c>
      <c r="D688">
        <v>0</v>
      </c>
      <c r="E688">
        <v>0</v>
      </c>
      <c r="F688">
        <v>604324.56000000006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3.91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7490</v>
      </c>
      <c r="AW688">
        <v>3350</v>
      </c>
      <c r="AX688">
        <v>1219</v>
      </c>
      <c r="AY688">
        <v>12059</v>
      </c>
      <c r="AZ688">
        <v>4202</v>
      </c>
      <c r="BA688">
        <v>7438</v>
      </c>
      <c r="BB688">
        <v>1432</v>
      </c>
      <c r="BC688">
        <v>13072</v>
      </c>
      <c r="BD688">
        <v>9486</v>
      </c>
      <c r="BE688">
        <v>9222</v>
      </c>
      <c r="BF688">
        <v>1768</v>
      </c>
      <c r="BG688">
        <v>20476</v>
      </c>
      <c r="BH688">
        <v>0</v>
      </c>
      <c r="BI688">
        <v>0</v>
      </c>
      <c r="BJ688">
        <v>0</v>
      </c>
      <c r="BK688">
        <v>0</v>
      </c>
      <c r="BL688" s="2">
        <v>24.82</v>
      </c>
      <c r="BM688" s="2">
        <v>42005.095138888886</v>
      </c>
      <c r="BN688" s="2">
        <v>5.4</v>
      </c>
      <c r="BO688" s="2">
        <v>42005.092361111114</v>
      </c>
      <c r="BP688" s="2">
        <v>6.92</v>
      </c>
      <c r="BQ688" s="2">
        <v>42005.092361111114</v>
      </c>
      <c r="BR688" s="2">
        <v>11.07</v>
      </c>
      <c r="BS688" s="2">
        <v>42005.092361111114</v>
      </c>
      <c r="BT688">
        <v>0</v>
      </c>
      <c r="BU688">
        <v>0</v>
      </c>
      <c r="BV688" t="s">
        <v>135</v>
      </c>
      <c r="BW688">
        <v>0</v>
      </c>
      <c r="BX688">
        <v>0</v>
      </c>
      <c r="BY688" t="s">
        <v>135</v>
      </c>
      <c r="BZ688">
        <v>0</v>
      </c>
      <c r="CA688">
        <v>0</v>
      </c>
      <c r="CB688" t="s">
        <v>135</v>
      </c>
      <c r="CH688" s="2"/>
      <c r="CJ688" s="2"/>
      <c r="CL688" s="2"/>
      <c r="CN688" s="2"/>
      <c r="CQ688" s="2"/>
      <c r="CT688" s="2"/>
      <c r="CW688" s="2"/>
    </row>
    <row r="689" spans="1:101" x14ac:dyDescent="0.25">
      <c r="A689" s="1" t="s">
        <v>163</v>
      </c>
      <c r="B689" s="75" t="s">
        <v>164</v>
      </c>
      <c r="C689">
        <v>0</v>
      </c>
      <c r="D689">
        <v>0</v>
      </c>
      <c r="E689">
        <v>0</v>
      </c>
      <c r="F689">
        <v>604324.56000000006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3.91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7490</v>
      </c>
      <c r="AW689">
        <v>3350</v>
      </c>
      <c r="AX689">
        <v>1219</v>
      </c>
      <c r="AY689">
        <v>12059</v>
      </c>
      <c r="AZ689">
        <v>4202</v>
      </c>
      <c r="BA689">
        <v>7438</v>
      </c>
      <c r="BB689">
        <v>1432</v>
      </c>
      <c r="BC689">
        <v>13072</v>
      </c>
      <c r="BD689">
        <v>9486</v>
      </c>
      <c r="BE689">
        <v>9222</v>
      </c>
      <c r="BF689">
        <v>1768</v>
      </c>
      <c r="BG689">
        <v>20476</v>
      </c>
      <c r="BH689">
        <v>0</v>
      </c>
      <c r="BI689">
        <v>0</v>
      </c>
      <c r="BJ689">
        <v>0</v>
      </c>
      <c r="BK689">
        <v>0</v>
      </c>
      <c r="BL689" s="2">
        <v>24.82</v>
      </c>
      <c r="BM689" s="2">
        <v>42005.095138888886</v>
      </c>
      <c r="BN689" s="2">
        <v>5.4</v>
      </c>
      <c r="BO689" s="2">
        <v>42005.092361111114</v>
      </c>
      <c r="BP689" s="2">
        <v>6.92</v>
      </c>
      <c r="BQ689" s="2">
        <v>42005.092361111114</v>
      </c>
      <c r="BR689" s="2">
        <v>11.07</v>
      </c>
      <c r="BS689" s="2">
        <v>42005.092361111114</v>
      </c>
      <c r="BT689">
        <v>0</v>
      </c>
      <c r="BU689">
        <v>0</v>
      </c>
      <c r="BV689" t="s">
        <v>135</v>
      </c>
      <c r="BW689">
        <v>0</v>
      </c>
      <c r="BX689">
        <v>0</v>
      </c>
      <c r="BY689" t="s">
        <v>135</v>
      </c>
      <c r="BZ689">
        <v>0</v>
      </c>
      <c r="CA689">
        <v>0</v>
      </c>
      <c r="CB689" t="s">
        <v>135</v>
      </c>
      <c r="CH689" s="2"/>
      <c r="CJ689" s="2"/>
      <c r="CL689" s="2"/>
      <c r="CN689" s="2"/>
      <c r="CQ689" s="2"/>
      <c r="CT689" s="2"/>
      <c r="CW689" s="2"/>
    </row>
    <row r="690" spans="1:101" x14ac:dyDescent="0.25">
      <c r="A690" s="1" t="s">
        <v>163</v>
      </c>
      <c r="B690" s="75" t="s">
        <v>164</v>
      </c>
      <c r="C690">
        <v>0</v>
      </c>
      <c r="D690">
        <v>0</v>
      </c>
      <c r="E690">
        <v>0</v>
      </c>
      <c r="F690">
        <v>604324.56000000006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3.91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7490</v>
      </c>
      <c r="AW690">
        <v>3350</v>
      </c>
      <c r="AX690">
        <v>1219</v>
      </c>
      <c r="AY690">
        <v>12059</v>
      </c>
      <c r="AZ690">
        <v>4202</v>
      </c>
      <c r="BA690">
        <v>7438</v>
      </c>
      <c r="BB690">
        <v>1432</v>
      </c>
      <c r="BC690">
        <v>13072</v>
      </c>
      <c r="BD690">
        <v>9486</v>
      </c>
      <c r="BE690">
        <v>9222</v>
      </c>
      <c r="BF690">
        <v>1768</v>
      </c>
      <c r="BG690">
        <v>20476</v>
      </c>
      <c r="BH690">
        <v>0</v>
      </c>
      <c r="BI690">
        <v>0</v>
      </c>
      <c r="BJ690">
        <v>0</v>
      </c>
      <c r="BK690">
        <v>0</v>
      </c>
      <c r="BL690" s="2">
        <v>24.82</v>
      </c>
      <c r="BM690" s="2">
        <v>42005.095138888886</v>
      </c>
      <c r="BN690" s="2">
        <v>5.4</v>
      </c>
      <c r="BO690" s="2">
        <v>42005.092361111114</v>
      </c>
      <c r="BP690" s="2">
        <v>6.92</v>
      </c>
      <c r="BQ690" s="2">
        <v>42005.092361111114</v>
      </c>
      <c r="BR690" s="2">
        <v>11.07</v>
      </c>
      <c r="BS690" s="2">
        <v>42005.092361111114</v>
      </c>
      <c r="BT690">
        <v>0</v>
      </c>
      <c r="BU690">
        <v>0</v>
      </c>
      <c r="BV690" t="s">
        <v>135</v>
      </c>
      <c r="BW690">
        <v>0</v>
      </c>
      <c r="BX690">
        <v>0</v>
      </c>
      <c r="BY690" t="s">
        <v>135</v>
      </c>
      <c r="BZ690">
        <v>0</v>
      </c>
      <c r="CA690">
        <v>0</v>
      </c>
      <c r="CB690" t="s">
        <v>135</v>
      </c>
      <c r="CH690" s="2"/>
      <c r="CJ690" s="2"/>
      <c r="CL690" s="2"/>
      <c r="CN690" s="2"/>
      <c r="CQ690" s="2"/>
      <c r="CT690" s="2"/>
      <c r="CW690" s="2"/>
    </row>
    <row r="691" spans="1:101" x14ac:dyDescent="0.25">
      <c r="A691" s="1" t="s">
        <v>163</v>
      </c>
      <c r="B691" s="75" t="s">
        <v>164</v>
      </c>
      <c r="C691">
        <v>0</v>
      </c>
      <c r="D691">
        <v>0</v>
      </c>
      <c r="E691">
        <v>0</v>
      </c>
      <c r="F691">
        <v>604324.56000000006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3.91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7490</v>
      </c>
      <c r="AW691">
        <v>3350</v>
      </c>
      <c r="AX691">
        <v>1219</v>
      </c>
      <c r="AY691">
        <v>12059</v>
      </c>
      <c r="AZ691">
        <v>4202</v>
      </c>
      <c r="BA691">
        <v>7438</v>
      </c>
      <c r="BB691">
        <v>1432</v>
      </c>
      <c r="BC691">
        <v>13072</v>
      </c>
      <c r="BD691">
        <v>9486</v>
      </c>
      <c r="BE691">
        <v>9222</v>
      </c>
      <c r="BF691">
        <v>1768</v>
      </c>
      <c r="BG691">
        <v>20476</v>
      </c>
      <c r="BH691">
        <v>0</v>
      </c>
      <c r="BI691">
        <v>0</v>
      </c>
      <c r="BJ691">
        <v>0</v>
      </c>
      <c r="BK691">
        <v>0</v>
      </c>
      <c r="BL691" s="2">
        <v>24.82</v>
      </c>
      <c r="BM691" s="2">
        <v>42005.095138888886</v>
      </c>
      <c r="BN691" s="2">
        <v>5.4</v>
      </c>
      <c r="BO691" s="2">
        <v>42005.092361111114</v>
      </c>
      <c r="BP691" s="2">
        <v>6.92</v>
      </c>
      <c r="BQ691" s="2">
        <v>42005.092361111114</v>
      </c>
      <c r="BR691" s="2">
        <v>11.07</v>
      </c>
      <c r="BS691" s="2">
        <v>42005.092361111114</v>
      </c>
      <c r="BT691">
        <v>0</v>
      </c>
      <c r="BU691">
        <v>0</v>
      </c>
      <c r="BV691" t="s">
        <v>135</v>
      </c>
      <c r="BW691">
        <v>0</v>
      </c>
      <c r="BX691">
        <v>0</v>
      </c>
      <c r="BY691" t="s">
        <v>135</v>
      </c>
      <c r="BZ691">
        <v>0</v>
      </c>
      <c r="CA691">
        <v>0</v>
      </c>
      <c r="CB691" t="s">
        <v>135</v>
      </c>
      <c r="CH691" s="2"/>
      <c r="CJ691" s="2"/>
      <c r="CL691" s="2"/>
      <c r="CN691" s="2"/>
      <c r="CQ691" s="2"/>
      <c r="CT691" s="2"/>
      <c r="CW691" s="2"/>
    </row>
    <row r="692" spans="1:101" x14ac:dyDescent="0.25">
      <c r="A692" s="1" t="s">
        <v>163</v>
      </c>
      <c r="B692" s="75" t="s">
        <v>164</v>
      </c>
      <c r="C692">
        <v>0</v>
      </c>
      <c r="D692">
        <v>0</v>
      </c>
      <c r="E692">
        <v>0</v>
      </c>
      <c r="F692">
        <v>604324.56000000006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3.91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7490</v>
      </c>
      <c r="AW692">
        <v>3350</v>
      </c>
      <c r="AX692">
        <v>1219</v>
      </c>
      <c r="AY692">
        <v>12059</v>
      </c>
      <c r="AZ692">
        <v>4202</v>
      </c>
      <c r="BA692">
        <v>7438</v>
      </c>
      <c r="BB692">
        <v>1432</v>
      </c>
      <c r="BC692">
        <v>13072</v>
      </c>
      <c r="BD692">
        <v>9486</v>
      </c>
      <c r="BE692">
        <v>9222</v>
      </c>
      <c r="BF692">
        <v>1768</v>
      </c>
      <c r="BG692">
        <v>20476</v>
      </c>
      <c r="BH692">
        <v>0</v>
      </c>
      <c r="BI692">
        <v>0</v>
      </c>
      <c r="BJ692">
        <v>0</v>
      </c>
      <c r="BK692">
        <v>0</v>
      </c>
      <c r="BL692" s="2">
        <v>24.82</v>
      </c>
      <c r="BM692" s="2">
        <v>42005.095138888886</v>
      </c>
      <c r="BN692" s="2">
        <v>5.4</v>
      </c>
      <c r="BO692" s="2">
        <v>42005.092361111114</v>
      </c>
      <c r="BP692" s="2">
        <v>6.92</v>
      </c>
      <c r="BQ692" s="2">
        <v>42005.092361111114</v>
      </c>
      <c r="BR692" s="2">
        <v>11.07</v>
      </c>
      <c r="BS692" s="2">
        <v>42005.092361111114</v>
      </c>
      <c r="BT692">
        <v>0</v>
      </c>
      <c r="BU692">
        <v>0</v>
      </c>
      <c r="BV692" t="s">
        <v>135</v>
      </c>
      <c r="BW692">
        <v>0</v>
      </c>
      <c r="BX692">
        <v>0</v>
      </c>
      <c r="BY692" t="s">
        <v>135</v>
      </c>
      <c r="BZ692">
        <v>0</v>
      </c>
      <c r="CA692">
        <v>0</v>
      </c>
      <c r="CB692" t="s">
        <v>135</v>
      </c>
      <c r="CH692" s="2"/>
      <c r="CJ692" s="2"/>
      <c r="CL692" s="2"/>
      <c r="CN692" s="2"/>
      <c r="CQ692" s="2"/>
      <c r="CT692" s="2"/>
      <c r="CW692" s="2"/>
    </row>
    <row r="693" spans="1:101" x14ac:dyDescent="0.25">
      <c r="A693" s="1" t="s">
        <v>163</v>
      </c>
      <c r="B693" s="75" t="s">
        <v>164</v>
      </c>
      <c r="C693">
        <v>0</v>
      </c>
      <c r="D693">
        <v>0</v>
      </c>
      <c r="E693">
        <v>0</v>
      </c>
      <c r="F693">
        <v>604324.56000000006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3.91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7490</v>
      </c>
      <c r="AW693">
        <v>3350</v>
      </c>
      <c r="AX693">
        <v>1219</v>
      </c>
      <c r="AY693">
        <v>12059</v>
      </c>
      <c r="AZ693">
        <v>4202</v>
      </c>
      <c r="BA693">
        <v>7438</v>
      </c>
      <c r="BB693">
        <v>1432</v>
      </c>
      <c r="BC693">
        <v>13072</v>
      </c>
      <c r="BD693">
        <v>9486</v>
      </c>
      <c r="BE693">
        <v>9222</v>
      </c>
      <c r="BF693">
        <v>1768</v>
      </c>
      <c r="BG693">
        <v>20476</v>
      </c>
      <c r="BH693">
        <v>0</v>
      </c>
      <c r="BI693">
        <v>0</v>
      </c>
      <c r="BJ693">
        <v>0</v>
      </c>
      <c r="BK693">
        <v>0</v>
      </c>
      <c r="BL693" s="2">
        <v>24.82</v>
      </c>
      <c r="BM693" s="2">
        <v>42005.095138888886</v>
      </c>
      <c r="BN693" s="2">
        <v>5.4</v>
      </c>
      <c r="BO693" s="2">
        <v>42005.092361111114</v>
      </c>
      <c r="BP693" s="2">
        <v>6.92</v>
      </c>
      <c r="BQ693" s="2">
        <v>42005.092361111114</v>
      </c>
      <c r="BR693" s="2">
        <v>11.07</v>
      </c>
      <c r="BS693" s="2">
        <v>42005.092361111114</v>
      </c>
      <c r="BT693">
        <v>0</v>
      </c>
      <c r="BU693">
        <v>0</v>
      </c>
      <c r="BV693" t="s">
        <v>135</v>
      </c>
      <c r="BW693">
        <v>0</v>
      </c>
      <c r="BX693">
        <v>0</v>
      </c>
      <c r="BY693" t="s">
        <v>135</v>
      </c>
      <c r="BZ693">
        <v>0</v>
      </c>
      <c r="CA693">
        <v>0</v>
      </c>
      <c r="CB693" t="s">
        <v>135</v>
      </c>
      <c r="CH693" s="2"/>
      <c r="CJ693" s="2"/>
      <c r="CL693" s="2"/>
      <c r="CN693" s="2"/>
      <c r="CQ693" s="2"/>
      <c r="CT693" s="2"/>
      <c r="CW693" s="2"/>
    </row>
    <row r="694" spans="1:101" x14ac:dyDescent="0.25">
      <c r="A694" s="1" t="s">
        <v>163</v>
      </c>
      <c r="B694" s="75" t="s">
        <v>164</v>
      </c>
      <c r="C694">
        <v>0</v>
      </c>
      <c r="D694">
        <v>0</v>
      </c>
      <c r="E694">
        <v>0</v>
      </c>
      <c r="F694">
        <v>604324.56000000006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3.91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7490</v>
      </c>
      <c r="AW694">
        <v>3350</v>
      </c>
      <c r="AX694">
        <v>1219</v>
      </c>
      <c r="AY694">
        <v>12059</v>
      </c>
      <c r="AZ694">
        <v>4202</v>
      </c>
      <c r="BA694">
        <v>7438</v>
      </c>
      <c r="BB694">
        <v>1432</v>
      </c>
      <c r="BC694">
        <v>13072</v>
      </c>
      <c r="BD694">
        <v>9486</v>
      </c>
      <c r="BE694">
        <v>9222</v>
      </c>
      <c r="BF694">
        <v>1768</v>
      </c>
      <c r="BG694">
        <v>20476</v>
      </c>
      <c r="BH694">
        <v>0</v>
      </c>
      <c r="BI694">
        <v>0</v>
      </c>
      <c r="BJ694">
        <v>0</v>
      </c>
      <c r="BK694">
        <v>0</v>
      </c>
      <c r="BL694" s="2">
        <v>24.82</v>
      </c>
      <c r="BM694" s="2">
        <v>42005.095138888886</v>
      </c>
      <c r="BN694" s="2">
        <v>5.4</v>
      </c>
      <c r="BO694" s="2">
        <v>42005.092361111114</v>
      </c>
      <c r="BP694" s="2">
        <v>6.92</v>
      </c>
      <c r="BQ694" s="2">
        <v>42005.092361111114</v>
      </c>
      <c r="BR694" s="2">
        <v>11.07</v>
      </c>
      <c r="BS694" s="2">
        <v>42005.092361111114</v>
      </c>
      <c r="BT694">
        <v>0</v>
      </c>
      <c r="BU694">
        <v>0</v>
      </c>
      <c r="BV694" t="s">
        <v>135</v>
      </c>
      <c r="BW694">
        <v>0</v>
      </c>
      <c r="BX694">
        <v>0</v>
      </c>
      <c r="BY694" t="s">
        <v>135</v>
      </c>
      <c r="BZ694">
        <v>0</v>
      </c>
      <c r="CA694">
        <v>0</v>
      </c>
      <c r="CB694" t="s">
        <v>135</v>
      </c>
      <c r="CH694" s="2"/>
      <c r="CJ694" s="2"/>
      <c r="CL694" s="2"/>
      <c r="CN694" s="2"/>
      <c r="CQ694" s="2"/>
      <c r="CT694" s="2"/>
      <c r="CW694" s="2"/>
    </row>
    <row r="695" spans="1:101" x14ac:dyDescent="0.25">
      <c r="A695" s="1" t="s">
        <v>163</v>
      </c>
      <c r="B695" s="75" t="s">
        <v>164</v>
      </c>
      <c r="C695">
        <v>0</v>
      </c>
      <c r="D695">
        <v>0</v>
      </c>
      <c r="E695">
        <v>0</v>
      </c>
      <c r="F695">
        <v>604324.56000000006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3.91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7490</v>
      </c>
      <c r="AW695">
        <v>3350</v>
      </c>
      <c r="AX695">
        <v>1219</v>
      </c>
      <c r="AY695">
        <v>12059</v>
      </c>
      <c r="AZ695">
        <v>4202</v>
      </c>
      <c r="BA695">
        <v>7438</v>
      </c>
      <c r="BB695">
        <v>1432</v>
      </c>
      <c r="BC695">
        <v>13072</v>
      </c>
      <c r="BD695">
        <v>9486</v>
      </c>
      <c r="BE695">
        <v>9222</v>
      </c>
      <c r="BF695">
        <v>1768</v>
      </c>
      <c r="BG695">
        <v>20476</v>
      </c>
      <c r="BH695">
        <v>0</v>
      </c>
      <c r="BI695">
        <v>0</v>
      </c>
      <c r="BJ695">
        <v>0</v>
      </c>
      <c r="BK695">
        <v>0</v>
      </c>
      <c r="BL695" s="2">
        <v>24.82</v>
      </c>
      <c r="BM695" s="2">
        <v>42005.095138888886</v>
      </c>
      <c r="BN695" s="2">
        <v>5.4</v>
      </c>
      <c r="BO695" s="2">
        <v>42005.092361111114</v>
      </c>
      <c r="BP695" s="2">
        <v>6.92</v>
      </c>
      <c r="BQ695" s="2">
        <v>42005.092361111114</v>
      </c>
      <c r="BR695" s="2">
        <v>11.07</v>
      </c>
      <c r="BS695" s="2">
        <v>42005.092361111114</v>
      </c>
      <c r="BT695">
        <v>0</v>
      </c>
      <c r="BU695">
        <v>0</v>
      </c>
      <c r="BV695" t="s">
        <v>135</v>
      </c>
      <c r="BW695">
        <v>0</v>
      </c>
      <c r="BX695">
        <v>0</v>
      </c>
      <c r="BY695" t="s">
        <v>135</v>
      </c>
      <c r="BZ695">
        <v>0</v>
      </c>
      <c r="CA695">
        <v>0</v>
      </c>
      <c r="CB695" t="s">
        <v>135</v>
      </c>
      <c r="CH695" s="2"/>
      <c r="CJ695" s="2"/>
      <c r="CL695" s="2"/>
      <c r="CN695" s="2"/>
      <c r="CQ695" s="2"/>
      <c r="CT695" s="2"/>
      <c r="CW695" s="2"/>
    </row>
    <row r="696" spans="1:101" x14ac:dyDescent="0.25">
      <c r="A696" s="1" t="s">
        <v>163</v>
      </c>
      <c r="B696" s="75" t="s">
        <v>164</v>
      </c>
      <c r="C696">
        <v>0</v>
      </c>
      <c r="D696">
        <v>0</v>
      </c>
      <c r="E696">
        <v>0</v>
      </c>
      <c r="F696">
        <v>604324.56000000006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3.91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7490</v>
      </c>
      <c r="AW696">
        <v>3350</v>
      </c>
      <c r="AX696">
        <v>1219</v>
      </c>
      <c r="AY696">
        <v>12059</v>
      </c>
      <c r="AZ696">
        <v>4202</v>
      </c>
      <c r="BA696">
        <v>7438</v>
      </c>
      <c r="BB696">
        <v>1432</v>
      </c>
      <c r="BC696">
        <v>13072</v>
      </c>
      <c r="BD696">
        <v>9486</v>
      </c>
      <c r="BE696">
        <v>9222</v>
      </c>
      <c r="BF696">
        <v>1768</v>
      </c>
      <c r="BG696">
        <v>20476</v>
      </c>
      <c r="BH696">
        <v>0</v>
      </c>
      <c r="BI696">
        <v>0</v>
      </c>
      <c r="BJ696">
        <v>0</v>
      </c>
      <c r="BK696">
        <v>0</v>
      </c>
      <c r="BL696" s="2">
        <v>24.82</v>
      </c>
      <c r="BM696" s="2">
        <v>42005.095138888886</v>
      </c>
      <c r="BN696" s="2">
        <v>5.4</v>
      </c>
      <c r="BO696" s="2">
        <v>42005.092361111114</v>
      </c>
      <c r="BP696" s="2">
        <v>6.92</v>
      </c>
      <c r="BQ696" s="2">
        <v>42005.092361111114</v>
      </c>
      <c r="BR696" s="2">
        <v>11.07</v>
      </c>
      <c r="BS696" s="2">
        <v>42005.092361111114</v>
      </c>
      <c r="BT696">
        <v>0</v>
      </c>
      <c r="BU696">
        <v>0</v>
      </c>
      <c r="BV696" t="s">
        <v>135</v>
      </c>
      <c r="BW696">
        <v>0</v>
      </c>
      <c r="BX696">
        <v>0</v>
      </c>
      <c r="BY696" t="s">
        <v>135</v>
      </c>
      <c r="BZ696">
        <v>0</v>
      </c>
      <c r="CA696">
        <v>0</v>
      </c>
      <c r="CB696" t="s">
        <v>135</v>
      </c>
      <c r="CH696" s="2"/>
      <c r="CJ696" s="2"/>
      <c r="CL696" s="2"/>
      <c r="CN696" s="2"/>
      <c r="CQ696" s="2"/>
      <c r="CT696" s="2"/>
      <c r="CW696" s="2"/>
    </row>
    <row r="697" spans="1:101" x14ac:dyDescent="0.25">
      <c r="A697" s="1" t="s">
        <v>163</v>
      </c>
      <c r="B697" s="75" t="s">
        <v>164</v>
      </c>
      <c r="C697">
        <v>0</v>
      </c>
      <c r="D697">
        <v>0</v>
      </c>
      <c r="E697">
        <v>0</v>
      </c>
      <c r="F697">
        <v>604324.56000000006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3.91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7490</v>
      </c>
      <c r="AW697">
        <v>3350</v>
      </c>
      <c r="AX697">
        <v>1219</v>
      </c>
      <c r="AY697">
        <v>12059</v>
      </c>
      <c r="AZ697">
        <v>4202</v>
      </c>
      <c r="BA697">
        <v>7438</v>
      </c>
      <c r="BB697">
        <v>1432</v>
      </c>
      <c r="BC697">
        <v>13072</v>
      </c>
      <c r="BD697">
        <v>9486</v>
      </c>
      <c r="BE697">
        <v>9222</v>
      </c>
      <c r="BF697">
        <v>1768</v>
      </c>
      <c r="BG697">
        <v>20476</v>
      </c>
      <c r="BH697">
        <v>0</v>
      </c>
      <c r="BI697">
        <v>0</v>
      </c>
      <c r="BJ697">
        <v>0</v>
      </c>
      <c r="BK697">
        <v>0</v>
      </c>
      <c r="BL697" s="2">
        <v>24.82</v>
      </c>
      <c r="BM697" s="2">
        <v>42005.095138888886</v>
      </c>
      <c r="BN697" s="2">
        <v>5.4</v>
      </c>
      <c r="BO697" s="2">
        <v>42005.092361111114</v>
      </c>
      <c r="BP697" s="2">
        <v>6.92</v>
      </c>
      <c r="BQ697" s="2">
        <v>42005.092361111114</v>
      </c>
      <c r="BR697" s="2">
        <v>11.07</v>
      </c>
      <c r="BS697" s="2">
        <v>42005.092361111114</v>
      </c>
      <c r="BT697">
        <v>0</v>
      </c>
      <c r="BU697">
        <v>0</v>
      </c>
      <c r="BV697" t="s">
        <v>135</v>
      </c>
      <c r="BW697">
        <v>0</v>
      </c>
      <c r="BX697">
        <v>0</v>
      </c>
      <c r="BY697" t="s">
        <v>135</v>
      </c>
      <c r="BZ697">
        <v>0</v>
      </c>
      <c r="CA697">
        <v>0</v>
      </c>
      <c r="CB697" t="s">
        <v>135</v>
      </c>
      <c r="CH697" s="2"/>
      <c r="CJ697" s="2"/>
      <c r="CL697" s="2"/>
      <c r="CN697" s="2"/>
      <c r="CQ697" s="2"/>
      <c r="CT697" s="2"/>
      <c r="CW697" s="2"/>
    </row>
    <row r="698" spans="1:101" x14ac:dyDescent="0.25">
      <c r="A698" s="1" t="s">
        <v>163</v>
      </c>
      <c r="B698" s="75" t="s">
        <v>164</v>
      </c>
      <c r="C698">
        <v>0</v>
      </c>
      <c r="D698">
        <v>0</v>
      </c>
      <c r="E698">
        <v>0</v>
      </c>
      <c r="F698">
        <v>604324.56000000006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3.91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7490</v>
      </c>
      <c r="AW698">
        <v>3350</v>
      </c>
      <c r="AX698">
        <v>1219</v>
      </c>
      <c r="AY698">
        <v>12059</v>
      </c>
      <c r="AZ698">
        <v>4202</v>
      </c>
      <c r="BA698">
        <v>7438</v>
      </c>
      <c r="BB698">
        <v>1432</v>
      </c>
      <c r="BC698">
        <v>13072</v>
      </c>
      <c r="BD698">
        <v>9486</v>
      </c>
      <c r="BE698">
        <v>9222</v>
      </c>
      <c r="BF698">
        <v>1768</v>
      </c>
      <c r="BG698">
        <v>20476</v>
      </c>
      <c r="BH698">
        <v>0</v>
      </c>
      <c r="BI698">
        <v>0</v>
      </c>
      <c r="BJ698">
        <v>0</v>
      </c>
      <c r="BK698">
        <v>0</v>
      </c>
      <c r="BL698" s="2">
        <v>24.82</v>
      </c>
      <c r="BM698" s="2">
        <v>42005.095138888886</v>
      </c>
      <c r="BN698" s="2">
        <v>5.4</v>
      </c>
      <c r="BO698" s="2">
        <v>42005.092361111114</v>
      </c>
      <c r="BP698" s="2">
        <v>6.92</v>
      </c>
      <c r="BQ698" s="2">
        <v>42005.092361111114</v>
      </c>
      <c r="BR698" s="2">
        <v>11.07</v>
      </c>
      <c r="BS698" s="2">
        <v>42005.092361111114</v>
      </c>
      <c r="BT698">
        <v>0</v>
      </c>
      <c r="BU698">
        <v>0</v>
      </c>
      <c r="BV698" t="s">
        <v>135</v>
      </c>
      <c r="BW698">
        <v>0</v>
      </c>
      <c r="BX698">
        <v>0</v>
      </c>
      <c r="BY698" t="s">
        <v>135</v>
      </c>
      <c r="BZ698">
        <v>0</v>
      </c>
      <c r="CA698">
        <v>0</v>
      </c>
      <c r="CB698" t="s">
        <v>135</v>
      </c>
      <c r="CH698" s="2"/>
      <c r="CJ698" s="2"/>
      <c r="CL698" s="2"/>
      <c r="CN698" s="2"/>
      <c r="CQ698" s="2"/>
      <c r="CT698" s="2"/>
      <c r="CW698" s="2"/>
    </row>
    <row r="699" spans="1:101" x14ac:dyDescent="0.25">
      <c r="A699" s="1" t="s">
        <v>163</v>
      </c>
      <c r="B699" s="75" t="s">
        <v>164</v>
      </c>
      <c r="C699">
        <v>0</v>
      </c>
      <c r="D699">
        <v>0</v>
      </c>
      <c r="E699">
        <v>0</v>
      </c>
      <c r="F699">
        <v>604324.56000000006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3.91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7490</v>
      </c>
      <c r="AW699">
        <v>3350</v>
      </c>
      <c r="AX699">
        <v>1219</v>
      </c>
      <c r="AY699">
        <v>12059</v>
      </c>
      <c r="AZ699">
        <v>4202</v>
      </c>
      <c r="BA699">
        <v>7438</v>
      </c>
      <c r="BB699">
        <v>1432</v>
      </c>
      <c r="BC699">
        <v>13072</v>
      </c>
      <c r="BD699">
        <v>9486</v>
      </c>
      <c r="BE699">
        <v>9222</v>
      </c>
      <c r="BF699">
        <v>1768</v>
      </c>
      <c r="BG699">
        <v>20476</v>
      </c>
      <c r="BH699">
        <v>0</v>
      </c>
      <c r="BI699">
        <v>0</v>
      </c>
      <c r="BJ699">
        <v>0</v>
      </c>
      <c r="BK699">
        <v>0</v>
      </c>
      <c r="BL699" s="2">
        <v>24.82</v>
      </c>
      <c r="BM699" s="2">
        <v>42005.095138888886</v>
      </c>
      <c r="BN699" s="2">
        <v>5.4</v>
      </c>
      <c r="BO699" s="2">
        <v>42005.092361111114</v>
      </c>
      <c r="BP699" s="2">
        <v>6.92</v>
      </c>
      <c r="BQ699" s="2">
        <v>42005.092361111114</v>
      </c>
      <c r="BR699" s="2">
        <v>11.07</v>
      </c>
      <c r="BS699" s="2">
        <v>42005.092361111114</v>
      </c>
      <c r="BT699">
        <v>0</v>
      </c>
      <c r="BU699">
        <v>0</v>
      </c>
      <c r="BV699" t="s">
        <v>135</v>
      </c>
      <c r="BW699">
        <v>0</v>
      </c>
      <c r="BX699">
        <v>0</v>
      </c>
      <c r="BY699" t="s">
        <v>135</v>
      </c>
      <c r="BZ699">
        <v>0</v>
      </c>
      <c r="CA699">
        <v>0</v>
      </c>
      <c r="CB699" t="s">
        <v>135</v>
      </c>
      <c r="CH699" s="2"/>
      <c r="CJ699" s="2"/>
      <c r="CL699" s="2"/>
      <c r="CN699" s="2"/>
      <c r="CQ699" s="2"/>
      <c r="CT699" s="2"/>
      <c r="CW699" s="2"/>
    </row>
    <row r="700" spans="1:101" x14ac:dyDescent="0.25">
      <c r="A700" s="1" t="s">
        <v>163</v>
      </c>
      <c r="B700" s="75" t="s">
        <v>164</v>
      </c>
      <c r="C700">
        <v>0</v>
      </c>
      <c r="D700">
        <v>0</v>
      </c>
      <c r="E700">
        <v>0</v>
      </c>
      <c r="F700">
        <v>604324.56000000006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3.91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7490</v>
      </c>
      <c r="AW700">
        <v>3350</v>
      </c>
      <c r="AX700">
        <v>1219</v>
      </c>
      <c r="AY700">
        <v>12059</v>
      </c>
      <c r="AZ700">
        <v>4202</v>
      </c>
      <c r="BA700">
        <v>7438</v>
      </c>
      <c r="BB700">
        <v>1432</v>
      </c>
      <c r="BC700">
        <v>13072</v>
      </c>
      <c r="BD700">
        <v>9486</v>
      </c>
      <c r="BE700">
        <v>9222</v>
      </c>
      <c r="BF700">
        <v>1768</v>
      </c>
      <c r="BG700">
        <v>20476</v>
      </c>
      <c r="BH700">
        <v>0</v>
      </c>
      <c r="BI700">
        <v>0</v>
      </c>
      <c r="BJ700">
        <v>0</v>
      </c>
      <c r="BK700">
        <v>0</v>
      </c>
      <c r="BL700" s="2">
        <v>24.82</v>
      </c>
      <c r="BM700" s="2">
        <v>42005.095138888886</v>
      </c>
      <c r="BN700" s="2">
        <v>5.4</v>
      </c>
      <c r="BO700" s="2">
        <v>42005.092361111114</v>
      </c>
      <c r="BP700" s="2">
        <v>6.92</v>
      </c>
      <c r="BQ700" s="2">
        <v>42005.092361111114</v>
      </c>
      <c r="BR700" s="2">
        <v>11.07</v>
      </c>
      <c r="BS700" s="2">
        <v>42005.092361111114</v>
      </c>
      <c r="BT700">
        <v>0</v>
      </c>
      <c r="BU700">
        <v>0</v>
      </c>
      <c r="BV700" t="s">
        <v>135</v>
      </c>
      <c r="BW700">
        <v>0</v>
      </c>
      <c r="BX700">
        <v>0</v>
      </c>
      <c r="BY700" t="s">
        <v>135</v>
      </c>
      <c r="BZ700">
        <v>0</v>
      </c>
      <c r="CA700">
        <v>0</v>
      </c>
      <c r="CB700" t="s">
        <v>135</v>
      </c>
      <c r="CH700" s="2"/>
      <c r="CJ700" s="2"/>
      <c r="CL700" s="2"/>
      <c r="CN700" s="2"/>
      <c r="CQ700" s="2"/>
      <c r="CT700" s="2"/>
      <c r="CW700" s="2"/>
    </row>
    <row r="701" spans="1:101" x14ac:dyDescent="0.25">
      <c r="A701" s="1" t="s">
        <v>163</v>
      </c>
      <c r="B701" s="75" t="s">
        <v>164</v>
      </c>
      <c r="C701">
        <v>0</v>
      </c>
      <c r="D701">
        <v>0</v>
      </c>
      <c r="E701">
        <v>0</v>
      </c>
      <c r="F701">
        <v>604324.56000000006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3.91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7490</v>
      </c>
      <c r="AW701">
        <v>3350</v>
      </c>
      <c r="AX701">
        <v>1219</v>
      </c>
      <c r="AY701">
        <v>12059</v>
      </c>
      <c r="AZ701">
        <v>4202</v>
      </c>
      <c r="BA701">
        <v>7438</v>
      </c>
      <c r="BB701">
        <v>1432</v>
      </c>
      <c r="BC701">
        <v>13072</v>
      </c>
      <c r="BD701">
        <v>9486</v>
      </c>
      <c r="BE701">
        <v>9222</v>
      </c>
      <c r="BF701">
        <v>1768</v>
      </c>
      <c r="BG701">
        <v>20476</v>
      </c>
      <c r="BH701">
        <v>0</v>
      </c>
      <c r="BI701">
        <v>0</v>
      </c>
      <c r="BJ701">
        <v>0</v>
      </c>
      <c r="BK701">
        <v>0</v>
      </c>
      <c r="BL701" s="2">
        <v>24.82</v>
      </c>
      <c r="BM701" s="2">
        <v>42005.095138888886</v>
      </c>
      <c r="BN701" s="2">
        <v>5.4</v>
      </c>
      <c r="BO701" s="2">
        <v>42005.092361111114</v>
      </c>
      <c r="BP701" s="2">
        <v>6.92</v>
      </c>
      <c r="BQ701" s="2">
        <v>42005.092361111114</v>
      </c>
      <c r="BR701" s="2">
        <v>11.07</v>
      </c>
      <c r="BS701" s="2">
        <v>42005.092361111114</v>
      </c>
      <c r="BT701">
        <v>0</v>
      </c>
      <c r="BU701">
        <v>0</v>
      </c>
      <c r="BV701" t="s">
        <v>135</v>
      </c>
      <c r="BW701">
        <v>0</v>
      </c>
      <c r="BX701">
        <v>0</v>
      </c>
      <c r="BY701" t="s">
        <v>135</v>
      </c>
      <c r="BZ701">
        <v>0</v>
      </c>
      <c r="CA701">
        <v>0</v>
      </c>
      <c r="CB701" t="s">
        <v>135</v>
      </c>
      <c r="CH701" s="2"/>
      <c r="CJ701" s="2"/>
      <c r="CL701" s="2"/>
      <c r="CN701" s="2"/>
      <c r="CQ701" s="2"/>
      <c r="CT701" s="2"/>
      <c r="CW701" s="2"/>
    </row>
    <row r="702" spans="1:101" x14ac:dyDescent="0.25">
      <c r="A702" s="1" t="s">
        <v>163</v>
      </c>
      <c r="B702" s="75" t="s">
        <v>164</v>
      </c>
      <c r="C702">
        <v>0</v>
      </c>
      <c r="D702">
        <v>0</v>
      </c>
      <c r="E702">
        <v>0</v>
      </c>
      <c r="F702">
        <v>604324.56000000006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3.91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7490</v>
      </c>
      <c r="AW702">
        <v>3350</v>
      </c>
      <c r="AX702">
        <v>1219</v>
      </c>
      <c r="AY702">
        <v>12059</v>
      </c>
      <c r="AZ702">
        <v>4202</v>
      </c>
      <c r="BA702">
        <v>7438</v>
      </c>
      <c r="BB702">
        <v>1432</v>
      </c>
      <c r="BC702">
        <v>13072</v>
      </c>
      <c r="BD702">
        <v>9486</v>
      </c>
      <c r="BE702">
        <v>9222</v>
      </c>
      <c r="BF702">
        <v>1768</v>
      </c>
      <c r="BG702">
        <v>20476</v>
      </c>
      <c r="BH702">
        <v>0</v>
      </c>
      <c r="BI702">
        <v>0</v>
      </c>
      <c r="BJ702">
        <v>0</v>
      </c>
      <c r="BK702">
        <v>0</v>
      </c>
      <c r="BL702" s="2">
        <v>24.82</v>
      </c>
      <c r="BM702" s="2">
        <v>42005.095138888886</v>
      </c>
      <c r="BN702" s="2">
        <v>5.4</v>
      </c>
      <c r="BO702" s="2">
        <v>42005.092361111114</v>
      </c>
      <c r="BP702" s="2">
        <v>6.92</v>
      </c>
      <c r="BQ702" s="2">
        <v>42005.092361111114</v>
      </c>
      <c r="BR702" s="2">
        <v>11.07</v>
      </c>
      <c r="BS702" s="2">
        <v>42005.092361111114</v>
      </c>
      <c r="BT702">
        <v>0</v>
      </c>
      <c r="BU702">
        <v>0</v>
      </c>
      <c r="BV702" t="s">
        <v>135</v>
      </c>
      <c r="BW702">
        <v>0</v>
      </c>
      <c r="BX702">
        <v>0</v>
      </c>
      <c r="BY702" t="s">
        <v>135</v>
      </c>
      <c r="BZ702">
        <v>0</v>
      </c>
      <c r="CA702">
        <v>0</v>
      </c>
      <c r="CB702" t="s">
        <v>135</v>
      </c>
      <c r="CH702" s="2"/>
      <c r="CJ702" s="2"/>
      <c r="CL702" s="2"/>
      <c r="CN702" s="2"/>
      <c r="CQ702" s="2"/>
      <c r="CT702" s="2"/>
      <c r="CW702" s="2"/>
    </row>
    <row r="703" spans="1:101" x14ac:dyDescent="0.25">
      <c r="A703" s="1" t="s">
        <v>163</v>
      </c>
      <c r="B703" s="75" t="s">
        <v>164</v>
      </c>
      <c r="C703">
        <v>0</v>
      </c>
      <c r="D703">
        <v>0</v>
      </c>
      <c r="E703">
        <v>0</v>
      </c>
      <c r="F703">
        <v>604324.56000000006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3.91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7490</v>
      </c>
      <c r="AW703">
        <v>3350</v>
      </c>
      <c r="AX703">
        <v>1219</v>
      </c>
      <c r="AY703">
        <v>12059</v>
      </c>
      <c r="AZ703">
        <v>4202</v>
      </c>
      <c r="BA703">
        <v>7438</v>
      </c>
      <c r="BB703">
        <v>1432</v>
      </c>
      <c r="BC703">
        <v>13072</v>
      </c>
      <c r="BD703">
        <v>9486</v>
      </c>
      <c r="BE703">
        <v>9222</v>
      </c>
      <c r="BF703">
        <v>1768</v>
      </c>
      <c r="BG703">
        <v>20476</v>
      </c>
      <c r="BH703">
        <v>0</v>
      </c>
      <c r="BI703">
        <v>0</v>
      </c>
      <c r="BJ703">
        <v>0</v>
      </c>
      <c r="BK703">
        <v>0</v>
      </c>
      <c r="BL703" s="2">
        <v>24.82</v>
      </c>
      <c r="BM703" s="2">
        <v>42005.095138888886</v>
      </c>
      <c r="BN703" s="2">
        <v>5.4</v>
      </c>
      <c r="BO703" s="2">
        <v>42005.092361111114</v>
      </c>
      <c r="BP703" s="2">
        <v>6.92</v>
      </c>
      <c r="BQ703" s="2">
        <v>42005.092361111114</v>
      </c>
      <c r="BR703" s="2">
        <v>11.07</v>
      </c>
      <c r="BS703" s="2">
        <v>42005.092361111114</v>
      </c>
      <c r="BT703">
        <v>0</v>
      </c>
      <c r="BU703">
        <v>0</v>
      </c>
      <c r="BV703" t="s">
        <v>135</v>
      </c>
      <c r="BW703">
        <v>0</v>
      </c>
      <c r="BX703">
        <v>0</v>
      </c>
      <c r="BY703" t="s">
        <v>135</v>
      </c>
      <c r="BZ703">
        <v>0</v>
      </c>
      <c r="CA703">
        <v>0</v>
      </c>
      <c r="CB703" t="s">
        <v>135</v>
      </c>
      <c r="CH703" s="2"/>
      <c r="CJ703" s="2"/>
      <c r="CL703" s="2"/>
      <c r="CN703" s="2"/>
      <c r="CQ703" s="2"/>
      <c r="CT703" s="2"/>
      <c r="CW703" s="2"/>
    </row>
    <row r="704" spans="1:101" x14ac:dyDescent="0.25">
      <c r="A704" s="1" t="s">
        <v>163</v>
      </c>
      <c r="B704" s="75" t="s">
        <v>164</v>
      </c>
      <c r="C704">
        <v>0</v>
      </c>
      <c r="D704">
        <v>0</v>
      </c>
      <c r="E704">
        <v>0</v>
      </c>
      <c r="F704">
        <v>604324.56000000006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3.91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7490</v>
      </c>
      <c r="AW704">
        <v>3350</v>
      </c>
      <c r="AX704">
        <v>1219</v>
      </c>
      <c r="AY704">
        <v>12059</v>
      </c>
      <c r="AZ704">
        <v>4202</v>
      </c>
      <c r="BA704">
        <v>7438</v>
      </c>
      <c r="BB704">
        <v>1432</v>
      </c>
      <c r="BC704">
        <v>13072</v>
      </c>
      <c r="BD704">
        <v>9486</v>
      </c>
      <c r="BE704">
        <v>9222</v>
      </c>
      <c r="BF704">
        <v>1768</v>
      </c>
      <c r="BG704">
        <v>20476</v>
      </c>
      <c r="BH704">
        <v>0</v>
      </c>
      <c r="BI704">
        <v>0</v>
      </c>
      <c r="BJ704">
        <v>0</v>
      </c>
      <c r="BK704">
        <v>0</v>
      </c>
      <c r="BL704" s="2">
        <v>24.82</v>
      </c>
      <c r="BM704" s="2">
        <v>42005.095138888886</v>
      </c>
      <c r="BN704" s="2">
        <v>5.4</v>
      </c>
      <c r="BO704" s="2">
        <v>42005.092361111114</v>
      </c>
      <c r="BP704" s="2">
        <v>6.92</v>
      </c>
      <c r="BQ704" s="2">
        <v>42005.092361111114</v>
      </c>
      <c r="BR704" s="2">
        <v>11.07</v>
      </c>
      <c r="BS704" s="2">
        <v>42005.092361111114</v>
      </c>
      <c r="BT704">
        <v>0</v>
      </c>
      <c r="BU704">
        <v>0</v>
      </c>
      <c r="BV704" t="s">
        <v>135</v>
      </c>
      <c r="BW704">
        <v>0</v>
      </c>
      <c r="BX704">
        <v>0</v>
      </c>
      <c r="BY704" t="s">
        <v>135</v>
      </c>
      <c r="BZ704">
        <v>0</v>
      </c>
      <c r="CA704">
        <v>0</v>
      </c>
      <c r="CB704" t="s">
        <v>135</v>
      </c>
      <c r="CH704" s="2"/>
      <c r="CJ704" s="2"/>
      <c r="CL704" s="2"/>
      <c r="CN704" s="2"/>
      <c r="CQ704" s="2"/>
      <c r="CT704" s="2"/>
      <c r="CW704" s="2"/>
    </row>
    <row r="705" spans="1:101" x14ac:dyDescent="0.25">
      <c r="A705" s="1" t="s">
        <v>163</v>
      </c>
      <c r="B705" s="75" t="s">
        <v>164</v>
      </c>
      <c r="C705">
        <v>0</v>
      </c>
      <c r="D705">
        <v>0</v>
      </c>
      <c r="E705">
        <v>0</v>
      </c>
      <c r="F705">
        <v>604324.56000000006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3.91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7490</v>
      </c>
      <c r="AW705">
        <v>3350</v>
      </c>
      <c r="AX705">
        <v>1219</v>
      </c>
      <c r="AY705">
        <v>12059</v>
      </c>
      <c r="AZ705">
        <v>4202</v>
      </c>
      <c r="BA705">
        <v>7438</v>
      </c>
      <c r="BB705">
        <v>1432</v>
      </c>
      <c r="BC705">
        <v>13072</v>
      </c>
      <c r="BD705">
        <v>9486</v>
      </c>
      <c r="BE705">
        <v>9222</v>
      </c>
      <c r="BF705">
        <v>1768</v>
      </c>
      <c r="BG705">
        <v>20476</v>
      </c>
      <c r="BH705">
        <v>0</v>
      </c>
      <c r="BI705">
        <v>0</v>
      </c>
      <c r="BJ705">
        <v>0</v>
      </c>
      <c r="BK705">
        <v>0</v>
      </c>
      <c r="BL705" s="2">
        <v>24.82</v>
      </c>
      <c r="BM705" s="2">
        <v>42005.095138888886</v>
      </c>
      <c r="BN705" s="2">
        <v>5.4</v>
      </c>
      <c r="BO705" s="2">
        <v>42005.092361111114</v>
      </c>
      <c r="BP705" s="2">
        <v>6.92</v>
      </c>
      <c r="BQ705" s="2">
        <v>42005.092361111114</v>
      </c>
      <c r="BR705" s="2">
        <v>11.07</v>
      </c>
      <c r="BS705" s="2">
        <v>42005.092361111114</v>
      </c>
      <c r="BT705">
        <v>0</v>
      </c>
      <c r="BU705">
        <v>0</v>
      </c>
      <c r="BV705" t="s">
        <v>135</v>
      </c>
      <c r="BW705">
        <v>0</v>
      </c>
      <c r="BX705">
        <v>0</v>
      </c>
      <c r="BY705" t="s">
        <v>135</v>
      </c>
      <c r="BZ705">
        <v>0</v>
      </c>
      <c r="CA705">
        <v>0</v>
      </c>
      <c r="CB705" t="s">
        <v>135</v>
      </c>
      <c r="CH705" s="2"/>
      <c r="CJ705" s="2"/>
      <c r="CL705" s="2"/>
      <c r="CN705" s="2"/>
      <c r="CQ705" s="2"/>
      <c r="CT705" s="2"/>
      <c r="CW705" s="2"/>
    </row>
    <row r="706" spans="1:101" x14ac:dyDescent="0.25">
      <c r="A706" s="1" t="s">
        <v>163</v>
      </c>
      <c r="B706" s="75" t="s">
        <v>164</v>
      </c>
      <c r="C706">
        <v>0</v>
      </c>
      <c r="D706">
        <v>0</v>
      </c>
      <c r="E706">
        <v>0</v>
      </c>
      <c r="F706">
        <v>604324.56000000006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3.91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7490</v>
      </c>
      <c r="AW706">
        <v>3350</v>
      </c>
      <c r="AX706">
        <v>1219</v>
      </c>
      <c r="AY706">
        <v>12059</v>
      </c>
      <c r="AZ706">
        <v>4202</v>
      </c>
      <c r="BA706">
        <v>7438</v>
      </c>
      <c r="BB706">
        <v>1432</v>
      </c>
      <c r="BC706">
        <v>13072</v>
      </c>
      <c r="BD706">
        <v>9486</v>
      </c>
      <c r="BE706">
        <v>9222</v>
      </c>
      <c r="BF706">
        <v>1768</v>
      </c>
      <c r="BG706">
        <v>20476</v>
      </c>
      <c r="BH706">
        <v>0</v>
      </c>
      <c r="BI706">
        <v>0</v>
      </c>
      <c r="BJ706">
        <v>0</v>
      </c>
      <c r="BK706">
        <v>0</v>
      </c>
      <c r="BL706" s="2">
        <v>24.82</v>
      </c>
      <c r="BM706" s="2">
        <v>42005.095138888886</v>
      </c>
      <c r="BN706" s="2">
        <v>5.4</v>
      </c>
      <c r="BO706" s="2">
        <v>42005.092361111114</v>
      </c>
      <c r="BP706" s="2">
        <v>6.92</v>
      </c>
      <c r="BQ706" s="2">
        <v>42005.092361111114</v>
      </c>
      <c r="BR706" s="2">
        <v>11.07</v>
      </c>
      <c r="BS706" s="2">
        <v>42005.092361111114</v>
      </c>
      <c r="BT706">
        <v>0</v>
      </c>
      <c r="BU706">
        <v>0</v>
      </c>
      <c r="BV706" t="s">
        <v>135</v>
      </c>
      <c r="BW706">
        <v>0</v>
      </c>
      <c r="BX706">
        <v>0</v>
      </c>
      <c r="BY706" t="s">
        <v>135</v>
      </c>
      <c r="BZ706">
        <v>0</v>
      </c>
      <c r="CA706">
        <v>0</v>
      </c>
      <c r="CB706" t="s">
        <v>135</v>
      </c>
      <c r="CH706" s="2"/>
      <c r="CJ706" s="2"/>
      <c r="CL706" s="2"/>
      <c r="CN706" s="2"/>
      <c r="CQ706" s="2"/>
      <c r="CT706" s="2"/>
      <c r="CW706" s="2"/>
    </row>
    <row r="707" spans="1:101" x14ac:dyDescent="0.25">
      <c r="A707" s="1" t="s">
        <v>163</v>
      </c>
      <c r="B707" s="75" t="s">
        <v>164</v>
      </c>
      <c r="C707">
        <v>0</v>
      </c>
      <c r="D707">
        <v>0</v>
      </c>
      <c r="E707">
        <v>0</v>
      </c>
      <c r="F707">
        <v>604324.56000000006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3.91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7490</v>
      </c>
      <c r="AW707">
        <v>3350</v>
      </c>
      <c r="AX707">
        <v>1219</v>
      </c>
      <c r="AY707">
        <v>12059</v>
      </c>
      <c r="AZ707">
        <v>4202</v>
      </c>
      <c r="BA707">
        <v>7438</v>
      </c>
      <c r="BB707">
        <v>1432</v>
      </c>
      <c r="BC707">
        <v>13072</v>
      </c>
      <c r="BD707">
        <v>9486</v>
      </c>
      <c r="BE707">
        <v>9222</v>
      </c>
      <c r="BF707">
        <v>1768</v>
      </c>
      <c r="BG707">
        <v>20476</v>
      </c>
      <c r="BH707">
        <v>0</v>
      </c>
      <c r="BI707">
        <v>0</v>
      </c>
      <c r="BJ707">
        <v>0</v>
      </c>
      <c r="BK707">
        <v>0</v>
      </c>
      <c r="BL707" s="2">
        <v>24.82</v>
      </c>
      <c r="BM707" s="2">
        <v>42005.095138888886</v>
      </c>
      <c r="BN707" s="2">
        <v>5.4</v>
      </c>
      <c r="BO707" s="2">
        <v>42005.092361111114</v>
      </c>
      <c r="BP707" s="2">
        <v>6.92</v>
      </c>
      <c r="BQ707" s="2">
        <v>42005.092361111114</v>
      </c>
      <c r="BR707" s="2">
        <v>11.07</v>
      </c>
      <c r="BS707" s="2">
        <v>42005.092361111114</v>
      </c>
      <c r="BT707">
        <v>0</v>
      </c>
      <c r="BU707">
        <v>0</v>
      </c>
      <c r="BV707" t="s">
        <v>135</v>
      </c>
      <c r="BW707">
        <v>0</v>
      </c>
      <c r="BX707">
        <v>0</v>
      </c>
      <c r="BY707" t="s">
        <v>135</v>
      </c>
      <c r="BZ707">
        <v>0</v>
      </c>
      <c r="CA707">
        <v>0</v>
      </c>
      <c r="CB707" t="s">
        <v>135</v>
      </c>
      <c r="CH707" s="2"/>
      <c r="CJ707" s="2"/>
      <c r="CL707" s="2"/>
      <c r="CN707" s="2"/>
      <c r="CQ707" s="2"/>
      <c r="CT707" s="2"/>
      <c r="CW707" s="2"/>
    </row>
    <row r="708" spans="1:101" x14ac:dyDescent="0.25">
      <c r="A708" s="1" t="s">
        <v>163</v>
      </c>
      <c r="B708" s="75" t="s">
        <v>164</v>
      </c>
      <c r="C708">
        <v>0</v>
      </c>
      <c r="D708">
        <v>0</v>
      </c>
      <c r="E708">
        <v>0</v>
      </c>
      <c r="F708">
        <v>604324.56000000006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3.91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7490</v>
      </c>
      <c r="AW708">
        <v>3350</v>
      </c>
      <c r="AX708">
        <v>1219</v>
      </c>
      <c r="AY708">
        <v>12059</v>
      </c>
      <c r="AZ708">
        <v>4202</v>
      </c>
      <c r="BA708">
        <v>7438</v>
      </c>
      <c r="BB708">
        <v>1432</v>
      </c>
      <c r="BC708">
        <v>13072</v>
      </c>
      <c r="BD708">
        <v>9486</v>
      </c>
      <c r="BE708">
        <v>9222</v>
      </c>
      <c r="BF708">
        <v>1768</v>
      </c>
      <c r="BG708">
        <v>20476</v>
      </c>
      <c r="BH708">
        <v>0</v>
      </c>
      <c r="BI708">
        <v>0</v>
      </c>
      <c r="BJ708">
        <v>0</v>
      </c>
      <c r="BK708">
        <v>0</v>
      </c>
      <c r="BL708" s="2">
        <v>24.82</v>
      </c>
      <c r="BM708" s="2">
        <v>42005.095138888886</v>
      </c>
      <c r="BN708" s="2">
        <v>5.4</v>
      </c>
      <c r="BO708" s="2">
        <v>42005.092361111114</v>
      </c>
      <c r="BP708" s="2">
        <v>6.92</v>
      </c>
      <c r="BQ708" s="2">
        <v>42005.092361111114</v>
      </c>
      <c r="BR708" s="2">
        <v>11.07</v>
      </c>
      <c r="BS708" s="2">
        <v>42005.092361111114</v>
      </c>
      <c r="BT708">
        <v>0</v>
      </c>
      <c r="BU708">
        <v>0</v>
      </c>
      <c r="BV708" t="s">
        <v>135</v>
      </c>
      <c r="BW708">
        <v>0</v>
      </c>
      <c r="BX708">
        <v>0</v>
      </c>
      <c r="BY708" t="s">
        <v>135</v>
      </c>
      <c r="BZ708">
        <v>0</v>
      </c>
      <c r="CA708">
        <v>0</v>
      </c>
      <c r="CB708" t="s">
        <v>135</v>
      </c>
      <c r="CH708" s="2"/>
      <c r="CJ708" s="2"/>
      <c r="CL708" s="2"/>
      <c r="CN708" s="2"/>
      <c r="CQ708" s="2"/>
      <c r="CT708" s="2"/>
      <c r="CW708" s="2"/>
    </row>
    <row r="709" spans="1:101" x14ac:dyDescent="0.25">
      <c r="A709" s="1" t="s">
        <v>163</v>
      </c>
      <c r="B709" s="75" t="s">
        <v>164</v>
      </c>
      <c r="C709">
        <v>0</v>
      </c>
      <c r="D709">
        <v>0</v>
      </c>
      <c r="E709">
        <v>0</v>
      </c>
      <c r="F709">
        <v>604324.56000000006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3.91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7490</v>
      </c>
      <c r="AW709">
        <v>3350</v>
      </c>
      <c r="AX709">
        <v>1219</v>
      </c>
      <c r="AY709">
        <v>12059</v>
      </c>
      <c r="AZ709">
        <v>4202</v>
      </c>
      <c r="BA709">
        <v>7438</v>
      </c>
      <c r="BB709">
        <v>1432</v>
      </c>
      <c r="BC709">
        <v>13072</v>
      </c>
      <c r="BD709">
        <v>9486</v>
      </c>
      <c r="BE709">
        <v>9222</v>
      </c>
      <c r="BF709">
        <v>1768</v>
      </c>
      <c r="BG709">
        <v>20476</v>
      </c>
      <c r="BH709">
        <v>0</v>
      </c>
      <c r="BI709">
        <v>0</v>
      </c>
      <c r="BJ709">
        <v>0</v>
      </c>
      <c r="BK709">
        <v>0</v>
      </c>
      <c r="BL709" s="2">
        <v>24.82</v>
      </c>
      <c r="BM709" s="2">
        <v>42005.095138888886</v>
      </c>
      <c r="BN709" s="2">
        <v>5.4</v>
      </c>
      <c r="BO709" s="2">
        <v>42005.092361111114</v>
      </c>
      <c r="BP709" s="2">
        <v>6.92</v>
      </c>
      <c r="BQ709" s="2">
        <v>42005.092361111114</v>
      </c>
      <c r="BR709" s="2">
        <v>11.07</v>
      </c>
      <c r="BS709" s="2">
        <v>42005.092361111114</v>
      </c>
      <c r="BT709">
        <v>0</v>
      </c>
      <c r="BU709">
        <v>0</v>
      </c>
      <c r="BV709" t="s">
        <v>135</v>
      </c>
      <c r="BW709">
        <v>0</v>
      </c>
      <c r="BX709">
        <v>0</v>
      </c>
      <c r="BY709" t="s">
        <v>135</v>
      </c>
      <c r="BZ709">
        <v>0</v>
      </c>
      <c r="CA709">
        <v>0</v>
      </c>
      <c r="CB709" t="s">
        <v>135</v>
      </c>
      <c r="CH709" s="2"/>
      <c r="CJ709" s="2"/>
      <c r="CL709" s="2"/>
      <c r="CN709" s="2"/>
      <c r="CQ709" s="2"/>
      <c r="CT709" s="2"/>
      <c r="CW709" s="2"/>
    </row>
    <row r="710" spans="1:101" x14ac:dyDescent="0.25">
      <c r="A710" s="1" t="s">
        <v>163</v>
      </c>
      <c r="B710" s="75" t="s">
        <v>164</v>
      </c>
      <c r="C710">
        <v>0</v>
      </c>
      <c r="D710">
        <v>0</v>
      </c>
      <c r="E710">
        <v>0</v>
      </c>
      <c r="F710">
        <v>604324.56000000006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3.91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7490</v>
      </c>
      <c r="AW710">
        <v>3350</v>
      </c>
      <c r="AX710">
        <v>1219</v>
      </c>
      <c r="AY710">
        <v>12059</v>
      </c>
      <c r="AZ710">
        <v>4202</v>
      </c>
      <c r="BA710">
        <v>7438</v>
      </c>
      <c r="BB710">
        <v>1432</v>
      </c>
      <c r="BC710">
        <v>13072</v>
      </c>
      <c r="BD710">
        <v>9486</v>
      </c>
      <c r="BE710">
        <v>9222</v>
      </c>
      <c r="BF710">
        <v>1768</v>
      </c>
      <c r="BG710">
        <v>20476</v>
      </c>
      <c r="BH710">
        <v>0</v>
      </c>
      <c r="BI710">
        <v>0</v>
      </c>
      <c r="BJ710">
        <v>0</v>
      </c>
      <c r="BK710">
        <v>0</v>
      </c>
      <c r="BL710" s="2">
        <v>24.82</v>
      </c>
      <c r="BM710" s="2">
        <v>42005.095138888886</v>
      </c>
      <c r="BN710" s="2">
        <v>5.4</v>
      </c>
      <c r="BO710" s="2">
        <v>42005.092361111114</v>
      </c>
      <c r="BP710" s="2">
        <v>6.92</v>
      </c>
      <c r="BQ710" s="2">
        <v>42005.092361111114</v>
      </c>
      <c r="BR710" s="2">
        <v>11.07</v>
      </c>
      <c r="BS710" s="2">
        <v>42005.092361111114</v>
      </c>
      <c r="BT710">
        <v>0</v>
      </c>
      <c r="BU710">
        <v>0</v>
      </c>
      <c r="BV710" t="s">
        <v>135</v>
      </c>
      <c r="BW710">
        <v>0</v>
      </c>
      <c r="BX710">
        <v>0</v>
      </c>
      <c r="BY710" t="s">
        <v>135</v>
      </c>
      <c r="BZ710">
        <v>0</v>
      </c>
      <c r="CA710">
        <v>0</v>
      </c>
      <c r="CB710" t="s">
        <v>135</v>
      </c>
      <c r="CH710" s="2"/>
      <c r="CJ710" s="2"/>
      <c r="CL710" s="2"/>
      <c r="CN710" s="2"/>
      <c r="CQ710" s="2"/>
      <c r="CT710" s="2"/>
      <c r="CW710" s="2"/>
    </row>
    <row r="711" spans="1:101" x14ac:dyDescent="0.25">
      <c r="A711" s="1" t="s">
        <v>163</v>
      </c>
      <c r="B711" s="75" t="s">
        <v>164</v>
      </c>
      <c r="C711">
        <v>0</v>
      </c>
      <c r="D711">
        <v>0</v>
      </c>
      <c r="E711">
        <v>0</v>
      </c>
      <c r="F711">
        <v>604324.56000000006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3.91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7490</v>
      </c>
      <c r="AW711">
        <v>3350</v>
      </c>
      <c r="AX711">
        <v>1219</v>
      </c>
      <c r="AY711">
        <v>12059</v>
      </c>
      <c r="AZ711">
        <v>4202</v>
      </c>
      <c r="BA711">
        <v>7438</v>
      </c>
      <c r="BB711">
        <v>1432</v>
      </c>
      <c r="BC711">
        <v>13072</v>
      </c>
      <c r="BD711">
        <v>9486</v>
      </c>
      <c r="BE711">
        <v>9222</v>
      </c>
      <c r="BF711">
        <v>1768</v>
      </c>
      <c r="BG711">
        <v>20476</v>
      </c>
      <c r="BH711">
        <v>0</v>
      </c>
      <c r="BI711">
        <v>0</v>
      </c>
      <c r="BJ711">
        <v>0</v>
      </c>
      <c r="BK711">
        <v>0</v>
      </c>
      <c r="BL711" s="2">
        <v>24.82</v>
      </c>
      <c r="BM711" s="2">
        <v>42005.095138888886</v>
      </c>
      <c r="BN711" s="2">
        <v>5.4</v>
      </c>
      <c r="BO711" s="2">
        <v>42005.092361111114</v>
      </c>
      <c r="BP711" s="2">
        <v>6.92</v>
      </c>
      <c r="BQ711" s="2">
        <v>42005.092361111114</v>
      </c>
      <c r="BR711" s="2">
        <v>11.07</v>
      </c>
      <c r="BS711" s="2">
        <v>42005.092361111114</v>
      </c>
      <c r="BT711">
        <v>0</v>
      </c>
      <c r="BU711">
        <v>0</v>
      </c>
      <c r="BV711" t="s">
        <v>135</v>
      </c>
      <c r="BW711">
        <v>0</v>
      </c>
      <c r="BX711">
        <v>0</v>
      </c>
      <c r="BY711" t="s">
        <v>135</v>
      </c>
      <c r="BZ711">
        <v>0</v>
      </c>
      <c r="CA711">
        <v>0</v>
      </c>
      <c r="CB711" t="s">
        <v>135</v>
      </c>
      <c r="CH711" s="2"/>
      <c r="CJ711" s="2"/>
      <c r="CL711" s="2"/>
      <c r="CN711" s="2"/>
      <c r="CQ711" s="2"/>
      <c r="CT711" s="2"/>
      <c r="CW711" s="2"/>
    </row>
    <row r="712" spans="1:101" x14ac:dyDescent="0.25">
      <c r="A712" s="1" t="s">
        <v>163</v>
      </c>
      <c r="B712" s="75" t="s">
        <v>164</v>
      </c>
      <c r="C712">
        <v>0</v>
      </c>
      <c r="D712">
        <v>0</v>
      </c>
      <c r="E712">
        <v>0</v>
      </c>
      <c r="F712">
        <v>604324.56000000006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3.91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7490</v>
      </c>
      <c r="AW712">
        <v>3350</v>
      </c>
      <c r="AX712">
        <v>1219</v>
      </c>
      <c r="AY712">
        <v>12059</v>
      </c>
      <c r="AZ712">
        <v>4202</v>
      </c>
      <c r="BA712">
        <v>7438</v>
      </c>
      <c r="BB712">
        <v>1432</v>
      </c>
      <c r="BC712">
        <v>13072</v>
      </c>
      <c r="BD712">
        <v>9486</v>
      </c>
      <c r="BE712">
        <v>9222</v>
      </c>
      <c r="BF712">
        <v>1768</v>
      </c>
      <c r="BG712">
        <v>20476</v>
      </c>
      <c r="BH712">
        <v>0</v>
      </c>
      <c r="BI712">
        <v>0</v>
      </c>
      <c r="BJ712">
        <v>0</v>
      </c>
      <c r="BK712">
        <v>0</v>
      </c>
      <c r="BL712" s="2">
        <v>24.82</v>
      </c>
      <c r="BM712" s="2">
        <v>42005.095138888886</v>
      </c>
      <c r="BN712" s="2">
        <v>5.4</v>
      </c>
      <c r="BO712" s="2">
        <v>42005.092361111114</v>
      </c>
      <c r="BP712" s="2">
        <v>6.92</v>
      </c>
      <c r="BQ712" s="2">
        <v>42005.092361111114</v>
      </c>
      <c r="BR712" s="2">
        <v>11.07</v>
      </c>
      <c r="BS712" s="2">
        <v>42005.092361111114</v>
      </c>
      <c r="BT712">
        <v>0</v>
      </c>
      <c r="BU712">
        <v>0</v>
      </c>
      <c r="BV712" t="s">
        <v>135</v>
      </c>
      <c r="BW712">
        <v>0</v>
      </c>
      <c r="BX712">
        <v>0</v>
      </c>
      <c r="BY712" t="s">
        <v>135</v>
      </c>
      <c r="BZ712">
        <v>0</v>
      </c>
      <c r="CA712">
        <v>0</v>
      </c>
      <c r="CB712" t="s">
        <v>135</v>
      </c>
      <c r="CH712" s="2"/>
      <c r="CJ712" s="2"/>
      <c r="CL712" s="2"/>
      <c r="CN712" s="2"/>
      <c r="CQ712" s="2"/>
      <c r="CT712" s="2"/>
      <c r="CW712" s="2"/>
    </row>
    <row r="713" spans="1:101" x14ac:dyDescent="0.25">
      <c r="A713" s="1" t="s">
        <v>163</v>
      </c>
      <c r="B713" s="75" t="s">
        <v>164</v>
      </c>
      <c r="C713">
        <v>0</v>
      </c>
      <c r="D713">
        <v>0</v>
      </c>
      <c r="E713">
        <v>0</v>
      </c>
      <c r="F713">
        <v>604324.56000000006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3.91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7490</v>
      </c>
      <c r="AW713">
        <v>3350</v>
      </c>
      <c r="AX713">
        <v>1219</v>
      </c>
      <c r="AY713">
        <v>12059</v>
      </c>
      <c r="AZ713">
        <v>4202</v>
      </c>
      <c r="BA713">
        <v>7438</v>
      </c>
      <c r="BB713">
        <v>1432</v>
      </c>
      <c r="BC713">
        <v>13072</v>
      </c>
      <c r="BD713">
        <v>9486</v>
      </c>
      <c r="BE713">
        <v>9222</v>
      </c>
      <c r="BF713">
        <v>1768</v>
      </c>
      <c r="BG713">
        <v>20476</v>
      </c>
      <c r="BH713">
        <v>0</v>
      </c>
      <c r="BI713">
        <v>0</v>
      </c>
      <c r="BJ713">
        <v>0</v>
      </c>
      <c r="BK713">
        <v>0</v>
      </c>
      <c r="BL713" s="2">
        <v>24.82</v>
      </c>
      <c r="BM713" s="2">
        <v>42005.095138888886</v>
      </c>
      <c r="BN713" s="2">
        <v>5.4</v>
      </c>
      <c r="BO713" s="2">
        <v>42005.092361111114</v>
      </c>
      <c r="BP713" s="2">
        <v>6.92</v>
      </c>
      <c r="BQ713" s="2">
        <v>42005.092361111114</v>
      </c>
      <c r="BR713" s="2">
        <v>11.07</v>
      </c>
      <c r="BS713" s="2">
        <v>42005.092361111114</v>
      </c>
      <c r="BT713">
        <v>0</v>
      </c>
      <c r="BU713">
        <v>0</v>
      </c>
      <c r="BV713" t="s">
        <v>135</v>
      </c>
      <c r="BW713">
        <v>0</v>
      </c>
      <c r="BX713">
        <v>0</v>
      </c>
      <c r="BY713" t="s">
        <v>135</v>
      </c>
      <c r="BZ713">
        <v>0</v>
      </c>
      <c r="CA713">
        <v>0</v>
      </c>
      <c r="CB713" t="s">
        <v>135</v>
      </c>
      <c r="CH713" s="2"/>
      <c r="CJ713" s="2"/>
      <c r="CL713" s="2"/>
      <c r="CN713" s="2"/>
      <c r="CQ713" s="2"/>
      <c r="CT713" s="2"/>
      <c r="CW713" s="2"/>
    </row>
    <row r="714" spans="1:101" x14ac:dyDescent="0.25">
      <c r="A714" s="1" t="s">
        <v>163</v>
      </c>
      <c r="B714" s="75" t="s">
        <v>164</v>
      </c>
      <c r="C714">
        <v>0</v>
      </c>
      <c r="D714">
        <v>0</v>
      </c>
      <c r="E714">
        <v>0</v>
      </c>
      <c r="F714">
        <v>604324.56000000006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3.91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7490</v>
      </c>
      <c r="AW714">
        <v>3350</v>
      </c>
      <c r="AX714">
        <v>1219</v>
      </c>
      <c r="AY714">
        <v>12059</v>
      </c>
      <c r="AZ714">
        <v>4202</v>
      </c>
      <c r="BA714">
        <v>7438</v>
      </c>
      <c r="BB714">
        <v>1432</v>
      </c>
      <c r="BC714">
        <v>13072</v>
      </c>
      <c r="BD714">
        <v>9486</v>
      </c>
      <c r="BE714">
        <v>9222</v>
      </c>
      <c r="BF714">
        <v>1768</v>
      </c>
      <c r="BG714">
        <v>20476</v>
      </c>
      <c r="BH714">
        <v>0</v>
      </c>
      <c r="BI714">
        <v>0</v>
      </c>
      <c r="BJ714">
        <v>0</v>
      </c>
      <c r="BK714">
        <v>0</v>
      </c>
      <c r="BL714" s="2">
        <v>24.82</v>
      </c>
      <c r="BM714" s="2">
        <v>42005.095138888886</v>
      </c>
      <c r="BN714" s="2">
        <v>5.4</v>
      </c>
      <c r="BO714" s="2">
        <v>42005.092361111114</v>
      </c>
      <c r="BP714" s="2">
        <v>6.92</v>
      </c>
      <c r="BQ714" s="2">
        <v>42005.092361111114</v>
      </c>
      <c r="BR714" s="2">
        <v>11.07</v>
      </c>
      <c r="BS714" s="2">
        <v>42005.092361111114</v>
      </c>
      <c r="BT714">
        <v>0</v>
      </c>
      <c r="BU714">
        <v>0</v>
      </c>
      <c r="BV714" t="s">
        <v>135</v>
      </c>
      <c r="BW714">
        <v>0</v>
      </c>
      <c r="BX714">
        <v>0</v>
      </c>
      <c r="BY714" t="s">
        <v>135</v>
      </c>
      <c r="BZ714">
        <v>0</v>
      </c>
      <c r="CA714">
        <v>0</v>
      </c>
      <c r="CB714" t="s">
        <v>135</v>
      </c>
      <c r="CH714" s="2"/>
      <c r="CJ714" s="2"/>
      <c r="CL714" s="2"/>
      <c r="CN714" s="2"/>
      <c r="CQ714" s="2"/>
      <c r="CT714" s="2"/>
      <c r="CW714" s="2"/>
    </row>
    <row r="715" spans="1:101" x14ac:dyDescent="0.25">
      <c r="A715" s="1" t="s">
        <v>163</v>
      </c>
      <c r="B715" s="75" t="s">
        <v>164</v>
      </c>
      <c r="C715">
        <v>0</v>
      </c>
      <c r="D715">
        <v>0</v>
      </c>
      <c r="E715">
        <v>0</v>
      </c>
      <c r="F715">
        <v>604324.56000000006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3.91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7490</v>
      </c>
      <c r="AW715">
        <v>3350</v>
      </c>
      <c r="AX715">
        <v>1219</v>
      </c>
      <c r="AY715">
        <v>12059</v>
      </c>
      <c r="AZ715">
        <v>4202</v>
      </c>
      <c r="BA715">
        <v>7438</v>
      </c>
      <c r="BB715">
        <v>1432</v>
      </c>
      <c r="BC715">
        <v>13072</v>
      </c>
      <c r="BD715">
        <v>9486</v>
      </c>
      <c r="BE715">
        <v>9222</v>
      </c>
      <c r="BF715">
        <v>1768</v>
      </c>
      <c r="BG715">
        <v>20476</v>
      </c>
      <c r="BH715">
        <v>0</v>
      </c>
      <c r="BI715">
        <v>0</v>
      </c>
      <c r="BJ715">
        <v>0</v>
      </c>
      <c r="BK715">
        <v>0</v>
      </c>
      <c r="BL715" s="2">
        <v>24.82</v>
      </c>
      <c r="BM715" s="2">
        <v>42005.095138888886</v>
      </c>
      <c r="BN715" s="2">
        <v>5.4</v>
      </c>
      <c r="BO715" s="2">
        <v>42005.092361111114</v>
      </c>
      <c r="BP715" s="2">
        <v>6.92</v>
      </c>
      <c r="BQ715" s="2">
        <v>42005.092361111114</v>
      </c>
      <c r="BR715" s="2">
        <v>11.07</v>
      </c>
      <c r="BS715" s="2">
        <v>42005.092361111114</v>
      </c>
      <c r="BT715">
        <v>0</v>
      </c>
      <c r="BU715">
        <v>0</v>
      </c>
      <c r="BV715" t="s">
        <v>135</v>
      </c>
      <c r="BW715">
        <v>0</v>
      </c>
      <c r="BX715">
        <v>0</v>
      </c>
      <c r="BY715" t="s">
        <v>135</v>
      </c>
      <c r="BZ715">
        <v>0</v>
      </c>
      <c r="CA715">
        <v>0</v>
      </c>
      <c r="CB715" t="s">
        <v>135</v>
      </c>
      <c r="CH715" s="2"/>
      <c r="CJ715" s="2"/>
      <c r="CL715" s="2"/>
      <c r="CN715" s="2"/>
      <c r="CQ715" s="2"/>
      <c r="CT715" s="2"/>
      <c r="CW715" s="2"/>
    </row>
    <row r="716" spans="1:101" x14ac:dyDescent="0.25">
      <c r="A716" s="1" t="s">
        <v>163</v>
      </c>
      <c r="B716" s="75" t="s">
        <v>164</v>
      </c>
      <c r="C716">
        <v>0</v>
      </c>
      <c r="D716">
        <v>0</v>
      </c>
      <c r="E716">
        <v>0</v>
      </c>
      <c r="F716">
        <v>604324.56000000006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3.91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7490</v>
      </c>
      <c r="AW716">
        <v>3350</v>
      </c>
      <c r="AX716">
        <v>1219</v>
      </c>
      <c r="AY716">
        <v>12059</v>
      </c>
      <c r="AZ716">
        <v>4202</v>
      </c>
      <c r="BA716">
        <v>7438</v>
      </c>
      <c r="BB716">
        <v>1432</v>
      </c>
      <c r="BC716">
        <v>13072</v>
      </c>
      <c r="BD716">
        <v>9486</v>
      </c>
      <c r="BE716">
        <v>9222</v>
      </c>
      <c r="BF716">
        <v>1768</v>
      </c>
      <c r="BG716">
        <v>20476</v>
      </c>
      <c r="BH716">
        <v>0</v>
      </c>
      <c r="BI716">
        <v>0</v>
      </c>
      <c r="BJ716">
        <v>0</v>
      </c>
      <c r="BK716">
        <v>0</v>
      </c>
      <c r="BL716" s="2">
        <v>24.82</v>
      </c>
      <c r="BM716" s="2">
        <v>42005.095138888886</v>
      </c>
      <c r="BN716" s="2">
        <v>5.4</v>
      </c>
      <c r="BO716" s="2">
        <v>42005.092361111114</v>
      </c>
      <c r="BP716" s="2">
        <v>6.92</v>
      </c>
      <c r="BQ716" s="2">
        <v>42005.092361111114</v>
      </c>
      <c r="BR716" s="2">
        <v>11.07</v>
      </c>
      <c r="BS716" s="2">
        <v>42005.092361111114</v>
      </c>
      <c r="BT716">
        <v>0</v>
      </c>
      <c r="BU716">
        <v>0</v>
      </c>
      <c r="BV716" t="s">
        <v>135</v>
      </c>
      <c r="BW716">
        <v>0</v>
      </c>
      <c r="BX716">
        <v>0</v>
      </c>
      <c r="BY716" t="s">
        <v>135</v>
      </c>
      <c r="BZ716">
        <v>0</v>
      </c>
      <c r="CA716">
        <v>0</v>
      </c>
      <c r="CB716" t="s">
        <v>135</v>
      </c>
      <c r="CH716" s="2"/>
      <c r="CJ716" s="2"/>
      <c r="CL716" s="2"/>
      <c r="CN716" s="2"/>
      <c r="CQ716" s="2"/>
      <c r="CT716" s="2"/>
      <c r="CW716" s="2"/>
    </row>
    <row r="717" spans="1:101" x14ac:dyDescent="0.25">
      <c r="A717" s="1" t="s">
        <v>163</v>
      </c>
      <c r="B717" s="75" t="s">
        <v>164</v>
      </c>
      <c r="C717">
        <v>0</v>
      </c>
      <c r="D717">
        <v>0</v>
      </c>
      <c r="E717">
        <v>0</v>
      </c>
      <c r="F717">
        <v>604324.56000000006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3.91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7490</v>
      </c>
      <c r="AW717">
        <v>3350</v>
      </c>
      <c r="AX717">
        <v>1219</v>
      </c>
      <c r="AY717">
        <v>12059</v>
      </c>
      <c r="AZ717">
        <v>4202</v>
      </c>
      <c r="BA717">
        <v>7438</v>
      </c>
      <c r="BB717">
        <v>1432</v>
      </c>
      <c r="BC717">
        <v>13072</v>
      </c>
      <c r="BD717">
        <v>9486</v>
      </c>
      <c r="BE717">
        <v>9222</v>
      </c>
      <c r="BF717">
        <v>1768</v>
      </c>
      <c r="BG717">
        <v>20476</v>
      </c>
      <c r="BH717">
        <v>0</v>
      </c>
      <c r="BI717">
        <v>0</v>
      </c>
      <c r="BJ717">
        <v>0</v>
      </c>
      <c r="BK717">
        <v>0</v>
      </c>
      <c r="BL717" s="2">
        <v>24.82</v>
      </c>
      <c r="BM717" s="2">
        <v>42005.095138888886</v>
      </c>
      <c r="BN717" s="2">
        <v>5.4</v>
      </c>
      <c r="BO717" s="2">
        <v>42005.092361111114</v>
      </c>
      <c r="BP717" s="2">
        <v>6.92</v>
      </c>
      <c r="BQ717" s="2">
        <v>42005.092361111114</v>
      </c>
      <c r="BR717" s="2">
        <v>11.07</v>
      </c>
      <c r="BS717" s="2">
        <v>42005.092361111114</v>
      </c>
      <c r="BT717">
        <v>0</v>
      </c>
      <c r="BU717">
        <v>0</v>
      </c>
      <c r="BV717" t="s">
        <v>135</v>
      </c>
      <c r="BW717">
        <v>0</v>
      </c>
      <c r="BX717">
        <v>0</v>
      </c>
      <c r="BY717" t="s">
        <v>135</v>
      </c>
      <c r="BZ717">
        <v>0</v>
      </c>
      <c r="CA717">
        <v>0</v>
      </c>
      <c r="CB717" t="s">
        <v>135</v>
      </c>
      <c r="CH717" s="2"/>
      <c r="CJ717" s="2"/>
      <c r="CL717" s="2"/>
      <c r="CN717" s="2"/>
      <c r="CQ717" s="2"/>
      <c r="CT717" s="2"/>
      <c r="CW717" s="2"/>
    </row>
    <row r="718" spans="1:101" x14ac:dyDescent="0.25">
      <c r="A718" s="1" t="s">
        <v>163</v>
      </c>
      <c r="B718" s="75" t="s">
        <v>164</v>
      </c>
      <c r="C718">
        <v>0</v>
      </c>
      <c r="D718">
        <v>0</v>
      </c>
      <c r="E718">
        <v>0</v>
      </c>
      <c r="F718">
        <v>604324.56000000006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3.91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7490</v>
      </c>
      <c r="AW718">
        <v>3350</v>
      </c>
      <c r="AX718">
        <v>1219</v>
      </c>
      <c r="AY718">
        <v>12059</v>
      </c>
      <c r="AZ718">
        <v>4202</v>
      </c>
      <c r="BA718">
        <v>7438</v>
      </c>
      <c r="BB718">
        <v>1432</v>
      </c>
      <c r="BC718">
        <v>13072</v>
      </c>
      <c r="BD718">
        <v>9486</v>
      </c>
      <c r="BE718">
        <v>9222</v>
      </c>
      <c r="BF718">
        <v>1768</v>
      </c>
      <c r="BG718">
        <v>20476</v>
      </c>
      <c r="BH718">
        <v>0</v>
      </c>
      <c r="BI718">
        <v>0</v>
      </c>
      <c r="BJ718">
        <v>0</v>
      </c>
      <c r="BK718">
        <v>0</v>
      </c>
      <c r="BL718" s="2">
        <v>24.82</v>
      </c>
      <c r="BM718" s="2">
        <v>42005.095138888886</v>
      </c>
      <c r="BN718" s="2">
        <v>5.4</v>
      </c>
      <c r="BO718" s="2">
        <v>42005.092361111114</v>
      </c>
      <c r="BP718" s="2">
        <v>6.92</v>
      </c>
      <c r="BQ718" s="2">
        <v>42005.092361111114</v>
      </c>
      <c r="BR718" s="2">
        <v>11.07</v>
      </c>
      <c r="BS718" s="2">
        <v>42005.092361111114</v>
      </c>
      <c r="BT718">
        <v>0</v>
      </c>
      <c r="BU718">
        <v>0</v>
      </c>
      <c r="BV718" t="s">
        <v>135</v>
      </c>
      <c r="BW718">
        <v>0</v>
      </c>
      <c r="BX718">
        <v>0</v>
      </c>
      <c r="BY718" t="s">
        <v>135</v>
      </c>
      <c r="BZ718">
        <v>0</v>
      </c>
      <c r="CA718">
        <v>0</v>
      </c>
      <c r="CB718" t="s">
        <v>135</v>
      </c>
      <c r="CH718" s="2"/>
      <c r="CJ718" s="2"/>
      <c r="CL718" s="2"/>
      <c r="CN718" s="2"/>
      <c r="CQ718" s="2"/>
      <c r="CT718" s="2"/>
      <c r="CW718" s="2"/>
    </row>
    <row r="719" spans="1:101" x14ac:dyDescent="0.25">
      <c r="A719" s="1" t="s">
        <v>163</v>
      </c>
      <c r="B719" s="75" t="s">
        <v>164</v>
      </c>
      <c r="C719">
        <v>0</v>
      </c>
      <c r="D719">
        <v>0</v>
      </c>
      <c r="E719">
        <v>0</v>
      </c>
      <c r="F719">
        <v>604324.56000000006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3.91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7490</v>
      </c>
      <c r="AW719">
        <v>3350</v>
      </c>
      <c r="AX719">
        <v>1219</v>
      </c>
      <c r="AY719">
        <v>12059</v>
      </c>
      <c r="AZ719">
        <v>4202</v>
      </c>
      <c r="BA719">
        <v>7438</v>
      </c>
      <c r="BB719">
        <v>1432</v>
      </c>
      <c r="BC719">
        <v>13072</v>
      </c>
      <c r="BD719">
        <v>9486</v>
      </c>
      <c r="BE719">
        <v>9222</v>
      </c>
      <c r="BF719">
        <v>1768</v>
      </c>
      <c r="BG719">
        <v>20476</v>
      </c>
      <c r="BH719">
        <v>0</v>
      </c>
      <c r="BI719">
        <v>0</v>
      </c>
      <c r="BJ719">
        <v>0</v>
      </c>
      <c r="BK719">
        <v>0</v>
      </c>
      <c r="BL719" s="2">
        <v>24.82</v>
      </c>
      <c r="BM719" s="2">
        <v>42005.095138888886</v>
      </c>
      <c r="BN719" s="2">
        <v>5.4</v>
      </c>
      <c r="BO719" s="2">
        <v>42005.092361111114</v>
      </c>
      <c r="BP719" s="2">
        <v>6.92</v>
      </c>
      <c r="BQ719" s="2">
        <v>42005.092361111114</v>
      </c>
      <c r="BR719" s="2">
        <v>11.07</v>
      </c>
      <c r="BS719" s="2">
        <v>42005.092361111114</v>
      </c>
      <c r="BT719">
        <v>0</v>
      </c>
      <c r="BU719">
        <v>0</v>
      </c>
      <c r="BV719" t="s">
        <v>135</v>
      </c>
      <c r="BW719">
        <v>0</v>
      </c>
      <c r="BX719">
        <v>0</v>
      </c>
      <c r="BY719" t="s">
        <v>135</v>
      </c>
      <c r="BZ719">
        <v>0</v>
      </c>
      <c r="CA719">
        <v>0</v>
      </c>
      <c r="CB719" t="s">
        <v>135</v>
      </c>
      <c r="CH719" s="2"/>
      <c r="CJ719" s="2"/>
      <c r="CL719" s="2"/>
      <c r="CN719" s="2"/>
      <c r="CQ719" s="2"/>
      <c r="CT719" s="2"/>
      <c r="CW719" s="2"/>
    </row>
    <row r="720" spans="1:101" x14ac:dyDescent="0.25">
      <c r="A720" s="1" t="s">
        <v>163</v>
      </c>
      <c r="B720" s="75" t="s">
        <v>164</v>
      </c>
      <c r="C720">
        <v>0</v>
      </c>
      <c r="D720">
        <v>0</v>
      </c>
      <c r="E720">
        <v>0</v>
      </c>
      <c r="F720">
        <v>604324.56000000006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3.91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7490</v>
      </c>
      <c r="AW720">
        <v>3350</v>
      </c>
      <c r="AX720">
        <v>1219</v>
      </c>
      <c r="AY720">
        <v>12059</v>
      </c>
      <c r="AZ720">
        <v>4202</v>
      </c>
      <c r="BA720">
        <v>7438</v>
      </c>
      <c r="BB720">
        <v>1432</v>
      </c>
      <c r="BC720">
        <v>13072</v>
      </c>
      <c r="BD720">
        <v>9486</v>
      </c>
      <c r="BE720">
        <v>9222</v>
      </c>
      <c r="BF720">
        <v>1768</v>
      </c>
      <c r="BG720">
        <v>20476</v>
      </c>
      <c r="BH720">
        <v>0</v>
      </c>
      <c r="BI720">
        <v>0</v>
      </c>
      <c r="BJ720">
        <v>0</v>
      </c>
      <c r="BK720">
        <v>0</v>
      </c>
      <c r="BL720" s="2">
        <v>24.82</v>
      </c>
      <c r="BM720" s="2">
        <v>42005.095138888886</v>
      </c>
      <c r="BN720" s="2">
        <v>5.4</v>
      </c>
      <c r="BO720" s="2">
        <v>42005.092361111114</v>
      </c>
      <c r="BP720" s="2">
        <v>6.92</v>
      </c>
      <c r="BQ720" s="2">
        <v>42005.092361111114</v>
      </c>
      <c r="BR720" s="2">
        <v>11.07</v>
      </c>
      <c r="BS720" s="2">
        <v>42005.092361111114</v>
      </c>
      <c r="BT720">
        <v>0</v>
      </c>
      <c r="BU720">
        <v>0</v>
      </c>
      <c r="BV720" t="s">
        <v>135</v>
      </c>
      <c r="BW720">
        <v>0</v>
      </c>
      <c r="BX720">
        <v>0</v>
      </c>
      <c r="BY720" t="s">
        <v>135</v>
      </c>
      <c r="BZ720">
        <v>0</v>
      </c>
      <c r="CA720">
        <v>0</v>
      </c>
      <c r="CB720" t="s">
        <v>135</v>
      </c>
      <c r="CH720" s="2"/>
      <c r="CJ720" s="2"/>
      <c r="CL720" s="2"/>
      <c r="CN720" s="2"/>
      <c r="CQ720" s="2"/>
      <c r="CT720" s="2"/>
      <c r="CW720" s="2"/>
    </row>
    <row r="721" spans="1:101" x14ac:dyDescent="0.25">
      <c r="A721" s="1" t="s">
        <v>163</v>
      </c>
      <c r="B721" s="75" t="s">
        <v>164</v>
      </c>
      <c r="C721">
        <v>0</v>
      </c>
      <c r="D721">
        <v>0</v>
      </c>
      <c r="E721">
        <v>0</v>
      </c>
      <c r="F721">
        <v>604324.56000000006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3.91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7490</v>
      </c>
      <c r="AW721">
        <v>3350</v>
      </c>
      <c r="AX721">
        <v>1219</v>
      </c>
      <c r="AY721">
        <v>12059</v>
      </c>
      <c r="AZ721">
        <v>4202</v>
      </c>
      <c r="BA721">
        <v>7438</v>
      </c>
      <c r="BB721">
        <v>1432</v>
      </c>
      <c r="BC721">
        <v>13072</v>
      </c>
      <c r="BD721">
        <v>9486</v>
      </c>
      <c r="BE721">
        <v>9222</v>
      </c>
      <c r="BF721">
        <v>1768</v>
      </c>
      <c r="BG721">
        <v>20476</v>
      </c>
      <c r="BH721">
        <v>0</v>
      </c>
      <c r="BI721">
        <v>0</v>
      </c>
      <c r="BJ721">
        <v>0</v>
      </c>
      <c r="BK721">
        <v>0</v>
      </c>
      <c r="BL721" s="2">
        <v>24.82</v>
      </c>
      <c r="BM721" s="2">
        <v>42005.095138888886</v>
      </c>
      <c r="BN721" s="2">
        <v>5.4</v>
      </c>
      <c r="BO721" s="2">
        <v>42005.092361111114</v>
      </c>
      <c r="BP721" s="2">
        <v>6.92</v>
      </c>
      <c r="BQ721" s="2">
        <v>42005.092361111114</v>
      </c>
      <c r="BR721" s="2">
        <v>11.07</v>
      </c>
      <c r="BS721" s="2">
        <v>42005.092361111114</v>
      </c>
      <c r="BT721">
        <v>0</v>
      </c>
      <c r="BU721">
        <v>0</v>
      </c>
      <c r="BV721" t="s">
        <v>135</v>
      </c>
      <c r="BW721">
        <v>0</v>
      </c>
      <c r="BX721">
        <v>0</v>
      </c>
      <c r="BY721" t="s">
        <v>135</v>
      </c>
      <c r="BZ721">
        <v>0</v>
      </c>
      <c r="CA721">
        <v>0</v>
      </c>
      <c r="CB721" t="s">
        <v>135</v>
      </c>
      <c r="CH721" s="2"/>
      <c r="CJ721" s="2"/>
      <c r="CL721" s="2"/>
      <c r="CN721" s="2"/>
      <c r="CQ721" s="2"/>
      <c r="CT721" s="2"/>
      <c r="CW721" s="2"/>
    </row>
    <row r="722" spans="1:101" x14ac:dyDescent="0.25">
      <c r="A722" s="1" t="s">
        <v>163</v>
      </c>
      <c r="B722" s="75" t="s">
        <v>164</v>
      </c>
      <c r="C722">
        <v>0</v>
      </c>
      <c r="D722">
        <v>0</v>
      </c>
      <c r="E722">
        <v>0</v>
      </c>
      <c r="F722">
        <v>604324.56000000006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3.91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7490</v>
      </c>
      <c r="AW722">
        <v>3350</v>
      </c>
      <c r="AX722">
        <v>1219</v>
      </c>
      <c r="AY722">
        <v>12059</v>
      </c>
      <c r="AZ722">
        <v>4202</v>
      </c>
      <c r="BA722">
        <v>7438</v>
      </c>
      <c r="BB722">
        <v>1432</v>
      </c>
      <c r="BC722">
        <v>13072</v>
      </c>
      <c r="BD722">
        <v>9486</v>
      </c>
      <c r="BE722">
        <v>9222</v>
      </c>
      <c r="BF722">
        <v>1768</v>
      </c>
      <c r="BG722">
        <v>20476</v>
      </c>
      <c r="BH722">
        <v>0</v>
      </c>
      <c r="BI722">
        <v>0</v>
      </c>
      <c r="BJ722">
        <v>0</v>
      </c>
      <c r="BK722">
        <v>0</v>
      </c>
      <c r="BL722" s="2">
        <v>24.82</v>
      </c>
      <c r="BM722" s="2">
        <v>42005.095138888886</v>
      </c>
      <c r="BN722" s="2">
        <v>5.4</v>
      </c>
      <c r="BO722" s="2">
        <v>42005.092361111114</v>
      </c>
      <c r="BP722" s="2">
        <v>6.92</v>
      </c>
      <c r="BQ722" s="2">
        <v>42005.092361111114</v>
      </c>
      <c r="BR722" s="2">
        <v>11.07</v>
      </c>
      <c r="BS722" s="2">
        <v>42005.092361111114</v>
      </c>
      <c r="BT722">
        <v>0</v>
      </c>
      <c r="BU722">
        <v>0</v>
      </c>
      <c r="BV722" t="s">
        <v>135</v>
      </c>
      <c r="BW722">
        <v>0</v>
      </c>
      <c r="BX722">
        <v>0</v>
      </c>
      <c r="BY722" t="s">
        <v>135</v>
      </c>
      <c r="BZ722">
        <v>0</v>
      </c>
      <c r="CA722">
        <v>0</v>
      </c>
      <c r="CB722" t="s">
        <v>135</v>
      </c>
      <c r="CH722" s="2"/>
      <c r="CJ722" s="2"/>
      <c r="CL722" s="2"/>
      <c r="CN722" s="2"/>
      <c r="CQ722" s="2"/>
      <c r="CT722" s="2"/>
      <c r="CW722" s="2"/>
    </row>
    <row r="723" spans="1:101" x14ac:dyDescent="0.25">
      <c r="A723" s="1" t="s">
        <v>163</v>
      </c>
      <c r="B723" s="75" t="s">
        <v>164</v>
      </c>
      <c r="C723">
        <v>0</v>
      </c>
      <c r="D723">
        <v>0</v>
      </c>
      <c r="E723">
        <v>0</v>
      </c>
      <c r="F723">
        <v>604324.56000000006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3.91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7490</v>
      </c>
      <c r="AW723">
        <v>3350</v>
      </c>
      <c r="AX723">
        <v>1219</v>
      </c>
      <c r="AY723">
        <v>12059</v>
      </c>
      <c r="AZ723">
        <v>4202</v>
      </c>
      <c r="BA723">
        <v>7438</v>
      </c>
      <c r="BB723">
        <v>1432</v>
      </c>
      <c r="BC723">
        <v>13072</v>
      </c>
      <c r="BD723">
        <v>9486</v>
      </c>
      <c r="BE723">
        <v>9222</v>
      </c>
      <c r="BF723">
        <v>1768</v>
      </c>
      <c r="BG723">
        <v>20476</v>
      </c>
      <c r="BH723">
        <v>0</v>
      </c>
      <c r="BI723">
        <v>0</v>
      </c>
      <c r="BJ723">
        <v>0</v>
      </c>
      <c r="BK723">
        <v>0</v>
      </c>
      <c r="BL723" s="2">
        <v>24.82</v>
      </c>
      <c r="BM723" s="2">
        <v>42005.095138888886</v>
      </c>
      <c r="BN723" s="2">
        <v>5.4</v>
      </c>
      <c r="BO723" s="2">
        <v>42005.092361111114</v>
      </c>
      <c r="BP723" s="2">
        <v>6.92</v>
      </c>
      <c r="BQ723" s="2">
        <v>42005.092361111114</v>
      </c>
      <c r="BR723" s="2">
        <v>11.07</v>
      </c>
      <c r="BS723" s="2">
        <v>42005.092361111114</v>
      </c>
      <c r="BT723">
        <v>0</v>
      </c>
      <c r="BU723">
        <v>0</v>
      </c>
      <c r="BV723" t="s">
        <v>135</v>
      </c>
      <c r="BW723">
        <v>0</v>
      </c>
      <c r="BX723">
        <v>0</v>
      </c>
      <c r="BY723" t="s">
        <v>135</v>
      </c>
      <c r="BZ723">
        <v>0</v>
      </c>
      <c r="CA723">
        <v>0</v>
      </c>
      <c r="CB723" t="s">
        <v>135</v>
      </c>
      <c r="CH723" s="2"/>
      <c r="CJ723" s="2"/>
      <c r="CL723" s="2"/>
      <c r="CN723" s="2"/>
      <c r="CQ723" s="2"/>
      <c r="CT723" s="2"/>
      <c r="CW723" s="2"/>
    </row>
    <row r="724" spans="1:101" x14ac:dyDescent="0.25">
      <c r="A724" s="1" t="s">
        <v>163</v>
      </c>
      <c r="B724" s="75" t="s">
        <v>164</v>
      </c>
      <c r="C724">
        <v>0</v>
      </c>
      <c r="D724">
        <v>0</v>
      </c>
      <c r="E724">
        <v>0</v>
      </c>
      <c r="F724">
        <v>604324.56000000006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3.91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7490</v>
      </c>
      <c r="AW724">
        <v>3350</v>
      </c>
      <c r="AX724">
        <v>1219</v>
      </c>
      <c r="AY724">
        <v>12059</v>
      </c>
      <c r="AZ724">
        <v>4202</v>
      </c>
      <c r="BA724">
        <v>7438</v>
      </c>
      <c r="BB724">
        <v>1432</v>
      </c>
      <c r="BC724">
        <v>13072</v>
      </c>
      <c r="BD724">
        <v>9486</v>
      </c>
      <c r="BE724">
        <v>9222</v>
      </c>
      <c r="BF724">
        <v>1768</v>
      </c>
      <c r="BG724">
        <v>20476</v>
      </c>
      <c r="BH724">
        <v>0</v>
      </c>
      <c r="BI724">
        <v>0</v>
      </c>
      <c r="BJ724">
        <v>0</v>
      </c>
      <c r="BK724">
        <v>0</v>
      </c>
      <c r="BL724" s="2">
        <v>24.82</v>
      </c>
      <c r="BM724" s="2">
        <v>42005.095138888886</v>
      </c>
      <c r="BN724" s="2">
        <v>5.4</v>
      </c>
      <c r="BO724" s="2">
        <v>42005.092361111114</v>
      </c>
      <c r="BP724" s="2">
        <v>6.92</v>
      </c>
      <c r="BQ724" s="2">
        <v>42005.092361111114</v>
      </c>
      <c r="BR724" s="2">
        <v>11.07</v>
      </c>
      <c r="BS724" s="2">
        <v>42005.092361111114</v>
      </c>
      <c r="BT724">
        <v>0</v>
      </c>
      <c r="BU724">
        <v>0</v>
      </c>
      <c r="BV724" t="s">
        <v>135</v>
      </c>
      <c r="BW724">
        <v>0</v>
      </c>
      <c r="BX724">
        <v>0</v>
      </c>
      <c r="BY724" t="s">
        <v>135</v>
      </c>
      <c r="BZ724">
        <v>0</v>
      </c>
      <c r="CA724">
        <v>0</v>
      </c>
      <c r="CB724" t="s">
        <v>135</v>
      </c>
      <c r="CH724" s="2"/>
      <c r="CJ724" s="2"/>
      <c r="CL724" s="2"/>
      <c r="CN724" s="2"/>
      <c r="CQ724" s="2"/>
      <c r="CT724" s="2"/>
      <c r="CW724" s="2"/>
    </row>
    <row r="725" spans="1:101" x14ac:dyDescent="0.25">
      <c r="A725" s="1" t="s">
        <v>163</v>
      </c>
      <c r="B725" s="75" t="s">
        <v>164</v>
      </c>
      <c r="C725">
        <v>0</v>
      </c>
      <c r="D725">
        <v>0</v>
      </c>
      <c r="E725">
        <v>0</v>
      </c>
      <c r="F725">
        <v>604324.56000000006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3.91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7490</v>
      </c>
      <c r="AW725">
        <v>3350</v>
      </c>
      <c r="AX725">
        <v>1219</v>
      </c>
      <c r="AY725">
        <v>12059</v>
      </c>
      <c r="AZ725">
        <v>4202</v>
      </c>
      <c r="BA725">
        <v>7438</v>
      </c>
      <c r="BB725">
        <v>1432</v>
      </c>
      <c r="BC725">
        <v>13072</v>
      </c>
      <c r="BD725">
        <v>9486</v>
      </c>
      <c r="BE725">
        <v>9222</v>
      </c>
      <c r="BF725">
        <v>1768</v>
      </c>
      <c r="BG725">
        <v>20476</v>
      </c>
      <c r="BH725">
        <v>0</v>
      </c>
      <c r="BI725">
        <v>0</v>
      </c>
      <c r="BJ725">
        <v>0</v>
      </c>
      <c r="BK725">
        <v>0</v>
      </c>
      <c r="BL725" s="2">
        <v>24.82</v>
      </c>
      <c r="BM725" s="2">
        <v>42005.095138888886</v>
      </c>
      <c r="BN725" s="2">
        <v>5.4</v>
      </c>
      <c r="BO725" s="2">
        <v>42005.092361111114</v>
      </c>
      <c r="BP725" s="2">
        <v>6.92</v>
      </c>
      <c r="BQ725" s="2">
        <v>42005.092361111114</v>
      </c>
      <c r="BR725" s="2">
        <v>11.07</v>
      </c>
      <c r="BS725" s="2">
        <v>42005.092361111114</v>
      </c>
      <c r="BT725">
        <v>0</v>
      </c>
      <c r="BU725">
        <v>0</v>
      </c>
      <c r="BV725" t="s">
        <v>135</v>
      </c>
      <c r="BW725">
        <v>0</v>
      </c>
      <c r="BX725">
        <v>0</v>
      </c>
      <c r="BY725" t="s">
        <v>135</v>
      </c>
      <c r="BZ725">
        <v>0</v>
      </c>
      <c r="CA725">
        <v>0</v>
      </c>
      <c r="CB725" t="s">
        <v>135</v>
      </c>
      <c r="CH725" s="2"/>
      <c r="CJ725" s="2"/>
      <c r="CL725" s="2"/>
      <c r="CN725" s="2"/>
      <c r="CQ725" s="2"/>
      <c r="CT725" s="2"/>
      <c r="CW725" s="2"/>
    </row>
    <row r="726" spans="1:101" x14ac:dyDescent="0.25">
      <c r="A726" s="1" t="s">
        <v>163</v>
      </c>
      <c r="B726" s="75" t="s">
        <v>164</v>
      </c>
      <c r="C726">
        <v>0</v>
      </c>
      <c r="D726">
        <v>0</v>
      </c>
      <c r="E726">
        <v>0</v>
      </c>
      <c r="F726">
        <v>604324.56000000006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3.91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7490</v>
      </c>
      <c r="AW726">
        <v>3350</v>
      </c>
      <c r="AX726">
        <v>1219</v>
      </c>
      <c r="AY726">
        <v>12059</v>
      </c>
      <c r="AZ726">
        <v>4202</v>
      </c>
      <c r="BA726">
        <v>7438</v>
      </c>
      <c r="BB726">
        <v>1432</v>
      </c>
      <c r="BC726">
        <v>13072</v>
      </c>
      <c r="BD726">
        <v>9486</v>
      </c>
      <c r="BE726">
        <v>9222</v>
      </c>
      <c r="BF726">
        <v>1768</v>
      </c>
      <c r="BG726">
        <v>20476</v>
      </c>
      <c r="BH726">
        <v>0</v>
      </c>
      <c r="BI726">
        <v>0</v>
      </c>
      <c r="BJ726">
        <v>0</v>
      </c>
      <c r="BK726">
        <v>0</v>
      </c>
      <c r="BL726" s="2">
        <v>24.82</v>
      </c>
      <c r="BM726" s="2">
        <v>42005.095138888886</v>
      </c>
      <c r="BN726" s="2">
        <v>5.4</v>
      </c>
      <c r="BO726" s="2">
        <v>42005.092361111114</v>
      </c>
      <c r="BP726" s="2">
        <v>6.92</v>
      </c>
      <c r="BQ726" s="2">
        <v>42005.092361111114</v>
      </c>
      <c r="BR726" s="2">
        <v>11.07</v>
      </c>
      <c r="BS726" s="2">
        <v>42005.092361111114</v>
      </c>
      <c r="BT726">
        <v>0</v>
      </c>
      <c r="BU726">
        <v>0</v>
      </c>
      <c r="BV726" t="s">
        <v>135</v>
      </c>
      <c r="BW726">
        <v>0</v>
      </c>
      <c r="BX726">
        <v>0</v>
      </c>
      <c r="BY726" t="s">
        <v>135</v>
      </c>
      <c r="BZ726">
        <v>0</v>
      </c>
      <c r="CA726">
        <v>0</v>
      </c>
      <c r="CB726" t="s">
        <v>135</v>
      </c>
      <c r="CH726" s="2"/>
      <c r="CJ726" s="2"/>
      <c r="CL726" s="2"/>
      <c r="CN726" s="2"/>
      <c r="CQ726" s="2"/>
      <c r="CT726" s="2"/>
      <c r="CW726" s="2"/>
    </row>
    <row r="727" spans="1:101" x14ac:dyDescent="0.25">
      <c r="A727" s="1" t="s">
        <v>163</v>
      </c>
      <c r="B727" s="75" t="s">
        <v>164</v>
      </c>
      <c r="C727">
        <v>0</v>
      </c>
      <c r="D727">
        <v>0</v>
      </c>
      <c r="E727">
        <v>0</v>
      </c>
      <c r="F727">
        <v>604324.56000000006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3.91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7490</v>
      </c>
      <c r="AW727">
        <v>3350</v>
      </c>
      <c r="AX727">
        <v>1219</v>
      </c>
      <c r="AY727">
        <v>12059</v>
      </c>
      <c r="AZ727">
        <v>4202</v>
      </c>
      <c r="BA727">
        <v>7438</v>
      </c>
      <c r="BB727">
        <v>1432</v>
      </c>
      <c r="BC727">
        <v>13072</v>
      </c>
      <c r="BD727">
        <v>9486</v>
      </c>
      <c r="BE727">
        <v>9222</v>
      </c>
      <c r="BF727">
        <v>1768</v>
      </c>
      <c r="BG727">
        <v>20476</v>
      </c>
      <c r="BH727">
        <v>0</v>
      </c>
      <c r="BI727">
        <v>0</v>
      </c>
      <c r="BJ727">
        <v>0</v>
      </c>
      <c r="BK727">
        <v>0</v>
      </c>
      <c r="BL727" s="2">
        <v>24.82</v>
      </c>
      <c r="BM727" s="2">
        <v>42005.095138888886</v>
      </c>
      <c r="BN727" s="2">
        <v>5.4</v>
      </c>
      <c r="BO727" s="2">
        <v>42005.092361111114</v>
      </c>
      <c r="BP727" s="2">
        <v>6.92</v>
      </c>
      <c r="BQ727" s="2">
        <v>42005.092361111114</v>
      </c>
      <c r="BR727" s="2">
        <v>11.07</v>
      </c>
      <c r="BS727" s="2">
        <v>42005.092361111114</v>
      </c>
      <c r="BT727">
        <v>0</v>
      </c>
      <c r="BU727">
        <v>0</v>
      </c>
      <c r="BV727" t="s">
        <v>135</v>
      </c>
      <c r="BW727">
        <v>0</v>
      </c>
      <c r="BX727">
        <v>0</v>
      </c>
      <c r="BY727" t="s">
        <v>135</v>
      </c>
      <c r="BZ727">
        <v>0</v>
      </c>
      <c r="CA727">
        <v>0</v>
      </c>
      <c r="CB727" t="s">
        <v>135</v>
      </c>
      <c r="CH727" s="2"/>
      <c r="CJ727" s="2"/>
      <c r="CL727" s="2"/>
      <c r="CN727" s="2"/>
      <c r="CQ727" s="2"/>
      <c r="CT727" s="2"/>
      <c r="CW727" s="2"/>
    </row>
    <row r="728" spans="1:101" x14ac:dyDescent="0.25">
      <c r="A728" s="1" t="s">
        <v>163</v>
      </c>
      <c r="B728" s="75" t="s">
        <v>164</v>
      </c>
      <c r="C728">
        <v>0</v>
      </c>
      <c r="D728">
        <v>0</v>
      </c>
      <c r="E728">
        <v>0</v>
      </c>
      <c r="F728">
        <v>604324.56000000006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3.91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7490</v>
      </c>
      <c r="AW728">
        <v>3350</v>
      </c>
      <c r="AX728">
        <v>1219</v>
      </c>
      <c r="AY728">
        <v>12059</v>
      </c>
      <c r="AZ728">
        <v>4202</v>
      </c>
      <c r="BA728">
        <v>7438</v>
      </c>
      <c r="BB728">
        <v>1432</v>
      </c>
      <c r="BC728">
        <v>13072</v>
      </c>
      <c r="BD728">
        <v>9486</v>
      </c>
      <c r="BE728">
        <v>9222</v>
      </c>
      <c r="BF728">
        <v>1768</v>
      </c>
      <c r="BG728">
        <v>20476</v>
      </c>
      <c r="BH728">
        <v>0</v>
      </c>
      <c r="BI728">
        <v>0</v>
      </c>
      <c r="BJ728">
        <v>0</v>
      </c>
      <c r="BK728">
        <v>0</v>
      </c>
      <c r="BL728" s="2">
        <v>24.82</v>
      </c>
      <c r="BM728" s="2">
        <v>42005.095138888886</v>
      </c>
      <c r="BN728" s="2">
        <v>5.4</v>
      </c>
      <c r="BO728" s="2">
        <v>42005.092361111114</v>
      </c>
      <c r="BP728" s="2">
        <v>6.92</v>
      </c>
      <c r="BQ728" s="2">
        <v>42005.092361111114</v>
      </c>
      <c r="BR728" s="2">
        <v>11.07</v>
      </c>
      <c r="BS728" s="2">
        <v>42005.092361111114</v>
      </c>
      <c r="BT728">
        <v>0</v>
      </c>
      <c r="BU728">
        <v>0</v>
      </c>
      <c r="BV728" t="s">
        <v>135</v>
      </c>
      <c r="BW728">
        <v>0</v>
      </c>
      <c r="BX728">
        <v>0</v>
      </c>
      <c r="BY728" t="s">
        <v>135</v>
      </c>
      <c r="BZ728">
        <v>0</v>
      </c>
      <c r="CA728">
        <v>0</v>
      </c>
      <c r="CB728" t="s">
        <v>135</v>
      </c>
      <c r="CH728" s="2"/>
      <c r="CJ728" s="2"/>
      <c r="CL728" s="2"/>
      <c r="CN728" s="2"/>
      <c r="CQ728" s="2"/>
      <c r="CT728" s="2"/>
      <c r="CW728" s="2"/>
    </row>
    <row r="729" spans="1:101" x14ac:dyDescent="0.25">
      <c r="A729" s="1" t="s">
        <v>163</v>
      </c>
      <c r="B729" s="75" t="s">
        <v>164</v>
      </c>
      <c r="C729">
        <v>0</v>
      </c>
      <c r="D729">
        <v>0</v>
      </c>
      <c r="E729">
        <v>0</v>
      </c>
      <c r="F729">
        <v>604324.56000000006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3.91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7490</v>
      </c>
      <c r="AW729">
        <v>3350</v>
      </c>
      <c r="AX729">
        <v>1219</v>
      </c>
      <c r="AY729">
        <v>12059</v>
      </c>
      <c r="AZ729">
        <v>4202</v>
      </c>
      <c r="BA729">
        <v>7438</v>
      </c>
      <c r="BB729">
        <v>1432</v>
      </c>
      <c r="BC729">
        <v>13072</v>
      </c>
      <c r="BD729">
        <v>9486</v>
      </c>
      <c r="BE729">
        <v>9222</v>
      </c>
      <c r="BF729">
        <v>1768</v>
      </c>
      <c r="BG729">
        <v>20476</v>
      </c>
      <c r="BH729">
        <v>0</v>
      </c>
      <c r="BI729">
        <v>0</v>
      </c>
      <c r="BJ729">
        <v>0</v>
      </c>
      <c r="BK729">
        <v>0</v>
      </c>
      <c r="BL729" s="2">
        <v>24.82</v>
      </c>
      <c r="BM729" s="2">
        <v>42005.095138888886</v>
      </c>
      <c r="BN729" s="2">
        <v>5.4</v>
      </c>
      <c r="BO729" s="2">
        <v>42005.092361111114</v>
      </c>
      <c r="BP729" s="2">
        <v>6.92</v>
      </c>
      <c r="BQ729" s="2">
        <v>42005.092361111114</v>
      </c>
      <c r="BR729" s="2">
        <v>11.07</v>
      </c>
      <c r="BS729" s="2">
        <v>42005.092361111114</v>
      </c>
      <c r="BT729">
        <v>0</v>
      </c>
      <c r="BU729">
        <v>0</v>
      </c>
      <c r="BV729" t="s">
        <v>135</v>
      </c>
      <c r="BW729">
        <v>0</v>
      </c>
      <c r="BX729">
        <v>0</v>
      </c>
      <c r="BY729" t="s">
        <v>135</v>
      </c>
      <c r="BZ729">
        <v>0</v>
      </c>
      <c r="CA729">
        <v>0</v>
      </c>
      <c r="CB729" t="s">
        <v>135</v>
      </c>
      <c r="CH729" s="2"/>
      <c r="CJ729" s="2"/>
      <c r="CL729" s="2"/>
      <c r="CN729" s="2"/>
      <c r="CQ729" s="2"/>
      <c r="CT729" s="2"/>
      <c r="CW729" s="2"/>
    </row>
    <row r="730" spans="1:101" x14ac:dyDescent="0.25">
      <c r="A730" s="1" t="s">
        <v>163</v>
      </c>
      <c r="B730" s="75" t="s">
        <v>164</v>
      </c>
      <c r="C730">
        <v>0</v>
      </c>
      <c r="D730">
        <v>0</v>
      </c>
      <c r="E730">
        <v>0</v>
      </c>
      <c r="F730">
        <v>604324.56000000006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3.91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7490</v>
      </c>
      <c r="AW730">
        <v>3350</v>
      </c>
      <c r="AX730">
        <v>1219</v>
      </c>
      <c r="AY730">
        <v>12059</v>
      </c>
      <c r="AZ730">
        <v>4202</v>
      </c>
      <c r="BA730">
        <v>7438</v>
      </c>
      <c r="BB730">
        <v>1432</v>
      </c>
      <c r="BC730">
        <v>13072</v>
      </c>
      <c r="BD730">
        <v>9486</v>
      </c>
      <c r="BE730">
        <v>9222</v>
      </c>
      <c r="BF730">
        <v>1768</v>
      </c>
      <c r="BG730">
        <v>20476</v>
      </c>
      <c r="BH730">
        <v>0</v>
      </c>
      <c r="BI730">
        <v>0</v>
      </c>
      <c r="BJ730">
        <v>0</v>
      </c>
      <c r="BK730">
        <v>0</v>
      </c>
      <c r="BL730" s="2">
        <v>24.82</v>
      </c>
      <c r="BM730" s="2">
        <v>42005.095138888886</v>
      </c>
      <c r="BN730" s="2">
        <v>5.4</v>
      </c>
      <c r="BO730" s="2">
        <v>42005.092361111114</v>
      </c>
      <c r="BP730" s="2">
        <v>6.92</v>
      </c>
      <c r="BQ730" s="2">
        <v>42005.092361111114</v>
      </c>
      <c r="BR730" s="2">
        <v>11.07</v>
      </c>
      <c r="BS730" s="2">
        <v>42005.092361111114</v>
      </c>
      <c r="BT730">
        <v>0</v>
      </c>
      <c r="BU730">
        <v>0</v>
      </c>
      <c r="BV730" t="s">
        <v>135</v>
      </c>
      <c r="BW730">
        <v>0</v>
      </c>
      <c r="BX730">
        <v>0</v>
      </c>
      <c r="BY730" t="s">
        <v>135</v>
      </c>
      <c r="BZ730">
        <v>0</v>
      </c>
      <c r="CA730">
        <v>0</v>
      </c>
      <c r="CB730" t="s">
        <v>135</v>
      </c>
      <c r="CH730" s="2"/>
      <c r="CJ730" s="2"/>
      <c r="CL730" s="2"/>
      <c r="CN730" s="2"/>
      <c r="CQ730" s="2"/>
      <c r="CT730" s="2"/>
      <c r="CW730" s="2"/>
    </row>
    <row r="731" spans="1:101" x14ac:dyDescent="0.25">
      <c r="A731" s="1" t="s">
        <v>163</v>
      </c>
      <c r="B731" s="75" t="s">
        <v>164</v>
      </c>
      <c r="C731">
        <v>0</v>
      </c>
      <c r="D731">
        <v>0</v>
      </c>
      <c r="E731">
        <v>0</v>
      </c>
      <c r="F731">
        <v>604324.56000000006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3.91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7490</v>
      </c>
      <c r="AW731">
        <v>3350</v>
      </c>
      <c r="AX731">
        <v>1219</v>
      </c>
      <c r="AY731">
        <v>12059</v>
      </c>
      <c r="AZ731">
        <v>4202</v>
      </c>
      <c r="BA731">
        <v>7438</v>
      </c>
      <c r="BB731">
        <v>1432</v>
      </c>
      <c r="BC731">
        <v>13072</v>
      </c>
      <c r="BD731">
        <v>9486</v>
      </c>
      <c r="BE731">
        <v>9222</v>
      </c>
      <c r="BF731">
        <v>1768</v>
      </c>
      <c r="BG731">
        <v>20476</v>
      </c>
      <c r="BH731">
        <v>0</v>
      </c>
      <c r="BI731">
        <v>0</v>
      </c>
      <c r="BJ731">
        <v>0</v>
      </c>
      <c r="BK731">
        <v>0</v>
      </c>
      <c r="BL731" s="2">
        <v>24.82</v>
      </c>
      <c r="BM731" s="2">
        <v>42005.095138888886</v>
      </c>
      <c r="BN731" s="2">
        <v>5.4</v>
      </c>
      <c r="BO731" s="2">
        <v>42005.092361111114</v>
      </c>
      <c r="BP731" s="2">
        <v>6.92</v>
      </c>
      <c r="BQ731" s="2">
        <v>42005.092361111114</v>
      </c>
      <c r="BR731" s="2">
        <v>11.07</v>
      </c>
      <c r="BS731" s="2">
        <v>42005.092361111114</v>
      </c>
      <c r="BT731">
        <v>0</v>
      </c>
      <c r="BU731">
        <v>0</v>
      </c>
      <c r="BV731" t="s">
        <v>135</v>
      </c>
      <c r="BW731">
        <v>0</v>
      </c>
      <c r="BX731">
        <v>0</v>
      </c>
      <c r="BY731" t="s">
        <v>135</v>
      </c>
      <c r="BZ731">
        <v>0</v>
      </c>
      <c r="CA731">
        <v>0</v>
      </c>
      <c r="CB731" t="s">
        <v>135</v>
      </c>
      <c r="CH731" s="2"/>
      <c r="CJ731" s="2"/>
      <c r="CL731" s="2"/>
      <c r="CN731" s="2"/>
      <c r="CQ731" s="2"/>
      <c r="CT731" s="2"/>
      <c r="CW731" s="2"/>
    </row>
    <row r="732" spans="1:101" x14ac:dyDescent="0.25">
      <c r="A732" s="1" t="s">
        <v>163</v>
      </c>
      <c r="B732" s="75" t="s">
        <v>164</v>
      </c>
      <c r="C732">
        <v>0</v>
      </c>
      <c r="D732">
        <v>0</v>
      </c>
      <c r="E732">
        <v>0</v>
      </c>
      <c r="F732">
        <v>604324.56000000006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3.91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7490</v>
      </c>
      <c r="AW732">
        <v>3350</v>
      </c>
      <c r="AX732">
        <v>1219</v>
      </c>
      <c r="AY732">
        <v>12059</v>
      </c>
      <c r="AZ732">
        <v>4202</v>
      </c>
      <c r="BA732">
        <v>7438</v>
      </c>
      <c r="BB732">
        <v>1432</v>
      </c>
      <c r="BC732">
        <v>13072</v>
      </c>
      <c r="BD732">
        <v>9486</v>
      </c>
      <c r="BE732">
        <v>9222</v>
      </c>
      <c r="BF732">
        <v>1768</v>
      </c>
      <c r="BG732">
        <v>20476</v>
      </c>
      <c r="BH732">
        <v>0</v>
      </c>
      <c r="BI732">
        <v>0</v>
      </c>
      <c r="BJ732">
        <v>0</v>
      </c>
      <c r="BK732">
        <v>0</v>
      </c>
      <c r="BL732" s="2">
        <v>24.82</v>
      </c>
      <c r="BM732" s="2">
        <v>42005.095138888886</v>
      </c>
      <c r="BN732" s="2">
        <v>5.4</v>
      </c>
      <c r="BO732" s="2">
        <v>42005.092361111114</v>
      </c>
      <c r="BP732" s="2">
        <v>6.92</v>
      </c>
      <c r="BQ732" s="2">
        <v>42005.092361111114</v>
      </c>
      <c r="BR732" s="2">
        <v>11.07</v>
      </c>
      <c r="BS732" s="2">
        <v>42005.092361111114</v>
      </c>
      <c r="BT732">
        <v>0</v>
      </c>
      <c r="BU732">
        <v>0</v>
      </c>
      <c r="BV732" t="s">
        <v>135</v>
      </c>
      <c r="BW732">
        <v>0</v>
      </c>
      <c r="BX732">
        <v>0</v>
      </c>
      <c r="BY732" t="s">
        <v>135</v>
      </c>
      <c r="BZ732">
        <v>0</v>
      </c>
      <c r="CA732">
        <v>0</v>
      </c>
      <c r="CB732" t="s">
        <v>135</v>
      </c>
      <c r="CH732" s="2"/>
      <c r="CJ732" s="2"/>
      <c r="CL732" s="2"/>
      <c r="CN732" s="2"/>
      <c r="CQ732" s="2"/>
      <c r="CT732" s="2"/>
      <c r="CW732" s="2"/>
    </row>
    <row r="733" spans="1:101" x14ac:dyDescent="0.25">
      <c r="A733" s="1" t="s">
        <v>163</v>
      </c>
      <c r="B733" s="75" t="s">
        <v>164</v>
      </c>
      <c r="C733">
        <v>0</v>
      </c>
      <c r="D733">
        <v>0</v>
      </c>
      <c r="E733">
        <v>0</v>
      </c>
      <c r="F733">
        <v>604324.56000000006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3.91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7490</v>
      </c>
      <c r="AW733">
        <v>3350</v>
      </c>
      <c r="AX733">
        <v>1219</v>
      </c>
      <c r="AY733">
        <v>12059</v>
      </c>
      <c r="AZ733">
        <v>4202</v>
      </c>
      <c r="BA733">
        <v>7438</v>
      </c>
      <c r="BB733">
        <v>1432</v>
      </c>
      <c r="BC733">
        <v>13072</v>
      </c>
      <c r="BD733">
        <v>9486</v>
      </c>
      <c r="BE733">
        <v>9222</v>
      </c>
      <c r="BF733">
        <v>1768</v>
      </c>
      <c r="BG733">
        <v>20476</v>
      </c>
      <c r="BH733">
        <v>0</v>
      </c>
      <c r="BI733">
        <v>0</v>
      </c>
      <c r="BJ733">
        <v>0</v>
      </c>
      <c r="BK733">
        <v>0</v>
      </c>
      <c r="BL733" s="2">
        <v>24.82</v>
      </c>
      <c r="BM733" s="2">
        <v>42005.095138888886</v>
      </c>
      <c r="BN733" s="2">
        <v>5.4</v>
      </c>
      <c r="BO733" s="2">
        <v>42005.092361111114</v>
      </c>
      <c r="BP733" s="2">
        <v>6.92</v>
      </c>
      <c r="BQ733" s="2">
        <v>42005.092361111114</v>
      </c>
      <c r="BR733" s="2">
        <v>11.07</v>
      </c>
      <c r="BS733" s="2">
        <v>42005.092361111114</v>
      </c>
      <c r="BT733">
        <v>0</v>
      </c>
      <c r="BU733">
        <v>0</v>
      </c>
      <c r="BV733" t="s">
        <v>135</v>
      </c>
      <c r="BW733">
        <v>0</v>
      </c>
      <c r="BX733">
        <v>0</v>
      </c>
      <c r="BY733" t="s">
        <v>135</v>
      </c>
      <c r="BZ733">
        <v>0</v>
      </c>
      <c r="CA733">
        <v>0</v>
      </c>
      <c r="CB733" t="s">
        <v>135</v>
      </c>
      <c r="CH733" s="2"/>
      <c r="CJ733" s="2"/>
      <c r="CL733" s="2"/>
      <c r="CN733" s="2"/>
      <c r="CQ733" s="2"/>
      <c r="CT733" s="2"/>
      <c r="CW733" s="2"/>
    </row>
    <row r="734" spans="1:101" x14ac:dyDescent="0.25">
      <c r="A734" s="1" t="s">
        <v>163</v>
      </c>
      <c r="B734" s="75" t="s">
        <v>164</v>
      </c>
      <c r="C734">
        <v>0</v>
      </c>
      <c r="D734">
        <v>0</v>
      </c>
      <c r="E734">
        <v>0</v>
      </c>
      <c r="F734">
        <v>604324.56000000006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3.91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7490</v>
      </c>
      <c r="AW734">
        <v>3350</v>
      </c>
      <c r="AX734">
        <v>1219</v>
      </c>
      <c r="AY734">
        <v>12059</v>
      </c>
      <c r="AZ734">
        <v>4202</v>
      </c>
      <c r="BA734">
        <v>7438</v>
      </c>
      <c r="BB734">
        <v>1432</v>
      </c>
      <c r="BC734">
        <v>13072</v>
      </c>
      <c r="BD734">
        <v>9486</v>
      </c>
      <c r="BE734">
        <v>9222</v>
      </c>
      <c r="BF734">
        <v>1768</v>
      </c>
      <c r="BG734">
        <v>20476</v>
      </c>
      <c r="BH734">
        <v>0</v>
      </c>
      <c r="BI734">
        <v>0</v>
      </c>
      <c r="BJ734">
        <v>0</v>
      </c>
      <c r="BK734">
        <v>0</v>
      </c>
      <c r="BL734" s="2">
        <v>24.82</v>
      </c>
      <c r="BM734" s="2">
        <v>42005.095138888886</v>
      </c>
      <c r="BN734" s="2">
        <v>5.4</v>
      </c>
      <c r="BO734" s="2">
        <v>42005.092361111114</v>
      </c>
      <c r="BP734" s="2">
        <v>6.92</v>
      </c>
      <c r="BQ734" s="2">
        <v>42005.092361111114</v>
      </c>
      <c r="BR734" s="2">
        <v>11.07</v>
      </c>
      <c r="BS734" s="2">
        <v>42005.092361111114</v>
      </c>
      <c r="BT734">
        <v>0</v>
      </c>
      <c r="BU734">
        <v>0</v>
      </c>
      <c r="BV734" t="s">
        <v>135</v>
      </c>
      <c r="BW734">
        <v>0</v>
      </c>
      <c r="BX734">
        <v>0</v>
      </c>
      <c r="BY734" t="s">
        <v>135</v>
      </c>
      <c r="BZ734">
        <v>0</v>
      </c>
      <c r="CA734">
        <v>0</v>
      </c>
      <c r="CB734" t="s">
        <v>135</v>
      </c>
      <c r="CH734" s="2"/>
      <c r="CJ734" s="2"/>
      <c r="CL734" s="2"/>
      <c r="CN734" s="2"/>
      <c r="CQ734" s="2"/>
      <c r="CT734" s="2"/>
      <c r="CW734" s="2"/>
    </row>
    <row r="735" spans="1:101" x14ac:dyDescent="0.25">
      <c r="A735" s="1" t="s">
        <v>163</v>
      </c>
      <c r="B735" s="75" t="s">
        <v>164</v>
      </c>
      <c r="C735">
        <v>0</v>
      </c>
      <c r="D735">
        <v>0</v>
      </c>
      <c r="E735">
        <v>0</v>
      </c>
      <c r="F735">
        <v>604324.56000000006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3.91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7490</v>
      </c>
      <c r="AW735">
        <v>3350</v>
      </c>
      <c r="AX735">
        <v>1219</v>
      </c>
      <c r="AY735">
        <v>12059</v>
      </c>
      <c r="AZ735">
        <v>4202</v>
      </c>
      <c r="BA735">
        <v>7438</v>
      </c>
      <c r="BB735">
        <v>1432</v>
      </c>
      <c r="BC735">
        <v>13072</v>
      </c>
      <c r="BD735">
        <v>9486</v>
      </c>
      <c r="BE735">
        <v>9222</v>
      </c>
      <c r="BF735">
        <v>1768</v>
      </c>
      <c r="BG735">
        <v>20476</v>
      </c>
      <c r="BH735">
        <v>0</v>
      </c>
      <c r="BI735">
        <v>0</v>
      </c>
      <c r="BJ735">
        <v>0</v>
      </c>
      <c r="BK735">
        <v>0</v>
      </c>
      <c r="BL735" s="2">
        <v>24.82</v>
      </c>
      <c r="BM735" s="2">
        <v>42005.095138888886</v>
      </c>
      <c r="BN735" s="2">
        <v>5.4</v>
      </c>
      <c r="BO735" s="2">
        <v>42005.092361111114</v>
      </c>
      <c r="BP735" s="2">
        <v>6.92</v>
      </c>
      <c r="BQ735" s="2">
        <v>42005.092361111114</v>
      </c>
      <c r="BR735" s="2">
        <v>11.07</v>
      </c>
      <c r="BS735" s="2">
        <v>42005.092361111114</v>
      </c>
      <c r="BT735">
        <v>0</v>
      </c>
      <c r="BU735">
        <v>0</v>
      </c>
      <c r="BV735" t="s">
        <v>135</v>
      </c>
      <c r="BW735">
        <v>0</v>
      </c>
      <c r="BX735">
        <v>0</v>
      </c>
      <c r="BY735" t="s">
        <v>135</v>
      </c>
      <c r="BZ735">
        <v>0</v>
      </c>
      <c r="CA735">
        <v>0</v>
      </c>
      <c r="CB735" t="s">
        <v>135</v>
      </c>
      <c r="CH735" s="2"/>
      <c r="CJ735" s="2"/>
      <c r="CL735" s="2"/>
      <c r="CN735" s="2"/>
      <c r="CQ735" s="2"/>
      <c r="CT735" s="2"/>
      <c r="CW735" s="2"/>
    </row>
    <row r="736" spans="1:101" x14ac:dyDescent="0.25">
      <c r="A736" s="1" t="s">
        <v>163</v>
      </c>
      <c r="B736" s="75" t="s">
        <v>164</v>
      </c>
      <c r="C736">
        <v>0</v>
      </c>
      <c r="D736">
        <v>0</v>
      </c>
      <c r="E736">
        <v>0</v>
      </c>
      <c r="F736">
        <v>604324.56000000006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3.91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7490</v>
      </c>
      <c r="AW736">
        <v>3350</v>
      </c>
      <c r="AX736">
        <v>1219</v>
      </c>
      <c r="AY736">
        <v>12059</v>
      </c>
      <c r="AZ736">
        <v>4202</v>
      </c>
      <c r="BA736">
        <v>7438</v>
      </c>
      <c r="BB736">
        <v>1432</v>
      </c>
      <c r="BC736">
        <v>13072</v>
      </c>
      <c r="BD736">
        <v>9486</v>
      </c>
      <c r="BE736">
        <v>9222</v>
      </c>
      <c r="BF736">
        <v>1768</v>
      </c>
      <c r="BG736">
        <v>20476</v>
      </c>
      <c r="BH736">
        <v>0</v>
      </c>
      <c r="BI736">
        <v>0</v>
      </c>
      <c r="BJ736">
        <v>0</v>
      </c>
      <c r="BK736">
        <v>0</v>
      </c>
      <c r="BL736" s="2">
        <v>24.82</v>
      </c>
      <c r="BM736" s="2">
        <v>42005.095138888886</v>
      </c>
      <c r="BN736" s="2">
        <v>5.4</v>
      </c>
      <c r="BO736" s="2">
        <v>42005.092361111114</v>
      </c>
      <c r="BP736" s="2">
        <v>6.92</v>
      </c>
      <c r="BQ736" s="2">
        <v>42005.092361111114</v>
      </c>
      <c r="BR736" s="2">
        <v>11.07</v>
      </c>
      <c r="BS736" s="2">
        <v>42005.092361111114</v>
      </c>
      <c r="BT736">
        <v>0</v>
      </c>
      <c r="BU736">
        <v>0</v>
      </c>
      <c r="BV736" t="s">
        <v>135</v>
      </c>
      <c r="BW736">
        <v>0</v>
      </c>
      <c r="BX736">
        <v>0</v>
      </c>
      <c r="BY736" t="s">
        <v>135</v>
      </c>
      <c r="BZ736">
        <v>0</v>
      </c>
      <c r="CA736">
        <v>0</v>
      </c>
      <c r="CB736" t="s">
        <v>135</v>
      </c>
      <c r="CH736" s="2"/>
      <c r="CJ736" s="2"/>
      <c r="CL736" s="2"/>
      <c r="CN736" s="2"/>
      <c r="CQ736" s="2"/>
      <c r="CT736" s="2"/>
      <c r="CW736" s="2"/>
    </row>
    <row r="737" spans="1:101" x14ac:dyDescent="0.25">
      <c r="A737" s="1" t="s">
        <v>163</v>
      </c>
      <c r="B737" s="75" t="s">
        <v>164</v>
      </c>
      <c r="C737">
        <v>0</v>
      </c>
      <c r="D737">
        <v>0</v>
      </c>
      <c r="E737">
        <v>0</v>
      </c>
      <c r="F737">
        <v>604324.56000000006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3.91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7490</v>
      </c>
      <c r="AW737">
        <v>3350</v>
      </c>
      <c r="AX737">
        <v>1219</v>
      </c>
      <c r="AY737">
        <v>12059</v>
      </c>
      <c r="AZ737">
        <v>4202</v>
      </c>
      <c r="BA737">
        <v>7438</v>
      </c>
      <c r="BB737">
        <v>1432</v>
      </c>
      <c r="BC737">
        <v>13072</v>
      </c>
      <c r="BD737">
        <v>9486</v>
      </c>
      <c r="BE737">
        <v>9222</v>
      </c>
      <c r="BF737">
        <v>1768</v>
      </c>
      <c r="BG737">
        <v>20476</v>
      </c>
      <c r="BH737">
        <v>0</v>
      </c>
      <c r="BI737">
        <v>0</v>
      </c>
      <c r="BJ737">
        <v>0</v>
      </c>
      <c r="BK737">
        <v>0</v>
      </c>
      <c r="BL737" s="2">
        <v>24.82</v>
      </c>
      <c r="BM737" s="2">
        <v>42005.095138888886</v>
      </c>
      <c r="BN737" s="2">
        <v>5.4</v>
      </c>
      <c r="BO737" s="2">
        <v>42005.092361111114</v>
      </c>
      <c r="BP737" s="2">
        <v>6.92</v>
      </c>
      <c r="BQ737" s="2">
        <v>42005.092361111114</v>
      </c>
      <c r="BR737" s="2">
        <v>11.07</v>
      </c>
      <c r="BS737" s="2">
        <v>42005.092361111114</v>
      </c>
      <c r="BT737">
        <v>0</v>
      </c>
      <c r="BU737">
        <v>0</v>
      </c>
      <c r="BV737" t="s">
        <v>135</v>
      </c>
      <c r="BW737">
        <v>0</v>
      </c>
      <c r="BX737">
        <v>0</v>
      </c>
      <c r="BY737" t="s">
        <v>135</v>
      </c>
      <c r="BZ737">
        <v>0</v>
      </c>
      <c r="CA737">
        <v>0</v>
      </c>
      <c r="CB737" t="s">
        <v>135</v>
      </c>
      <c r="CH737" s="2"/>
      <c r="CJ737" s="2"/>
      <c r="CL737" s="2"/>
      <c r="CN737" s="2"/>
      <c r="CQ737" s="2"/>
      <c r="CT737" s="2"/>
      <c r="CW737" s="2"/>
    </row>
    <row r="738" spans="1:101" x14ac:dyDescent="0.25">
      <c r="A738" s="1" t="s">
        <v>163</v>
      </c>
      <c r="B738" s="75" t="s">
        <v>164</v>
      </c>
      <c r="C738">
        <v>0</v>
      </c>
      <c r="D738">
        <v>0</v>
      </c>
      <c r="E738">
        <v>0</v>
      </c>
      <c r="F738">
        <v>604324.56000000006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3.91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7490</v>
      </c>
      <c r="AW738">
        <v>3350</v>
      </c>
      <c r="AX738">
        <v>1219</v>
      </c>
      <c r="AY738">
        <v>12059</v>
      </c>
      <c r="AZ738">
        <v>4202</v>
      </c>
      <c r="BA738">
        <v>7438</v>
      </c>
      <c r="BB738">
        <v>1432</v>
      </c>
      <c r="BC738">
        <v>13072</v>
      </c>
      <c r="BD738">
        <v>9486</v>
      </c>
      <c r="BE738">
        <v>9222</v>
      </c>
      <c r="BF738">
        <v>1768</v>
      </c>
      <c r="BG738">
        <v>20476</v>
      </c>
      <c r="BH738">
        <v>0</v>
      </c>
      <c r="BI738">
        <v>0</v>
      </c>
      <c r="BJ738">
        <v>0</v>
      </c>
      <c r="BK738">
        <v>0</v>
      </c>
      <c r="BL738" s="2">
        <v>24.82</v>
      </c>
      <c r="BM738" s="2">
        <v>42005.095138888886</v>
      </c>
      <c r="BN738" s="2">
        <v>5.4</v>
      </c>
      <c r="BO738" s="2">
        <v>42005.092361111114</v>
      </c>
      <c r="BP738" s="2">
        <v>6.92</v>
      </c>
      <c r="BQ738" s="2">
        <v>42005.092361111114</v>
      </c>
      <c r="BR738" s="2">
        <v>11.07</v>
      </c>
      <c r="BS738" s="2">
        <v>42005.092361111114</v>
      </c>
      <c r="BT738">
        <v>0</v>
      </c>
      <c r="BU738">
        <v>0</v>
      </c>
      <c r="BV738" t="s">
        <v>135</v>
      </c>
      <c r="BW738">
        <v>0</v>
      </c>
      <c r="BX738">
        <v>0</v>
      </c>
      <c r="BY738" t="s">
        <v>135</v>
      </c>
      <c r="BZ738">
        <v>0</v>
      </c>
      <c r="CA738">
        <v>0</v>
      </c>
      <c r="CB738" t="s">
        <v>135</v>
      </c>
      <c r="CH738" s="2"/>
      <c r="CJ738" s="2"/>
      <c r="CL738" s="2"/>
      <c r="CN738" s="2"/>
      <c r="CQ738" s="2"/>
      <c r="CT738" s="2"/>
      <c r="CW738" s="2"/>
    </row>
    <row r="739" spans="1:101" x14ac:dyDescent="0.25">
      <c r="A739" s="1" t="s">
        <v>163</v>
      </c>
      <c r="B739" s="75" t="s">
        <v>164</v>
      </c>
      <c r="C739">
        <v>0</v>
      </c>
      <c r="D739">
        <v>0</v>
      </c>
      <c r="E739">
        <v>0</v>
      </c>
      <c r="F739">
        <v>604324.56000000006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3.91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7490</v>
      </c>
      <c r="AW739">
        <v>3350</v>
      </c>
      <c r="AX739">
        <v>1219</v>
      </c>
      <c r="AY739">
        <v>12059</v>
      </c>
      <c r="AZ739">
        <v>4202</v>
      </c>
      <c r="BA739">
        <v>7438</v>
      </c>
      <c r="BB739">
        <v>1432</v>
      </c>
      <c r="BC739">
        <v>13072</v>
      </c>
      <c r="BD739">
        <v>9486</v>
      </c>
      <c r="BE739">
        <v>9222</v>
      </c>
      <c r="BF739">
        <v>1768</v>
      </c>
      <c r="BG739">
        <v>20476</v>
      </c>
      <c r="BH739">
        <v>0</v>
      </c>
      <c r="BI739">
        <v>0</v>
      </c>
      <c r="BJ739">
        <v>0</v>
      </c>
      <c r="BK739">
        <v>0</v>
      </c>
      <c r="BL739" s="2">
        <v>24.82</v>
      </c>
      <c r="BM739" s="2">
        <v>42005.095138888886</v>
      </c>
      <c r="BN739" s="2">
        <v>5.4</v>
      </c>
      <c r="BO739" s="2">
        <v>42005.092361111114</v>
      </c>
      <c r="BP739" s="2">
        <v>6.92</v>
      </c>
      <c r="BQ739" s="2">
        <v>42005.092361111114</v>
      </c>
      <c r="BR739" s="2">
        <v>11.07</v>
      </c>
      <c r="BS739" s="2">
        <v>42005.092361111114</v>
      </c>
      <c r="BT739">
        <v>0</v>
      </c>
      <c r="BU739">
        <v>0</v>
      </c>
      <c r="BV739" t="s">
        <v>135</v>
      </c>
      <c r="BW739">
        <v>0</v>
      </c>
      <c r="BX739">
        <v>0</v>
      </c>
      <c r="BY739" t="s">
        <v>135</v>
      </c>
      <c r="BZ739">
        <v>0</v>
      </c>
      <c r="CA739">
        <v>0</v>
      </c>
      <c r="CB739" t="s">
        <v>135</v>
      </c>
      <c r="CH739" s="2"/>
      <c r="CJ739" s="2"/>
      <c r="CL739" s="2"/>
      <c r="CN739" s="2"/>
      <c r="CQ739" s="2"/>
      <c r="CT739" s="2"/>
      <c r="CW739" s="2"/>
    </row>
    <row r="740" spans="1:101" x14ac:dyDescent="0.25">
      <c r="A740" s="1" t="s">
        <v>163</v>
      </c>
      <c r="B740" s="75" t="s">
        <v>164</v>
      </c>
      <c r="C740">
        <v>0</v>
      </c>
      <c r="D740">
        <v>0</v>
      </c>
      <c r="E740">
        <v>0</v>
      </c>
      <c r="F740">
        <v>604324.56000000006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3.91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7490</v>
      </c>
      <c r="AW740">
        <v>3350</v>
      </c>
      <c r="AX740">
        <v>1219</v>
      </c>
      <c r="AY740">
        <v>12059</v>
      </c>
      <c r="AZ740">
        <v>4202</v>
      </c>
      <c r="BA740">
        <v>7438</v>
      </c>
      <c r="BB740">
        <v>1432</v>
      </c>
      <c r="BC740">
        <v>13072</v>
      </c>
      <c r="BD740">
        <v>9486</v>
      </c>
      <c r="BE740">
        <v>9222</v>
      </c>
      <c r="BF740">
        <v>1768</v>
      </c>
      <c r="BG740">
        <v>20476</v>
      </c>
      <c r="BH740">
        <v>0</v>
      </c>
      <c r="BI740">
        <v>0</v>
      </c>
      <c r="BJ740">
        <v>0</v>
      </c>
      <c r="BK740">
        <v>0</v>
      </c>
      <c r="BL740" s="2">
        <v>24.82</v>
      </c>
      <c r="BM740" s="2">
        <v>42005.095138888886</v>
      </c>
      <c r="BN740" s="2">
        <v>5.4</v>
      </c>
      <c r="BO740" s="2">
        <v>42005.092361111114</v>
      </c>
      <c r="BP740" s="2">
        <v>6.92</v>
      </c>
      <c r="BQ740" s="2">
        <v>42005.092361111114</v>
      </c>
      <c r="BR740" s="2">
        <v>11.07</v>
      </c>
      <c r="BS740" s="2">
        <v>42005.092361111114</v>
      </c>
      <c r="BT740">
        <v>0</v>
      </c>
      <c r="BU740">
        <v>0</v>
      </c>
      <c r="BV740" t="s">
        <v>135</v>
      </c>
      <c r="BW740">
        <v>0</v>
      </c>
      <c r="BX740">
        <v>0</v>
      </c>
      <c r="BY740" t="s">
        <v>135</v>
      </c>
      <c r="BZ740">
        <v>0</v>
      </c>
      <c r="CA740">
        <v>0</v>
      </c>
      <c r="CB740" t="s">
        <v>135</v>
      </c>
      <c r="CH740" s="2"/>
      <c r="CJ740" s="2"/>
      <c r="CL740" s="2"/>
      <c r="CN740" s="2"/>
      <c r="CQ740" s="2"/>
      <c r="CT740" s="2"/>
      <c r="CW740" s="2"/>
    </row>
    <row r="741" spans="1:101" x14ac:dyDescent="0.25">
      <c r="A741" s="1" t="s">
        <v>163</v>
      </c>
      <c r="B741" s="75" t="s">
        <v>164</v>
      </c>
      <c r="C741">
        <v>0</v>
      </c>
      <c r="D741">
        <v>0</v>
      </c>
      <c r="E741">
        <v>0</v>
      </c>
      <c r="F741">
        <v>604324.56000000006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3.91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7490</v>
      </c>
      <c r="AW741">
        <v>3350</v>
      </c>
      <c r="AX741">
        <v>1219</v>
      </c>
      <c r="AY741">
        <v>12059</v>
      </c>
      <c r="AZ741">
        <v>4202</v>
      </c>
      <c r="BA741">
        <v>7438</v>
      </c>
      <c r="BB741">
        <v>1432</v>
      </c>
      <c r="BC741">
        <v>13072</v>
      </c>
      <c r="BD741">
        <v>9486</v>
      </c>
      <c r="BE741">
        <v>9222</v>
      </c>
      <c r="BF741">
        <v>1768</v>
      </c>
      <c r="BG741">
        <v>20476</v>
      </c>
      <c r="BH741">
        <v>0</v>
      </c>
      <c r="BI741">
        <v>0</v>
      </c>
      <c r="BJ741">
        <v>0</v>
      </c>
      <c r="BK741">
        <v>0</v>
      </c>
      <c r="BL741" s="2">
        <v>24.82</v>
      </c>
      <c r="BM741" s="2">
        <v>42005.095138888886</v>
      </c>
      <c r="BN741" s="2">
        <v>5.4</v>
      </c>
      <c r="BO741" s="2">
        <v>42005.092361111114</v>
      </c>
      <c r="BP741" s="2">
        <v>6.92</v>
      </c>
      <c r="BQ741" s="2">
        <v>42005.092361111114</v>
      </c>
      <c r="BR741" s="2">
        <v>11.07</v>
      </c>
      <c r="BS741" s="2">
        <v>42005.092361111114</v>
      </c>
      <c r="BT741">
        <v>0</v>
      </c>
      <c r="BU741">
        <v>0</v>
      </c>
      <c r="BV741" t="s">
        <v>135</v>
      </c>
      <c r="BW741">
        <v>0</v>
      </c>
      <c r="BX741">
        <v>0</v>
      </c>
      <c r="BY741" t="s">
        <v>135</v>
      </c>
      <c r="BZ741">
        <v>0</v>
      </c>
      <c r="CA741">
        <v>0</v>
      </c>
      <c r="CB741" t="s">
        <v>135</v>
      </c>
      <c r="CH741" s="2"/>
      <c r="CJ741" s="2"/>
      <c r="CL741" s="2"/>
      <c r="CN741" s="2"/>
      <c r="CQ741" s="2"/>
      <c r="CT741" s="2"/>
      <c r="CW741" s="2"/>
    </row>
    <row r="742" spans="1:101" x14ac:dyDescent="0.25">
      <c r="A742" s="1" t="s">
        <v>163</v>
      </c>
      <c r="B742" s="75" t="s">
        <v>164</v>
      </c>
      <c r="C742">
        <v>0</v>
      </c>
      <c r="D742">
        <v>0</v>
      </c>
      <c r="E742">
        <v>0</v>
      </c>
      <c r="F742">
        <v>604324.56000000006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3.91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7490</v>
      </c>
      <c r="AW742">
        <v>3350</v>
      </c>
      <c r="AX742">
        <v>1219</v>
      </c>
      <c r="AY742">
        <v>12059</v>
      </c>
      <c r="AZ742">
        <v>4202</v>
      </c>
      <c r="BA742">
        <v>7438</v>
      </c>
      <c r="BB742">
        <v>1432</v>
      </c>
      <c r="BC742">
        <v>13072</v>
      </c>
      <c r="BD742">
        <v>9486</v>
      </c>
      <c r="BE742">
        <v>9222</v>
      </c>
      <c r="BF742">
        <v>1768</v>
      </c>
      <c r="BG742">
        <v>20476</v>
      </c>
      <c r="BH742">
        <v>0</v>
      </c>
      <c r="BI742">
        <v>0</v>
      </c>
      <c r="BJ742">
        <v>0</v>
      </c>
      <c r="BK742">
        <v>0</v>
      </c>
      <c r="BL742" s="2">
        <v>24.82</v>
      </c>
      <c r="BM742" s="2">
        <v>42005.095138888886</v>
      </c>
      <c r="BN742" s="2">
        <v>5.4</v>
      </c>
      <c r="BO742" s="2">
        <v>42005.092361111114</v>
      </c>
      <c r="BP742" s="2">
        <v>6.92</v>
      </c>
      <c r="BQ742" s="2">
        <v>42005.092361111114</v>
      </c>
      <c r="BR742" s="2">
        <v>11.07</v>
      </c>
      <c r="BS742" s="2">
        <v>42005.092361111114</v>
      </c>
      <c r="BT742">
        <v>0</v>
      </c>
      <c r="BU742">
        <v>0</v>
      </c>
      <c r="BV742" t="s">
        <v>135</v>
      </c>
      <c r="BW742">
        <v>0</v>
      </c>
      <c r="BX742">
        <v>0</v>
      </c>
      <c r="BY742" t="s">
        <v>135</v>
      </c>
      <c r="BZ742">
        <v>0</v>
      </c>
      <c r="CA742">
        <v>0</v>
      </c>
      <c r="CB742" t="s">
        <v>135</v>
      </c>
      <c r="CH742" s="2"/>
      <c r="CJ742" s="2"/>
      <c r="CL742" s="2"/>
      <c r="CN742" s="2"/>
      <c r="CQ742" s="2"/>
      <c r="CT742" s="2"/>
      <c r="CW742" s="2"/>
    </row>
    <row r="743" spans="1:101" x14ac:dyDescent="0.25">
      <c r="A743" s="1" t="s">
        <v>163</v>
      </c>
      <c r="B743" s="75" t="s">
        <v>164</v>
      </c>
      <c r="C743">
        <v>0</v>
      </c>
      <c r="D743">
        <v>0</v>
      </c>
      <c r="E743">
        <v>0</v>
      </c>
      <c r="F743">
        <v>604324.56000000006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3.91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7490</v>
      </c>
      <c r="AW743">
        <v>3350</v>
      </c>
      <c r="AX743">
        <v>1219</v>
      </c>
      <c r="AY743">
        <v>12059</v>
      </c>
      <c r="AZ743">
        <v>4202</v>
      </c>
      <c r="BA743">
        <v>7438</v>
      </c>
      <c r="BB743">
        <v>1432</v>
      </c>
      <c r="BC743">
        <v>13072</v>
      </c>
      <c r="BD743">
        <v>9486</v>
      </c>
      <c r="BE743">
        <v>9222</v>
      </c>
      <c r="BF743">
        <v>1768</v>
      </c>
      <c r="BG743">
        <v>20476</v>
      </c>
      <c r="BH743">
        <v>0</v>
      </c>
      <c r="BI743">
        <v>0</v>
      </c>
      <c r="BJ743">
        <v>0</v>
      </c>
      <c r="BK743">
        <v>0</v>
      </c>
      <c r="BL743" s="2">
        <v>24.82</v>
      </c>
      <c r="BM743" s="2">
        <v>42005.095138888886</v>
      </c>
      <c r="BN743" s="2">
        <v>5.4</v>
      </c>
      <c r="BO743" s="2">
        <v>42005.092361111114</v>
      </c>
      <c r="BP743" s="2">
        <v>6.92</v>
      </c>
      <c r="BQ743" s="2">
        <v>42005.092361111114</v>
      </c>
      <c r="BR743" s="2">
        <v>11.07</v>
      </c>
      <c r="BS743" s="2">
        <v>42005.092361111114</v>
      </c>
      <c r="BT743">
        <v>0</v>
      </c>
      <c r="BU743">
        <v>0</v>
      </c>
      <c r="BV743" t="s">
        <v>135</v>
      </c>
      <c r="BW743">
        <v>0</v>
      </c>
      <c r="BX743">
        <v>0</v>
      </c>
      <c r="BY743" t="s">
        <v>135</v>
      </c>
      <c r="BZ743">
        <v>0</v>
      </c>
      <c r="CA743">
        <v>0</v>
      </c>
      <c r="CB743" t="s">
        <v>135</v>
      </c>
      <c r="CH743" s="2"/>
      <c r="CJ743" s="2"/>
      <c r="CL743" s="2"/>
      <c r="CN743" s="2"/>
      <c r="CQ743" s="2"/>
      <c r="CT743" s="2"/>
      <c r="CW743" s="2"/>
    </row>
    <row r="744" spans="1:101" x14ac:dyDescent="0.25">
      <c r="A744" s="1" t="s">
        <v>163</v>
      </c>
      <c r="B744" s="75" t="s">
        <v>164</v>
      </c>
      <c r="C744">
        <v>0</v>
      </c>
      <c r="D744">
        <v>0</v>
      </c>
      <c r="E744">
        <v>0</v>
      </c>
      <c r="F744">
        <v>604324.56000000006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3.91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7490</v>
      </c>
      <c r="AW744">
        <v>3350</v>
      </c>
      <c r="AX744">
        <v>1219</v>
      </c>
      <c r="AY744">
        <v>12059</v>
      </c>
      <c r="AZ744">
        <v>4202</v>
      </c>
      <c r="BA744">
        <v>7438</v>
      </c>
      <c r="BB744">
        <v>1432</v>
      </c>
      <c r="BC744">
        <v>13072</v>
      </c>
      <c r="BD744">
        <v>9486</v>
      </c>
      <c r="BE744">
        <v>9222</v>
      </c>
      <c r="BF744">
        <v>1768</v>
      </c>
      <c r="BG744">
        <v>20476</v>
      </c>
      <c r="BH744">
        <v>0</v>
      </c>
      <c r="BI744">
        <v>0</v>
      </c>
      <c r="BJ744">
        <v>0</v>
      </c>
      <c r="BK744">
        <v>0</v>
      </c>
      <c r="BL744" s="2">
        <v>24.82</v>
      </c>
      <c r="BM744" s="2">
        <v>42005.095138888886</v>
      </c>
      <c r="BN744" s="2">
        <v>5.4</v>
      </c>
      <c r="BO744" s="2">
        <v>42005.092361111114</v>
      </c>
      <c r="BP744" s="2">
        <v>6.92</v>
      </c>
      <c r="BQ744" s="2">
        <v>42005.092361111114</v>
      </c>
      <c r="BR744" s="2">
        <v>11.07</v>
      </c>
      <c r="BS744" s="2">
        <v>42005.092361111114</v>
      </c>
      <c r="BT744">
        <v>0</v>
      </c>
      <c r="BU744">
        <v>0</v>
      </c>
      <c r="BV744" t="s">
        <v>135</v>
      </c>
      <c r="BW744">
        <v>0</v>
      </c>
      <c r="BX744">
        <v>0</v>
      </c>
      <c r="BY744" t="s">
        <v>135</v>
      </c>
      <c r="BZ744">
        <v>0</v>
      </c>
      <c r="CA744">
        <v>0</v>
      </c>
      <c r="CB744" t="s">
        <v>135</v>
      </c>
      <c r="CH744" s="2"/>
      <c r="CJ744" s="2"/>
      <c r="CL744" s="2"/>
      <c r="CN744" s="2"/>
      <c r="CQ744" s="2"/>
      <c r="CT744" s="2"/>
      <c r="CW744" s="2"/>
    </row>
    <row r="745" spans="1:101" x14ac:dyDescent="0.25">
      <c r="A745" s="1" t="s">
        <v>163</v>
      </c>
      <c r="B745" s="75" t="s">
        <v>164</v>
      </c>
      <c r="C745">
        <v>0</v>
      </c>
      <c r="D745">
        <v>0</v>
      </c>
      <c r="E745">
        <v>0</v>
      </c>
      <c r="F745">
        <v>604324.56000000006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3.91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7490</v>
      </c>
      <c r="AW745">
        <v>3350</v>
      </c>
      <c r="AX745">
        <v>1219</v>
      </c>
      <c r="AY745">
        <v>12059</v>
      </c>
      <c r="AZ745">
        <v>4202</v>
      </c>
      <c r="BA745">
        <v>7438</v>
      </c>
      <c r="BB745">
        <v>1432</v>
      </c>
      <c r="BC745">
        <v>13072</v>
      </c>
      <c r="BD745">
        <v>9486</v>
      </c>
      <c r="BE745">
        <v>9222</v>
      </c>
      <c r="BF745">
        <v>1768</v>
      </c>
      <c r="BG745">
        <v>20476</v>
      </c>
      <c r="BH745">
        <v>0</v>
      </c>
      <c r="BI745">
        <v>0</v>
      </c>
      <c r="BJ745">
        <v>0</v>
      </c>
      <c r="BK745">
        <v>0</v>
      </c>
      <c r="BL745" s="2">
        <v>24.82</v>
      </c>
      <c r="BM745" s="2">
        <v>42005.095138888886</v>
      </c>
      <c r="BN745" s="2">
        <v>5.4</v>
      </c>
      <c r="BO745" s="2">
        <v>42005.092361111114</v>
      </c>
      <c r="BP745" s="2">
        <v>6.92</v>
      </c>
      <c r="BQ745" s="2">
        <v>42005.092361111114</v>
      </c>
      <c r="BR745" s="2">
        <v>11.07</v>
      </c>
      <c r="BS745" s="2">
        <v>42005.092361111114</v>
      </c>
      <c r="BT745">
        <v>0</v>
      </c>
      <c r="BU745">
        <v>0</v>
      </c>
      <c r="BV745" t="s">
        <v>135</v>
      </c>
      <c r="BW745">
        <v>0</v>
      </c>
      <c r="BX745">
        <v>0</v>
      </c>
      <c r="BY745" t="s">
        <v>135</v>
      </c>
      <c r="BZ745">
        <v>0</v>
      </c>
      <c r="CA745">
        <v>0</v>
      </c>
      <c r="CB745" t="s">
        <v>135</v>
      </c>
      <c r="CH745" s="2"/>
      <c r="CJ745" s="2"/>
      <c r="CL745" s="2"/>
      <c r="CN745" s="2"/>
      <c r="CQ745" s="2"/>
      <c r="CT745" s="2"/>
      <c r="CW745" s="2"/>
    </row>
    <row r="746" spans="1:101" x14ac:dyDescent="0.25">
      <c r="A746" s="1" t="s">
        <v>163</v>
      </c>
      <c r="B746" s="75" t="s">
        <v>164</v>
      </c>
      <c r="C746">
        <v>0</v>
      </c>
      <c r="D746">
        <v>0</v>
      </c>
      <c r="E746">
        <v>0</v>
      </c>
      <c r="F746">
        <v>604324.56000000006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3.91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7490</v>
      </c>
      <c r="AW746">
        <v>3350</v>
      </c>
      <c r="AX746">
        <v>1219</v>
      </c>
      <c r="AY746">
        <v>12059</v>
      </c>
      <c r="AZ746">
        <v>4202</v>
      </c>
      <c r="BA746">
        <v>7438</v>
      </c>
      <c r="BB746">
        <v>1432</v>
      </c>
      <c r="BC746">
        <v>13072</v>
      </c>
      <c r="BD746">
        <v>9486</v>
      </c>
      <c r="BE746">
        <v>9222</v>
      </c>
      <c r="BF746">
        <v>1768</v>
      </c>
      <c r="BG746">
        <v>20476</v>
      </c>
      <c r="BH746">
        <v>0</v>
      </c>
      <c r="BI746">
        <v>0</v>
      </c>
      <c r="BJ746">
        <v>0</v>
      </c>
      <c r="BK746">
        <v>0</v>
      </c>
      <c r="BL746" s="2">
        <v>24.82</v>
      </c>
      <c r="BM746" s="2">
        <v>42005.095138888886</v>
      </c>
      <c r="BN746" s="2">
        <v>5.4</v>
      </c>
      <c r="BO746" s="2">
        <v>42005.092361111114</v>
      </c>
      <c r="BP746" s="2">
        <v>6.92</v>
      </c>
      <c r="BQ746" s="2">
        <v>42005.092361111114</v>
      </c>
      <c r="BR746" s="2">
        <v>11.07</v>
      </c>
      <c r="BS746" s="2">
        <v>42005.092361111114</v>
      </c>
      <c r="BT746">
        <v>0</v>
      </c>
      <c r="BU746">
        <v>0</v>
      </c>
      <c r="BV746" t="s">
        <v>135</v>
      </c>
      <c r="BW746">
        <v>0</v>
      </c>
      <c r="BX746">
        <v>0</v>
      </c>
      <c r="BY746" t="s">
        <v>135</v>
      </c>
      <c r="BZ746">
        <v>0</v>
      </c>
      <c r="CA746">
        <v>0</v>
      </c>
      <c r="CB746" t="s">
        <v>135</v>
      </c>
      <c r="CH746" s="2"/>
      <c r="CJ746" s="2"/>
      <c r="CL746" s="2"/>
      <c r="CN746" s="2"/>
      <c r="CQ746" s="2"/>
      <c r="CT746" s="2"/>
      <c r="CW746" s="2"/>
    </row>
    <row r="747" spans="1:101" x14ac:dyDescent="0.25">
      <c r="A747" s="1" t="s">
        <v>163</v>
      </c>
      <c r="B747" s="75" t="s">
        <v>164</v>
      </c>
      <c r="C747">
        <v>0</v>
      </c>
      <c r="D747">
        <v>0</v>
      </c>
      <c r="E747">
        <v>0</v>
      </c>
      <c r="F747">
        <v>604324.56000000006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3.91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7490</v>
      </c>
      <c r="AW747">
        <v>3350</v>
      </c>
      <c r="AX747">
        <v>1219</v>
      </c>
      <c r="AY747">
        <v>12059</v>
      </c>
      <c r="AZ747">
        <v>4202</v>
      </c>
      <c r="BA747">
        <v>7438</v>
      </c>
      <c r="BB747">
        <v>1432</v>
      </c>
      <c r="BC747">
        <v>13072</v>
      </c>
      <c r="BD747">
        <v>9486</v>
      </c>
      <c r="BE747">
        <v>9222</v>
      </c>
      <c r="BF747">
        <v>1768</v>
      </c>
      <c r="BG747">
        <v>20476</v>
      </c>
      <c r="BH747">
        <v>0</v>
      </c>
      <c r="BI747">
        <v>0</v>
      </c>
      <c r="BJ747">
        <v>0</v>
      </c>
      <c r="BK747">
        <v>0</v>
      </c>
      <c r="BL747" s="2">
        <v>24.82</v>
      </c>
      <c r="BM747" s="2">
        <v>42005.095138888886</v>
      </c>
      <c r="BN747" s="2">
        <v>5.4</v>
      </c>
      <c r="BO747" s="2">
        <v>42005.092361111114</v>
      </c>
      <c r="BP747" s="2">
        <v>6.92</v>
      </c>
      <c r="BQ747" s="2">
        <v>42005.092361111114</v>
      </c>
      <c r="BR747" s="2">
        <v>11.07</v>
      </c>
      <c r="BS747" s="2">
        <v>42005.092361111114</v>
      </c>
      <c r="BT747">
        <v>0</v>
      </c>
      <c r="BU747">
        <v>0</v>
      </c>
      <c r="BV747" t="s">
        <v>135</v>
      </c>
      <c r="BW747">
        <v>0</v>
      </c>
      <c r="BX747">
        <v>0</v>
      </c>
      <c r="BY747" t="s">
        <v>135</v>
      </c>
      <c r="BZ747">
        <v>0</v>
      </c>
      <c r="CA747">
        <v>0</v>
      </c>
      <c r="CB747" t="s">
        <v>135</v>
      </c>
      <c r="CH747" s="2"/>
      <c r="CJ747" s="2"/>
      <c r="CL747" s="2"/>
      <c r="CN747" s="2"/>
      <c r="CQ747" s="2"/>
      <c r="CT747" s="2"/>
      <c r="CW747" s="2"/>
    </row>
    <row r="748" spans="1:101" x14ac:dyDescent="0.25">
      <c r="A748" s="1" t="s">
        <v>163</v>
      </c>
      <c r="B748" s="75" t="s">
        <v>164</v>
      </c>
      <c r="C748">
        <v>0</v>
      </c>
      <c r="D748">
        <v>0</v>
      </c>
      <c r="E748">
        <v>0</v>
      </c>
      <c r="F748">
        <v>604324.56000000006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3.91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7490</v>
      </c>
      <c r="AW748">
        <v>3350</v>
      </c>
      <c r="AX748">
        <v>1219</v>
      </c>
      <c r="AY748">
        <v>12059</v>
      </c>
      <c r="AZ748">
        <v>4202</v>
      </c>
      <c r="BA748">
        <v>7438</v>
      </c>
      <c r="BB748">
        <v>1432</v>
      </c>
      <c r="BC748">
        <v>13072</v>
      </c>
      <c r="BD748">
        <v>9486</v>
      </c>
      <c r="BE748">
        <v>9222</v>
      </c>
      <c r="BF748">
        <v>1768</v>
      </c>
      <c r="BG748">
        <v>20476</v>
      </c>
      <c r="BH748">
        <v>0</v>
      </c>
      <c r="BI748">
        <v>0</v>
      </c>
      <c r="BJ748">
        <v>0</v>
      </c>
      <c r="BK748">
        <v>0</v>
      </c>
      <c r="BL748" s="2">
        <v>24.82</v>
      </c>
      <c r="BM748" s="2">
        <v>42005.095138888886</v>
      </c>
      <c r="BN748" s="2">
        <v>5.4</v>
      </c>
      <c r="BO748" s="2">
        <v>42005.092361111114</v>
      </c>
      <c r="BP748" s="2">
        <v>6.92</v>
      </c>
      <c r="BQ748" s="2">
        <v>42005.092361111114</v>
      </c>
      <c r="BR748" s="2">
        <v>11.07</v>
      </c>
      <c r="BS748" s="2">
        <v>42005.092361111114</v>
      </c>
      <c r="BT748">
        <v>0</v>
      </c>
      <c r="BU748">
        <v>0</v>
      </c>
      <c r="BV748" t="s">
        <v>135</v>
      </c>
      <c r="BW748">
        <v>0</v>
      </c>
      <c r="BX748">
        <v>0</v>
      </c>
      <c r="BY748" t="s">
        <v>135</v>
      </c>
      <c r="BZ748">
        <v>0</v>
      </c>
      <c r="CA748">
        <v>0</v>
      </c>
      <c r="CB748" t="s">
        <v>135</v>
      </c>
      <c r="CH748" s="2"/>
      <c r="CJ748" s="2"/>
      <c r="CL748" s="2"/>
      <c r="CN748" s="2"/>
      <c r="CQ748" s="2"/>
      <c r="CT748" s="2"/>
      <c r="CW748" s="2"/>
    </row>
    <row r="749" spans="1:101" x14ac:dyDescent="0.25">
      <c r="A749" s="1" t="s">
        <v>163</v>
      </c>
      <c r="B749" s="75" t="s">
        <v>164</v>
      </c>
      <c r="C749">
        <v>0</v>
      </c>
      <c r="D749">
        <v>0</v>
      </c>
      <c r="E749">
        <v>0</v>
      </c>
      <c r="F749">
        <v>604324.56000000006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3.91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7490</v>
      </c>
      <c r="AW749">
        <v>3350</v>
      </c>
      <c r="AX749">
        <v>1219</v>
      </c>
      <c r="AY749">
        <v>12059</v>
      </c>
      <c r="AZ749">
        <v>4202</v>
      </c>
      <c r="BA749">
        <v>7438</v>
      </c>
      <c r="BB749">
        <v>1432</v>
      </c>
      <c r="BC749">
        <v>13072</v>
      </c>
      <c r="BD749">
        <v>9486</v>
      </c>
      <c r="BE749">
        <v>9222</v>
      </c>
      <c r="BF749">
        <v>1768</v>
      </c>
      <c r="BG749">
        <v>20476</v>
      </c>
      <c r="BH749">
        <v>0</v>
      </c>
      <c r="BI749">
        <v>0</v>
      </c>
      <c r="BJ749">
        <v>0</v>
      </c>
      <c r="BK749">
        <v>0</v>
      </c>
      <c r="BL749" s="2">
        <v>24.82</v>
      </c>
      <c r="BM749" s="2">
        <v>42005.095138888886</v>
      </c>
      <c r="BN749" s="2">
        <v>5.4</v>
      </c>
      <c r="BO749" s="2">
        <v>42005.092361111114</v>
      </c>
      <c r="BP749" s="2">
        <v>6.92</v>
      </c>
      <c r="BQ749" s="2">
        <v>42005.092361111114</v>
      </c>
      <c r="BR749" s="2">
        <v>11.07</v>
      </c>
      <c r="BS749" s="2">
        <v>42005.092361111114</v>
      </c>
      <c r="BT749">
        <v>0</v>
      </c>
      <c r="BU749">
        <v>0</v>
      </c>
      <c r="BV749" t="s">
        <v>135</v>
      </c>
      <c r="BW749">
        <v>0</v>
      </c>
      <c r="BX749">
        <v>0</v>
      </c>
      <c r="BY749" t="s">
        <v>135</v>
      </c>
      <c r="BZ749">
        <v>0</v>
      </c>
      <c r="CA749">
        <v>0</v>
      </c>
      <c r="CB749" t="s">
        <v>135</v>
      </c>
      <c r="CH749" s="2"/>
      <c r="CJ749" s="2"/>
      <c r="CL749" s="2"/>
      <c r="CN749" s="2"/>
      <c r="CQ749" s="2"/>
      <c r="CT749" s="2"/>
      <c r="CW749" s="2"/>
    </row>
    <row r="750" spans="1:101" x14ac:dyDescent="0.25">
      <c r="A750" s="1" t="s">
        <v>163</v>
      </c>
      <c r="B750" s="75" t="s">
        <v>164</v>
      </c>
      <c r="C750">
        <v>0</v>
      </c>
      <c r="D750">
        <v>0</v>
      </c>
      <c r="E750">
        <v>0</v>
      </c>
      <c r="F750">
        <v>604324.56000000006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3.91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7490</v>
      </c>
      <c r="AW750">
        <v>3350</v>
      </c>
      <c r="AX750">
        <v>1219</v>
      </c>
      <c r="AY750">
        <v>12059</v>
      </c>
      <c r="AZ750">
        <v>4202</v>
      </c>
      <c r="BA750">
        <v>7438</v>
      </c>
      <c r="BB750">
        <v>1432</v>
      </c>
      <c r="BC750">
        <v>13072</v>
      </c>
      <c r="BD750">
        <v>9486</v>
      </c>
      <c r="BE750">
        <v>9222</v>
      </c>
      <c r="BF750">
        <v>1768</v>
      </c>
      <c r="BG750">
        <v>20476</v>
      </c>
      <c r="BH750">
        <v>0</v>
      </c>
      <c r="BI750">
        <v>0</v>
      </c>
      <c r="BJ750">
        <v>0</v>
      </c>
      <c r="BK750">
        <v>0</v>
      </c>
      <c r="BL750" s="2">
        <v>24.82</v>
      </c>
      <c r="BM750" s="2">
        <v>42005.095138888886</v>
      </c>
      <c r="BN750" s="2">
        <v>5.4</v>
      </c>
      <c r="BO750" s="2">
        <v>42005.092361111114</v>
      </c>
      <c r="BP750" s="2">
        <v>6.92</v>
      </c>
      <c r="BQ750" s="2">
        <v>42005.092361111114</v>
      </c>
      <c r="BR750" s="2">
        <v>11.07</v>
      </c>
      <c r="BS750" s="2">
        <v>42005.092361111114</v>
      </c>
      <c r="BT750">
        <v>0</v>
      </c>
      <c r="BU750">
        <v>0</v>
      </c>
      <c r="BV750" t="s">
        <v>135</v>
      </c>
      <c r="BW750">
        <v>0</v>
      </c>
      <c r="BX750">
        <v>0</v>
      </c>
      <c r="BY750" t="s">
        <v>135</v>
      </c>
      <c r="BZ750">
        <v>0</v>
      </c>
      <c r="CA750">
        <v>0</v>
      </c>
      <c r="CB750" t="s">
        <v>135</v>
      </c>
      <c r="CH750" s="2"/>
      <c r="CJ750" s="2"/>
      <c r="CL750" s="2"/>
      <c r="CN750" s="2"/>
      <c r="CQ750" s="2"/>
      <c r="CT750" s="2"/>
      <c r="CW750" s="2"/>
    </row>
    <row r="751" spans="1:101" x14ac:dyDescent="0.25">
      <c r="A751" s="1" t="s">
        <v>163</v>
      </c>
      <c r="B751" s="75" t="s">
        <v>164</v>
      </c>
      <c r="C751">
        <v>0</v>
      </c>
      <c r="D751">
        <v>0</v>
      </c>
      <c r="E751">
        <v>0</v>
      </c>
      <c r="F751">
        <v>604324.56000000006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3.91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7490</v>
      </c>
      <c r="AW751">
        <v>3350</v>
      </c>
      <c r="AX751">
        <v>1219</v>
      </c>
      <c r="AY751">
        <v>12059</v>
      </c>
      <c r="AZ751">
        <v>4202</v>
      </c>
      <c r="BA751">
        <v>7438</v>
      </c>
      <c r="BB751">
        <v>1432</v>
      </c>
      <c r="BC751">
        <v>13072</v>
      </c>
      <c r="BD751">
        <v>9486</v>
      </c>
      <c r="BE751">
        <v>9222</v>
      </c>
      <c r="BF751">
        <v>1768</v>
      </c>
      <c r="BG751">
        <v>20476</v>
      </c>
      <c r="BH751">
        <v>0</v>
      </c>
      <c r="BI751">
        <v>0</v>
      </c>
      <c r="BJ751">
        <v>0</v>
      </c>
      <c r="BK751">
        <v>0</v>
      </c>
      <c r="BL751" s="2">
        <v>24.82</v>
      </c>
      <c r="BM751" s="2">
        <v>42005.095138888886</v>
      </c>
      <c r="BN751" s="2">
        <v>5.4</v>
      </c>
      <c r="BO751" s="2">
        <v>42005.092361111114</v>
      </c>
      <c r="BP751" s="2">
        <v>6.92</v>
      </c>
      <c r="BQ751" s="2">
        <v>42005.092361111114</v>
      </c>
      <c r="BR751" s="2">
        <v>11.07</v>
      </c>
      <c r="BS751" s="2">
        <v>42005.092361111114</v>
      </c>
      <c r="BT751">
        <v>0</v>
      </c>
      <c r="BU751">
        <v>0</v>
      </c>
      <c r="BV751" t="s">
        <v>135</v>
      </c>
      <c r="BW751">
        <v>0</v>
      </c>
      <c r="BX751">
        <v>0</v>
      </c>
      <c r="BY751" t="s">
        <v>135</v>
      </c>
      <c r="BZ751">
        <v>0</v>
      </c>
      <c r="CA751">
        <v>0</v>
      </c>
      <c r="CB751" t="s">
        <v>135</v>
      </c>
      <c r="CH751" s="2"/>
      <c r="CJ751" s="2"/>
      <c r="CL751" s="2"/>
      <c r="CN751" s="2"/>
      <c r="CQ751" s="2"/>
      <c r="CT751" s="2"/>
      <c r="CW751" s="2"/>
    </row>
    <row r="752" spans="1:101" x14ac:dyDescent="0.25">
      <c r="A752" s="1" t="s">
        <v>163</v>
      </c>
      <c r="B752" s="75" t="s">
        <v>164</v>
      </c>
      <c r="C752">
        <v>0</v>
      </c>
      <c r="D752">
        <v>0</v>
      </c>
      <c r="E752">
        <v>0</v>
      </c>
      <c r="F752">
        <v>604324.56000000006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3.91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7490</v>
      </c>
      <c r="AW752">
        <v>3350</v>
      </c>
      <c r="AX752">
        <v>1219</v>
      </c>
      <c r="AY752">
        <v>12059</v>
      </c>
      <c r="AZ752">
        <v>4202</v>
      </c>
      <c r="BA752">
        <v>7438</v>
      </c>
      <c r="BB752">
        <v>1432</v>
      </c>
      <c r="BC752">
        <v>13072</v>
      </c>
      <c r="BD752">
        <v>9486</v>
      </c>
      <c r="BE752">
        <v>9222</v>
      </c>
      <c r="BF752">
        <v>1768</v>
      </c>
      <c r="BG752">
        <v>20476</v>
      </c>
      <c r="BH752">
        <v>0</v>
      </c>
      <c r="BI752">
        <v>0</v>
      </c>
      <c r="BJ752">
        <v>0</v>
      </c>
      <c r="BK752">
        <v>0</v>
      </c>
      <c r="BL752" s="2">
        <v>24.82</v>
      </c>
      <c r="BM752" s="2">
        <v>42005.095138888886</v>
      </c>
      <c r="BN752" s="2">
        <v>5.4</v>
      </c>
      <c r="BO752" s="2">
        <v>42005.092361111114</v>
      </c>
      <c r="BP752" s="2">
        <v>6.92</v>
      </c>
      <c r="BQ752" s="2">
        <v>42005.092361111114</v>
      </c>
      <c r="BR752" s="2">
        <v>11.07</v>
      </c>
      <c r="BS752" s="2">
        <v>42005.092361111114</v>
      </c>
      <c r="BT752">
        <v>0</v>
      </c>
      <c r="BU752">
        <v>0</v>
      </c>
      <c r="BV752" t="s">
        <v>135</v>
      </c>
      <c r="BW752">
        <v>0</v>
      </c>
      <c r="BX752">
        <v>0</v>
      </c>
      <c r="BY752" t="s">
        <v>135</v>
      </c>
      <c r="BZ752">
        <v>0</v>
      </c>
      <c r="CA752">
        <v>0</v>
      </c>
      <c r="CB752" t="s">
        <v>135</v>
      </c>
      <c r="CH752" s="2"/>
      <c r="CJ752" s="2"/>
      <c r="CL752" s="2"/>
      <c r="CN752" s="2"/>
      <c r="CQ752" s="2"/>
      <c r="CT752" s="2"/>
      <c r="CW752" s="2"/>
    </row>
    <row r="753" spans="1:101" x14ac:dyDescent="0.25">
      <c r="A753" s="1" t="s">
        <v>163</v>
      </c>
      <c r="B753" s="75" t="s">
        <v>164</v>
      </c>
      <c r="C753">
        <v>0</v>
      </c>
      <c r="D753">
        <v>0</v>
      </c>
      <c r="E753">
        <v>0</v>
      </c>
      <c r="F753">
        <v>604324.56000000006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3.91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7490</v>
      </c>
      <c r="AW753">
        <v>3350</v>
      </c>
      <c r="AX753">
        <v>1219</v>
      </c>
      <c r="AY753">
        <v>12059</v>
      </c>
      <c r="AZ753">
        <v>4202</v>
      </c>
      <c r="BA753">
        <v>7438</v>
      </c>
      <c r="BB753">
        <v>1432</v>
      </c>
      <c r="BC753">
        <v>13072</v>
      </c>
      <c r="BD753">
        <v>9486</v>
      </c>
      <c r="BE753">
        <v>9222</v>
      </c>
      <c r="BF753">
        <v>1768</v>
      </c>
      <c r="BG753">
        <v>20476</v>
      </c>
      <c r="BH753">
        <v>0</v>
      </c>
      <c r="BI753">
        <v>0</v>
      </c>
      <c r="BJ753">
        <v>0</v>
      </c>
      <c r="BK753">
        <v>0</v>
      </c>
      <c r="BL753" s="2">
        <v>24.82</v>
      </c>
      <c r="BM753" s="2">
        <v>42005.095138888886</v>
      </c>
      <c r="BN753" s="2">
        <v>5.4</v>
      </c>
      <c r="BO753" s="2">
        <v>42005.092361111114</v>
      </c>
      <c r="BP753" s="2">
        <v>6.92</v>
      </c>
      <c r="BQ753" s="2">
        <v>42005.092361111114</v>
      </c>
      <c r="BR753" s="2">
        <v>11.07</v>
      </c>
      <c r="BS753" s="2">
        <v>42005.092361111114</v>
      </c>
      <c r="BT753">
        <v>0</v>
      </c>
      <c r="BU753">
        <v>0</v>
      </c>
      <c r="BV753" t="s">
        <v>135</v>
      </c>
      <c r="BW753">
        <v>0</v>
      </c>
      <c r="BX753">
        <v>0</v>
      </c>
      <c r="BY753" t="s">
        <v>135</v>
      </c>
      <c r="BZ753">
        <v>0</v>
      </c>
      <c r="CA753">
        <v>0</v>
      </c>
      <c r="CB753" t="s">
        <v>135</v>
      </c>
      <c r="CH753" s="2"/>
      <c r="CJ753" s="2"/>
      <c r="CL753" s="2"/>
      <c r="CN753" s="2"/>
      <c r="CQ753" s="2"/>
      <c r="CT753" s="2"/>
      <c r="CW753" s="2"/>
    </row>
    <row r="754" spans="1:101" x14ac:dyDescent="0.25">
      <c r="A754" s="1" t="s">
        <v>163</v>
      </c>
      <c r="B754" s="75" t="s">
        <v>164</v>
      </c>
      <c r="C754">
        <v>0</v>
      </c>
      <c r="D754">
        <v>0</v>
      </c>
      <c r="E754">
        <v>0</v>
      </c>
      <c r="F754">
        <v>604324.56000000006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3.91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7490</v>
      </c>
      <c r="AW754">
        <v>3350</v>
      </c>
      <c r="AX754">
        <v>1219</v>
      </c>
      <c r="AY754">
        <v>12059</v>
      </c>
      <c r="AZ754">
        <v>4202</v>
      </c>
      <c r="BA754">
        <v>7438</v>
      </c>
      <c r="BB754">
        <v>1432</v>
      </c>
      <c r="BC754">
        <v>13072</v>
      </c>
      <c r="BD754">
        <v>9486</v>
      </c>
      <c r="BE754">
        <v>9222</v>
      </c>
      <c r="BF754">
        <v>1768</v>
      </c>
      <c r="BG754">
        <v>20476</v>
      </c>
      <c r="BH754">
        <v>0</v>
      </c>
      <c r="BI754">
        <v>0</v>
      </c>
      <c r="BJ754">
        <v>0</v>
      </c>
      <c r="BK754">
        <v>0</v>
      </c>
      <c r="BL754" s="2">
        <v>24.82</v>
      </c>
      <c r="BM754" s="2">
        <v>42005.095138888886</v>
      </c>
      <c r="BN754" s="2">
        <v>5.4</v>
      </c>
      <c r="BO754" s="2">
        <v>42005.092361111114</v>
      </c>
      <c r="BP754" s="2">
        <v>6.92</v>
      </c>
      <c r="BQ754" s="2">
        <v>42005.092361111114</v>
      </c>
      <c r="BR754" s="2">
        <v>11.07</v>
      </c>
      <c r="BS754" s="2">
        <v>42005.092361111114</v>
      </c>
      <c r="BT754">
        <v>0</v>
      </c>
      <c r="BU754">
        <v>0</v>
      </c>
      <c r="BV754" t="s">
        <v>135</v>
      </c>
      <c r="BW754">
        <v>0</v>
      </c>
      <c r="BX754">
        <v>0</v>
      </c>
      <c r="BY754" t="s">
        <v>135</v>
      </c>
      <c r="BZ754">
        <v>0</v>
      </c>
      <c r="CA754">
        <v>0</v>
      </c>
      <c r="CB754" t="s">
        <v>135</v>
      </c>
      <c r="CH754" s="2"/>
      <c r="CJ754" s="2"/>
      <c r="CL754" s="2"/>
      <c r="CN754" s="2"/>
      <c r="CQ754" s="2"/>
      <c r="CT754" s="2"/>
      <c r="CW754" s="2"/>
    </row>
    <row r="755" spans="1:101" x14ac:dyDescent="0.25">
      <c r="A755" s="1" t="s">
        <v>163</v>
      </c>
      <c r="B755" s="75" t="s">
        <v>164</v>
      </c>
      <c r="C755">
        <v>0</v>
      </c>
      <c r="D755">
        <v>0</v>
      </c>
      <c r="E755">
        <v>0</v>
      </c>
      <c r="F755">
        <v>604324.56000000006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3.91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7490</v>
      </c>
      <c r="AW755">
        <v>3350</v>
      </c>
      <c r="AX755">
        <v>1219</v>
      </c>
      <c r="AY755">
        <v>12059</v>
      </c>
      <c r="AZ755">
        <v>4202</v>
      </c>
      <c r="BA755">
        <v>7438</v>
      </c>
      <c r="BB755">
        <v>1432</v>
      </c>
      <c r="BC755">
        <v>13072</v>
      </c>
      <c r="BD755">
        <v>9486</v>
      </c>
      <c r="BE755">
        <v>9222</v>
      </c>
      <c r="BF755">
        <v>1768</v>
      </c>
      <c r="BG755">
        <v>20476</v>
      </c>
      <c r="BH755">
        <v>0</v>
      </c>
      <c r="BI755">
        <v>0</v>
      </c>
      <c r="BJ755">
        <v>0</v>
      </c>
      <c r="BK755">
        <v>0</v>
      </c>
      <c r="BL755" s="2">
        <v>24.82</v>
      </c>
      <c r="BM755" s="2">
        <v>42005.095138888886</v>
      </c>
      <c r="BN755" s="2">
        <v>5.4</v>
      </c>
      <c r="BO755" s="2">
        <v>42005.092361111114</v>
      </c>
      <c r="BP755" s="2">
        <v>6.92</v>
      </c>
      <c r="BQ755" s="2">
        <v>42005.092361111114</v>
      </c>
      <c r="BR755" s="2">
        <v>11.07</v>
      </c>
      <c r="BS755" s="2">
        <v>42005.092361111114</v>
      </c>
      <c r="BT755">
        <v>0</v>
      </c>
      <c r="BU755">
        <v>0</v>
      </c>
      <c r="BV755" t="s">
        <v>135</v>
      </c>
      <c r="BW755">
        <v>0</v>
      </c>
      <c r="BX755">
        <v>0</v>
      </c>
      <c r="BY755" t="s">
        <v>135</v>
      </c>
      <c r="BZ755">
        <v>0</v>
      </c>
      <c r="CA755">
        <v>0</v>
      </c>
      <c r="CB755" t="s">
        <v>135</v>
      </c>
      <c r="CH755" s="2"/>
      <c r="CJ755" s="2"/>
      <c r="CL755" s="2"/>
      <c r="CN755" s="2"/>
      <c r="CQ755" s="2"/>
      <c r="CT755" s="2"/>
      <c r="CW755" s="2"/>
    </row>
    <row r="756" spans="1:101" x14ac:dyDescent="0.25">
      <c r="A756" s="1" t="s">
        <v>163</v>
      </c>
      <c r="B756" s="75" t="s">
        <v>164</v>
      </c>
      <c r="C756">
        <v>0</v>
      </c>
      <c r="D756">
        <v>0</v>
      </c>
      <c r="E756">
        <v>0</v>
      </c>
      <c r="F756">
        <v>604324.56000000006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3.91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7490</v>
      </c>
      <c r="AW756">
        <v>3350</v>
      </c>
      <c r="AX756">
        <v>1219</v>
      </c>
      <c r="AY756">
        <v>12059</v>
      </c>
      <c r="AZ756">
        <v>4202</v>
      </c>
      <c r="BA756">
        <v>7438</v>
      </c>
      <c r="BB756">
        <v>1432</v>
      </c>
      <c r="BC756">
        <v>13072</v>
      </c>
      <c r="BD756">
        <v>9486</v>
      </c>
      <c r="BE756">
        <v>9222</v>
      </c>
      <c r="BF756">
        <v>1768</v>
      </c>
      <c r="BG756">
        <v>20476</v>
      </c>
      <c r="BH756">
        <v>0</v>
      </c>
      <c r="BI756">
        <v>0</v>
      </c>
      <c r="BJ756">
        <v>0</v>
      </c>
      <c r="BK756">
        <v>0</v>
      </c>
      <c r="BL756" s="2">
        <v>24.82</v>
      </c>
      <c r="BM756" s="2">
        <v>42005.095138888886</v>
      </c>
      <c r="BN756" s="2">
        <v>5.4</v>
      </c>
      <c r="BO756" s="2">
        <v>42005.092361111114</v>
      </c>
      <c r="BP756" s="2">
        <v>6.92</v>
      </c>
      <c r="BQ756" s="2">
        <v>42005.092361111114</v>
      </c>
      <c r="BR756" s="2">
        <v>11.07</v>
      </c>
      <c r="BS756" s="2">
        <v>42005.092361111114</v>
      </c>
      <c r="BT756">
        <v>0</v>
      </c>
      <c r="BU756">
        <v>0</v>
      </c>
      <c r="BV756" t="s">
        <v>135</v>
      </c>
      <c r="BW756">
        <v>0</v>
      </c>
      <c r="BX756">
        <v>0</v>
      </c>
      <c r="BY756" t="s">
        <v>135</v>
      </c>
      <c r="BZ756">
        <v>0</v>
      </c>
      <c r="CA756">
        <v>0</v>
      </c>
      <c r="CB756" t="s">
        <v>135</v>
      </c>
      <c r="CH756" s="2"/>
      <c r="CJ756" s="2"/>
      <c r="CL756" s="2"/>
      <c r="CN756" s="2"/>
      <c r="CQ756" s="2"/>
      <c r="CT756" s="2"/>
      <c r="CW756" s="2"/>
    </row>
    <row r="757" spans="1:101" x14ac:dyDescent="0.25">
      <c r="A757" s="1" t="s">
        <v>163</v>
      </c>
      <c r="B757" s="75" t="s">
        <v>164</v>
      </c>
      <c r="C757">
        <v>0</v>
      </c>
      <c r="D757">
        <v>0</v>
      </c>
      <c r="E757">
        <v>0</v>
      </c>
      <c r="F757">
        <v>604324.56000000006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3.91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7490</v>
      </c>
      <c r="AW757">
        <v>3350</v>
      </c>
      <c r="AX757">
        <v>1219</v>
      </c>
      <c r="AY757">
        <v>12059</v>
      </c>
      <c r="AZ757">
        <v>4202</v>
      </c>
      <c r="BA757">
        <v>7438</v>
      </c>
      <c r="BB757">
        <v>1432</v>
      </c>
      <c r="BC757">
        <v>13072</v>
      </c>
      <c r="BD757">
        <v>9486</v>
      </c>
      <c r="BE757">
        <v>9222</v>
      </c>
      <c r="BF757">
        <v>1768</v>
      </c>
      <c r="BG757">
        <v>20476</v>
      </c>
      <c r="BH757">
        <v>0</v>
      </c>
      <c r="BI757">
        <v>0</v>
      </c>
      <c r="BJ757">
        <v>0</v>
      </c>
      <c r="BK757">
        <v>0</v>
      </c>
      <c r="BL757" s="2">
        <v>24.82</v>
      </c>
      <c r="BM757" s="2">
        <v>42005.095138888886</v>
      </c>
      <c r="BN757" s="2">
        <v>5.4</v>
      </c>
      <c r="BO757" s="2">
        <v>42005.092361111114</v>
      </c>
      <c r="BP757" s="2">
        <v>6.92</v>
      </c>
      <c r="BQ757" s="2">
        <v>42005.092361111114</v>
      </c>
      <c r="BR757" s="2">
        <v>11.07</v>
      </c>
      <c r="BS757" s="2">
        <v>42005.092361111114</v>
      </c>
      <c r="BT757">
        <v>0</v>
      </c>
      <c r="BU757">
        <v>0</v>
      </c>
      <c r="BV757" t="s">
        <v>135</v>
      </c>
      <c r="BW757">
        <v>0</v>
      </c>
      <c r="BX757">
        <v>0</v>
      </c>
      <c r="BY757" t="s">
        <v>135</v>
      </c>
      <c r="BZ757">
        <v>0</v>
      </c>
      <c r="CA757">
        <v>0</v>
      </c>
      <c r="CB757" t="s">
        <v>135</v>
      </c>
      <c r="CH757" s="2"/>
      <c r="CJ757" s="2"/>
      <c r="CL757" s="2"/>
      <c r="CN757" s="2"/>
      <c r="CQ757" s="2"/>
      <c r="CT757" s="2"/>
      <c r="CW757" s="2"/>
    </row>
    <row r="758" spans="1:101" x14ac:dyDescent="0.25">
      <c r="A758" s="1" t="s">
        <v>163</v>
      </c>
      <c r="B758" s="75" t="s">
        <v>164</v>
      </c>
      <c r="C758">
        <v>0</v>
      </c>
      <c r="D758">
        <v>0</v>
      </c>
      <c r="E758">
        <v>0</v>
      </c>
      <c r="F758">
        <v>604324.56000000006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3.91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7490</v>
      </c>
      <c r="AW758">
        <v>3350</v>
      </c>
      <c r="AX758">
        <v>1219</v>
      </c>
      <c r="AY758">
        <v>12059</v>
      </c>
      <c r="AZ758">
        <v>4202</v>
      </c>
      <c r="BA758">
        <v>7438</v>
      </c>
      <c r="BB758">
        <v>1432</v>
      </c>
      <c r="BC758">
        <v>13072</v>
      </c>
      <c r="BD758">
        <v>9486</v>
      </c>
      <c r="BE758">
        <v>9222</v>
      </c>
      <c r="BF758">
        <v>1768</v>
      </c>
      <c r="BG758">
        <v>20476</v>
      </c>
      <c r="BH758">
        <v>0</v>
      </c>
      <c r="BI758">
        <v>0</v>
      </c>
      <c r="BJ758">
        <v>0</v>
      </c>
      <c r="BK758">
        <v>0</v>
      </c>
      <c r="BL758" s="2">
        <v>24.82</v>
      </c>
      <c r="BM758" s="2">
        <v>42005.095138888886</v>
      </c>
      <c r="BN758" s="2">
        <v>5.4</v>
      </c>
      <c r="BO758" s="2">
        <v>42005.092361111114</v>
      </c>
      <c r="BP758" s="2">
        <v>6.92</v>
      </c>
      <c r="BQ758" s="2">
        <v>42005.092361111114</v>
      </c>
      <c r="BR758" s="2">
        <v>11.07</v>
      </c>
      <c r="BS758" s="2">
        <v>42005.092361111114</v>
      </c>
      <c r="BT758">
        <v>0</v>
      </c>
      <c r="BU758">
        <v>0</v>
      </c>
      <c r="BV758" t="s">
        <v>135</v>
      </c>
      <c r="BW758">
        <v>0</v>
      </c>
      <c r="BX758">
        <v>0</v>
      </c>
      <c r="BY758" t="s">
        <v>135</v>
      </c>
      <c r="BZ758">
        <v>0</v>
      </c>
      <c r="CA758">
        <v>0</v>
      </c>
      <c r="CB758" t="s">
        <v>135</v>
      </c>
      <c r="CH758" s="2"/>
      <c r="CJ758" s="2"/>
      <c r="CL758" s="2"/>
      <c r="CN758" s="2"/>
      <c r="CQ758" s="2"/>
      <c r="CT758" s="2"/>
      <c r="CW758" s="2"/>
    </row>
    <row r="759" spans="1:101" x14ac:dyDescent="0.25">
      <c r="A759" s="1" t="s">
        <v>163</v>
      </c>
      <c r="B759" s="75" t="s">
        <v>164</v>
      </c>
      <c r="C759">
        <v>0</v>
      </c>
      <c r="D759">
        <v>0</v>
      </c>
      <c r="E759">
        <v>0</v>
      </c>
      <c r="F759">
        <v>604324.56000000006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3.91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7490</v>
      </c>
      <c r="AW759">
        <v>3350</v>
      </c>
      <c r="AX759">
        <v>1219</v>
      </c>
      <c r="AY759">
        <v>12059</v>
      </c>
      <c r="AZ759">
        <v>4202</v>
      </c>
      <c r="BA759">
        <v>7438</v>
      </c>
      <c r="BB759">
        <v>1432</v>
      </c>
      <c r="BC759">
        <v>13072</v>
      </c>
      <c r="BD759">
        <v>9486</v>
      </c>
      <c r="BE759">
        <v>9222</v>
      </c>
      <c r="BF759">
        <v>1768</v>
      </c>
      <c r="BG759">
        <v>20476</v>
      </c>
      <c r="BH759">
        <v>0</v>
      </c>
      <c r="BI759">
        <v>0</v>
      </c>
      <c r="BJ759">
        <v>0</v>
      </c>
      <c r="BK759">
        <v>0</v>
      </c>
      <c r="BL759" s="2">
        <v>24.82</v>
      </c>
      <c r="BM759" s="2">
        <v>42005.095138888886</v>
      </c>
      <c r="BN759" s="2">
        <v>5.4</v>
      </c>
      <c r="BO759" s="2">
        <v>42005.092361111114</v>
      </c>
      <c r="BP759" s="2">
        <v>6.92</v>
      </c>
      <c r="BQ759" s="2">
        <v>42005.092361111114</v>
      </c>
      <c r="BR759" s="2">
        <v>11.07</v>
      </c>
      <c r="BS759" s="2">
        <v>42005.092361111114</v>
      </c>
      <c r="BT759">
        <v>0</v>
      </c>
      <c r="BU759">
        <v>0</v>
      </c>
      <c r="BV759" t="s">
        <v>135</v>
      </c>
      <c r="BW759">
        <v>0</v>
      </c>
      <c r="BX759">
        <v>0</v>
      </c>
      <c r="BY759" t="s">
        <v>135</v>
      </c>
      <c r="BZ759">
        <v>0</v>
      </c>
      <c r="CA759">
        <v>0</v>
      </c>
      <c r="CB759" t="s">
        <v>135</v>
      </c>
      <c r="CH759" s="2"/>
      <c r="CJ759" s="2"/>
      <c r="CL759" s="2"/>
      <c r="CN759" s="2"/>
      <c r="CQ759" s="2"/>
      <c r="CT759" s="2"/>
      <c r="CW759" s="2"/>
    </row>
    <row r="760" spans="1:101" x14ac:dyDescent="0.25">
      <c r="A760" s="1" t="s">
        <v>163</v>
      </c>
      <c r="B760" s="75" t="s">
        <v>164</v>
      </c>
      <c r="C760">
        <v>0</v>
      </c>
      <c r="D760">
        <v>0</v>
      </c>
      <c r="E760">
        <v>0</v>
      </c>
      <c r="F760">
        <v>604324.56000000006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3.91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7490</v>
      </c>
      <c r="AW760">
        <v>3350</v>
      </c>
      <c r="AX760">
        <v>1219</v>
      </c>
      <c r="AY760">
        <v>12059</v>
      </c>
      <c r="AZ760">
        <v>4202</v>
      </c>
      <c r="BA760">
        <v>7438</v>
      </c>
      <c r="BB760">
        <v>1432</v>
      </c>
      <c r="BC760">
        <v>13072</v>
      </c>
      <c r="BD760">
        <v>9486</v>
      </c>
      <c r="BE760">
        <v>9222</v>
      </c>
      <c r="BF760">
        <v>1768</v>
      </c>
      <c r="BG760">
        <v>20476</v>
      </c>
      <c r="BH760">
        <v>0</v>
      </c>
      <c r="BI760">
        <v>0</v>
      </c>
      <c r="BJ760">
        <v>0</v>
      </c>
      <c r="BK760">
        <v>0</v>
      </c>
      <c r="BL760" s="2">
        <v>24.82</v>
      </c>
      <c r="BM760" s="2">
        <v>42005.095138888886</v>
      </c>
      <c r="BN760" s="2">
        <v>5.4</v>
      </c>
      <c r="BO760" s="2">
        <v>42005.092361111114</v>
      </c>
      <c r="BP760" s="2">
        <v>6.92</v>
      </c>
      <c r="BQ760" s="2">
        <v>42005.092361111114</v>
      </c>
      <c r="BR760" s="2">
        <v>11.07</v>
      </c>
      <c r="BS760" s="2">
        <v>42005.092361111114</v>
      </c>
      <c r="BT760">
        <v>0</v>
      </c>
      <c r="BU760">
        <v>0</v>
      </c>
      <c r="BV760" t="s">
        <v>135</v>
      </c>
      <c r="BW760">
        <v>0</v>
      </c>
      <c r="BX760">
        <v>0</v>
      </c>
      <c r="BY760" t="s">
        <v>135</v>
      </c>
      <c r="BZ760">
        <v>0</v>
      </c>
      <c r="CA760">
        <v>0</v>
      </c>
      <c r="CB760" t="s">
        <v>135</v>
      </c>
      <c r="CH760" s="2"/>
      <c r="CJ760" s="2"/>
      <c r="CL760" s="2"/>
      <c r="CN760" s="2"/>
      <c r="CQ760" s="2"/>
      <c r="CT760" s="2"/>
      <c r="CW760" s="2"/>
    </row>
    <row r="761" spans="1:101" x14ac:dyDescent="0.25">
      <c r="A761" s="1" t="s">
        <v>163</v>
      </c>
      <c r="B761" s="75" t="s">
        <v>164</v>
      </c>
      <c r="C761">
        <v>0</v>
      </c>
      <c r="D761">
        <v>0</v>
      </c>
      <c r="E761">
        <v>0</v>
      </c>
      <c r="F761">
        <v>604324.56000000006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3.91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7490</v>
      </c>
      <c r="AW761">
        <v>3350</v>
      </c>
      <c r="AX761">
        <v>1219</v>
      </c>
      <c r="AY761">
        <v>12059</v>
      </c>
      <c r="AZ761">
        <v>4202</v>
      </c>
      <c r="BA761">
        <v>7438</v>
      </c>
      <c r="BB761">
        <v>1432</v>
      </c>
      <c r="BC761">
        <v>13072</v>
      </c>
      <c r="BD761">
        <v>9486</v>
      </c>
      <c r="BE761">
        <v>9222</v>
      </c>
      <c r="BF761">
        <v>1768</v>
      </c>
      <c r="BG761">
        <v>20476</v>
      </c>
      <c r="BH761">
        <v>0</v>
      </c>
      <c r="BI761">
        <v>0</v>
      </c>
      <c r="BJ761">
        <v>0</v>
      </c>
      <c r="BK761">
        <v>0</v>
      </c>
      <c r="BL761" s="2">
        <v>24.82</v>
      </c>
      <c r="BM761" s="2">
        <v>42005.095138888886</v>
      </c>
      <c r="BN761" s="2">
        <v>5.4</v>
      </c>
      <c r="BO761" s="2">
        <v>42005.092361111114</v>
      </c>
      <c r="BP761" s="2">
        <v>6.92</v>
      </c>
      <c r="BQ761" s="2">
        <v>42005.092361111114</v>
      </c>
      <c r="BR761" s="2">
        <v>11.07</v>
      </c>
      <c r="BS761" s="2">
        <v>42005.092361111114</v>
      </c>
      <c r="BT761">
        <v>0</v>
      </c>
      <c r="BU761">
        <v>0</v>
      </c>
      <c r="BV761" t="s">
        <v>135</v>
      </c>
      <c r="BW761">
        <v>0</v>
      </c>
      <c r="BX761">
        <v>0</v>
      </c>
      <c r="BY761" t="s">
        <v>135</v>
      </c>
      <c r="BZ761">
        <v>0</v>
      </c>
      <c r="CA761">
        <v>0</v>
      </c>
      <c r="CB761" t="s">
        <v>135</v>
      </c>
      <c r="CH761" s="2"/>
      <c r="CJ761" s="2"/>
      <c r="CL761" s="2"/>
      <c r="CN761" s="2"/>
      <c r="CQ761" s="2"/>
      <c r="CT761" s="2"/>
      <c r="CW761" s="2"/>
    </row>
    <row r="762" spans="1:101" x14ac:dyDescent="0.25">
      <c r="A762" s="1" t="s">
        <v>163</v>
      </c>
      <c r="B762" s="75" t="s">
        <v>164</v>
      </c>
      <c r="C762">
        <v>0</v>
      </c>
      <c r="D762">
        <v>0</v>
      </c>
      <c r="E762">
        <v>0</v>
      </c>
      <c r="F762">
        <v>604324.56000000006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3.91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7490</v>
      </c>
      <c r="AW762">
        <v>3350</v>
      </c>
      <c r="AX762">
        <v>1219</v>
      </c>
      <c r="AY762">
        <v>12059</v>
      </c>
      <c r="AZ762">
        <v>4202</v>
      </c>
      <c r="BA762">
        <v>7438</v>
      </c>
      <c r="BB762">
        <v>1432</v>
      </c>
      <c r="BC762">
        <v>13072</v>
      </c>
      <c r="BD762">
        <v>9486</v>
      </c>
      <c r="BE762">
        <v>9222</v>
      </c>
      <c r="BF762">
        <v>1768</v>
      </c>
      <c r="BG762">
        <v>20476</v>
      </c>
      <c r="BH762">
        <v>0</v>
      </c>
      <c r="BI762">
        <v>0</v>
      </c>
      <c r="BJ762">
        <v>0</v>
      </c>
      <c r="BK762">
        <v>0</v>
      </c>
      <c r="BL762" s="2">
        <v>24.82</v>
      </c>
      <c r="BM762" s="2">
        <v>42005.095138888886</v>
      </c>
      <c r="BN762" s="2">
        <v>5.4</v>
      </c>
      <c r="BO762" s="2">
        <v>42005.092361111114</v>
      </c>
      <c r="BP762" s="2">
        <v>6.92</v>
      </c>
      <c r="BQ762" s="2">
        <v>42005.092361111114</v>
      </c>
      <c r="BR762" s="2">
        <v>11.07</v>
      </c>
      <c r="BS762" s="2">
        <v>42005.092361111114</v>
      </c>
      <c r="BT762">
        <v>0</v>
      </c>
      <c r="BU762">
        <v>0</v>
      </c>
      <c r="BV762" t="s">
        <v>135</v>
      </c>
      <c r="BW762">
        <v>0</v>
      </c>
      <c r="BX762">
        <v>0</v>
      </c>
      <c r="BY762" t="s">
        <v>135</v>
      </c>
      <c r="BZ762">
        <v>0</v>
      </c>
      <c r="CA762">
        <v>0</v>
      </c>
      <c r="CB762" t="s">
        <v>135</v>
      </c>
      <c r="CH762" s="2"/>
      <c r="CJ762" s="2"/>
      <c r="CL762" s="2"/>
      <c r="CN762" s="2"/>
      <c r="CQ762" s="2"/>
      <c r="CT762" s="2"/>
      <c r="CW762" s="2"/>
    </row>
    <row r="763" spans="1:101" x14ac:dyDescent="0.25">
      <c r="A763" s="1" t="s">
        <v>163</v>
      </c>
      <c r="B763" s="75" t="s">
        <v>164</v>
      </c>
      <c r="C763">
        <v>0</v>
      </c>
      <c r="D763">
        <v>0</v>
      </c>
      <c r="E763">
        <v>0</v>
      </c>
      <c r="F763">
        <v>604324.56000000006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3.91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7490</v>
      </c>
      <c r="AW763">
        <v>3350</v>
      </c>
      <c r="AX763">
        <v>1219</v>
      </c>
      <c r="AY763">
        <v>12059</v>
      </c>
      <c r="AZ763">
        <v>4202</v>
      </c>
      <c r="BA763">
        <v>7438</v>
      </c>
      <c r="BB763">
        <v>1432</v>
      </c>
      <c r="BC763">
        <v>13072</v>
      </c>
      <c r="BD763">
        <v>9486</v>
      </c>
      <c r="BE763">
        <v>9222</v>
      </c>
      <c r="BF763">
        <v>1768</v>
      </c>
      <c r="BG763">
        <v>20476</v>
      </c>
      <c r="BH763">
        <v>0</v>
      </c>
      <c r="BI763">
        <v>0</v>
      </c>
      <c r="BJ763">
        <v>0</v>
      </c>
      <c r="BK763">
        <v>0</v>
      </c>
      <c r="BL763" s="2">
        <v>24.82</v>
      </c>
      <c r="BM763" s="2">
        <v>42005.095138888886</v>
      </c>
      <c r="BN763" s="2">
        <v>5.4</v>
      </c>
      <c r="BO763" s="2">
        <v>42005.092361111114</v>
      </c>
      <c r="BP763" s="2">
        <v>6.92</v>
      </c>
      <c r="BQ763" s="2">
        <v>42005.092361111114</v>
      </c>
      <c r="BR763" s="2">
        <v>11.07</v>
      </c>
      <c r="BS763" s="2">
        <v>42005.092361111114</v>
      </c>
      <c r="BT763">
        <v>0</v>
      </c>
      <c r="BU763">
        <v>0</v>
      </c>
      <c r="BV763" t="s">
        <v>135</v>
      </c>
      <c r="BW763">
        <v>0</v>
      </c>
      <c r="BX763">
        <v>0</v>
      </c>
      <c r="BY763" t="s">
        <v>135</v>
      </c>
      <c r="BZ763">
        <v>0</v>
      </c>
      <c r="CA763">
        <v>0</v>
      </c>
      <c r="CB763" t="s">
        <v>135</v>
      </c>
      <c r="CH763" s="2"/>
      <c r="CJ763" s="2"/>
      <c r="CL763" s="2"/>
      <c r="CN763" s="2"/>
      <c r="CQ763" s="2"/>
      <c r="CT763" s="2"/>
      <c r="CW763" s="2"/>
    </row>
    <row r="764" spans="1:101" x14ac:dyDescent="0.25">
      <c r="A764" s="1" t="s">
        <v>163</v>
      </c>
      <c r="B764" s="75" t="s">
        <v>164</v>
      </c>
      <c r="C764">
        <v>0</v>
      </c>
      <c r="D764">
        <v>0</v>
      </c>
      <c r="E764">
        <v>0</v>
      </c>
      <c r="F764">
        <v>604324.56000000006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3.91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7490</v>
      </c>
      <c r="AW764">
        <v>3350</v>
      </c>
      <c r="AX764">
        <v>1219</v>
      </c>
      <c r="AY764">
        <v>12059</v>
      </c>
      <c r="AZ764">
        <v>4202</v>
      </c>
      <c r="BA764">
        <v>7438</v>
      </c>
      <c r="BB764">
        <v>1432</v>
      </c>
      <c r="BC764">
        <v>13072</v>
      </c>
      <c r="BD764">
        <v>9486</v>
      </c>
      <c r="BE764">
        <v>9222</v>
      </c>
      <c r="BF764">
        <v>1768</v>
      </c>
      <c r="BG764">
        <v>20476</v>
      </c>
      <c r="BH764">
        <v>0</v>
      </c>
      <c r="BI764">
        <v>0</v>
      </c>
      <c r="BJ764">
        <v>0</v>
      </c>
      <c r="BK764">
        <v>0</v>
      </c>
      <c r="BL764" s="2">
        <v>24.82</v>
      </c>
      <c r="BM764" s="2">
        <v>42005.095138888886</v>
      </c>
      <c r="BN764" s="2">
        <v>5.4</v>
      </c>
      <c r="BO764" s="2">
        <v>42005.092361111114</v>
      </c>
      <c r="BP764" s="2">
        <v>6.92</v>
      </c>
      <c r="BQ764" s="2">
        <v>42005.092361111114</v>
      </c>
      <c r="BR764" s="2">
        <v>11.07</v>
      </c>
      <c r="BS764" s="2">
        <v>42005.092361111114</v>
      </c>
      <c r="BT764">
        <v>0</v>
      </c>
      <c r="BU764">
        <v>0</v>
      </c>
      <c r="BV764" t="s">
        <v>135</v>
      </c>
      <c r="BW764">
        <v>0</v>
      </c>
      <c r="BX764">
        <v>0</v>
      </c>
      <c r="BY764" t="s">
        <v>135</v>
      </c>
      <c r="BZ764">
        <v>0</v>
      </c>
      <c r="CA764">
        <v>0</v>
      </c>
      <c r="CB764" t="s">
        <v>135</v>
      </c>
      <c r="CH764" s="2"/>
      <c r="CJ764" s="2"/>
      <c r="CL764" s="2"/>
      <c r="CN764" s="2"/>
      <c r="CQ764" s="2"/>
      <c r="CT764" s="2"/>
      <c r="CW764" s="2"/>
    </row>
    <row r="765" spans="1:101" x14ac:dyDescent="0.25">
      <c r="A765" s="1" t="s">
        <v>163</v>
      </c>
      <c r="B765" s="75" t="s">
        <v>164</v>
      </c>
      <c r="C765">
        <v>0</v>
      </c>
      <c r="D765">
        <v>0</v>
      </c>
      <c r="E765">
        <v>0</v>
      </c>
      <c r="F765">
        <v>604324.56000000006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3.91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7490</v>
      </c>
      <c r="AW765">
        <v>3350</v>
      </c>
      <c r="AX765">
        <v>1219</v>
      </c>
      <c r="AY765">
        <v>12059</v>
      </c>
      <c r="AZ765">
        <v>4202</v>
      </c>
      <c r="BA765">
        <v>7438</v>
      </c>
      <c r="BB765">
        <v>1432</v>
      </c>
      <c r="BC765">
        <v>13072</v>
      </c>
      <c r="BD765">
        <v>9486</v>
      </c>
      <c r="BE765">
        <v>9222</v>
      </c>
      <c r="BF765">
        <v>1768</v>
      </c>
      <c r="BG765">
        <v>20476</v>
      </c>
      <c r="BH765">
        <v>0</v>
      </c>
      <c r="BI765">
        <v>0</v>
      </c>
      <c r="BJ765">
        <v>0</v>
      </c>
      <c r="BK765">
        <v>0</v>
      </c>
      <c r="BL765" s="2">
        <v>24.82</v>
      </c>
      <c r="BM765" s="2">
        <v>42005.095138888886</v>
      </c>
      <c r="BN765" s="2">
        <v>5.4</v>
      </c>
      <c r="BO765" s="2">
        <v>42005.092361111114</v>
      </c>
      <c r="BP765" s="2">
        <v>6.92</v>
      </c>
      <c r="BQ765" s="2">
        <v>42005.092361111114</v>
      </c>
      <c r="BR765" s="2">
        <v>11.07</v>
      </c>
      <c r="BS765" s="2">
        <v>42005.092361111114</v>
      </c>
      <c r="BT765">
        <v>0</v>
      </c>
      <c r="BU765">
        <v>0</v>
      </c>
      <c r="BV765" t="s">
        <v>135</v>
      </c>
      <c r="BW765">
        <v>0</v>
      </c>
      <c r="BX765">
        <v>0</v>
      </c>
      <c r="BY765" t="s">
        <v>135</v>
      </c>
      <c r="BZ765">
        <v>0</v>
      </c>
      <c r="CA765">
        <v>0</v>
      </c>
      <c r="CB765" t="s">
        <v>135</v>
      </c>
      <c r="CH765" s="2"/>
      <c r="CJ765" s="2"/>
      <c r="CL765" s="2"/>
      <c r="CN765" s="2"/>
      <c r="CQ765" s="2"/>
      <c r="CT765" s="2"/>
      <c r="CW765" s="2"/>
    </row>
    <row r="766" spans="1:101" x14ac:dyDescent="0.25">
      <c r="A766" s="1" t="s">
        <v>163</v>
      </c>
      <c r="B766" s="75" t="s">
        <v>164</v>
      </c>
      <c r="C766">
        <v>0</v>
      </c>
      <c r="D766">
        <v>0</v>
      </c>
      <c r="E766">
        <v>0</v>
      </c>
      <c r="F766">
        <v>604324.56000000006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3.91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7490</v>
      </c>
      <c r="AW766">
        <v>3350</v>
      </c>
      <c r="AX766">
        <v>1219</v>
      </c>
      <c r="AY766">
        <v>12059</v>
      </c>
      <c r="AZ766">
        <v>4202</v>
      </c>
      <c r="BA766">
        <v>7438</v>
      </c>
      <c r="BB766">
        <v>1432</v>
      </c>
      <c r="BC766">
        <v>13072</v>
      </c>
      <c r="BD766">
        <v>9486</v>
      </c>
      <c r="BE766">
        <v>9222</v>
      </c>
      <c r="BF766">
        <v>1768</v>
      </c>
      <c r="BG766">
        <v>20476</v>
      </c>
      <c r="BH766">
        <v>0</v>
      </c>
      <c r="BI766">
        <v>0</v>
      </c>
      <c r="BJ766">
        <v>0</v>
      </c>
      <c r="BK766">
        <v>0</v>
      </c>
      <c r="BL766" s="2">
        <v>24.82</v>
      </c>
      <c r="BM766" s="2">
        <v>42005.095138888886</v>
      </c>
      <c r="BN766" s="2">
        <v>5.4</v>
      </c>
      <c r="BO766" s="2">
        <v>42005.092361111114</v>
      </c>
      <c r="BP766" s="2">
        <v>6.92</v>
      </c>
      <c r="BQ766" s="2">
        <v>42005.092361111114</v>
      </c>
      <c r="BR766" s="2">
        <v>11.07</v>
      </c>
      <c r="BS766" s="2">
        <v>42005.092361111114</v>
      </c>
      <c r="BT766">
        <v>0</v>
      </c>
      <c r="BU766">
        <v>0</v>
      </c>
      <c r="BV766" t="s">
        <v>135</v>
      </c>
      <c r="BW766">
        <v>0</v>
      </c>
      <c r="BX766">
        <v>0</v>
      </c>
      <c r="BY766" t="s">
        <v>135</v>
      </c>
      <c r="BZ766">
        <v>0</v>
      </c>
      <c r="CA766">
        <v>0</v>
      </c>
      <c r="CB766" t="s">
        <v>135</v>
      </c>
      <c r="CH766" s="2"/>
      <c r="CJ766" s="2"/>
      <c r="CL766" s="2"/>
      <c r="CN766" s="2"/>
      <c r="CQ766" s="2"/>
      <c r="CT766" s="2"/>
      <c r="CW766" s="2"/>
    </row>
    <row r="767" spans="1:101" x14ac:dyDescent="0.25">
      <c r="A767" s="1" t="s">
        <v>163</v>
      </c>
      <c r="B767" s="75" t="s">
        <v>164</v>
      </c>
      <c r="C767">
        <v>0</v>
      </c>
      <c r="D767">
        <v>0</v>
      </c>
      <c r="E767">
        <v>0</v>
      </c>
      <c r="F767">
        <v>604324.56000000006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3.91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7490</v>
      </c>
      <c r="AW767">
        <v>3350</v>
      </c>
      <c r="AX767">
        <v>1219</v>
      </c>
      <c r="AY767">
        <v>12059</v>
      </c>
      <c r="AZ767">
        <v>4202</v>
      </c>
      <c r="BA767">
        <v>7438</v>
      </c>
      <c r="BB767">
        <v>1432</v>
      </c>
      <c r="BC767">
        <v>13072</v>
      </c>
      <c r="BD767">
        <v>9486</v>
      </c>
      <c r="BE767">
        <v>9222</v>
      </c>
      <c r="BF767">
        <v>1768</v>
      </c>
      <c r="BG767">
        <v>20476</v>
      </c>
      <c r="BH767">
        <v>0</v>
      </c>
      <c r="BI767">
        <v>0</v>
      </c>
      <c r="BJ767">
        <v>0</v>
      </c>
      <c r="BK767">
        <v>0</v>
      </c>
      <c r="BL767" s="2">
        <v>24.82</v>
      </c>
      <c r="BM767" s="2">
        <v>42005.095138888886</v>
      </c>
      <c r="BN767" s="2">
        <v>5.4</v>
      </c>
      <c r="BO767" s="2">
        <v>42005.092361111114</v>
      </c>
      <c r="BP767" s="2">
        <v>6.92</v>
      </c>
      <c r="BQ767" s="2">
        <v>42005.092361111114</v>
      </c>
      <c r="BR767" s="2">
        <v>11.07</v>
      </c>
      <c r="BS767" s="2">
        <v>42005.092361111114</v>
      </c>
      <c r="BT767">
        <v>0</v>
      </c>
      <c r="BU767">
        <v>0</v>
      </c>
      <c r="BV767" t="s">
        <v>135</v>
      </c>
      <c r="BW767">
        <v>0</v>
      </c>
      <c r="BX767">
        <v>0</v>
      </c>
      <c r="BY767" t="s">
        <v>135</v>
      </c>
      <c r="BZ767">
        <v>0</v>
      </c>
      <c r="CA767">
        <v>0</v>
      </c>
      <c r="CB767" t="s">
        <v>135</v>
      </c>
      <c r="CH767" s="2"/>
      <c r="CJ767" s="2"/>
      <c r="CL767" s="2"/>
      <c r="CN767" s="2"/>
      <c r="CQ767" s="2"/>
      <c r="CT767" s="2"/>
      <c r="CW767" s="2"/>
    </row>
    <row r="768" spans="1:101" x14ac:dyDescent="0.25">
      <c r="A768" s="1" t="s">
        <v>163</v>
      </c>
      <c r="B768" s="75" t="s">
        <v>164</v>
      </c>
      <c r="C768">
        <v>0</v>
      </c>
      <c r="D768">
        <v>0</v>
      </c>
      <c r="E768">
        <v>0</v>
      </c>
      <c r="F768">
        <v>604324.56000000006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3.91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7490</v>
      </c>
      <c r="AW768">
        <v>3350</v>
      </c>
      <c r="AX768">
        <v>1219</v>
      </c>
      <c r="AY768">
        <v>12059</v>
      </c>
      <c r="AZ768">
        <v>4202</v>
      </c>
      <c r="BA768">
        <v>7438</v>
      </c>
      <c r="BB768">
        <v>1432</v>
      </c>
      <c r="BC768">
        <v>13072</v>
      </c>
      <c r="BD768">
        <v>9486</v>
      </c>
      <c r="BE768">
        <v>9222</v>
      </c>
      <c r="BF768">
        <v>1768</v>
      </c>
      <c r="BG768">
        <v>20476</v>
      </c>
      <c r="BH768">
        <v>0</v>
      </c>
      <c r="BI768">
        <v>0</v>
      </c>
      <c r="BJ768">
        <v>0</v>
      </c>
      <c r="BK768">
        <v>0</v>
      </c>
      <c r="BL768" s="2">
        <v>24.82</v>
      </c>
      <c r="BM768" s="2">
        <v>42005.095138888886</v>
      </c>
      <c r="BN768" s="2">
        <v>5.4</v>
      </c>
      <c r="BO768" s="2">
        <v>42005.092361111114</v>
      </c>
      <c r="BP768" s="2">
        <v>6.92</v>
      </c>
      <c r="BQ768" s="2">
        <v>42005.092361111114</v>
      </c>
      <c r="BR768" s="2">
        <v>11.07</v>
      </c>
      <c r="BS768" s="2">
        <v>42005.092361111114</v>
      </c>
      <c r="BT768">
        <v>0</v>
      </c>
      <c r="BU768">
        <v>0</v>
      </c>
      <c r="BV768" t="s">
        <v>135</v>
      </c>
      <c r="BW768">
        <v>0</v>
      </c>
      <c r="BX768">
        <v>0</v>
      </c>
      <c r="BY768" t="s">
        <v>135</v>
      </c>
      <c r="BZ768">
        <v>0</v>
      </c>
      <c r="CA768">
        <v>0</v>
      </c>
      <c r="CB768" t="s">
        <v>135</v>
      </c>
      <c r="CH768" s="2"/>
      <c r="CJ768" s="2"/>
      <c r="CL768" s="2"/>
      <c r="CN768" s="2"/>
      <c r="CQ768" s="2"/>
      <c r="CT768" s="2"/>
      <c r="CW768" s="2"/>
    </row>
    <row r="769" spans="1:101" x14ac:dyDescent="0.25">
      <c r="A769" s="1" t="s">
        <v>163</v>
      </c>
      <c r="B769" s="75" t="s">
        <v>164</v>
      </c>
      <c r="C769">
        <v>0</v>
      </c>
      <c r="D769">
        <v>0</v>
      </c>
      <c r="E769">
        <v>0</v>
      </c>
      <c r="F769">
        <v>604324.56000000006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3.91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7490</v>
      </c>
      <c r="AW769">
        <v>3350</v>
      </c>
      <c r="AX769">
        <v>1219</v>
      </c>
      <c r="AY769">
        <v>12059</v>
      </c>
      <c r="AZ769">
        <v>4202</v>
      </c>
      <c r="BA769">
        <v>7438</v>
      </c>
      <c r="BB769">
        <v>1432</v>
      </c>
      <c r="BC769">
        <v>13072</v>
      </c>
      <c r="BD769">
        <v>9486</v>
      </c>
      <c r="BE769">
        <v>9222</v>
      </c>
      <c r="BF769">
        <v>1768</v>
      </c>
      <c r="BG769">
        <v>20476</v>
      </c>
      <c r="BH769">
        <v>0</v>
      </c>
      <c r="BI769">
        <v>0</v>
      </c>
      <c r="BJ769">
        <v>0</v>
      </c>
      <c r="BK769">
        <v>0</v>
      </c>
      <c r="BL769" s="2">
        <v>24.82</v>
      </c>
      <c r="BM769" s="2">
        <v>42005.095138888886</v>
      </c>
      <c r="BN769" s="2">
        <v>5.4</v>
      </c>
      <c r="BO769" s="2">
        <v>42005.092361111114</v>
      </c>
      <c r="BP769" s="2">
        <v>6.92</v>
      </c>
      <c r="BQ769" s="2">
        <v>42005.092361111114</v>
      </c>
      <c r="BR769" s="2">
        <v>11.07</v>
      </c>
      <c r="BS769" s="2">
        <v>42005.092361111114</v>
      </c>
      <c r="BT769">
        <v>0</v>
      </c>
      <c r="BU769">
        <v>0</v>
      </c>
      <c r="BV769" t="s">
        <v>135</v>
      </c>
      <c r="BW769">
        <v>0</v>
      </c>
      <c r="BX769">
        <v>0</v>
      </c>
      <c r="BY769" t="s">
        <v>135</v>
      </c>
      <c r="BZ769">
        <v>0</v>
      </c>
      <c r="CA769">
        <v>0</v>
      </c>
      <c r="CB769" t="s">
        <v>135</v>
      </c>
      <c r="CH769" s="2"/>
      <c r="CJ769" s="2"/>
      <c r="CL769" s="2"/>
      <c r="CN769" s="2"/>
      <c r="CQ769" s="2"/>
      <c r="CT769" s="2"/>
      <c r="CW769" s="2"/>
    </row>
    <row r="770" spans="1:101" x14ac:dyDescent="0.25">
      <c r="A770" s="1" t="s">
        <v>163</v>
      </c>
      <c r="B770" s="75" t="s">
        <v>164</v>
      </c>
      <c r="C770">
        <v>0</v>
      </c>
      <c r="D770">
        <v>0</v>
      </c>
      <c r="E770">
        <v>0</v>
      </c>
      <c r="F770">
        <v>604324.56000000006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3.91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7490</v>
      </c>
      <c r="AW770">
        <v>3350</v>
      </c>
      <c r="AX770">
        <v>1219</v>
      </c>
      <c r="AY770">
        <v>12059</v>
      </c>
      <c r="AZ770">
        <v>4202</v>
      </c>
      <c r="BA770">
        <v>7438</v>
      </c>
      <c r="BB770">
        <v>1432</v>
      </c>
      <c r="BC770">
        <v>13072</v>
      </c>
      <c r="BD770">
        <v>9486</v>
      </c>
      <c r="BE770">
        <v>9222</v>
      </c>
      <c r="BF770">
        <v>1768</v>
      </c>
      <c r="BG770">
        <v>20476</v>
      </c>
      <c r="BH770">
        <v>0</v>
      </c>
      <c r="BI770">
        <v>0</v>
      </c>
      <c r="BJ770">
        <v>0</v>
      </c>
      <c r="BK770">
        <v>0</v>
      </c>
      <c r="BL770" s="2">
        <v>24.82</v>
      </c>
      <c r="BM770" s="2">
        <v>42005.095138888886</v>
      </c>
      <c r="BN770" s="2">
        <v>5.4</v>
      </c>
      <c r="BO770" s="2">
        <v>42005.092361111114</v>
      </c>
      <c r="BP770" s="2">
        <v>6.92</v>
      </c>
      <c r="BQ770" s="2">
        <v>42005.092361111114</v>
      </c>
      <c r="BR770" s="2">
        <v>11.07</v>
      </c>
      <c r="BS770" s="2">
        <v>42005.092361111114</v>
      </c>
      <c r="BT770">
        <v>0</v>
      </c>
      <c r="BU770">
        <v>0</v>
      </c>
      <c r="BV770" t="s">
        <v>135</v>
      </c>
      <c r="BW770">
        <v>0</v>
      </c>
      <c r="BX770">
        <v>0</v>
      </c>
      <c r="BY770" t="s">
        <v>135</v>
      </c>
      <c r="BZ770">
        <v>0</v>
      </c>
      <c r="CA770">
        <v>0</v>
      </c>
      <c r="CB770" t="s">
        <v>135</v>
      </c>
      <c r="CH770" s="2"/>
      <c r="CJ770" s="2"/>
      <c r="CL770" s="2"/>
      <c r="CN770" s="2"/>
      <c r="CQ770" s="2"/>
      <c r="CT770" s="2"/>
      <c r="CW770" s="2"/>
    </row>
    <row r="771" spans="1:101" x14ac:dyDescent="0.25">
      <c r="A771" s="1" t="s">
        <v>163</v>
      </c>
      <c r="B771" s="75" t="s">
        <v>164</v>
      </c>
      <c r="C771">
        <v>0</v>
      </c>
      <c r="D771">
        <v>0</v>
      </c>
      <c r="E771">
        <v>0</v>
      </c>
      <c r="F771">
        <v>604324.56000000006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3.91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7490</v>
      </c>
      <c r="AW771">
        <v>3350</v>
      </c>
      <c r="AX771">
        <v>1219</v>
      </c>
      <c r="AY771">
        <v>12059</v>
      </c>
      <c r="AZ771">
        <v>4202</v>
      </c>
      <c r="BA771">
        <v>7438</v>
      </c>
      <c r="BB771">
        <v>1432</v>
      </c>
      <c r="BC771">
        <v>13072</v>
      </c>
      <c r="BD771">
        <v>9486</v>
      </c>
      <c r="BE771">
        <v>9222</v>
      </c>
      <c r="BF771">
        <v>1768</v>
      </c>
      <c r="BG771">
        <v>20476</v>
      </c>
      <c r="BH771">
        <v>0</v>
      </c>
      <c r="BI771">
        <v>0</v>
      </c>
      <c r="BJ771">
        <v>0</v>
      </c>
      <c r="BK771">
        <v>0</v>
      </c>
      <c r="BL771" s="2">
        <v>24.82</v>
      </c>
      <c r="BM771" s="2">
        <v>42005.095138888886</v>
      </c>
      <c r="BN771" s="2">
        <v>5.4</v>
      </c>
      <c r="BO771" s="2">
        <v>42005.092361111114</v>
      </c>
      <c r="BP771" s="2">
        <v>6.92</v>
      </c>
      <c r="BQ771" s="2">
        <v>42005.092361111114</v>
      </c>
      <c r="BR771" s="2">
        <v>11.07</v>
      </c>
      <c r="BS771" s="2">
        <v>42005.092361111114</v>
      </c>
      <c r="BT771">
        <v>0</v>
      </c>
      <c r="BU771">
        <v>0</v>
      </c>
      <c r="BV771" t="s">
        <v>135</v>
      </c>
      <c r="BW771">
        <v>0</v>
      </c>
      <c r="BX771">
        <v>0</v>
      </c>
      <c r="BY771" t="s">
        <v>135</v>
      </c>
      <c r="BZ771">
        <v>0</v>
      </c>
      <c r="CA771">
        <v>0</v>
      </c>
      <c r="CB771" t="s">
        <v>135</v>
      </c>
      <c r="CH771" s="2"/>
      <c r="CJ771" s="2"/>
      <c r="CL771" s="2"/>
      <c r="CN771" s="2"/>
      <c r="CQ771" s="2"/>
      <c r="CT771" s="2"/>
      <c r="CW771" s="2"/>
    </row>
    <row r="772" spans="1:101" x14ac:dyDescent="0.25">
      <c r="A772" s="1" t="s">
        <v>163</v>
      </c>
      <c r="B772" s="75" t="s">
        <v>164</v>
      </c>
      <c r="C772">
        <v>0</v>
      </c>
      <c r="D772">
        <v>0</v>
      </c>
      <c r="E772">
        <v>0</v>
      </c>
      <c r="F772">
        <v>604324.56000000006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3.91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7490</v>
      </c>
      <c r="AW772">
        <v>3350</v>
      </c>
      <c r="AX772">
        <v>1219</v>
      </c>
      <c r="AY772">
        <v>12059</v>
      </c>
      <c r="AZ772">
        <v>4202</v>
      </c>
      <c r="BA772">
        <v>7438</v>
      </c>
      <c r="BB772">
        <v>1432</v>
      </c>
      <c r="BC772">
        <v>13072</v>
      </c>
      <c r="BD772">
        <v>9486</v>
      </c>
      <c r="BE772">
        <v>9222</v>
      </c>
      <c r="BF772">
        <v>1768</v>
      </c>
      <c r="BG772">
        <v>20476</v>
      </c>
      <c r="BH772">
        <v>0</v>
      </c>
      <c r="BI772">
        <v>0</v>
      </c>
      <c r="BJ772">
        <v>0</v>
      </c>
      <c r="BK772">
        <v>0</v>
      </c>
      <c r="BL772" s="2">
        <v>24.82</v>
      </c>
      <c r="BM772" s="2">
        <v>42005.095138888886</v>
      </c>
      <c r="BN772" s="2">
        <v>5.4</v>
      </c>
      <c r="BO772" s="2">
        <v>42005.092361111114</v>
      </c>
      <c r="BP772" s="2">
        <v>6.92</v>
      </c>
      <c r="BQ772" s="2">
        <v>42005.092361111114</v>
      </c>
      <c r="BR772" s="2">
        <v>11.07</v>
      </c>
      <c r="BS772" s="2">
        <v>42005.092361111114</v>
      </c>
      <c r="BT772">
        <v>0</v>
      </c>
      <c r="BU772">
        <v>0</v>
      </c>
      <c r="BV772" t="s">
        <v>135</v>
      </c>
      <c r="BW772">
        <v>0</v>
      </c>
      <c r="BX772">
        <v>0</v>
      </c>
      <c r="BY772" t="s">
        <v>135</v>
      </c>
      <c r="BZ772">
        <v>0</v>
      </c>
      <c r="CA772">
        <v>0</v>
      </c>
      <c r="CB772" t="s">
        <v>135</v>
      </c>
      <c r="CH772" s="2"/>
      <c r="CJ772" s="2"/>
      <c r="CL772" s="2"/>
      <c r="CN772" s="2"/>
      <c r="CQ772" s="2"/>
      <c r="CT772" s="2"/>
      <c r="CW772" s="2"/>
    </row>
    <row r="773" spans="1:101" x14ac:dyDescent="0.25">
      <c r="A773" s="1" t="s">
        <v>163</v>
      </c>
      <c r="B773" s="75" t="s">
        <v>164</v>
      </c>
      <c r="C773">
        <v>0</v>
      </c>
      <c r="D773">
        <v>0</v>
      </c>
      <c r="E773">
        <v>0</v>
      </c>
      <c r="F773">
        <v>604324.56000000006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3.91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7490</v>
      </c>
      <c r="AW773">
        <v>3350</v>
      </c>
      <c r="AX773">
        <v>1219</v>
      </c>
      <c r="AY773">
        <v>12059</v>
      </c>
      <c r="AZ773">
        <v>4202</v>
      </c>
      <c r="BA773">
        <v>7438</v>
      </c>
      <c r="BB773">
        <v>1432</v>
      </c>
      <c r="BC773">
        <v>13072</v>
      </c>
      <c r="BD773">
        <v>9486</v>
      </c>
      <c r="BE773">
        <v>9222</v>
      </c>
      <c r="BF773">
        <v>1768</v>
      </c>
      <c r="BG773">
        <v>20476</v>
      </c>
      <c r="BH773">
        <v>0</v>
      </c>
      <c r="BI773">
        <v>0</v>
      </c>
      <c r="BJ773">
        <v>0</v>
      </c>
      <c r="BK773">
        <v>0</v>
      </c>
      <c r="BL773" s="2">
        <v>24.82</v>
      </c>
      <c r="BM773" s="2">
        <v>42005.095138888886</v>
      </c>
      <c r="BN773" s="2">
        <v>5.4</v>
      </c>
      <c r="BO773" s="2">
        <v>42005.092361111114</v>
      </c>
      <c r="BP773" s="2">
        <v>6.92</v>
      </c>
      <c r="BQ773" s="2">
        <v>42005.092361111114</v>
      </c>
      <c r="BR773" s="2">
        <v>11.07</v>
      </c>
      <c r="BS773" s="2">
        <v>42005.092361111114</v>
      </c>
      <c r="BT773">
        <v>0</v>
      </c>
      <c r="BU773">
        <v>0</v>
      </c>
      <c r="BV773" t="s">
        <v>135</v>
      </c>
      <c r="BW773">
        <v>0</v>
      </c>
      <c r="BX773">
        <v>0</v>
      </c>
      <c r="BY773" t="s">
        <v>135</v>
      </c>
      <c r="BZ773">
        <v>0</v>
      </c>
      <c r="CA773">
        <v>0</v>
      </c>
      <c r="CB773" t="s">
        <v>135</v>
      </c>
      <c r="CH773" s="2"/>
      <c r="CJ773" s="2"/>
      <c r="CL773" s="2"/>
      <c r="CN773" s="2"/>
      <c r="CQ773" s="2"/>
      <c r="CT773" s="2"/>
      <c r="CW773" s="2"/>
    </row>
    <row r="774" spans="1:101" x14ac:dyDescent="0.25">
      <c r="A774" s="1" t="s">
        <v>163</v>
      </c>
      <c r="B774" s="75" t="s">
        <v>164</v>
      </c>
      <c r="C774">
        <v>0</v>
      </c>
      <c r="D774">
        <v>0</v>
      </c>
      <c r="E774">
        <v>0</v>
      </c>
      <c r="F774">
        <v>604324.56000000006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3.91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7490</v>
      </c>
      <c r="AW774">
        <v>3350</v>
      </c>
      <c r="AX774">
        <v>1219</v>
      </c>
      <c r="AY774">
        <v>12059</v>
      </c>
      <c r="AZ774">
        <v>4202</v>
      </c>
      <c r="BA774">
        <v>7438</v>
      </c>
      <c r="BB774">
        <v>1432</v>
      </c>
      <c r="BC774">
        <v>13072</v>
      </c>
      <c r="BD774">
        <v>9486</v>
      </c>
      <c r="BE774">
        <v>9222</v>
      </c>
      <c r="BF774">
        <v>1768</v>
      </c>
      <c r="BG774">
        <v>20476</v>
      </c>
      <c r="BH774">
        <v>0</v>
      </c>
      <c r="BI774">
        <v>0</v>
      </c>
      <c r="BJ774">
        <v>0</v>
      </c>
      <c r="BK774">
        <v>0</v>
      </c>
      <c r="BL774" s="2">
        <v>24.82</v>
      </c>
      <c r="BM774" s="2">
        <v>42005.095138888886</v>
      </c>
      <c r="BN774" s="2">
        <v>5.4</v>
      </c>
      <c r="BO774" s="2">
        <v>42005.092361111114</v>
      </c>
      <c r="BP774" s="2">
        <v>6.92</v>
      </c>
      <c r="BQ774" s="2">
        <v>42005.092361111114</v>
      </c>
      <c r="BR774" s="2">
        <v>11.07</v>
      </c>
      <c r="BS774" s="2">
        <v>42005.092361111114</v>
      </c>
      <c r="BT774">
        <v>0</v>
      </c>
      <c r="BU774">
        <v>0</v>
      </c>
      <c r="BV774" t="s">
        <v>135</v>
      </c>
      <c r="BW774">
        <v>0</v>
      </c>
      <c r="BX774">
        <v>0</v>
      </c>
      <c r="BY774" t="s">
        <v>135</v>
      </c>
      <c r="BZ774">
        <v>0</v>
      </c>
      <c r="CA774">
        <v>0</v>
      </c>
      <c r="CB774" t="s">
        <v>135</v>
      </c>
      <c r="CH774" s="2"/>
      <c r="CJ774" s="2"/>
      <c r="CL774" s="2"/>
      <c r="CN774" s="2"/>
      <c r="CQ774" s="2"/>
      <c r="CT774" s="2"/>
      <c r="CW774" s="2"/>
    </row>
    <row r="775" spans="1:101" x14ac:dyDescent="0.25">
      <c r="A775" s="1" t="s">
        <v>163</v>
      </c>
      <c r="B775" s="75" t="s">
        <v>164</v>
      </c>
      <c r="C775">
        <v>0</v>
      </c>
      <c r="D775">
        <v>0</v>
      </c>
      <c r="E775">
        <v>0</v>
      </c>
      <c r="F775">
        <v>604324.56000000006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3.91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7490</v>
      </c>
      <c r="AW775">
        <v>3350</v>
      </c>
      <c r="AX775">
        <v>1219</v>
      </c>
      <c r="AY775">
        <v>12059</v>
      </c>
      <c r="AZ775">
        <v>4202</v>
      </c>
      <c r="BA775">
        <v>7438</v>
      </c>
      <c r="BB775">
        <v>1432</v>
      </c>
      <c r="BC775">
        <v>13072</v>
      </c>
      <c r="BD775">
        <v>9486</v>
      </c>
      <c r="BE775">
        <v>9222</v>
      </c>
      <c r="BF775">
        <v>1768</v>
      </c>
      <c r="BG775">
        <v>20476</v>
      </c>
      <c r="BH775">
        <v>0</v>
      </c>
      <c r="BI775">
        <v>0</v>
      </c>
      <c r="BJ775">
        <v>0</v>
      </c>
      <c r="BK775">
        <v>0</v>
      </c>
      <c r="BL775" s="2">
        <v>24.82</v>
      </c>
      <c r="BM775" s="2">
        <v>42005.095138888886</v>
      </c>
      <c r="BN775" s="2">
        <v>5.4</v>
      </c>
      <c r="BO775" s="2">
        <v>42005.092361111114</v>
      </c>
      <c r="BP775" s="2">
        <v>6.92</v>
      </c>
      <c r="BQ775" s="2">
        <v>42005.092361111114</v>
      </c>
      <c r="BR775" s="2">
        <v>11.07</v>
      </c>
      <c r="BS775" s="2">
        <v>42005.092361111114</v>
      </c>
      <c r="BT775">
        <v>0</v>
      </c>
      <c r="BU775">
        <v>0</v>
      </c>
      <c r="BV775" t="s">
        <v>135</v>
      </c>
      <c r="BW775">
        <v>0</v>
      </c>
      <c r="BX775">
        <v>0</v>
      </c>
      <c r="BY775" t="s">
        <v>135</v>
      </c>
      <c r="BZ775">
        <v>0</v>
      </c>
      <c r="CA775">
        <v>0</v>
      </c>
      <c r="CB775" t="s">
        <v>135</v>
      </c>
      <c r="CH775" s="2"/>
      <c r="CJ775" s="2"/>
      <c r="CL775" s="2"/>
      <c r="CN775" s="2"/>
      <c r="CQ775" s="2"/>
      <c r="CT775" s="2"/>
      <c r="CW775" s="2"/>
    </row>
    <row r="776" spans="1:101" x14ac:dyDescent="0.25">
      <c r="A776" s="1" t="s">
        <v>163</v>
      </c>
      <c r="B776" s="75" t="s">
        <v>164</v>
      </c>
      <c r="C776">
        <v>0</v>
      </c>
      <c r="D776">
        <v>0</v>
      </c>
      <c r="E776">
        <v>0</v>
      </c>
      <c r="F776">
        <v>604324.56000000006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3.91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7490</v>
      </c>
      <c r="AW776">
        <v>3350</v>
      </c>
      <c r="AX776">
        <v>1219</v>
      </c>
      <c r="AY776">
        <v>12059</v>
      </c>
      <c r="AZ776">
        <v>4202</v>
      </c>
      <c r="BA776">
        <v>7438</v>
      </c>
      <c r="BB776">
        <v>1432</v>
      </c>
      <c r="BC776">
        <v>13072</v>
      </c>
      <c r="BD776">
        <v>9486</v>
      </c>
      <c r="BE776">
        <v>9222</v>
      </c>
      <c r="BF776">
        <v>1768</v>
      </c>
      <c r="BG776">
        <v>20476</v>
      </c>
      <c r="BH776">
        <v>0</v>
      </c>
      <c r="BI776">
        <v>0</v>
      </c>
      <c r="BJ776">
        <v>0</v>
      </c>
      <c r="BK776">
        <v>0</v>
      </c>
      <c r="BL776" s="2">
        <v>24.82</v>
      </c>
      <c r="BM776" s="2">
        <v>42005.095138888886</v>
      </c>
      <c r="BN776" s="2">
        <v>5.4</v>
      </c>
      <c r="BO776" s="2">
        <v>42005.092361111114</v>
      </c>
      <c r="BP776" s="2">
        <v>6.92</v>
      </c>
      <c r="BQ776" s="2">
        <v>42005.092361111114</v>
      </c>
      <c r="BR776" s="2">
        <v>11.07</v>
      </c>
      <c r="BS776" s="2">
        <v>42005.092361111114</v>
      </c>
      <c r="BT776">
        <v>0</v>
      </c>
      <c r="BU776">
        <v>0</v>
      </c>
      <c r="BV776" t="s">
        <v>135</v>
      </c>
      <c r="BW776">
        <v>0</v>
      </c>
      <c r="BX776">
        <v>0</v>
      </c>
      <c r="BY776" t="s">
        <v>135</v>
      </c>
      <c r="BZ776">
        <v>0</v>
      </c>
      <c r="CA776">
        <v>0</v>
      </c>
      <c r="CB776" t="s">
        <v>135</v>
      </c>
      <c r="CH776" s="2"/>
      <c r="CJ776" s="2"/>
      <c r="CL776" s="2"/>
      <c r="CN776" s="2"/>
      <c r="CQ776" s="2"/>
      <c r="CT776" s="2"/>
      <c r="CW776" s="2"/>
    </row>
    <row r="777" spans="1:101" x14ac:dyDescent="0.25">
      <c r="A777" s="1" t="s">
        <v>163</v>
      </c>
      <c r="B777" s="75" t="s">
        <v>164</v>
      </c>
      <c r="C777">
        <v>0</v>
      </c>
      <c r="D777">
        <v>0</v>
      </c>
      <c r="E777">
        <v>0</v>
      </c>
      <c r="F777">
        <v>604324.56000000006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3.91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7490</v>
      </c>
      <c r="AW777">
        <v>3350</v>
      </c>
      <c r="AX777">
        <v>1219</v>
      </c>
      <c r="AY777">
        <v>12059</v>
      </c>
      <c r="AZ777">
        <v>4202</v>
      </c>
      <c r="BA777">
        <v>7438</v>
      </c>
      <c r="BB777">
        <v>1432</v>
      </c>
      <c r="BC777">
        <v>13072</v>
      </c>
      <c r="BD777">
        <v>9486</v>
      </c>
      <c r="BE777">
        <v>9222</v>
      </c>
      <c r="BF777">
        <v>1768</v>
      </c>
      <c r="BG777">
        <v>20476</v>
      </c>
      <c r="BH777">
        <v>0</v>
      </c>
      <c r="BI777">
        <v>0</v>
      </c>
      <c r="BJ777">
        <v>0</v>
      </c>
      <c r="BK777">
        <v>0</v>
      </c>
      <c r="BL777" s="2">
        <v>24.82</v>
      </c>
      <c r="BM777" s="2">
        <v>42005.095138888886</v>
      </c>
      <c r="BN777" s="2">
        <v>5.4</v>
      </c>
      <c r="BO777" s="2">
        <v>42005.092361111114</v>
      </c>
      <c r="BP777" s="2">
        <v>6.92</v>
      </c>
      <c r="BQ777" s="2">
        <v>42005.092361111114</v>
      </c>
      <c r="BR777" s="2">
        <v>11.07</v>
      </c>
      <c r="BS777" s="2">
        <v>42005.092361111114</v>
      </c>
      <c r="BT777">
        <v>0</v>
      </c>
      <c r="BU777">
        <v>0</v>
      </c>
      <c r="BV777" t="s">
        <v>135</v>
      </c>
      <c r="BW777">
        <v>0</v>
      </c>
      <c r="BX777">
        <v>0</v>
      </c>
      <c r="BY777" t="s">
        <v>135</v>
      </c>
      <c r="BZ777">
        <v>0</v>
      </c>
      <c r="CA777">
        <v>0</v>
      </c>
      <c r="CB777" t="s">
        <v>135</v>
      </c>
      <c r="CH777" s="2"/>
      <c r="CJ777" s="2"/>
      <c r="CL777" s="2"/>
      <c r="CN777" s="2"/>
      <c r="CQ777" s="2"/>
      <c r="CT777" s="2"/>
      <c r="CW777" s="2"/>
    </row>
    <row r="778" spans="1:101" x14ac:dyDescent="0.25">
      <c r="A778" s="1" t="s">
        <v>163</v>
      </c>
      <c r="B778" s="75" t="s">
        <v>164</v>
      </c>
      <c r="C778">
        <v>0</v>
      </c>
      <c r="D778">
        <v>0</v>
      </c>
      <c r="E778">
        <v>0</v>
      </c>
      <c r="F778">
        <v>604324.56000000006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3.91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7490</v>
      </c>
      <c r="AW778">
        <v>3350</v>
      </c>
      <c r="AX778">
        <v>1219</v>
      </c>
      <c r="AY778">
        <v>12059</v>
      </c>
      <c r="AZ778">
        <v>4202</v>
      </c>
      <c r="BA778">
        <v>7438</v>
      </c>
      <c r="BB778">
        <v>1432</v>
      </c>
      <c r="BC778">
        <v>13072</v>
      </c>
      <c r="BD778">
        <v>9486</v>
      </c>
      <c r="BE778">
        <v>9222</v>
      </c>
      <c r="BF778">
        <v>1768</v>
      </c>
      <c r="BG778">
        <v>20476</v>
      </c>
      <c r="BH778">
        <v>0</v>
      </c>
      <c r="BI778">
        <v>0</v>
      </c>
      <c r="BJ778">
        <v>0</v>
      </c>
      <c r="BK778">
        <v>0</v>
      </c>
      <c r="BL778" s="2">
        <v>24.82</v>
      </c>
      <c r="BM778" s="2">
        <v>42005.095138888886</v>
      </c>
      <c r="BN778" s="2">
        <v>5.4</v>
      </c>
      <c r="BO778" s="2">
        <v>42005.092361111114</v>
      </c>
      <c r="BP778" s="2">
        <v>6.92</v>
      </c>
      <c r="BQ778" s="2">
        <v>42005.092361111114</v>
      </c>
      <c r="BR778" s="2">
        <v>11.07</v>
      </c>
      <c r="BS778" s="2">
        <v>42005.092361111114</v>
      </c>
      <c r="BT778">
        <v>0</v>
      </c>
      <c r="BU778">
        <v>0</v>
      </c>
      <c r="BV778" t="s">
        <v>135</v>
      </c>
      <c r="BW778">
        <v>0</v>
      </c>
      <c r="BX778">
        <v>0</v>
      </c>
      <c r="BY778" t="s">
        <v>135</v>
      </c>
      <c r="BZ778">
        <v>0</v>
      </c>
      <c r="CA778">
        <v>0</v>
      </c>
      <c r="CB778" t="s">
        <v>135</v>
      </c>
      <c r="CH778" s="2"/>
      <c r="CJ778" s="2"/>
      <c r="CL778" s="2"/>
      <c r="CN778" s="2"/>
      <c r="CQ778" s="2"/>
      <c r="CT778" s="2"/>
      <c r="CW778" s="2"/>
    </row>
    <row r="779" spans="1:101" x14ac:dyDescent="0.25">
      <c r="A779" s="1" t="s">
        <v>163</v>
      </c>
      <c r="B779" s="75" t="s">
        <v>164</v>
      </c>
      <c r="C779">
        <v>0</v>
      </c>
      <c r="D779">
        <v>0</v>
      </c>
      <c r="E779">
        <v>0</v>
      </c>
      <c r="F779">
        <v>604324.56000000006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3.91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7490</v>
      </c>
      <c r="AW779">
        <v>3350</v>
      </c>
      <c r="AX779">
        <v>1219</v>
      </c>
      <c r="AY779">
        <v>12059</v>
      </c>
      <c r="AZ779">
        <v>4202</v>
      </c>
      <c r="BA779">
        <v>7438</v>
      </c>
      <c r="BB779">
        <v>1432</v>
      </c>
      <c r="BC779">
        <v>13072</v>
      </c>
      <c r="BD779">
        <v>9486</v>
      </c>
      <c r="BE779">
        <v>9222</v>
      </c>
      <c r="BF779">
        <v>1768</v>
      </c>
      <c r="BG779">
        <v>20476</v>
      </c>
      <c r="BH779">
        <v>0</v>
      </c>
      <c r="BI779">
        <v>0</v>
      </c>
      <c r="BJ779">
        <v>0</v>
      </c>
      <c r="BK779">
        <v>0</v>
      </c>
      <c r="BL779" s="2">
        <v>24.82</v>
      </c>
      <c r="BM779" s="2">
        <v>42005.095138888886</v>
      </c>
      <c r="BN779" s="2">
        <v>5.4</v>
      </c>
      <c r="BO779" s="2">
        <v>42005.092361111114</v>
      </c>
      <c r="BP779" s="2">
        <v>6.92</v>
      </c>
      <c r="BQ779" s="2">
        <v>42005.092361111114</v>
      </c>
      <c r="BR779" s="2">
        <v>11.07</v>
      </c>
      <c r="BS779" s="2">
        <v>42005.092361111114</v>
      </c>
      <c r="BT779">
        <v>0</v>
      </c>
      <c r="BU779">
        <v>0</v>
      </c>
      <c r="BV779" t="s">
        <v>135</v>
      </c>
      <c r="BW779">
        <v>0</v>
      </c>
      <c r="BX779">
        <v>0</v>
      </c>
      <c r="BY779" t="s">
        <v>135</v>
      </c>
      <c r="BZ779">
        <v>0</v>
      </c>
      <c r="CA779">
        <v>0</v>
      </c>
      <c r="CB779" t="s">
        <v>135</v>
      </c>
      <c r="CH779" s="2"/>
      <c r="CJ779" s="2"/>
      <c r="CL779" s="2"/>
      <c r="CN779" s="2"/>
      <c r="CQ779" s="2"/>
      <c r="CT779" s="2"/>
      <c r="CW779" s="2"/>
    </row>
    <row r="780" spans="1:101" x14ac:dyDescent="0.25">
      <c r="A780" s="1" t="s">
        <v>163</v>
      </c>
      <c r="B780" s="75" t="s">
        <v>164</v>
      </c>
      <c r="C780">
        <v>0</v>
      </c>
      <c r="D780">
        <v>0</v>
      </c>
      <c r="E780">
        <v>0</v>
      </c>
      <c r="F780">
        <v>604324.56000000006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3.91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7490</v>
      </c>
      <c r="AW780">
        <v>3350</v>
      </c>
      <c r="AX780">
        <v>1219</v>
      </c>
      <c r="AY780">
        <v>12059</v>
      </c>
      <c r="AZ780">
        <v>4202</v>
      </c>
      <c r="BA780">
        <v>7438</v>
      </c>
      <c r="BB780">
        <v>1432</v>
      </c>
      <c r="BC780">
        <v>13072</v>
      </c>
      <c r="BD780">
        <v>9486</v>
      </c>
      <c r="BE780">
        <v>9222</v>
      </c>
      <c r="BF780">
        <v>1768</v>
      </c>
      <c r="BG780">
        <v>20476</v>
      </c>
      <c r="BH780">
        <v>0</v>
      </c>
      <c r="BI780">
        <v>0</v>
      </c>
      <c r="BJ780">
        <v>0</v>
      </c>
      <c r="BK780">
        <v>0</v>
      </c>
      <c r="BL780" s="2">
        <v>24.82</v>
      </c>
      <c r="BM780" s="2">
        <v>42005.095138888886</v>
      </c>
      <c r="BN780" s="2">
        <v>5.4</v>
      </c>
      <c r="BO780" s="2">
        <v>42005.092361111114</v>
      </c>
      <c r="BP780" s="2">
        <v>6.92</v>
      </c>
      <c r="BQ780" s="2">
        <v>42005.092361111114</v>
      </c>
      <c r="BR780" s="2">
        <v>11.07</v>
      </c>
      <c r="BS780" s="2">
        <v>42005.092361111114</v>
      </c>
      <c r="BT780">
        <v>0</v>
      </c>
      <c r="BU780">
        <v>0</v>
      </c>
      <c r="BV780" t="s">
        <v>135</v>
      </c>
      <c r="BW780">
        <v>0</v>
      </c>
      <c r="BX780">
        <v>0</v>
      </c>
      <c r="BY780" t="s">
        <v>135</v>
      </c>
      <c r="BZ780">
        <v>0</v>
      </c>
      <c r="CA780">
        <v>0</v>
      </c>
      <c r="CB780" t="s">
        <v>135</v>
      </c>
      <c r="CH780" s="2"/>
      <c r="CJ780" s="2"/>
      <c r="CL780" s="2"/>
      <c r="CN780" s="2"/>
      <c r="CQ780" s="2"/>
      <c r="CT780" s="2"/>
      <c r="CW780" s="2"/>
    </row>
    <row r="781" spans="1:101" x14ac:dyDescent="0.25">
      <c r="A781" s="1" t="s">
        <v>163</v>
      </c>
      <c r="B781" s="75" t="s">
        <v>164</v>
      </c>
      <c r="C781">
        <v>0</v>
      </c>
      <c r="D781">
        <v>0</v>
      </c>
      <c r="E781">
        <v>0</v>
      </c>
      <c r="F781">
        <v>604324.56000000006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3.91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7490</v>
      </c>
      <c r="AW781">
        <v>3350</v>
      </c>
      <c r="AX781">
        <v>1219</v>
      </c>
      <c r="AY781">
        <v>12059</v>
      </c>
      <c r="AZ781">
        <v>4202</v>
      </c>
      <c r="BA781">
        <v>7438</v>
      </c>
      <c r="BB781">
        <v>1432</v>
      </c>
      <c r="BC781">
        <v>13072</v>
      </c>
      <c r="BD781">
        <v>9486</v>
      </c>
      <c r="BE781">
        <v>9222</v>
      </c>
      <c r="BF781">
        <v>1768</v>
      </c>
      <c r="BG781">
        <v>20476</v>
      </c>
      <c r="BH781">
        <v>0</v>
      </c>
      <c r="BI781">
        <v>0</v>
      </c>
      <c r="BJ781">
        <v>0</v>
      </c>
      <c r="BK781">
        <v>0</v>
      </c>
      <c r="BL781" s="2">
        <v>24.82</v>
      </c>
      <c r="BM781" s="2">
        <v>42005.095138888886</v>
      </c>
      <c r="BN781" s="2">
        <v>5.4</v>
      </c>
      <c r="BO781" s="2">
        <v>42005.092361111114</v>
      </c>
      <c r="BP781" s="2">
        <v>6.92</v>
      </c>
      <c r="BQ781" s="2">
        <v>42005.092361111114</v>
      </c>
      <c r="BR781" s="2">
        <v>11.07</v>
      </c>
      <c r="BS781" s="2">
        <v>42005.092361111114</v>
      </c>
      <c r="BT781">
        <v>0</v>
      </c>
      <c r="BU781">
        <v>0</v>
      </c>
      <c r="BV781" t="s">
        <v>135</v>
      </c>
      <c r="BW781">
        <v>0</v>
      </c>
      <c r="BX781">
        <v>0</v>
      </c>
      <c r="BY781" t="s">
        <v>135</v>
      </c>
      <c r="BZ781">
        <v>0</v>
      </c>
      <c r="CA781">
        <v>0</v>
      </c>
      <c r="CB781" t="s">
        <v>135</v>
      </c>
      <c r="CH781" s="2"/>
      <c r="CJ781" s="2"/>
      <c r="CL781" s="2"/>
      <c r="CN781" s="2"/>
      <c r="CQ781" s="2"/>
      <c r="CT781" s="2"/>
      <c r="CW781" s="2"/>
    </row>
    <row r="782" spans="1:101" x14ac:dyDescent="0.25">
      <c r="A782" s="1" t="s">
        <v>163</v>
      </c>
      <c r="B782" s="75" t="s">
        <v>164</v>
      </c>
      <c r="C782">
        <v>0</v>
      </c>
      <c r="D782">
        <v>0</v>
      </c>
      <c r="E782">
        <v>0</v>
      </c>
      <c r="F782">
        <v>604324.56000000006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3.91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7490</v>
      </c>
      <c r="AW782">
        <v>3350</v>
      </c>
      <c r="AX782">
        <v>1219</v>
      </c>
      <c r="AY782">
        <v>12059</v>
      </c>
      <c r="AZ782">
        <v>4202</v>
      </c>
      <c r="BA782">
        <v>7438</v>
      </c>
      <c r="BB782">
        <v>1432</v>
      </c>
      <c r="BC782">
        <v>13072</v>
      </c>
      <c r="BD782">
        <v>9486</v>
      </c>
      <c r="BE782">
        <v>9222</v>
      </c>
      <c r="BF782">
        <v>1768</v>
      </c>
      <c r="BG782">
        <v>20476</v>
      </c>
      <c r="BH782">
        <v>0</v>
      </c>
      <c r="BI782">
        <v>0</v>
      </c>
      <c r="BJ782">
        <v>0</v>
      </c>
      <c r="BK782">
        <v>0</v>
      </c>
      <c r="BL782" s="2">
        <v>24.82</v>
      </c>
      <c r="BM782" s="2">
        <v>42005.095138888886</v>
      </c>
      <c r="BN782" s="2">
        <v>5.4</v>
      </c>
      <c r="BO782" s="2">
        <v>42005.092361111114</v>
      </c>
      <c r="BP782" s="2">
        <v>6.92</v>
      </c>
      <c r="BQ782" s="2">
        <v>42005.092361111114</v>
      </c>
      <c r="BR782" s="2">
        <v>11.07</v>
      </c>
      <c r="BS782" s="2">
        <v>42005.092361111114</v>
      </c>
      <c r="BT782">
        <v>0</v>
      </c>
      <c r="BU782">
        <v>0</v>
      </c>
      <c r="BV782" t="s">
        <v>135</v>
      </c>
      <c r="BW782">
        <v>0</v>
      </c>
      <c r="BX782">
        <v>0</v>
      </c>
      <c r="BY782" t="s">
        <v>135</v>
      </c>
      <c r="BZ782">
        <v>0</v>
      </c>
      <c r="CA782">
        <v>0</v>
      </c>
      <c r="CB782" t="s">
        <v>135</v>
      </c>
      <c r="CH782" s="2"/>
      <c r="CJ782" s="2"/>
      <c r="CL782" s="2"/>
      <c r="CN782" s="2"/>
      <c r="CQ782" s="2"/>
      <c r="CT782" s="2"/>
      <c r="CW782" s="2"/>
    </row>
    <row r="783" spans="1:101" x14ac:dyDescent="0.25">
      <c r="A783" s="1" t="s">
        <v>163</v>
      </c>
      <c r="B783" s="75" t="s">
        <v>164</v>
      </c>
      <c r="C783">
        <v>0</v>
      </c>
      <c r="D783">
        <v>0</v>
      </c>
      <c r="E783">
        <v>0</v>
      </c>
      <c r="F783">
        <v>604324.56000000006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3.91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7490</v>
      </c>
      <c r="AW783">
        <v>3350</v>
      </c>
      <c r="AX783">
        <v>1219</v>
      </c>
      <c r="AY783">
        <v>12059</v>
      </c>
      <c r="AZ783">
        <v>4202</v>
      </c>
      <c r="BA783">
        <v>7438</v>
      </c>
      <c r="BB783">
        <v>1432</v>
      </c>
      <c r="BC783">
        <v>13072</v>
      </c>
      <c r="BD783">
        <v>9486</v>
      </c>
      <c r="BE783">
        <v>9222</v>
      </c>
      <c r="BF783">
        <v>1768</v>
      </c>
      <c r="BG783">
        <v>20476</v>
      </c>
      <c r="BH783">
        <v>0</v>
      </c>
      <c r="BI783">
        <v>0</v>
      </c>
      <c r="BJ783">
        <v>0</v>
      </c>
      <c r="BK783">
        <v>0</v>
      </c>
      <c r="BL783" s="2">
        <v>24.82</v>
      </c>
      <c r="BM783" s="2">
        <v>42005.095138888886</v>
      </c>
      <c r="BN783" s="2">
        <v>5.4</v>
      </c>
      <c r="BO783" s="2">
        <v>42005.092361111114</v>
      </c>
      <c r="BP783" s="2">
        <v>6.92</v>
      </c>
      <c r="BQ783" s="2">
        <v>42005.092361111114</v>
      </c>
      <c r="BR783" s="2">
        <v>11.07</v>
      </c>
      <c r="BS783" s="2">
        <v>42005.092361111114</v>
      </c>
      <c r="BT783">
        <v>0</v>
      </c>
      <c r="BU783">
        <v>0</v>
      </c>
      <c r="BV783" t="s">
        <v>135</v>
      </c>
      <c r="BW783">
        <v>0</v>
      </c>
      <c r="BX783">
        <v>0</v>
      </c>
      <c r="BY783" t="s">
        <v>135</v>
      </c>
      <c r="BZ783">
        <v>0</v>
      </c>
      <c r="CA783">
        <v>0</v>
      </c>
      <c r="CB783" t="s">
        <v>135</v>
      </c>
      <c r="CH783" s="2"/>
      <c r="CJ783" s="2"/>
      <c r="CL783" s="2"/>
      <c r="CN783" s="2"/>
      <c r="CQ783" s="2"/>
      <c r="CT783" s="2"/>
      <c r="CW783" s="2"/>
    </row>
    <row r="784" spans="1:101" x14ac:dyDescent="0.25">
      <c r="A784" s="1" t="s">
        <v>163</v>
      </c>
      <c r="B784" s="75" t="s">
        <v>164</v>
      </c>
      <c r="C784">
        <v>0</v>
      </c>
      <c r="D784">
        <v>0</v>
      </c>
      <c r="E784">
        <v>0</v>
      </c>
      <c r="F784">
        <v>604324.56000000006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3.91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7490</v>
      </c>
      <c r="AW784">
        <v>3350</v>
      </c>
      <c r="AX784">
        <v>1219</v>
      </c>
      <c r="AY784">
        <v>12059</v>
      </c>
      <c r="AZ784">
        <v>4202</v>
      </c>
      <c r="BA784">
        <v>7438</v>
      </c>
      <c r="BB784">
        <v>1432</v>
      </c>
      <c r="BC784">
        <v>13072</v>
      </c>
      <c r="BD784">
        <v>9486</v>
      </c>
      <c r="BE784">
        <v>9222</v>
      </c>
      <c r="BF784">
        <v>1768</v>
      </c>
      <c r="BG784">
        <v>20476</v>
      </c>
      <c r="BH784">
        <v>0</v>
      </c>
      <c r="BI784">
        <v>0</v>
      </c>
      <c r="BJ784">
        <v>0</v>
      </c>
      <c r="BK784">
        <v>0</v>
      </c>
      <c r="BL784" s="2">
        <v>24.82</v>
      </c>
      <c r="BM784" s="2">
        <v>42005.095138888886</v>
      </c>
      <c r="BN784" s="2">
        <v>5.4</v>
      </c>
      <c r="BO784" s="2">
        <v>42005.092361111114</v>
      </c>
      <c r="BP784" s="2">
        <v>6.92</v>
      </c>
      <c r="BQ784" s="2">
        <v>42005.092361111114</v>
      </c>
      <c r="BR784" s="2">
        <v>11.07</v>
      </c>
      <c r="BS784" s="2">
        <v>42005.092361111114</v>
      </c>
      <c r="BT784">
        <v>0</v>
      </c>
      <c r="BU784">
        <v>0</v>
      </c>
      <c r="BV784" t="s">
        <v>135</v>
      </c>
      <c r="BW784">
        <v>0</v>
      </c>
      <c r="BX784">
        <v>0</v>
      </c>
      <c r="BY784" t="s">
        <v>135</v>
      </c>
      <c r="BZ784">
        <v>0</v>
      </c>
      <c r="CA784">
        <v>0</v>
      </c>
      <c r="CB784" t="s">
        <v>135</v>
      </c>
      <c r="CH784" s="2"/>
      <c r="CJ784" s="2"/>
      <c r="CL784" s="2"/>
      <c r="CN784" s="2"/>
      <c r="CQ784" s="2"/>
      <c r="CT784" s="2"/>
      <c r="CW784" s="2"/>
    </row>
    <row r="785" spans="1:101" x14ac:dyDescent="0.25">
      <c r="A785" s="1" t="s">
        <v>163</v>
      </c>
      <c r="B785" s="75" t="s">
        <v>164</v>
      </c>
      <c r="C785">
        <v>0</v>
      </c>
      <c r="D785">
        <v>0</v>
      </c>
      <c r="E785">
        <v>0</v>
      </c>
      <c r="F785">
        <v>604324.56000000006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3.91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7490</v>
      </c>
      <c r="AW785">
        <v>3350</v>
      </c>
      <c r="AX785">
        <v>1219</v>
      </c>
      <c r="AY785">
        <v>12059</v>
      </c>
      <c r="AZ785">
        <v>4202</v>
      </c>
      <c r="BA785">
        <v>7438</v>
      </c>
      <c r="BB785">
        <v>1432</v>
      </c>
      <c r="BC785">
        <v>13072</v>
      </c>
      <c r="BD785">
        <v>9486</v>
      </c>
      <c r="BE785">
        <v>9222</v>
      </c>
      <c r="BF785">
        <v>1768</v>
      </c>
      <c r="BG785">
        <v>20476</v>
      </c>
      <c r="BH785">
        <v>0</v>
      </c>
      <c r="BI785">
        <v>0</v>
      </c>
      <c r="BJ785">
        <v>0</v>
      </c>
      <c r="BK785">
        <v>0</v>
      </c>
      <c r="BL785" s="2">
        <v>24.82</v>
      </c>
      <c r="BM785" s="2">
        <v>42005.095138888886</v>
      </c>
      <c r="BN785" s="2">
        <v>5.4</v>
      </c>
      <c r="BO785" s="2">
        <v>42005.092361111114</v>
      </c>
      <c r="BP785" s="2">
        <v>6.92</v>
      </c>
      <c r="BQ785" s="2">
        <v>42005.092361111114</v>
      </c>
      <c r="BR785" s="2">
        <v>11.07</v>
      </c>
      <c r="BS785" s="2">
        <v>42005.092361111114</v>
      </c>
      <c r="BT785">
        <v>0</v>
      </c>
      <c r="BU785">
        <v>0</v>
      </c>
      <c r="BV785" t="s">
        <v>135</v>
      </c>
      <c r="BW785">
        <v>0</v>
      </c>
      <c r="BX785">
        <v>0</v>
      </c>
      <c r="BY785" t="s">
        <v>135</v>
      </c>
      <c r="BZ785">
        <v>0</v>
      </c>
      <c r="CA785">
        <v>0</v>
      </c>
      <c r="CB785" t="s">
        <v>135</v>
      </c>
      <c r="CH785" s="2"/>
      <c r="CJ785" s="2"/>
      <c r="CL785" s="2"/>
      <c r="CN785" s="2"/>
      <c r="CQ785" s="2"/>
      <c r="CT785" s="2"/>
      <c r="CW785" s="2"/>
    </row>
    <row r="786" spans="1:101" x14ac:dyDescent="0.25">
      <c r="A786" s="1" t="s">
        <v>163</v>
      </c>
      <c r="B786" s="75" t="s">
        <v>164</v>
      </c>
      <c r="C786">
        <v>0</v>
      </c>
      <c r="D786">
        <v>0</v>
      </c>
      <c r="E786">
        <v>0</v>
      </c>
      <c r="F786">
        <v>604324.56000000006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3.91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7490</v>
      </c>
      <c r="AW786">
        <v>3350</v>
      </c>
      <c r="AX786">
        <v>1219</v>
      </c>
      <c r="AY786">
        <v>12059</v>
      </c>
      <c r="AZ786">
        <v>4202</v>
      </c>
      <c r="BA786">
        <v>7438</v>
      </c>
      <c r="BB786">
        <v>1432</v>
      </c>
      <c r="BC786">
        <v>13072</v>
      </c>
      <c r="BD786">
        <v>9486</v>
      </c>
      <c r="BE786">
        <v>9222</v>
      </c>
      <c r="BF786">
        <v>1768</v>
      </c>
      <c r="BG786">
        <v>20476</v>
      </c>
      <c r="BH786">
        <v>0</v>
      </c>
      <c r="BI786">
        <v>0</v>
      </c>
      <c r="BJ786">
        <v>0</v>
      </c>
      <c r="BK786">
        <v>0</v>
      </c>
      <c r="BL786" s="2">
        <v>24.82</v>
      </c>
      <c r="BM786" s="2">
        <v>42005.095138888886</v>
      </c>
      <c r="BN786" s="2">
        <v>5.4</v>
      </c>
      <c r="BO786" s="2">
        <v>42005.092361111114</v>
      </c>
      <c r="BP786" s="2">
        <v>6.92</v>
      </c>
      <c r="BQ786" s="2">
        <v>42005.092361111114</v>
      </c>
      <c r="BR786" s="2">
        <v>11.07</v>
      </c>
      <c r="BS786" s="2">
        <v>42005.092361111114</v>
      </c>
      <c r="BT786">
        <v>0</v>
      </c>
      <c r="BU786">
        <v>0</v>
      </c>
      <c r="BV786" t="s">
        <v>135</v>
      </c>
      <c r="BW786">
        <v>0</v>
      </c>
      <c r="BX786">
        <v>0</v>
      </c>
      <c r="BY786" t="s">
        <v>135</v>
      </c>
      <c r="BZ786">
        <v>0</v>
      </c>
      <c r="CA786">
        <v>0</v>
      </c>
      <c r="CB786" t="s">
        <v>135</v>
      </c>
      <c r="CH786" s="2"/>
      <c r="CJ786" s="2"/>
      <c r="CL786" s="2"/>
      <c r="CN786" s="2"/>
      <c r="CQ786" s="2"/>
      <c r="CT786" s="2"/>
      <c r="CW786" s="2"/>
    </row>
    <row r="787" spans="1:101" x14ac:dyDescent="0.25">
      <c r="A787" s="1" t="s">
        <v>163</v>
      </c>
      <c r="B787" s="75" t="s">
        <v>164</v>
      </c>
      <c r="C787">
        <v>0</v>
      </c>
      <c r="D787">
        <v>0</v>
      </c>
      <c r="E787">
        <v>0</v>
      </c>
      <c r="F787">
        <v>604324.56000000006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3.91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7490</v>
      </c>
      <c r="AW787">
        <v>3350</v>
      </c>
      <c r="AX787">
        <v>1219</v>
      </c>
      <c r="AY787">
        <v>12059</v>
      </c>
      <c r="AZ787">
        <v>4202</v>
      </c>
      <c r="BA787">
        <v>7438</v>
      </c>
      <c r="BB787">
        <v>1432</v>
      </c>
      <c r="BC787">
        <v>13072</v>
      </c>
      <c r="BD787">
        <v>9486</v>
      </c>
      <c r="BE787">
        <v>9222</v>
      </c>
      <c r="BF787">
        <v>1768</v>
      </c>
      <c r="BG787">
        <v>20476</v>
      </c>
      <c r="BH787">
        <v>0</v>
      </c>
      <c r="BI787">
        <v>0</v>
      </c>
      <c r="BJ787">
        <v>0</v>
      </c>
      <c r="BK787">
        <v>0</v>
      </c>
      <c r="BL787" s="2">
        <v>24.82</v>
      </c>
      <c r="BM787" s="2">
        <v>42005.095138888886</v>
      </c>
      <c r="BN787" s="2">
        <v>5.4</v>
      </c>
      <c r="BO787" s="2">
        <v>42005.092361111114</v>
      </c>
      <c r="BP787" s="2">
        <v>6.92</v>
      </c>
      <c r="BQ787" s="2">
        <v>42005.092361111114</v>
      </c>
      <c r="BR787" s="2">
        <v>11.07</v>
      </c>
      <c r="BS787" s="2">
        <v>42005.092361111114</v>
      </c>
      <c r="BT787">
        <v>0</v>
      </c>
      <c r="BU787">
        <v>0</v>
      </c>
      <c r="BV787" t="s">
        <v>135</v>
      </c>
      <c r="BW787">
        <v>0</v>
      </c>
      <c r="BX787">
        <v>0</v>
      </c>
      <c r="BY787" t="s">
        <v>135</v>
      </c>
      <c r="BZ787">
        <v>0</v>
      </c>
      <c r="CA787">
        <v>0</v>
      </c>
      <c r="CB787" t="s">
        <v>135</v>
      </c>
      <c r="CH787" s="2"/>
      <c r="CJ787" s="2"/>
      <c r="CL787" s="2"/>
      <c r="CN787" s="2"/>
      <c r="CQ787" s="2"/>
      <c r="CT787" s="2"/>
      <c r="CW787" s="2"/>
    </row>
    <row r="788" spans="1:101" x14ac:dyDescent="0.25">
      <c r="A788" s="1" t="s">
        <v>163</v>
      </c>
      <c r="B788" s="75" t="s">
        <v>164</v>
      </c>
      <c r="C788">
        <v>0</v>
      </c>
      <c r="D788">
        <v>0</v>
      </c>
      <c r="E788">
        <v>0</v>
      </c>
      <c r="F788">
        <v>604324.56000000006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3.91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7490</v>
      </c>
      <c r="AW788">
        <v>3350</v>
      </c>
      <c r="AX788">
        <v>1219</v>
      </c>
      <c r="AY788">
        <v>12059</v>
      </c>
      <c r="AZ788">
        <v>4202</v>
      </c>
      <c r="BA788">
        <v>7438</v>
      </c>
      <c r="BB788">
        <v>1432</v>
      </c>
      <c r="BC788">
        <v>13072</v>
      </c>
      <c r="BD788">
        <v>9486</v>
      </c>
      <c r="BE788">
        <v>9222</v>
      </c>
      <c r="BF788">
        <v>1768</v>
      </c>
      <c r="BG788">
        <v>20476</v>
      </c>
      <c r="BH788">
        <v>0</v>
      </c>
      <c r="BI788">
        <v>0</v>
      </c>
      <c r="BJ788">
        <v>0</v>
      </c>
      <c r="BK788">
        <v>0</v>
      </c>
      <c r="BL788" s="2">
        <v>24.82</v>
      </c>
      <c r="BM788" s="2">
        <v>42005.095138888886</v>
      </c>
      <c r="BN788" s="2">
        <v>5.4</v>
      </c>
      <c r="BO788" s="2">
        <v>42005.092361111114</v>
      </c>
      <c r="BP788" s="2">
        <v>6.92</v>
      </c>
      <c r="BQ788" s="2">
        <v>42005.092361111114</v>
      </c>
      <c r="BR788" s="2">
        <v>11.07</v>
      </c>
      <c r="BS788" s="2">
        <v>42005.092361111114</v>
      </c>
      <c r="BT788">
        <v>0</v>
      </c>
      <c r="BU788">
        <v>0</v>
      </c>
      <c r="BV788" t="s">
        <v>135</v>
      </c>
      <c r="BW788">
        <v>0</v>
      </c>
      <c r="BX788">
        <v>0</v>
      </c>
      <c r="BY788" t="s">
        <v>135</v>
      </c>
      <c r="BZ788">
        <v>0</v>
      </c>
      <c r="CA788">
        <v>0</v>
      </c>
      <c r="CB788" t="s">
        <v>135</v>
      </c>
      <c r="CH788" s="2"/>
      <c r="CJ788" s="2"/>
      <c r="CL788" s="2"/>
      <c r="CN788" s="2"/>
      <c r="CQ788" s="2"/>
      <c r="CT788" s="2"/>
      <c r="CW788" s="2"/>
    </row>
    <row r="789" spans="1:101" x14ac:dyDescent="0.25">
      <c r="A789" s="1" t="s">
        <v>163</v>
      </c>
      <c r="B789" s="75" t="s">
        <v>164</v>
      </c>
      <c r="C789">
        <v>0</v>
      </c>
      <c r="D789">
        <v>0</v>
      </c>
      <c r="E789">
        <v>0</v>
      </c>
      <c r="F789">
        <v>604324.56000000006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3.91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7490</v>
      </c>
      <c r="AW789">
        <v>3350</v>
      </c>
      <c r="AX789">
        <v>1219</v>
      </c>
      <c r="AY789">
        <v>12059</v>
      </c>
      <c r="AZ789">
        <v>4202</v>
      </c>
      <c r="BA789">
        <v>7438</v>
      </c>
      <c r="BB789">
        <v>1432</v>
      </c>
      <c r="BC789">
        <v>13072</v>
      </c>
      <c r="BD789">
        <v>9486</v>
      </c>
      <c r="BE789">
        <v>9222</v>
      </c>
      <c r="BF789">
        <v>1768</v>
      </c>
      <c r="BG789">
        <v>20476</v>
      </c>
      <c r="BH789">
        <v>0</v>
      </c>
      <c r="BI789">
        <v>0</v>
      </c>
      <c r="BJ789">
        <v>0</v>
      </c>
      <c r="BK789">
        <v>0</v>
      </c>
      <c r="BL789" s="2">
        <v>24.82</v>
      </c>
      <c r="BM789" s="2">
        <v>42005.095138888886</v>
      </c>
      <c r="BN789" s="2">
        <v>5.4</v>
      </c>
      <c r="BO789" s="2">
        <v>42005.092361111114</v>
      </c>
      <c r="BP789" s="2">
        <v>6.92</v>
      </c>
      <c r="BQ789" s="2">
        <v>42005.092361111114</v>
      </c>
      <c r="BR789" s="2">
        <v>11.07</v>
      </c>
      <c r="BS789" s="2">
        <v>42005.092361111114</v>
      </c>
      <c r="BT789">
        <v>0</v>
      </c>
      <c r="BU789">
        <v>0</v>
      </c>
      <c r="BV789" t="s">
        <v>135</v>
      </c>
      <c r="BW789">
        <v>0</v>
      </c>
      <c r="BX789">
        <v>0</v>
      </c>
      <c r="BY789" t="s">
        <v>135</v>
      </c>
      <c r="BZ789">
        <v>0</v>
      </c>
      <c r="CA789">
        <v>0</v>
      </c>
      <c r="CB789" t="s">
        <v>135</v>
      </c>
      <c r="CH789" s="2"/>
      <c r="CJ789" s="2"/>
      <c r="CL789" s="2"/>
      <c r="CN789" s="2"/>
      <c r="CQ789" s="2"/>
      <c r="CT789" s="2"/>
      <c r="CW789" s="2"/>
    </row>
    <row r="790" spans="1:101" x14ac:dyDescent="0.25">
      <c r="A790" s="1" t="s">
        <v>163</v>
      </c>
      <c r="B790" s="75" t="s">
        <v>164</v>
      </c>
      <c r="C790">
        <v>0</v>
      </c>
      <c r="D790">
        <v>0</v>
      </c>
      <c r="E790">
        <v>0</v>
      </c>
      <c r="F790">
        <v>604324.56000000006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3.91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7490</v>
      </c>
      <c r="AW790">
        <v>3350</v>
      </c>
      <c r="AX790">
        <v>1219</v>
      </c>
      <c r="AY790">
        <v>12059</v>
      </c>
      <c r="AZ790">
        <v>4202</v>
      </c>
      <c r="BA790">
        <v>7438</v>
      </c>
      <c r="BB790">
        <v>1432</v>
      </c>
      <c r="BC790">
        <v>13072</v>
      </c>
      <c r="BD790">
        <v>9486</v>
      </c>
      <c r="BE790">
        <v>9222</v>
      </c>
      <c r="BF790">
        <v>1768</v>
      </c>
      <c r="BG790">
        <v>20476</v>
      </c>
      <c r="BH790">
        <v>0</v>
      </c>
      <c r="BI790">
        <v>0</v>
      </c>
      <c r="BJ790">
        <v>0</v>
      </c>
      <c r="BK790">
        <v>0</v>
      </c>
      <c r="BL790" s="2">
        <v>24.82</v>
      </c>
      <c r="BM790" s="2">
        <v>42005.095138888886</v>
      </c>
      <c r="BN790" s="2">
        <v>5.4</v>
      </c>
      <c r="BO790" s="2">
        <v>42005.092361111114</v>
      </c>
      <c r="BP790" s="2">
        <v>6.92</v>
      </c>
      <c r="BQ790" s="2">
        <v>42005.092361111114</v>
      </c>
      <c r="BR790" s="2">
        <v>11.07</v>
      </c>
      <c r="BS790" s="2">
        <v>42005.092361111114</v>
      </c>
      <c r="BT790">
        <v>0</v>
      </c>
      <c r="BU790">
        <v>0</v>
      </c>
      <c r="BV790" t="s">
        <v>135</v>
      </c>
      <c r="BW790">
        <v>0</v>
      </c>
      <c r="BX790">
        <v>0</v>
      </c>
      <c r="BY790" t="s">
        <v>135</v>
      </c>
      <c r="BZ790">
        <v>0</v>
      </c>
      <c r="CA790">
        <v>0</v>
      </c>
      <c r="CB790" t="s">
        <v>135</v>
      </c>
      <c r="CH790" s="2"/>
      <c r="CJ790" s="2"/>
      <c r="CL790" s="2"/>
      <c r="CN790" s="2"/>
      <c r="CQ790" s="2"/>
      <c r="CT790" s="2"/>
      <c r="CW790" s="2"/>
    </row>
    <row r="791" spans="1:101" x14ac:dyDescent="0.25">
      <c r="A791" s="1" t="s">
        <v>163</v>
      </c>
      <c r="B791" s="75" t="s">
        <v>164</v>
      </c>
      <c r="C791">
        <v>0</v>
      </c>
      <c r="D791">
        <v>0</v>
      </c>
      <c r="E791">
        <v>0</v>
      </c>
      <c r="F791">
        <v>604324.56000000006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3.91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7490</v>
      </c>
      <c r="AW791">
        <v>3350</v>
      </c>
      <c r="AX791">
        <v>1219</v>
      </c>
      <c r="AY791">
        <v>12059</v>
      </c>
      <c r="AZ791">
        <v>4202</v>
      </c>
      <c r="BA791">
        <v>7438</v>
      </c>
      <c r="BB791">
        <v>1432</v>
      </c>
      <c r="BC791">
        <v>13072</v>
      </c>
      <c r="BD791">
        <v>9486</v>
      </c>
      <c r="BE791">
        <v>9222</v>
      </c>
      <c r="BF791">
        <v>1768</v>
      </c>
      <c r="BG791">
        <v>20476</v>
      </c>
      <c r="BH791">
        <v>0</v>
      </c>
      <c r="BI791">
        <v>0</v>
      </c>
      <c r="BJ791">
        <v>0</v>
      </c>
      <c r="BK791">
        <v>0</v>
      </c>
      <c r="BL791" s="2">
        <v>24.82</v>
      </c>
      <c r="BM791" s="2">
        <v>42005.095138888886</v>
      </c>
      <c r="BN791" s="2">
        <v>5.4</v>
      </c>
      <c r="BO791" s="2">
        <v>42005.092361111114</v>
      </c>
      <c r="BP791" s="2">
        <v>6.92</v>
      </c>
      <c r="BQ791" s="2">
        <v>42005.092361111114</v>
      </c>
      <c r="BR791" s="2">
        <v>11.07</v>
      </c>
      <c r="BS791" s="2">
        <v>42005.092361111114</v>
      </c>
      <c r="BT791">
        <v>0</v>
      </c>
      <c r="BU791">
        <v>0</v>
      </c>
      <c r="BV791" t="s">
        <v>135</v>
      </c>
      <c r="BW791">
        <v>0</v>
      </c>
      <c r="BX791">
        <v>0</v>
      </c>
      <c r="BY791" t="s">
        <v>135</v>
      </c>
      <c r="BZ791">
        <v>0</v>
      </c>
      <c r="CA791">
        <v>0</v>
      </c>
      <c r="CB791" t="s">
        <v>135</v>
      </c>
      <c r="CH791" s="2"/>
      <c r="CJ791" s="2"/>
      <c r="CL791" s="2"/>
      <c r="CN791" s="2"/>
      <c r="CQ791" s="2"/>
      <c r="CT791" s="2"/>
      <c r="CW791" s="2"/>
    </row>
    <row r="792" spans="1:101" x14ac:dyDescent="0.25">
      <c r="A792" s="1" t="s">
        <v>163</v>
      </c>
      <c r="B792" s="75" t="s">
        <v>164</v>
      </c>
      <c r="C792">
        <v>0</v>
      </c>
      <c r="D792">
        <v>0</v>
      </c>
      <c r="E792">
        <v>0</v>
      </c>
      <c r="F792">
        <v>604324.56000000006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3.91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7490</v>
      </c>
      <c r="AW792">
        <v>3350</v>
      </c>
      <c r="AX792">
        <v>1219</v>
      </c>
      <c r="AY792">
        <v>12059</v>
      </c>
      <c r="AZ792">
        <v>4202</v>
      </c>
      <c r="BA792">
        <v>7438</v>
      </c>
      <c r="BB792">
        <v>1432</v>
      </c>
      <c r="BC792">
        <v>13072</v>
      </c>
      <c r="BD792">
        <v>9486</v>
      </c>
      <c r="BE792">
        <v>9222</v>
      </c>
      <c r="BF792">
        <v>1768</v>
      </c>
      <c r="BG792">
        <v>20476</v>
      </c>
      <c r="BH792">
        <v>0</v>
      </c>
      <c r="BI792">
        <v>0</v>
      </c>
      <c r="BJ792">
        <v>0</v>
      </c>
      <c r="BK792">
        <v>0</v>
      </c>
      <c r="BL792" s="2">
        <v>24.82</v>
      </c>
      <c r="BM792" s="2">
        <v>42005.095138888886</v>
      </c>
      <c r="BN792" s="2">
        <v>5.4</v>
      </c>
      <c r="BO792" s="2">
        <v>42005.092361111114</v>
      </c>
      <c r="BP792" s="2">
        <v>6.92</v>
      </c>
      <c r="BQ792" s="2">
        <v>42005.092361111114</v>
      </c>
      <c r="BR792" s="2">
        <v>11.07</v>
      </c>
      <c r="BS792" s="2">
        <v>42005.092361111114</v>
      </c>
      <c r="BT792">
        <v>0</v>
      </c>
      <c r="BU792">
        <v>0</v>
      </c>
      <c r="BV792" t="s">
        <v>135</v>
      </c>
      <c r="BW792">
        <v>0</v>
      </c>
      <c r="BX792">
        <v>0</v>
      </c>
      <c r="BY792" t="s">
        <v>135</v>
      </c>
      <c r="BZ792">
        <v>0</v>
      </c>
      <c r="CA792">
        <v>0</v>
      </c>
      <c r="CB792" t="s">
        <v>135</v>
      </c>
      <c r="CH792" s="2"/>
      <c r="CJ792" s="2"/>
      <c r="CL792" s="2"/>
      <c r="CN792" s="2"/>
      <c r="CQ792" s="2"/>
      <c r="CT792" s="2"/>
      <c r="CW792" s="2"/>
    </row>
    <row r="793" spans="1:101" x14ac:dyDescent="0.25">
      <c r="A793" s="1" t="s">
        <v>163</v>
      </c>
      <c r="B793" s="75" t="s">
        <v>164</v>
      </c>
      <c r="C793">
        <v>0</v>
      </c>
      <c r="D793">
        <v>0</v>
      </c>
      <c r="E793">
        <v>0</v>
      </c>
      <c r="F793">
        <v>604324.56000000006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3.91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7490</v>
      </c>
      <c r="AW793">
        <v>3350</v>
      </c>
      <c r="AX793">
        <v>1219</v>
      </c>
      <c r="AY793">
        <v>12059</v>
      </c>
      <c r="AZ793">
        <v>4202</v>
      </c>
      <c r="BA793">
        <v>7438</v>
      </c>
      <c r="BB793">
        <v>1432</v>
      </c>
      <c r="BC793">
        <v>13072</v>
      </c>
      <c r="BD793">
        <v>9486</v>
      </c>
      <c r="BE793">
        <v>9222</v>
      </c>
      <c r="BF793">
        <v>1768</v>
      </c>
      <c r="BG793">
        <v>20476</v>
      </c>
      <c r="BH793">
        <v>0</v>
      </c>
      <c r="BI793">
        <v>0</v>
      </c>
      <c r="BJ793">
        <v>0</v>
      </c>
      <c r="BK793">
        <v>0</v>
      </c>
      <c r="BL793" s="2">
        <v>24.82</v>
      </c>
      <c r="BM793" s="2">
        <v>42005.095138888886</v>
      </c>
      <c r="BN793" s="2">
        <v>5.4</v>
      </c>
      <c r="BO793" s="2">
        <v>42005.092361111114</v>
      </c>
      <c r="BP793" s="2">
        <v>6.92</v>
      </c>
      <c r="BQ793" s="2">
        <v>42005.092361111114</v>
      </c>
      <c r="BR793" s="2">
        <v>11.07</v>
      </c>
      <c r="BS793" s="2">
        <v>42005.092361111114</v>
      </c>
      <c r="BT793">
        <v>0</v>
      </c>
      <c r="BU793">
        <v>0</v>
      </c>
      <c r="BV793" t="s">
        <v>135</v>
      </c>
      <c r="BW793">
        <v>0</v>
      </c>
      <c r="BX793">
        <v>0</v>
      </c>
      <c r="BY793" t="s">
        <v>135</v>
      </c>
      <c r="BZ793">
        <v>0</v>
      </c>
      <c r="CA793">
        <v>0</v>
      </c>
      <c r="CB793" t="s">
        <v>135</v>
      </c>
      <c r="CH793" s="2"/>
      <c r="CJ793" s="2"/>
      <c r="CL793" s="2"/>
      <c r="CN793" s="2"/>
      <c r="CQ793" s="2"/>
      <c r="CT793" s="2"/>
      <c r="CW793" s="2"/>
    </row>
    <row r="794" spans="1:101" x14ac:dyDescent="0.25">
      <c r="A794" s="1" t="s">
        <v>163</v>
      </c>
      <c r="B794" s="75" t="s">
        <v>164</v>
      </c>
      <c r="C794">
        <v>0</v>
      </c>
      <c r="D794">
        <v>0</v>
      </c>
      <c r="E794">
        <v>0</v>
      </c>
      <c r="F794">
        <v>604324.56000000006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3.91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7490</v>
      </c>
      <c r="AW794">
        <v>3350</v>
      </c>
      <c r="AX794">
        <v>1219</v>
      </c>
      <c r="AY794">
        <v>12059</v>
      </c>
      <c r="AZ794">
        <v>4202</v>
      </c>
      <c r="BA794">
        <v>7438</v>
      </c>
      <c r="BB794">
        <v>1432</v>
      </c>
      <c r="BC794">
        <v>13072</v>
      </c>
      <c r="BD794">
        <v>9486</v>
      </c>
      <c r="BE794">
        <v>9222</v>
      </c>
      <c r="BF794">
        <v>1768</v>
      </c>
      <c r="BG794">
        <v>20476</v>
      </c>
      <c r="BH794">
        <v>0</v>
      </c>
      <c r="BI794">
        <v>0</v>
      </c>
      <c r="BJ794">
        <v>0</v>
      </c>
      <c r="BK794">
        <v>0</v>
      </c>
      <c r="BL794" s="2">
        <v>24.82</v>
      </c>
      <c r="BM794" s="2">
        <v>42005.095138888886</v>
      </c>
      <c r="BN794" s="2">
        <v>5.4</v>
      </c>
      <c r="BO794" s="2">
        <v>42005.092361111114</v>
      </c>
      <c r="BP794" s="2">
        <v>6.92</v>
      </c>
      <c r="BQ794" s="2">
        <v>42005.092361111114</v>
      </c>
      <c r="BR794" s="2">
        <v>11.07</v>
      </c>
      <c r="BS794" s="2">
        <v>42005.092361111114</v>
      </c>
      <c r="BT794">
        <v>0</v>
      </c>
      <c r="BU794">
        <v>0</v>
      </c>
      <c r="BV794" t="s">
        <v>135</v>
      </c>
      <c r="BW794">
        <v>0</v>
      </c>
      <c r="BX794">
        <v>0</v>
      </c>
      <c r="BY794" t="s">
        <v>135</v>
      </c>
      <c r="BZ794">
        <v>0</v>
      </c>
      <c r="CA794">
        <v>0</v>
      </c>
      <c r="CB794" t="s">
        <v>135</v>
      </c>
      <c r="CH794" s="2"/>
      <c r="CJ794" s="2"/>
      <c r="CL794" s="2"/>
      <c r="CN794" s="2"/>
      <c r="CQ794" s="2"/>
      <c r="CT794" s="2"/>
      <c r="CW794" s="2"/>
    </row>
    <row r="795" spans="1:101" x14ac:dyDescent="0.25">
      <c r="A795" s="1" t="s">
        <v>163</v>
      </c>
      <c r="B795" s="75" t="s">
        <v>164</v>
      </c>
      <c r="C795">
        <v>0</v>
      </c>
      <c r="D795">
        <v>0</v>
      </c>
      <c r="E795">
        <v>0</v>
      </c>
      <c r="F795">
        <v>604324.56000000006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3.91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7490</v>
      </c>
      <c r="AW795">
        <v>3350</v>
      </c>
      <c r="AX795">
        <v>1219</v>
      </c>
      <c r="AY795">
        <v>12059</v>
      </c>
      <c r="AZ795">
        <v>4202</v>
      </c>
      <c r="BA795">
        <v>7438</v>
      </c>
      <c r="BB795">
        <v>1432</v>
      </c>
      <c r="BC795">
        <v>13072</v>
      </c>
      <c r="BD795">
        <v>9486</v>
      </c>
      <c r="BE795">
        <v>9222</v>
      </c>
      <c r="BF795">
        <v>1768</v>
      </c>
      <c r="BG795">
        <v>20476</v>
      </c>
      <c r="BH795">
        <v>0</v>
      </c>
      <c r="BI795">
        <v>0</v>
      </c>
      <c r="BJ795">
        <v>0</v>
      </c>
      <c r="BK795">
        <v>0</v>
      </c>
      <c r="BL795" s="2">
        <v>24.82</v>
      </c>
      <c r="BM795" s="2">
        <v>42005.095138888886</v>
      </c>
      <c r="BN795" s="2">
        <v>5.4</v>
      </c>
      <c r="BO795" s="2">
        <v>42005.092361111114</v>
      </c>
      <c r="BP795" s="2">
        <v>6.92</v>
      </c>
      <c r="BQ795" s="2">
        <v>42005.092361111114</v>
      </c>
      <c r="BR795" s="2">
        <v>11.07</v>
      </c>
      <c r="BS795" s="2">
        <v>42005.092361111114</v>
      </c>
      <c r="BT795">
        <v>0</v>
      </c>
      <c r="BU795">
        <v>0</v>
      </c>
      <c r="BV795" t="s">
        <v>135</v>
      </c>
      <c r="BW795">
        <v>0</v>
      </c>
      <c r="BX795">
        <v>0</v>
      </c>
      <c r="BY795" t="s">
        <v>135</v>
      </c>
      <c r="BZ795">
        <v>0</v>
      </c>
      <c r="CA795">
        <v>0</v>
      </c>
      <c r="CB795" t="s">
        <v>135</v>
      </c>
      <c r="CH795" s="2"/>
      <c r="CJ795" s="2"/>
      <c r="CL795" s="2"/>
      <c r="CN795" s="2"/>
      <c r="CQ795" s="2"/>
      <c r="CT795" s="2"/>
      <c r="CW795" s="2"/>
    </row>
    <row r="796" spans="1:101" x14ac:dyDescent="0.25">
      <c r="A796" s="1" t="s">
        <v>163</v>
      </c>
      <c r="B796" s="75" t="s">
        <v>164</v>
      </c>
      <c r="C796">
        <v>0</v>
      </c>
      <c r="D796">
        <v>0</v>
      </c>
      <c r="E796">
        <v>0</v>
      </c>
      <c r="F796">
        <v>604324.56000000006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3.91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7490</v>
      </c>
      <c r="AW796">
        <v>3350</v>
      </c>
      <c r="AX796">
        <v>1219</v>
      </c>
      <c r="AY796">
        <v>12059</v>
      </c>
      <c r="AZ796">
        <v>4202</v>
      </c>
      <c r="BA796">
        <v>7438</v>
      </c>
      <c r="BB796">
        <v>1432</v>
      </c>
      <c r="BC796">
        <v>13072</v>
      </c>
      <c r="BD796">
        <v>9486</v>
      </c>
      <c r="BE796">
        <v>9222</v>
      </c>
      <c r="BF796">
        <v>1768</v>
      </c>
      <c r="BG796">
        <v>20476</v>
      </c>
      <c r="BH796">
        <v>0</v>
      </c>
      <c r="BI796">
        <v>0</v>
      </c>
      <c r="BJ796">
        <v>0</v>
      </c>
      <c r="BK796">
        <v>0</v>
      </c>
      <c r="BL796" s="2">
        <v>24.82</v>
      </c>
      <c r="BM796" s="2">
        <v>42005.095138888886</v>
      </c>
      <c r="BN796" s="2">
        <v>5.4</v>
      </c>
      <c r="BO796" s="2">
        <v>42005.092361111114</v>
      </c>
      <c r="BP796" s="2">
        <v>6.92</v>
      </c>
      <c r="BQ796" s="2">
        <v>42005.092361111114</v>
      </c>
      <c r="BR796" s="2">
        <v>11.07</v>
      </c>
      <c r="BS796" s="2">
        <v>42005.092361111114</v>
      </c>
      <c r="BT796">
        <v>0</v>
      </c>
      <c r="BU796">
        <v>0</v>
      </c>
      <c r="BV796" t="s">
        <v>135</v>
      </c>
      <c r="BW796">
        <v>0</v>
      </c>
      <c r="BX796">
        <v>0</v>
      </c>
      <c r="BY796" t="s">
        <v>135</v>
      </c>
      <c r="BZ796">
        <v>0</v>
      </c>
      <c r="CA796">
        <v>0</v>
      </c>
      <c r="CB796" t="s">
        <v>135</v>
      </c>
      <c r="CH796" s="2"/>
      <c r="CJ796" s="2"/>
      <c r="CL796" s="2"/>
      <c r="CN796" s="2"/>
      <c r="CQ796" s="2"/>
      <c r="CT796" s="2"/>
      <c r="CW796" s="2"/>
    </row>
    <row r="797" spans="1:101" x14ac:dyDescent="0.25">
      <c r="A797" s="1" t="s">
        <v>163</v>
      </c>
      <c r="B797" s="75" t="s">
        <v>164</v>
      </c>
      <c r="C797">
        <v>0</v>
      </c>
      <c r="D797">
        <v>0</v>
      </c>
      <c r="E797">
        <v>0</v>
      </c>
      <c r="F797">
        <v>604324.56000000006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3.91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7490</v>
      </c>
      <c r="AW797">
        <v>3350</v>
      </c>
      <c r="AX797">
        <v>1219</v>
      </c>
      <c r="AY797">
        <v>12059</v>
      </c>
      <c r="AZ797">
        <v>4202</v>
      </c>
      <c r="BA797">
        <v>7438</v>
      </c>
      <c r="BB797">
        <v>1432</v>
      </c>
      <c r="BC797">
        <v>13072</v>
      </c>
      <c r="BD797">
        <v>9486</v>
      </c>
      <c r="BE797">
        <v>9222</v>
      </c>
      <c r="BF797">
        <v>1768</v>
      </c>
      <c r="BG797">
        <v>20476</v>
      </c>
      <c r="BH797">
        <v>0</v>
      </c>
      <c r="BI797">
        <v>0</v>
      </c>
      <c r="BJ797">
        <v>0</v>
      </c>
      <c r="BK797">
        <v>0</v>
      </c>
      <c r="BL797" s="2">
        <v>24.82</v>
      </c>
      <c r="BM797" s="2">
        <v>42005.095138888886</v>
      </c>
      <c r="BN797" s="2">
        <v>5.4</v>
      </c>
      <c r="BO797" s="2">
        <v>42005.092361111114</v>
      </c>
      <c r="BP797" s="2">
        <v>6.92</v>
      </c>
      <c r="BQ797" s="2">
        <v>42005.092361111114</v>
      </c>
      <c r="BR797" s="2">
        <v>11.07</v>
      </c>
      <c r="BS797" s="2">
        <v>42005.092361111114</v>
      </c>
      <c r="BT797">
        <v>0</v>
      </c>
      <c r="BU797">
        <v>0</v>
      </c>
      <c r="BV797" t="s">
        <v>135</v>
      </c>
      <c r="BW797">
        <v>0</v>
      </c>
      <c r="BX797">
        <v>0</v>
      </c>
      <c r="BY797" t="s">
        <v>135</v>
      </c>
      <c r="BZ797">
        <v>0</v>
      </c>
      <c r="CA797">
        <v>0</v>
      </c>
      <c r="CB797" t="s">
        <v>135</v>
      </c>
      <c r="CH797" s="2"/>
      <c r="CJ797" s="2"/>
      <c r="CL797" s="2"/>
      <c r="CN797" s="2"/>
      <c r="CQ797" s="2"/>
      <c r="CT797" s="2"/>
      <c r="CW797" s="2"/>
    </row>
    <row r="798" spans="1:101" x14ac:dyDescent="0.25">
      <c r="A798" s="1" t="s">
        <v>163</v>
      </c>
      <c r="B798" s="75" t="s">
        <v>164</v>
      </c>
      <c r="C798">
        <v>0</v>
      </c>
      <c r="D798">
        <v>0</v>
      </c>
      <c r="E798">
        <v>0</v>
      </c>
      <c r="F798">
        <v>604324.56000000006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3.91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7490</v>
      </c>
      <c r="AW798">
        <v>3350</v>
      </c>
      <c r="AX798">
        <v>1219</v>
      </c>
      <c r="AY798">
        <v>12059</v>
      </c>
      <c r="AZ798">
        <v>4202</v>
      </c>
      <c r="BA798">
        <v>7438</v>
      </c>
      <c r="BB798">
        <v>1432</v>
      </c>
      <c r="BC798">
        <v>13072</v>
      </c>
      <c r="BD798">
        <v>9486</v>
      </c>
      <c r="BE798">
        <v>9222</v>
      </c>
      <c r="BF798">
        <v>1768</v>
      </c>
      <c r="BG798">
        <v>20476</v>
      </c>
      <c r="BH798">
        <v>0</v>
      </c>
      <c r="BI798">
        <v>0</v>
      </c>
      <c r="BJ798">
        <v>0</v>
      </c>
      <c r="BK798">
        <v>0</v>
      </c>
      <c r="BL798" s="2">
        <v>24.82</v>
      </c>
      <c r="BM798" s="2">
        <v>42005.095138888886</v>
      </c>
      <c r="BN798" s="2">
        <v>5.4</v>
      </c>
      <c r="BO798" s="2">
        <v>42005.092361111114</v>
      </c>
      <c r="BP798" s="2">
        <v>6.92</v>
      </c>
      <c r="BQ798" s="2">
        <v>42005.092361111114</v>
      </c>
      <c r="BR798" s="2">
        <v>11.07</v>
      </c>
      <c r="BS798" s="2">
        <v>42005.092361111114</v>
      </c>
      <c r="BT798">
        <v>0</v>
      </c>
      <c r="BU798">
        <v>0</v>
      </c>
      <c r="BV798" t="s">
        <v>135</v>
      </c>
      <c r="BW798">
        <v>0</v>
      </c>
      <c r="BX798">
        <v>0</v>
      </c>
      <c r="BY798" t="s">
        <v>135</v>
      </c>
      <c r="BZ798">
        <v>0</v>
      </c>
      <c r="CA798">
        <v>0</v>
      </c>
      <c r="CB798" t="s">
        <v>135</v>
      </c>
      <c r="CH798" s="2"/>
      <c r="CJ798" s="2"/>
      <c r="CL798" s="2"/>
      <c r="CN798" s="2"/>
      <c r="CQ798" s="2"/>
      <c r="CT798" s="2"/>
      <c r="CW798" s="2"/>
    </row>
    <row r="799" spans="1:101" x14ac:dyDescent="0.25">
      <c r="A799" s="1" t="s">
        <v>163</v>
      </c>
      <c r="B799" s="75" t="s">
        <v>164</v>
      </c>
      <c r="C799">
        <v>0</v>
      </c>
      <c r="D799">
        <v>0</v>
      </c>
      <c r="E799">
        <v>0</v>
      </c>
      <c r="F799">
        <v>604324.56000000006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3.91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7490</v>
      </c>
      <c r="AW799">
        <v>3350</v>
      </c>
      <c r="AX799">
        <v>1219</v>
      </c>
      <c r="AY799">
        <v>12059</v>
      </c>
      <c r="AZ799">
        <v>4202</v>
      </c>
      <c r="BA799">
        <v>7438</v>
      </c>
      <c r="BB799">
        <v>1432</v>
      </c>
      <c r="BC799">
        <v>13072</v>
      </c>
      <c r="BD799">
        <v>9486</v>
      </c>
      <c r="BE799">
        <v>9222</v>
      </c>
      <c r="BF799">
        <v>1768</v>
      </c>
      <c r="BG799">
        <v>20476</v>
      </c>
      <c r="BH799">
        <v>0</v>
      </c>
      <c r="BI799">
        <v>0</v>
      </c>
      <c r="BJ799">
        <v>0</v>
      </c>
      <c r="BK799">
        <v>0</v>
      </c>
      <c r="BL799" s="2">
        <v>24.82</v>
      </c>
      <c r="BM799" s="2">
        <v>42005.095138888886</v>
      </c>
      <c r="BN799" s="2">
        <v>5.4</v>
      </c>
      <c r="BO799" s="2">
        <v>42005.092361111114</v>
      </c>
      <c r="BP799" s="2">
        <v>6.92</v>
      </c>
      <c r="BQ799" s="2">
        <v>42005.092361111114</v>
      </c>
      <c r="BR799" s="2">
        <v>11.07</v>
      </c>
      <c r="BS799" s="2">
        <v>42005.092361111114</v>
      </c>
      <c r="BT799">
        <v>0</v>
      </c>
      <c r="BU799">
        <v>0</v>
      </c>
      <c r="BV799" t="s">
        <v>135</v>
      </c>
      <c r="BW799">
        <v>0</v>
      </c>
      <c r="BX799">
        <v>0</v>
      </c>
      <c r="BY799" t="s">
        <v>135</v>
      </c>
      <c r="BZ799">
        <v>0</v>
      </c>
      <c r="CA799">
        <v>0</v>
      </c>
      <c r="CB799" t="s">
        <v>135</v>
      </c>
      <c r="CH799" s="2"/>
      <c r="CJ799" s="2"/>
      <c r="CL799" s="2"/>
      <c r="CN799" s="2"/>
      <c r="CQ799" s="2"/>
      <c r="CT799" s="2"/>
      <c r="CW799" s="2"/>
    </row>
    <row r="800" spans="1:101" x14ac:dyDescent="0.25">
      <c r="A800" s="1" t="s">
        <v>163</v>
      </c>
      <c r="B800" s="75" t="s">
        <v>164</v>
      </c>
      <c r="C800">
        <v>0</v>
      </c>
      <c r="D800">
        <v>0</v>
      </c>
      <c r="E800">
        <v>0</v>
      </c>
      <c r="F800">
        <v>604324.56000000006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3.91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7490</v>
      </c>
      <c r="AW800">
        <v>3350</v>
      </c>
      <c r="AX800">
        <v>1219</v>
      </c>
      <c r="AY800">
        <v>12059</v>
      </c>
      <c r="AZ800">
        <v>4202</v>
      </c>
      <c r="BA800">
        <v>7438</v>
      </c>
      <c r="BB800">
        <v>1432</v>
      </c>
      <c r="BC800">
        <v>13072</v>
      </c>
      <c r="BD800">
        <v>9486</v>
      </c>
      <c r="BE800">
        <v>9222</v>
      </c>
      <c r="BF800">
        <v>1768</v>
      </c>
      <c r="BG800">
        <v>20476</v>
      </c>
      <c r="BH800">
        <v>0</v>
      </c>
      <c r="BI800">
        <v>0</v>
      </c>
      <c r="BJ800">
        <v>0</v>
      </c>
      <c r="BK800">
        <v>0</v>
      </c>
      <c r="BL800" s="2">
        <v>24.82</v>
      </c>
      <c r="BM800" s="2">
        <v>42005.095138888886</v>
      </c>
      <c r="BN800" s="2">
        <v>5.4</v>
      </c>
      <c r="BO800" s="2">
        <v>42005.092361111114</v>
      </c>
      <c r="BP800" s="2">
        <v>6.92</v>
      </c>
      <c r="BQ800" s="2">
        <v>42005.092361111114</v>
      </c>
      <c r="BR800" s="2">
        <v>11.07</v>
      </c>
      <c r="BS800" s="2">
        <v>42005.092361111114</v>
      </c>
      <c r="BT800">
        <v>0</v>
      </c>
      <c r="BU800">
        <v>0</v>
      </c>
      <c r="BV800" t="s">
        <v>135</v>
      </c>
      <c r="BW800">
        <v>0</v>
      </c>
      <c r="BX800">
        <v>0</v>
      </c>
      <c r="BY800" t="s">
        <v>135</v>
      </c>
      <c r="BZ800">
        <v>0</v>
      </c>
      <c r="CA800">
        <v>0</v>
      </c>
      <c r="CB800" t="s">
        <v>135</v>
      </c>
      <c r="CH800" s="2"/>
      <c r="CJ800" s="2"/>
      <c r="CL800" s="2"/>
      <c r="CN800" s="2"/>
      <c r="CQ800" s="2"/>
      <c r="CT800" s="2"/>
      <c r="CW800" s="2"/>
    </row>
    <row r="801" spans="1:101" x14ac:dyDescent="0.25">
      <c r="A801" s="1" t="s">
        <v>163</v>
      </c>
      <c r="B801" s="75" t="s">
        <v>164</v>
      </c>
      <c r="C801">
        <v>0</v>
      </c>
      <c r="D801">
        <v>0</v>
      </c>
      <c r="E801">
        <v>0</v>
      </c>
      <c r="F801">
        <v>604324.56000000006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3.91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7490</v>
      </c>
      <c r="AW801">
        <v>3350</v>
      </c>
      <c r="AX801">
        <v>1219</v>
      </c>
      <c r="AY801">
        <v>12059</v>
      </c>
      <c r="AZ801">
        <v>4202</v>
      </c>
      <c r="BA801">
        <v>7438</v>
      </c>
      <c r="BB801">
        <v>1432</v>
      </c>
      <c r="BC801">
        <v>13072</v>
      </c>
      <c r="BD801">
        <v>9486</v>
      </c>
      <c r="BE801">
        <v>9222</v>
      </c>
      <c r="BF801">
        <v>1768</v>
      </c>
      <c r="BG801">
        <v>20476</v>
      </c>
      <c r="BH801">
        <v>0</v>
      </c>
      <c r="BI801">
        <v>0</v>
      </c>
      <c r="BJ801">
        <v>0</v>
      </c>
      <c r="BK801">
        <v>0</v>
      </c>
      <c r="BL801" s="2">
        <v>24.82</v>
      </c>
      <c r="BM801" s="2">
        <v>42005.095138888886</v>
      </c>
      <c r="BN801" s="2">
        <v>5.4</v>
      </c>
      <c r="BO801" s="2">
        <v>42005.092361111114</v>
      </c>
      <c r="BP801" s="2">
        <v>6.92</v>
      </c>
      <c r="BQ801" s="2">
        <v>42005.092361111114</v>
      </c>
      <c r="BR801" s="2">
        <v>11.07</v>
      </c>
      <c r="BS801" s="2">
        <v>42005.092361111114</v>
      </c>
      <c r="BT801">
        <v>0</v>
      </c>
      <c r="BU801">
        <v>0</v>
      </c>
      <c r="BV801" t="s">
        <v>135</v>
      </c>
      <c r="BW801">
        <v>0</v>
      </c>
      <c r="BX801">
        <v>0</v>
      </c>
      <c r="BY801" t="s">
        <v>135</v>
      </c>
      <c r="BZ801">
        <v>0</v>
      </c>
      <c r="CA801">
        <v>0</v>
      </c>
      <c r="CB801" t="s">
        <v>135</v>
      </c>
      <c r="CH801" s="2"/>
      <c r="CJ801" s="2"/>
      <c r="CL801" s="2"/>
      <c r="CN801" s="2"/>
      <c r="CQ801" s="2"/>
      <c r="CT801" s="2"/>
      <c r="CW801" s="2"/>
    </row>
    <row r="802" spans="1:101" x14ac:dyDescent="0.25">
      <c r="A802" s="1" t="s">
        <v>163</v>
      </c>
      <c r="B802" s="75" t="s">
        <v>164</v>
      </c>
      <c r="C802">
        <v>0</v>
      </c>
      <c r="D802">
        <v>0</v>
      </c>
      <c r="E802">
        <v>0</v>
      </c>
      <c r="F802">
        <v>604324.56000000006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3.91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7490</v>
      </c>
      <c r="AW802">
        <v>3350</v>
      </c>
      <c r="AX802">
        <v>1219</v>
      </c>
      <c r="AY802">
        <v>12059</v>
      </c>
      <c r="AZ802">
        <v>4202</v>
      </c>
      <c r="BA802">
        <v>7438</v>
      </c>
      <c r="BB802">
        <v>1432</v>
      </c>
      <c r="BC802">
        <v>13072</v>
      </c>
      <c r="BD802">
        <v>9486</v>
      </c>
      <c r="BE802">
        <v>9222</v>
      </c>
      <c r="BF802">
        <v>1768</v>
      </c>
      <c r="BG802">
        <v>20476</v>
      </c>
      <c r="BH802">
        <v>0</v>
      </c>
      <c r="BI802">
        <v>0</v>
      </c>
      <c r="BJ802">
        <v>0</v>
      </c>
      <c r="BK802">
        <v>0</v>
      </c>
      <c r="BL802" s="2">
        <v>24.82</v>
      </c>
      <c r="BM802" s="2">
        <v>42005.095138888886</v>
      </c>
      <c r="BN802" s="2">
        <v>5.4</v>
      </c>
      <c r="BO802" s="2">
        <v>42005.092361111114</v>
      </c>
      <c r="BP802" s="2">
        <v>6.92</v>
      </c>
      <c r="BQ802" s="2">
        <v>42005.092361111114</v>
      </c>
      <c r="BR802" s="2">
        <v>11.07</v>
      </c>
      <c r="BS802" s="2">
        <v>42005.092361111114</v>
      </c>
      <c r="BT802">
        <v>0</v>
      </c>
      <c r="BU802">
        <v>0</v>
      </c>
      <c r="BV802" t="s">
        <v>135</v>
      </c>
      <c r="BW802">
        <v>0</v>
      </c>
      <c r="BX802">
        <v>0</v>
      </c>
      <c r="BY802" t="s">
        <v>135</v>
      </c>
      <c r="BZ802">
        <v>0</v>
      </c>
      <c r="CA802">
        <v>0</v>
      </c>
      <c r="CB802" t="s">
        <v>135</v>
      </c>
      <c r="CH802" s="2"/>
      <c r="CJ802" s="2"/>
      <c r="CL802" s="2"/>
      <c r="CN802" s="2"/>
      <c r="CQ802" s="2"/>
      <c r="CT802" s="2"/>
      <c r="CW802" s="2"/>
    </row>
    <row r="803" spans="1:101" x14ac:dyDescent="0.25">
      <c r="A803" s="1" t="s">
        <v>163</v>
      </c>
      <c r="B803" s="75" t="s">
        <v>164</v>
      </c>
      <c r="C803">
        <v>0</v>
      </c>
      <c r="D803">
        <v>0</v>
      </c>
      <c r="E803">
        <v>0</v>
      </c>
      <c r="F803">
        <v>604324.56000000006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3.91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7490</v>
      </c>
      <c r="AW803">
        <v>3350</v>
      </c>
      <c r="AX803">
        <v>1219</v>
      </c>
      <c r="AY803">
        <v>12059</v>
      </c>
      <c r="AZ803">
        <v>4202</v>
      </c>
      <c r="BA803">
        <v>7438</v>
      </c>
      <c r="BB803">
        <v>1432</v>
      </c>
      <c r="BC803">
        <v>13072</v>
      </c>
      <c r="BD803">
        <v>9486</v>
      </c>
      <c r="BE803">
        <v>9222</v>
      </c>
      <c r="BF803">
        <v>1768</v>
      </c>
      <c r="BG803">
        <v>20476</v>
      </c>
      <c r="BH803">
        <v>0</v>
      </c>
      <c r="BI803">
        <v>0</v>
      </c>
      <c r="BJ803">
        <v>0</v>
      </c>
      <c r="BK803">
        <v>0</v>
      </c>
      <c r="BL803" s="2">
        <v>24.82</v>
      </c>
      <c r="BM803" s="2">
        <v>42005.095138888886</v>
      </c>
      <c r="BN803" s="2">
        <v>5.4</v>
      </c>
      <c r="BO803" s="2">
        <v>42005.092361111114</v>
      </c>
      <c r="BP803" s="2">
        <v>6.92</v>
      </c>
      <c r="BQ803" s="2">
        <v>42005.092361111114</v>
      </c>
      <c r="BR803" s="2">
        <v>11.07</v>
      </c>
      <c r="BS803" s="2">
        <v>42005.092361111114</v>
      </c>
      <c r="BT803">
        <v>0</v>
      </c>
      <c r="BU803">
        <v>0</v>
      </c>
      <c r="BV803" t="s">
        <v>135</v>
      </c>
      <c r="BW803">
        <v>0</v>
      </c>
      <c r="BX803">
        <v>0</v>
      </c>
      <c r="BY803" t="s">
        <v>135</v>
      </c>
      <c r="BZ803">
        <v>0</v>
      </c>
      <c r="CA803">
        <v>0</v>
      </c>
      <c r="CB803" t="s">
        <v>135</v>
      </c>
      <c r="CH803" s="2"/>
      <c r="CJ803" s="2"/>
      <c r="CL803" s="2"/>
      <c r="CN803" s="2"/>
      <c r="CQ803" s="2"/>
      <c r="CT803" s="2"/>
      <c r="CW803" s="2"/>
    </row>
    <row r="804" spans="1:101" x14ac:dyDescent="0.25">
      <c r="A804" s="1" t="s">
        <v>163</v>
      </c>
      <c r="B804" s="75" t="s">
        <v>164</v>
      </c>
      <c r="C804">
        <v>0</v>
      </c>
      <c r="D804">
        <v>0</v>
      </c>
      <c r="E804">
        <v>0</v>
      </c>
      <c r="F804">
        <v>604324.56000000006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3.91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7490</v>
      </c>
      <c r="AW804">
        <v>3350</v>
      </c>
      <c r="AX804">
        <v>1219</v>
      </c>
      <c r="AY804">
        <v>12059</v>
      </c>
      <c r="AZ804">
        <v>4202</v>
      </c>
      <c r="BA804">
        <v>7438</v>
      </c>
      <c r="BB804">
        <v>1432</v>
      </c>
      <c r="BC804">
        <v>13072</v>
      </c>
      <c r="BD804">
        <v>9486</v>
      </c>
      <c r="BE804">
        <v>9222</v>
      </c>
      <c r="BF804">
        <v>1768</v>
      </c>
      <c r="BG804">
        <v>20476</v>
      </c>
      <c r="BH804">
        <v>0</v>
      </c>
      <c r="BI804">
        <v>0</v>
      </c>
      <c r="BJ804">
        <v>0</v>
      </c>
      <c r="BK804">
        <v>0</v>
      </c>
      <c r="BL804" s="2">
        <v>24.82</v>
      </c>
      <c r="BM804" s="2">
        <v>42005.095138888886</v>
      </c>
      <c r="BN804" s="2">
        <v>5.4</v>
      </c>
      <c r="BO804" s="2">
        <v>42005.092361111114</v>
      </c>
      <c r="BP804" s="2">
        <v>6.92</v>
      </c>
      <c r="BQ804" s="2">
        <v>42005.092361111114</v>
      </c>
      <c r="BR804" s="2">
        <v>11.07</v>
      </c>
      <c r="BS804" s="2">
        <v>42005.092361111114</v>
      </c>
      <c r="BT804">
        <v>0</v>
      </c>
      <c r="BU804">
        <v>0</v>
      </c>
      <c r="BV804" t="s">
        <v>135</v>
      </c>
      <c r="BW804">
        <v>0</v>
      </c>
      <c r="BX804">
        <v>0</v>
      </c>
      <c r="BY804" t="s">
        <v>135</v>
      </c>
      <c r="BZ804">
        <v>0</v>
      </c>
      <c r="CA804">
        <v>0</v>
      </c>
      <c r="CB804" t="s">
        <v>135</v>
      </c>
      <c r="CH804" s="2"/>
      <c r="CJ804" s="2"/>
      <c r="CL804" s="2"/>
      <c r="CN804" s="2"/>
      <c r="CQ804" s="2"/>
      <c r="CT804" s="2"/>
      <c r="CW804" s="2"/>
    </row>
    <row r="805" spans="1:101" x14ac:dyDescent="0.25">
      <c r="A805" s="1" t="s">
        <v>163</v>
      </c>
      <c r="B805" s="75" t="s">
        <v>164</v>
      </c>
      <c r="C805">
        <v>0</v>
      </c>
      <c r="D805">
        <v>0</v>
      </c>
      <c r="E805">
        <v>0</v>
      </c>
      <c r="F805">
        <v>604324.56000000006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3.91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7490</v>
      </c>
      <c r="AW805">
        <v>3350</v>
      </c>
      <c r="AX805">
        <v>1219</v>
      </c>
      <c r="AY805">
        <v>12059</v>
      </c>
      <c r="AZ805">
        <v>4202</v>
      </c>
      <c r="BA805">
        <v>7438</v>
      </c>
      <c r="BB805">
        <v>1432</v>
      </c>
      <c r="BC805">
        <v>13072</v>
      </c>
      <c r="BD805">
        <v>9486</v>
      </c>
      <c r="BE805">
        <v>9222</v>
      </c>
      <c r="BF805">
        <v>1768</v>
      </c>
      <c r="BG805">
        <v>20476</v>
      </c>
      <c r="BH805">
        <v>0</v>
      </c>
      <c r="BI805">
        <v>0</v>
      </c>
      <c r="BJ805">
        <v>0</v>
      </c>
      <c r="BK805">
        <v>0</v>
      </c>
      <c r="BL805" s="2">
        <v>24.82</v>
      </c>
      <c r="BM805" s="2">
        <v>42005.095138888886</v>
      </c>
      <c r="BN805" s="2">
        <v>5.4</v>
      </c>
      <c r="BO805" s="2">
        <v>42005.092361111114</v>
      </c>
      <c r="BP805" s="2">
        <v>6.92</v>
      </c>
      <c r="BQ805" s="2">
        <v>42005.092361111114</v>
      </c>
      <c r="BR805" s="2">
        <v>11.07</v>
      </c>
      <c r="BS805" s="2">
        <v>42005.092361111114</v>
      </c>
      <c r="BT805">
        <v>0</v>
      </c>
      <c r="BU805">
        <v>0</v>
      </c>
      <c r="BV805" t="s">
        <v>135</v>
      </c>
      <c r="BW805">
        <v>0</v>
      </c>
      <c r="BX805">
        <v>0</v>
      </c>
      <c r="BY805" t="s">
        <v>135</v>
      </c>
      <c r="BZ805">
        <v>0</v>
      </c>
      <c r="CA805">
        <v>0</v>
      </c>
      <c r="CB805" t="s">
        <v>135</v>
      </c>
      <c r="CH805" s="2"/>
      <c r="CJ805" s="2"/>
      <c r="CL805" s="2"/>
      <c r="CN805" s="2"/>
      <c r="CQ805" s="2"/>
      <c r="CT805" s="2"/>
      <c r="CW805" s="2"/>
    </row>
    <row r="806" spans="1:101" x14ac:dyDescent="0.25">
      <c r="A806" s="1" t="s">
        <v>163</v>
      </c>
      <c r="B806" s="75" t="s">
        <v>164</v>
      </c>
      <c r="C806">
        <v>0</v>
      </c>
      <c r="D806">
        <v>0</v>
      </c>
      <c r="E806">
        <v>0</v>
      </c>
      <c r="F806">
        <v>604324.56000000006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3.91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7490</v>
      </c>
      <c r="AW806">
        <v>3350</v>
      </c>
      <c r="AX806">
        <v>1219</v>
      </c>
      <c r="AY806">
        <v>12059</v>
      </c>
      <c r="AZ806">
        <v>4202</v>
      </c>
      <c r="BA806">
        <v>7438</v>
      </c>
      <c r="BB806">
        <v>1432</v>
      </c>
      <c r="BC806">
        <v>13072</v>
      </c>
      <c r="BD806">
        <v>9486</v>
      </c>
      <c r="BE806">
        <v>9222</v>
      </c>
      <c r="BF806">
        <v>1768</v>
      </c>
      <c r="BG806">
        <v>20476</v>
      </c>
      <c r="BH806">
        <v>0</v>
      </c>
      <c r="BI806">
        <v>0</v>
      </c>
      <c r="BJ806">
        <v>0</v>
      </c>
      <c r="BK806">
        <v>0</v>
      </c>
      <c r="BL806" s="2">
        <v>24.82</v>
      </c>
      <c r="BM806" s="2">
        <v>42005.095138888886</v>
      </c>
      <c r="BN806" s="2">
        <v>5.4</v>
      </c>
      <c r="BO806" s="2">
        <v>42005.092361111114</v>
      </c>
      <c r="BP806" s="2">
        <v>6.92</v>
      </c>
      <c r="BQ806" s="2">
        <v>42005.092361111114</v>
      </c>
      <c r="BR806" s="2">
        <v>11.07</v>
      </c>
      <c r="BS806" s="2">
        <v>42005.092361111114</v>
      </c>
      <c r="BT806">
        <v>0</v>
      </c>
      <c r="BU806">
        <v>0</v>
      </c>
      <c r="BV806" t="s">
        <v>135</v>
      </c>
      <c r="BW806">
        <v>0</v>
      </c>
      <c r="BX806">
        <v>0</v>
      </c>
      <c r="BY806" t="s">
        <v>135</v>
      </c>
      <c r="BZ806">
        <v>0</v>
      </c>
      <c r="CA806">
        <v>0</v>
      </c>
      <c r="CB806" t="s">
        <v>135</v>
      </c>
      <c r="CH806" s="2"/>
      <c r="CJ806" s="2"/>
      <c r="CL806" s="2"/>
      <c r="CN806" s="2"/>
      <c r="CQ806" s="2"/>
      <c r="CT806" s="2"/>
      <c r="CW806" s="2"/>
    </row>
    <row r="807" spans="1:101" x14ac:dyDescent="0.25">
      <c r="A807" s="1" t="s">
        <v>163</v>
      </c>
      <c r="B807" s="75" t="s">
        <v>164</v>
      </c>
      <c r="C807">
        <v>0</v>
      </c>
      <c r="D807">
        <v>0</v>
      </c>
      <c r="E807">
        <v>0</v>
      </c>
      <c r="F807">
        <v>604324.56000000006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3.91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7490</v>
      </c>
      <c r="AW807">
        <v>3350</v>
      </c>
      <c r="AX807">
        <v>1219</v>
      </c>
      <c r="AY807">
        <v>12059</v>
      </c>
      <c r="AZ807">
        <v>4202</v>
      </c>
      <c r="BA807">
        <v>7438</v>
      </c>
      <c r="BB807">
        <v>1432</v>
      </c>
      <c r="BC807">
        <v>13072</v>
      </c>
      <c r="BD807">
        <v>9486</v>
      </c>
      <c r="BE807">
        <v>9222</v>
      </c>
      <c r="BF807">
        <v>1768</v>
      </c>
      <c r="BG807">
        <v>20476</v>
      </c>
      <c r="BH807">
        <v>0</v>
      </c>
      <c r="BI807">
        <v>0</v>
      </c>
      <c r="BJ807">
        <v>0</v>
      </c>
      <c r="BK807">
        <v>0</v>
      </c>
      <c r="BL807" s="2">
        <v>24.82</v>
      </c>
      <c r="BM807" s="2">
        <v>42005.095138888886</v>
      </c>
      <c r="BN807" s="2">
        <v>5.4</v>
      </c>
      <c r="BO807" s="2">
        <v>42005.092361111114</v>
      </c>
      <c r="BP807" s="2">
        <v>6.92</v>
      </c>
      <c r="BQ807" s="2">
        <v>42005.092361111114</v>
      </c>
      <c r="BR807" s="2">
        <v>11.07</v>
      </c>
      <c r="BS807" s="2">
        <v>42005.092361111114</v>
      </c>
      <c r="BT807">
        <v>0</v>
      </c>
      <c r="BU807">
        <v>0</v>
      </c>
      <c r="BV807" t="s">
        <v>135</v>
      </c>
      <c r="BW807">
        <v>0</v>
      </c>
      <c r="BX807">
        <v>0</v>
      </c>
      <c r="BY807" t="s">
        <v>135</v>
      </c>
      <c r="BZ807">
        <v>0</v>
      </c>
      <c r="CA807">
        <v>0</v>
      </c>
      <c r="CB807" t="s">
        <v>135</v>
      </c>
      <c r="CH807" s="2"/>
      <c r="CJ807" s="2"/>
      <c r="CL807" s="2"/>
      <c r="CN807" s="2"/>
      <c r="CQ807" s="2"/>
      <c r="CT807" s="2"/>
      <c r="CW807" s="2"/>
    </row>
    <row r="808" spans="1:101" x14ac:dyDescent="0.25">
      <c r="A808" s="1" t="s">
        <v>163</v>
      </c>
      <c r="B808" s="75" t="s">
        <v>164</v>
      </c>
      <c r="C808">
        <v>0</v>
      </c>
      <c r="D808">
        <v>0</v>
      </c>
      <c r="E808">
        <v>0</v>
      </c>
      <c r="F808">
        <v>604324.56000000006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3.91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7490</v>
      </c>
      <c r="AW808">
        <v>3350</v>
      </c>
      <c r="AX808">
        <v>1219</v>
      </c>
      <c r="AY808">
        <v>12059</v>
      </c>
      <c r="AZ808">
        <v>4202</v>
      </c>
      <c r="BA808">
        <v>7438</v>
      </c>
      <c r="BB808">
        <v>1432</v>
      </c>
      <c r="BC808">
        <v>13072</v>
      </c>
      <c r="BD808">
        <v>9486</v>
      </c>
      <c r="BE808">
        <v>9222</v>
      </c>
      <c r="BF808">
        <v>1768</v>
      </c>
      <c r="BG808">
        <v>20476</v>
      </c>
      <c r="BH808">
        <v>0</v>
      </c>
      <c r="BI808">
        <v>0</v>
      </c>
      <c r="BJ808">
        <v>0</v>
      </c>
      <c r="BK808">
        <v>0</v>
      </c>
      <c r="BL808" s="2">
        <v>24.82</v>
      </c>
      <c r="BM808" s="2">
        <v>42005.095138888886</v>
      </c>
      <c r="BN808" s="2">
        <v>5.4</v>
      </c>
      <c r="BO808" s="2">
        <v>42005.092361111114</v>
      </c>
      <c r="BP808" s="2">
        <v>6.92</v>
      </c>
      <c r="BQ808" s="2">
        <v>42005.092361111114</v>
      </c>
      <c r="BR808" s="2">
        <v>11.07</v>
      </c>
      <c r="BS808" s="2">
        <v>42005.092361111114</v>
      </c>
      <c r="BT808">
        <v>0</v>
      </c>
      <c r="BU808">
        <v>0</v>
      </c>
      <c r="BV808" t="s">
        <v>135</v>
      </c>
      <c r="BW808">
        <v>0</v>
      </c>
      <c r="BX808">
        <v>0</v>
      </c>
      <c r="BY808" t="s">
        <v>135</v>
      </c>
      <c r="BZ808">
        <v>0</v>
      </c>
      <c r="CA808">
        <v>0</v>
      </c>
      <c r="CB808" t="s">
        <v>135</v>
      </c>
      <c r="CH808" s="2"/>
      <c r="CJ808" s="2"/>
      <c r="CL808" s="2"/>
      <c r="CN808" s="2"/>
      <c r="CQ808" s="2"/>
      <c r="CT808" s="2"/>
      <c r="CW808" s="2"/>
    </row>
    <row r="809" spans="1:101" x14ac:dyDescent="0.25">
      <c r="A809" s="1" t="s">
        <v>163</v>
      </c>
      <c r="B809" s="75" t="s">
        <v>164</v>
      </c>
      <c r="C809">
        <v>0</v>
      </c>
      <c r="D809">
        <v>0</v>
      </c>
      <c r="E809">
        <v>0</v>
      </c>
      <c r="F809">
        <v>604324.56000000006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3.91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7490</v>
      </c>
      <c r="AW809">
        <v>3350</v>
      </c>
      <c r="AX809">
        <v>1219</v>
      </c>
      <c r="AY809">
        <v>12059</v>
      </c>
      <c r="AZ809">
        <v>4202</v>
      </c>
      <c r="BA809">
        <v>7438</v>
      </c>
      <c r="BB809">
        <v>1432</v>
      </c>
      <c r="BC809">
        <v>13072</v>
      </c>
      <c r="BD809">
        <v>9486</v>
      </c>
      <c r="BE809">
        <v>9222</v>
      </c>
      <c r="BF809">
        <v>1768</v>
      </c>
      <c r="BG809">
        <v>20476</v>
      </c>
      <c r="BH809">
        <v>0</v>
      </c>
      <c r="BI809">
        <v>0</v>
      </c>
      <c r="BJ809">
        <v>0</v>
      </c>
      <c r="BK809">
        <v>0</v>
      </c>
      <c r="BL809" s="2">
        <v>24.82</v>
      </c>
      <c r="BM809" s="2">
        <v>42005.095138888886</v>
      </c>
      <c r="BN809" s="2">
        <v>5.4</v>
      </c>
      <c r="BO809" s="2">
        <v>42005.092361111114</v>
      </c>
      <c r="BP809" s="2">
        <v>6.92</v>
      </c>
      <c r="BQ809" s="2">
        <v>42005.092361111114</v>
      </c>
      <c r="BR809" s="2">
        <v>11.07</v>
      </c>
      <c r="BS809" s="2">
        <v>42005.092361111114</v>
      </c>
      <c r="BT809">
        <v>0</v>
      </c>
      <c r="BU809">
        <v>0</v>
      </c>
      <c r="BV809" t="s">
        <v>135</v>
      </c>
      <c r="BW809">
        <v>0</v>
      </c>
      <c r="BX809">
        <v>0</v>
      </c>
      <c r="BY809" t="s">
        <v>135</v>
      </c>
      <c r="BZ809">
        <v>0</v>
      </c>
      <c r="CA809">
        <v>0</v>
      </c>
      <c r="CB809" t="s">
        <v>135</v>
      </c>
      <c r="CH809" s="2"/>
      <c r="CJ809" s="2"/>
      <c r="CL809" s="2"/>
      <c r="CN809" s="2"/>
      <c r="CQ809" s="2"/>
      <c r="CT809" s="2"/>
      <c r="CW809" s="2"/>
    </row>
    <row r="810" spans="1:101" x14ac:dyDescent="0.25">
      <c r="A810" s="1" t="s">
        <v>163</v>
      </c>
      <c r="B810" s="75" t="s">
        <v>164</v>
      </c>
      <c r="C810">
        <v>0</v>
      </c>
      <c r="D810">
        <v>0</v>
      </c>
      <c r="E810">
        <v>0</v>
      </c>
      <c r="F810">
        <v>604324.56000000006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3.91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7490</v>
      </c>
      <c r="AW810">
        <v>3350</v>
      </c>
      <c r="AX810">
        <v>1219</v>
      </c>
      <c r="AY810">
        <v>12059</v>
      </c>
      <c r="AZ810">
        <v>4202</v>
      </c>
      <c r="BA810">
        <v>7438</v>
      </c>
      <c r="BB810">
        <v>1432</v>
      </c>
      <c r="BC810">
        <v>13072</v>
      </c>
      <c r="BD810">
        <v>9486</v>
      </c>
      <c r="BE810">
        <v>9222</v>
      </c>
      <c r="BF810">
        <v>1768</v>
      </c>
      <c r="BG810">
        <v>20476</v>
      </c>
      <c r="BH810">
        <v>0</v>
      </c>
      <c r="BI810">
        <v>0</v>
      </c>
      <c r="BJ810">
        <v>0</v>
      </c>
      <c r="BK810">
        <v>0</v>
      </c>
      <c r="BL810" s="2">
        <v>24.82</v>
      </c>
      <c r="BM810" s="2">
        <v>42005.095138888886</v>
      </c>
      <c r="BN810" s="2">
        <v>5.4</v>
      </c>
      <c r="BO810" s="2">
        <v>42005.092361111114</v>
      </c>
      <c r="BP810" s="2">
        <v>6.92</v>
      </c>
      <c r="BQ810" s="2">
        <v>42005.092361111114</v>
      </c>
      <c r="BR810" s="2">
        <v>11.07</v>
      </c>
      <c r="BS810" s="2">
        <v>42005.092361111114</v>
      </c>
      <c r="BT810">
        <v>0</v>
      </c>
      <c r="BU810">
        <v>0</v>
      </c>
      <c r="BV810" t="s">
        <v>135</v>
      </c>
      <c r="BW810">
        <v>0</v>
      </c>
      <c r="BX810">
        <v>0</v>
      </c>
      <c r="BY810" t="s">
        <v>135</v>
      </c>
      <c r="BZ810">
        <v>0</v>
      </c>
      <c r="CA810">
        <v>0</v>
      </c>
      <c r="CB810" t="s">
        <v>135</v>
      </c>
      <c r="CH810" s="2"/>
      <c r="CJ810" s="2"/>
      <c r="CL810" s="2"/>
      <c r="CN810" s="2"/>
      <c r="CQ810" s="2"/>
      <c r="CT810" s="2"/>
      <c r="CW810" s="2"/>
    </row>
    <row r="811" spans="1:101" x14ac:dyDescent="0.25">
      <c r="A811" s="1" t="s">
        <v>163</v>
      </c>
      <c r="B811" s="75" t="s">
        <v>164</v>
      </c>
      <c r="C811">
        <v>0</v>
      </c>
      <c r="D811">
        <v>0</v>
      </c>
      <c r="E811">
        <v>0</v>
      </c>
      <c r="F811">
        <v>604324.56000000006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3.91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7490</v>
      </c>
      <c r="AW811">
        <v>3350</v>
      </c>
      <c r="AX811">
        <v>1219</v>
      </c>
      <c r="AY811">
        <v>12059</v>
      </c>
      <c r="AZ811">
        <v>4202</v>
      </c>
      <c r="BA811">
        <v>7438</v>
      </c>
      <c r="BB811">
        <v>1432</v>
      </c>
      <c r="BC811">
        <v>13072</v>
      </c>
      <c r="BD811">
        <v>9486</v>
      </c>
      <c r="BE811">
        <v>9222</v>
      </c>
      <c r="BF811">
        <v>1768</v>
      </c>
      <c r="BG811">
        <v>20476</v>
      </c>
      <c r="BH811">
        <v>0</v>
      </c>
      <c r="BI811">
        <v>0</v>
      </c>
      <c r="BJ811">
        <v>0</v>
      </c>
      <c r="BK811">
        <v>0</v>
      </c>
      <c r="BL811" s="2">
        <v>24.82</v>
      </c>
      <c r="BM811" s="2">
        <v>42005.095138888886</v>
      </c>
      <c r="BN811" s="2">
        <v>5.4</v>
      </c>
      <c r="BO811" s="2">
        <v>42005.092361111114</v>
      </c>
      <c r="BP811" s="2">
        <v>6.92</v>
      </c>
      <c r="BQ811" s="2">
        <v>42005.092361111114</v>
      </c>
      <c r="BR811" s="2">
        <v>11.07</v>
      </c>
      <c r="BS811" s="2">
        <v>42005.092361111114</v>
      </c>
      <c r="BT811">
        <v>0</v>
      </c>
      <c r="BU811">
        <v>0</v>
      </c>
      <c r="BV811" t="s">
        <v>135</v>
      </c>
      <c r="BW811">
        <v>0</v>
      </c>
      <c r="BX811">
        <v>0</v>
      </c>
      <c r="BY811" t="s">
        <v>135</v>
      </c>
      <c r="BZ811">
        <v>0</v>
      </c>
      <c r="CA811">
        <v>0</v>
      </c>
      <c r="CB811" t="s">
        <v>135</v>
      </c>
      <c r="CH811" s="2"/>
      <c r="CJ811" s="2"/>
      <c r="CL811" s="2"/>
      <c r="CN811" s="2"/>
      <c r="CQ811" s="2"/>
      <c r="CT811" s="2"/>
      <c r="CW811" s="2"/>
    </row>
    <row r="812" spans="1:101" x14ac:dyDescent="0.25">
      <c r="A812" s="1" t="s">
        <v>163</v>
      </c>
      <c r="B812" s="75" t="s">
        <v>164</v>
      </c>
      <c r="C812">
        <v>0</v>
      </c>
      <c r="D812">
        <v>0</v>
      </c>
      <c r="E812">
        <v>0</v>
      </c>
      <c r="F812">
        <v>604324.56000000006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3.91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7490</v>
      </c>
      <c r="AW812">
        <v>3350</v>
      </c>
      <c r="AX812">
        <v>1219</v>
      </c>
      <c r="AY812">
        <v>12059</v>
      </c>
      <c r="AZ812">
        <v>4202</v>
      </c>
      <c r="BA812">
        <v>7438</v>
      </c>
      <c r="BB812">
        <v>1432</v>
      </c>
      <c r="BC812">
        <v>13072</v>
      </c>
      <c r="BD812">
        <v>9486</v>
      </c>
      <c r="BE812">
        <v>9222</v>
      </c>
      <c r="BF812">
        <v>1768</v>
      </c>
      <c r="BG812">
        <v>20476</v>
      </c>
      <c r="BH812">
        <v>0</v>
      </c>
      <c r="BI812">
        <v>0</v>
      </c>
      <c r="BJ812">
        <v>0</v>
      </c>
      <c r="BK812">
        <v>0</v>
      </c>
      <c r="BL812" s="2">
        <v>24.82</v>
      </c>
      <c r="BM812" s="2">
        <v>42005.095138888886</v>
      </c>
      <c r="BN812" s="2">
        <v>5.4</v>
      </c>
      <c r="BO812" s="2">
        <v>42005.092361111114</v>
      </c>
      <c r="BP812" s="2">
        <v>6.92</v>
      </c>
      <c r="BQ812" s="2">
        <v>42005.092361111114</v>
      </c>
      <c r="BR812" s="2">
        <v>11.07</v>
      </c>
      <c r="BS812" s="2">
        <v>42005.092361111114</v>
      </c>
      <c r="BT812">
        <v>0</v>
      </c>
      <c r="BU812">
        <v>0</v>
      </c>
      <c r="BV812" t="s">
        <v>135</v>
      </c>
      <c r="BW812">
        <v>0</v>
      </c>
      <c r="BX812">
        <v>0</v>
      </c>
      <c r="BY812" t="s">
        <v>135</v>
      </c>
      <c r="BZ812">
        <v>0</v>
      </c>
      <c r="CA812">
        <v>0</v>
      </c>
      <c r="CB812" t="s">
        <v>135</v>
      </c>
      <c r="CH812" s="2"/>
      <c r="CJ812" s="2"/>
      <c r="CL812" s="2"/>
      <c r="CN812" s="2"/>
      <c r="CQ812" s="2"/>
      <c r="CT812" s="2"/>
      <c r="CW812" s="2"/>
    </row>
    <row r="813" spans="1:101" x14ac:dyDescent="0.25">
      <c r="A813" s="1" t="s">
        <v>163</v>
      </c>
      <c r="B813" s="75" t="s">
        <v>164</v>
      </c>
      <c r="C813">
        <v>0</v>
      </c>
      <c r="D813">
        <v>0</v>
      </c>
      <c r="E813">
        <v>0</v>
      </c>
      <c r="F813">
        <v>604324.56000000006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3.91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7490</v>
      </c>
      <c r="AW813">
        <v>3350</v>
      </c>
      <c r="AX813">
        <v>1219</v>
      </c>
      <c r="AY813">
        <v>12059</v>
      </c>
      <c r="AZ813">
        <v>4202</v>
      </c>
      <c r="BA813">
        <v>7438</v>
      </c>
      <c r="BB813">
        <v>1432</v>
      </c>
      <c r="BC813">
        <v>13072</v>
      </c>
      <c r="BD813">
        <v>9486</v>
      </c>
      <c r="BE813">
        <v>9222</v>
      </c>
      <c r="BF813">
        <v>1768</v>
      </c>
      <c r="BG813">
        <v>20476</v>
      </c>
      <c r="BH813">
        <v>0</v>
      </c>
      <c r="BI813">
        <v>0</v>
      </c>
      <c r="BJ813">
        <v>0</v>
      </c>
      <c r="BK813">
        <v>0</v>
      </c>
      <c r="BL813" s="2">
        <v>24.82</v>
      </c>
      <c r="BM813" s="2">
        <v>42005.095138888886</v>
      </c>
      <c r="BN813" s="2">
        <v>5.4</v>
      </c>
      <c r="BO813" s="2">
        <v>42005.092361111114</v>
      </c>
      <c r="BP813" s="2">
        <v>6.92</v>
      </c>
      <c r="BQ813" s="2">
        <v>42005.092361111114</v>
      </c>
      <c r="BR813" s="2">
        <v>11.07</v>
      </c>
      <c r="BS813" s="2">
        <v>42005.092361111114</v>
      </c>
      <c r="BT813">
        <v>0</v>
      </c>
      <c r="BU813">
        <v>0</v>
      </c>
      <c r="BV813" t="s">
        <v>135</v>
      </c>
      <c r="BW813">
        <v>0</v>
      </c>
      <c r="BX813">
        <v>0</v>
      </c>
      <c r="BY813" t="s">
        <v>135</v>
      </c>
      <c r="BZ813">
        <v>0</v>
      </c>
      <c r="CA813">
        <v>0</v>
      </c>
      <c r="CB813" t="s">
        <v>135</v>
      </c>
      <c r="CH813" s="2"/>
      <c r="CJ813" s="2"/>
      <c r="CL813" s="2"/>
      <c r="CN813" s="2"/>
      <c r="CQ813" s="2"/>
      <c r="CT813" s="2"/>
      <c r="CW813" s="2"/>
    </row>
    <row r="814" spans="1:101" x14ac:dyDescent="0.25">
      <c r="A814" s="1" t="s">
        <v>163</v>
      </c>
      <c r="B814" s="75" t="s">
        <v>164</v>
      </c>
      <c r="C814">
        <v>0</v>
      </c>
      <c r="D814">
        <v>0</v>
      </c>
      <c r="E814">
        <v>0</v>
      </c>
      <c r="F814">
        <v>604324.56000000006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3.91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7490</v>
      </c>
      <c r="AW814">
        <v>3350</v>
      </c>
      <c r="AX814">
        <v>1219</v>
      </c>
      <c r="AY814">
        <v>12059</v>
      </c>
      <c r="AZ814">
        <v>4202</v>
      </c>
      <c r="BA814">
        <v>7438</v>
      </c>
      <c r="BB814">
        <v>1432</v>
      </c>
      <c r="BC814">
        <v>13072</v>
      </c>
      <c r="BD814">
        <v>9486</v>
      </c>
      <c r="BE814">
        <v>9222</v>
      </c>
      <c r="BF814">
        <v>1768</v>
      </c>
      <c r="BG814">
        <v>20476</v>
      </c>
      <c r="BH814">
        <v>0</v>
      </c>
      <c r="BI814">
        <v>0</v>
      </c>
      <c r="BJ814">
        <v>0</v>
      </c>
      <c r="BK814">
        <v>0</v>
      </c>
      <c r="BL814" s="2">
        <v>24.82</v>
      </c>
      <c r="BM814" s="2">
        <v>42005.095138888886</v>
      </c>
      <c r="BN814" s="2">
        <v>5.4</v>
      </c>
      <c r="BO814" s="2">
        <v>42005.092361111114</v>
      </c>
      <c r="BP814" s="2">
        <v>6.92</v>
      </c>
      <c r="BQ814" s="2">
        <v>42005.092361111114</v>
      </c>
      <c r="BR814" s="2">
        <v>11.07</v>
      </c>
      <c r="BS814" s="2">
        <v>42005.092361111114</v>
      </c>
      <c r="BT814">
        <v>0</v>
      </c>
      <c r="BU814">
        <v>0</v>
      </c>
      <c r="BV814" t="s">
        <v>135</v>
      </c>
      <c r="BW814">
        <v>0</v>
      </c>
      <c r="BX814">
        <v>0</v>
      </c>
      <c r="BY814" t="s">
        <v>135</v>
      </c>
      <c r="BZ814">
        <v>0</v>
      </c>
      <c r="CA814">
        <v>0</v>
      </c>
      <c r="CB814" t="s">
        <v>135</v>
      </c>
      <c r="CH814" s="2"/>
      <c r="CJ814" s="2"/>
      <c r="CL814" s="2"/>
      <c r="CN814" s="2"/>
      <c r="CQ814" s="2"/>
      <c r="CT814" s="2"/>
      <c r="CW814" s="2"/>
    </row>
    <row r="815" spans="1:101" x14ac:dyDescent="0.25">
      <c r="A815" s="1" t="s">
        <v>163</v>
      </c>
      <c r="B815" s="75" t="s">
        <v>164</v>
      </c>
      <c r="C815">
        <v>0</v>
      </c>
      <c r="D815">
        <v>0</v>
      </c>
      <c r="E815">
        <v>0</v>
      </c>
      <c r="F815">
        <v>604324.56000000006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3.91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7490</v>
      </c>
      <c r="AW815">
        <v>3350</v>
      </c>
      <c r="AX815">
        <v>1219</v>
      </c>
      <c r="AY815">
        <v>12059</v>
      </c>
      <c r="AZ815">
        <v>4202</v>
      </c>
      <c r="BA815">
        <v>7438</v>
      </c>
      <c r="BB815">
        <v>1432</v>
      </c>
      <c r="BC815">
        <v>13072</v>
      </c>
      <c r="BD815">
        <v>9486</v>
      </c>
      <c r="BE815">
        <v>9222</v>
      </c>
      <c r="BF815">
        <v>1768</v>
      </c>
      <c r="BG815">
        <v>20476</v>
      </c>
      <c r="BH815">
        <v>0</v>
      </c>
      <c r="BI815">
        <v>0</v>
      </c>
      <c r="BJ815">
        <v>0</v>
      </c>
      <c r="BK815">
        <v>0</v>
      </c>
      <c r="BL815" s="2">
        <v>24.82</v>
      </c>
      <c r="BM815" s="2">
        <v>42005.095138888886</v>
      </c>
      <c r="BN815" s="2">
        <v>5.4</v>
      </c>
      <c r="BO815" s="2">
        <v>42005.092361111114</v>
      </c>
      <c r="BP815" s="2">
        <v>6.92</v>
      </c>
      <c r="BQ815" s="2">
        <v>42005.092361111114</v>
      </c>
      <c r="BR815" s="2">
        <v>11.07</v>
      </c>
      <c r="BS815" s="2">
        <v>42005.092361111114</v>
      </c>
      <c r="BT815">
        <v>0</v>
      </c>
      <c r="BU815">
        <v>0</v>
      </c>
      <c r="BV815" t="s">
        <v>135</v>
      </c>
      <c r="BW815">
        <v>0</v>
      </c>
      <c r="BX815">
        <v>0</v>
      </c>
      <c r="BY815" t="s">
        <v>135</v>
      </c>
      <c r="BZ815">
        <v>0</v>
      </c>
      <c r="CA815">
        <v>0</v>
      </c>
      <c r="CB815" t="s">
        <v>135</v>
      </c>
      <c r="CH815" s="2"/>
      <c r="CJ815" s="2"/>
      <c r="CL815" s="2"/>
      <c r="CN815" s="2"/>
      <c r="CQ815" s="2"/>
      <c r="CT815" s="2"/>
      <c r="CW815" s="2"/>
    </row>
    <row r="816" spans="1:101" x14ac:dyDescent="0.25">
      <c r="A816" s="1" t="s">
        <v>163</v>
      </c>
      <c r="B816" s="75" t="s">
        <v>164</v>
      </c>
      <c r="C816">
        <v>0</v>
      </c>
      <c r="D816">
        <v>0</v>
      </c>
      <c r="E816">
        <v>0</v>
      </c>
      <c r="F816">
        <v>604324.56000000006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3.91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7490</v>
      </c>
      <c r="AW816">
        <v>3350</v>
      </c>
      <c r="AX816">
        <v>1219</v>
      </c>
      <c r="AY816">
        <v>12059</v>
      </c>
      <c r="AZ816">
        <v>4202</v>
      </c>
      <c r="BA816">
        <v>7438</v>
      </c>
      <c r="BB816">
        <v>1432</v>
      </c>
      <c r="BC816">
        <v>13072</v>
      </c>
      <c r="BD816">
        <v>9486</v>
      </c>
      <c r="BE816">
        <v>9222</v>
      </c>
      <c r="BF816">
        <v>1768</v>
      </c>
      <c r="BG816">
        <v>20476</v>
      </c>
      <c r="BH816">
        <v>0</v>
      </c>
      <c r="BI816">
        <v>0</v>
      </c>
      <c r="BJ816">
        <v>0</v>
      </c>
      <c r="BK816">
        <v>0</v>
      </c>
      <c r="BL816" s="2">
        <v>24.82</v>
      </c>
      <c r="BM816" s="2">
        <v>42005.095138888886</v>
      </c>
      <c r="BN816" s="2">
        <v>5.4</v>
      </c>
      <c r="BO816" s="2">
        <v>42005.092361111114</v>
      </c>
      <c r="BP816" s="2">
        <v>6.92</v>
      </c>
      <c r="BQ816" s="2">
        <v>42005.092361111114</v>
      </c>
      <c r="BR816" s="2">
        <v>11.07</v>
      </c>
      <c r="BS816" s="2">
        <v>42005.092361111114</v>
      </c>
      <c r="BT816">
        <v>0</v>
      </c>
      <c r="BU816">
        <v>0</v>
      </c>
      <c r="BV816" t="s">
        <v>135</v>
      </c>
      <c r="BW816">
        <v>0</v>
      </c>
      <c r="BX816">
        <v>0</v>
      </c>
      <c r="BY816" t="s">
        <v>135</v>
      </c>
      <c r="BZ816">
        <v>0</v>
      </c>
      <c r="CA816">
        <v>0</v>
      </c>
      <c r="CB816" t="s">
        <v>135</v>
      </c>
      <c r="CH816" s="2"/>
      <c r="CJ816" s="2"/>
      <c r="CL816" s="2"/>
      <c r="CN816" s="2"/>
      <c r="CQ816" s="2"/>
      <c r="CT816" s="2"/>
      <c r="CW816" s="2"/>
    </row>
    <row r="817" spans="1:101" x14ac:dyDescent="0.25">
      <c r="A817" s="1" t="s">
        <v>163</v>
      </c>
      <c r="B817" s="75" t="s">
        <v>164</v>
      </c>
      <c r="C817">
        <v>0</v>
      </c>
      <c r="D817">
        <v>0</v>
      </c>
      <c r="E817">
        <v>0</v>
      </c>
      <c r="F817">
        <v>604324.56000000006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3.91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7490</v>
      </c>
      <c r="AW817">
        <v>3350</v>
      </c>
      <c r="AX817">
        <v>1219</v>
      </c>
      <c r="AY817">
        <v>12059</v>
      </c>
      <c r="AZ817">
        <v>4202</v>
      </c>
      <c r="BA817">
        <v>7438</v>
      </c>
      <c r="BB817">
        <v>1432</v>
      </c>
      <c r="BC817">
        <v>13072</v>
      </c>
      <c r="BD817">
        <v>9486</v>
      </c>
      <c r="BE817">
        <v>9222</v>
      </c>
      <c r="BF817">
        <v>1768</v>
      </c>
      <c r="BG817">
        <v>20476</v>
      </c>
      <c r="BH817">
        <v>0</v>
      </c>
      <c r="BI817">
        <v>0</v>
      </c>
      <c r="BJ817">
        <v>0</v>
      </c>
      <c r="BK817">
        <v>0</v>
      </c>
      <c r="BL817" s="2">
        <v>24.82</v>
      </c>
      <c r="BM817" s="2">
        <v>42005.095138888886</v>
      </c>
      <c r="BN817" s="2">
        <v>5.4</v>
      </c>
      <c r="BO817" s="2">
        <v>42005.092361111114</v>
      </c>
      <c r="BP817" s="2">
        <v>6.92</v>
      </c>
      <c r="BQ817" s="2">
        <v>42005.092361111114</v>
      </c>
      <c r="BR817" s="2">
        <v>11.07</v>
      </c>
      <c r="BS817" s="2">
        <v>42005.092361111114</v>
      </c>
      <c r="BT817">
        <v>0</v>
      </c>
      <c r="BU817">
        <v>0</v>
      </c>
      <c r="BV817" t="s">
        <v>135</v>
      </c>
      <c r="BW817">
        <v>0</v>
      </c>
      <c r="BX817">
        <v>0</v>
      </c>
      <c r="BY817" t="s">
        <v>135</v>
      </c>
      <c r="BZ817">
        <v>0</v>
      </c>
      <c r="CA817">
        <v>0</v>
      </c>
      <c r="CB817" t="s">
        <v>135</v>
      </c>
      <c r="CH817" s="2"/>
      <c r="CJ817" s="2"/>
      <c r="CL817" s="2"/>
      <c r="CN817" s="2"/>
      <c r="CQ817" s="2"/>
      <c r="CT817" s="2"/>
      <c r="CW817" s="2"/>
    </row>
    <row r="818" spans="1:101" x14ac:dyDescent="0.25">
      <c r="A818" s="1" t="s">
        <v>163</v>
      </c>
      <c r="B818" s="75" t="s">
        <v>164</v>
      </c>
      <c r="C818">
        <v>0</v>
      </c>
      <c r="D818">
        <v>0</v>
      </c>
      <c r="E818">
        <v>0</v>
      </c>
      <c r="F818">
        <v>604324.56000000006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3.91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7490</v>
      </c>
      <c r="AW818">
        <v>3350</v>
      </c>
      <c r="AX818">
        <v>1219</v>
      </c>
      <c r="AY818">
        <v>12059</v>
      </c>
      <c r="AZ818">
        <v>4202</v>
      </c>
      <c r="BA818">
        <v>7438</v>
      </c>
      <c r="BB818">
        <v>1432</v>
      </c>
      <c r="BC818">
        <v>13072</v>
      </c>
      <c r="BD818">
        <v>9486</v>
      </c>
      <c r="BE818">
        <v>9222</v>
      </c>
      <c r="BF818">
        <v>1768</v>
      </c>
      <c r="BG818">
        <v>20476</v>
      </c>
      <c r="BH818">
        <v>0</v>
      </c>
      <c r="BI818">
        <v>0</v>
      </c>
      <c r="BJ818">
        <v>0</v>
      </c>
      <c r="BK818">
        <v>0</v>
      </c>
      <c r="BL818" s="2">
        <v>24.82</v>
      </c>
      <c r="BM818" s="2">
        <v>42005.095138888886</v>
      </c>
      <c r="BN818" s="2">
        <v>5.4</v>
      </c>
      <c r="BO818" s="2">
        <v>42005.092361111114</v>
      </c>
      <c r="BP818" s="2">
        <v>6.92</v>
      </c>
      <c r="BQ818" s="2">
        <v>42005.092361111114</v>
      </c>
      <c r="BR818" s="2">
        <v>11.07</v>
      </c>
      <c r="BS818" s="2">
        <v>42005.092361111114</v>
      </c>
      <c r="BT818">
        <v>0</v>
      </c>
      <c r="BU818">
        <v>0</v>
      </c>
      <c r="BV818" t="s">
        <v>135</v>
      </c>
      <c r="BW818">
        <v>0</v>
      </c>
      <c r="BX818">
        <v>0</v>
      </c>
      <c r="BY818" t="s">
        <v>135</v>
      </c>
      <c r="BZ818">
        <v>0</v>
      </c>
      <c r="CA818">
        <v>0</v>
      </c>
      <c r="CB818" t="s">
        <v>135</v>
      </c>
      <c r="CH818" s="2"/>
      <c r="CJ818" s="2"/>
      <c r="CL818" s="2"/>
      <c r="CN818" s="2"/>
      <c r="CQ818" s="2"/>
      <c r="CT818" s="2"/>
      <c r="CW818" s="2"/>
    </row>
    <row r="819" spans="1:101" x14ac:dyDescent="0.25">
      <c r="A819" s="1" t="s">
        <v>163</v>
      </c>
      <c r="B819" s="75" t="s">
        <v>164</v>
      </c>
      <c r="C819">
        <v>0</v>
      </c>
      <c r="D819">
        <v>0</v>
      </c>
      <c r="E819">
        <v>0</v>
      </c>
      <c r="F819">
        <v>604324.56000000006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3.91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7490</v>
      </c>
      <c r="AW819">
        <v>3350</v>
      </c>
      <c r="AX819">
        <v>1219</v>
      </c>
      <c r="AY819">
        <v>12059</v>
      </c>
      <c r="AZ819">
        <v>4202</v>
      </c>
      <c r="BA819">
        <v>7438</v>
      </c>
      <c r="BB819">
        <v>1432</v>
      </c>
      <c r="BC819">
        <v>13072</v>
      </c>
      <c r="BD819">
        <v>9486</v>
      </c>
      <c r="BE819">
        <v>9222</v>
      </c>
      <c r="BF819">
        <v>1768</v>
      </c>
      <c r="BG819">
        <v>20476</v>
      </c>
      <c r="BH819">
        <v>0</v>
      </c>
      <c r="BI819">
        <v>0</v>
      </c>
      <c r="BJ819">
        <v>0</v>
      </c>
      <c r="BK819">
        <v>0</v>
      </c>
      <c r="BL819" s="2">
        <v>24.82</v>
      </c>
      <c r="BM819" s="2">
        <v>42005.095138888886</v>
      </c>
      <c r="BN819" s="2">
        <v>5.4</v>
      </c>
      <c r="BO819" s="2">
        <v>42005.092361111114</v>
      </c>
      <c r="BP819" s="2">
        <v>6.92</v>
      </c>
      <c r="BQ819" s="2">
        <v>42005.092361111114</v>
      </c>
      <c r="BR819" s="2">
        <v>11.07</v>
      </c>
      <c r="BS819" s="2">
        <v>42005.092361111114</v>
      </c>
      <c r="BT819">
        <v>0</v>
      </c>
      <c r="BU819">
        <v>0</v>
      </c>
      <c r="BV819" t="s">
        <v>135</v>
      </c>
      <c r="BW819">
        <v>0</v>
      </c>
      <c r="BX819">
        <v>0</v>
      </c>
      <c r="BY819" t="s">
        <v>135</v>
      </c>
      <c r="BZ819">
        <v>0</v>
      </c>
      <c r="CA819">
        <v>0</v>
      </c>
      <c r="CB819" t="s">
        <v>135</v>
      </c>
      <c r="CH819" s="2"/>
      <c r="CJ819" s="2"/>
      <c r="CL819" s="2"/>
      <c r="CN819" s="2"/>
      <c r="CQ819" s="2"/>
      <c r="CT819" s="2"/>
      <c r="CW819" s="2"/>
    </row>
    <row r="820" spans="1:101" x14ac:dyDescent="0.25">
      <c r="A820" s="1" t="s">
        <v>163</v>
      </c>
      <c r="B820" s="75" t="s">
        <v>164</v>
      </c>
      <c r="C820">
        <v>0</v>
      </c>
      <c r="D820">
        <v>0</v>
      </c>
      <c r="E820">
        <v>0</v>
      </c>
      <c r="F820">
        <v>604324.56000000006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3.91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7490</v>
      </c>
      <c r="AW820">
        <v>3350</v>
      </c>
      <c r="AX820">
        <v>1219</v>
      </c>
      <c r="AY820">
        <v>12059</v>
      </c>
      <c r="AZ820">
        <v>4202</v>
      </c>
      <c r="BA820">
        <v>7438</v>
      </c>
      <c r="BB820">
        <v>1432</v>
      </c>
      <c r="BC820">
        <v>13072</v>
      </c>
      <c r="BD820">
        <v>9486</v>
      </c>
      <c r="BE820">
        <v>9222</v>
      </c>
      <c r="BF820">
        <v>1768</v>
      </c>
      <c r="BG820">
        <v>20476</v>
      </c>
      <c r="BH820">
        <v>0</v>
      </c>
      <c r="BI820">
        <v>0</v>
      </c>
      <c r="BJ820">
        <v>0</v>
      </c>
      <c r="BK820">
        <v>0</v>
      </c>
      <c r="BL820" s="2">
        <v>24.82</v>
      </c>
      <c r="BM820" s="2">
        <v>42005.095138888886</v>
      </c>
      <c r="BN820" s="2">
        <v>5.4</v>
      </c>
      <c r="BO820" s="2">
        <v>42005.092361111114</v>
      </c>
      <c r="BP820" s="2">
        <v>6.92</v>
      </c>
      <c r="BQ820" s="2">
        <v>42005.092361111114</v>
      </c>
      <c r="BR820" s="2">
        <v>11.07</v>
      </c>
      <c r="BS820" s="2">
        <v>42005.092361111114</v>
      </c>
      <c r="BT820">
        <v>0</v>
      </c>
      <c r="BU820">
        <v>0</v>
      </c>
      <c r="BV820" t="s">
        <v>135</v>
      </c>
      <c r="BW820">
        <v>0</v>
      </c>
      <c r="BX820">
        <v>0</v>
      </c>
      <c r="BY820" t="s">
        <v>135</v>
      </c>
      <c r="BZ820">
        <v>0</v>
      </c>
      <c r="CA820">
        <v>0</v>
      </c>
      <c r="CB820" t="s">
        <v>135</v>
      </c>
      <c r="CH820" s="2"/>
      <c r="CJ820" s="2"/>
      <c r="CL820" s="2"/>
      <c r="CN820" s="2"/>
      <c r="CQ820" s="2"/>
      <c r="CT820" s="2"/>
      <c r="CW820" s="2"/>
    </row>
    <row r="821" spans="1:101" x14ac:dyDescent="0.25">
      <c r="A821" s="1" t="s">
        <v>163</v>
      </c>
      <c r="B821" s="75" t="s">
        <v>164</v>
      </c>
      <c r="C821">
        <v>0</v>
      </c>
      <c r="D821">
        <v>0</v>
      </c>
      <c r="E821">
        <v>0</v>
      </c>
      <c r="F821">
        <v>604324.56000000006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3.91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7490</v>
      </c>
      <c r="AW821">
        <v>3350</v>
      </c>
      <c r="AX821">
        <v>1219</v>
      </c>
      <c r="AY821">
        <v>12059</v>
      </c>
      <c r="AZ821">
        <v>4202</v>
      </c>
      <c r="BA821">
        <v>7438</v>
      </c>
      <c r="BB821">
        <v>1432</v>
      </c>
      <c r="BC821">
        <v>13072</v>
      </c>
      <c r="BD821">
        <v>9486</v>
      </c>
      <c r="BE821">
        <v>9222</v>
      </c>
      <c r="BF821">
        <v>1768</v>
      </c>
      <c r="BG821">
        <v>20476</v>
      </c>
      <c r="BH821">
        <v>0</v>
      </c>
      <c r="BI821">
        <v>0</v>
      </c>
      <c r="BJ821">
        <v>0</v>
      </c>
      <c r="BK821">
        <v>0</v>
      </c>
      <c r="BL821" s="2">
        <v>24.82</v>
      </c>
      <c r="BM821" s="2">
        <v>42005.095138888886</v>
      </c>
      <c r="BN821" s="2">
        <v>5.4</v>
      </c>
      <c r="BO821" s="2">
        <v>42005.092361111114</v>
      </c>
      <c r="BP821" s="2">
        <v>6.92</v>
      </c>
      <c r="BQ821" s="2">
        <v>42005.092361111114</v>
      </c>
      <c r="BR821" s="2">
        <v>11.07</v>
      </c>
      <c r="BS821" s="2">
        <v>42005.092361111114</v>
      </c>
      <c r="BT821">
        <v>0</v>
      </c>
      <c r="BU821">
        <v>0</v>
      </c>
      <c r="BV821" t="s">
        <v>135</v>
      </c>
      <c r="BW821">
        <v>0</v>
      </c>
      <c r="BX821">
        <v>0</v>
      </c>
      <c r="BY821" t="s">
        <v>135</v>
      </c>
      <c r="BZ821">
        <v>0</v>
      </c>
      <c r="CA821">
        <v>0</v>
      </c>
      <c r="CB821" t="s">
        <v>135</v>
      </c>
      <c r="CH821" s="2"/>
      <c r="CJ821" s="2"/>
      <c r="CL821" s="2"/>
      <c r="CN821" s="2"/>
      <c r="CQ821" s="2"/>
      <c r="CT821" s="2"/>
      <c r="CW821" s="2"/>
    </row>
    <row r="822" spans="1:101" x14ac:dyDescent="0.25">
      <c r="A822" s="1" t="s">
        <v>163</v>
      </c>
      <c r="B822" s="75" t="s">
        <v>164</v>
      </c>
      <c r="C822">
        <v>0</v>
      </c>
      <c r="D822">
        <v>0</v>
      </c>
      <c r="E822">
        <v>0</v>
      </c>
      <c r="F822">
        <v>604324.56000000006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3.91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7490</v>
      </c>
      <c r="AW822">
        <v>3350</v>
      </c>
      <c r="AX822">
        <v>1219</v>
      </c>
      <c r="AY822">
        <v>12059</v>
      </c>
      <c r="AZ822">
        <v>4202</v>
      </c>
      <c r="BA822">
        <v>7438</v>
      </c>
      <c r="BB822">
        <v>1432</v>
      </c>
      <c r="BC822">
        <v>13072</v>
      </c>
      <c r="BD822">
        <v>9486</v>
      </c>
      <c r="BE822">
        <v>9222</v>
      </c>
      <c r="BF822">
        <v>1768</v>
      </c>
      <c r="BG822">
        <v>20476</v>
      </c>
      <c r="BH822">
        <v>0</v>
      </c>
      <c r="BI822">
        <v>0</v>
      </c>
      <c r="BJ822">
        <v>0</v>
      </c>
      <c r="BK822">
        <v>0</v>
      </c>
      <c r="BL822" s="2">
        <v>24.82</v>
      </c>
      <c r="BM822" s="2">
        <v>42005.095138888886</v>
      </c>
      <c r="BN822" s="2">
        <v>5.4</v>
      </c>
      <c r="BO822" s="2">
        <v>42005.092361111114</v>
      </c>
      <c r="BP822" s="2">
        <v>6.92</v>
      </c>
      <c r="BQ822" s="2">
        <v>42005.092361111114</v>
      </c>
      <c r="BR822" s="2">
        <v>11.07</v>
      </c>
      <c r="BS822" s="2">
        <v>42005.092361111114</v>
      </c>
      <c r="BT822">
        <v>0</v>
      </c>
      <c r="BU822">
        <v>0</v>
      </c>
      <c r="BV822" t="s">
        <v>135</v>
      </c>
      <c r="BW822">
        <v>0</v>
      </c>
      <c r="BX822">
        <v>0</v>
      </c>
      <c r="BY822" t="s">
        <v>135</v>
      </c>
      <c r="BZ822">
        <v>0</v>
      </c>
      <c r="CA822">
        <v>0</v>
      </c>
      <c r="CB822" t="s">
        <v>135</v>
      </c>
      <c r="CH822" s="2"/>
      <c r="CJ822" s="2"/>
      <c r="CL822" s="2"/>
      <c r="CN822" s="2"/>
      <c r="CQ822" s="2"/>
      <c r="CT822" s="2"/>
      <c r="CW822" s="2"/>
    </row>
    <row r="823" spans="1:101" x14ac:dyDescent="0.25">
      <c r="A823" s="1" t="s">
        <v>163</v>
      </c>
      <c r="B823" s="75" t="s">
        <v>164</v>
      </c>
      <c r="C823">
        <v>0</v>
      </c>
      <c r="D823">
        <v>0</v>
      </c>
      <c r="E823">
        <v>0</v>
      </c>
      <c r="F823">
        <v>604324.56000000006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3.91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7490</v>
      </c>
      <c r="AW823">
        <v>3350</v>
      </c>
      <c r="AX823">
        <v>1219</v>
      </c>
      <c r="AY823">
        <v>12059</v>
      </c>
      <c r="AZ823">
        <v>4202</v>
      </c>
      <c r="BA823">
        <v>7438</v>
      </c>
      <c r="BB823">
        <v>1432</v>
      </c>
      <c r="BC823">
        <v>13072</v>
      </c>
      <c r="BD823">
        <v>9486</v>
      </c>
      <c r="BE823">
        <v>9222</v>
      </c>
      <c r="BF823">
        <v>1768</v>
      </c>
      <c r="BG823">
        <v>20476</v>
      </c>
      <c r="BH823">
        <v>0</v>
      </c>
      <c r="BI823">
        <v>0</v>
      </c>
      <c r="BJ823">
        <v>0</v>
      </c>
      <c r="BK823">
        <v>0</v>
      </c>
      <c r="BL823" s="2">
        <v>24.82</v>
      </c>
      <c r="BM823" s="2">
        <v>42005.095138888886</v>
      </c>
      <c r="BN823" s="2">
        <v>5.4</v>
      </c>
      <c r="BO823" s="2">
        <v>42005.092361111114</v>
      </c>
      <c r="BP823" s="2">
        <v>6.92</v>
      </c>
      <c r="BQ823" s="2">
        <v>42005.092361111114</v>
      </c>
      <c r="BR823" s="2">
        <v>11.07</v>
      </c>
      <c r="BS823" s="2">
        <v>42005.092361111114</v>
      </c>
      <c r="BT823">
        <v>0</v>
      </c>
      <c r="BU823">
        <v>0</v>
      </c>
      <c r="BV823" t="s">
        <v>135</v>
      </c>
      <c r="BW823">
        <v>0</v>
      </c>
      <c r="BX823">
        <v>0</v>
      </c>
      <c r="BY823" t="s">
        <v>135</v>
      </c>
      <c r="BZ823">
        <v>0</v>
      </c>
      <c r="CA823">
        <v>0</v>
      </c>
      <c r="CB823" t="s">
        <v>135</v>
      </c>
      <c r="CH823" s="2"/>
      <c r="CJ823" s="2"/>
      <c r="CL823" s="2"/>
      <c r="CN823" s="2"/>
      <c r="CQ823" s="2"/>
      <c r="CT823" s="2"/>
      <c r="CW823" s="2"/>
    </row>
    <row r="824" spans="1:101" x14ac:dyDescent="0.25">
      <c r="A824" s="1" t="s">
        <v>163</v>
      </c>
      <c r="B824" s="75" t="s">
        <v>164</v>
      </c>
      <c r="C824">
        <v>0</v>
      </c>
      <c r="D824">
        <v>0</v>
      </c>
      <c r="E824">
        <v>0</v>
      </c>
      <c r="F824">
        <v>604324.56000000006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3.91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7490</v>
      </c>
      <c r="AW824">
        <v>3350</v>
      </c>
      <c r="AX824">
        <v>1219</v>
      </c>
      <c r="AY824">
        <v>12059</v>
      </c>
      <c r="AZ824">
        <v>4202</v>
      </c>
      <c r="BA824">
        <v>7438</v>
      </c>
      <c r="BB824">
        <v>1432</v>
      </c>
      <c r="BC824">
        <v>13072</v>
      </c>
      <c r="BD824">
        <v>9486</v>
      </c>
      <c r="BE824">
        <v>9222</v>
      </c>
      <c r="BF824">
        <v>1768</v>
      </c>
      <c r="BG824">
        <v>20476</v>
      </c>
      <c r="BH824">
        <v>0</v>
      </c>
      <c r="BI824">
        <v>0</v>
      </c>
      <c r="BJ824">
        <v>0</v>
      </c>
      <c r="BK824">
        <v>0</v>
      </c>
      <c r="BL824" s="2">
        <v>24.82</v>
      </c>
      <c r="BM824" s="2">
        <v>42005.095138888886</v>
      </c>
      <c r="BN824" s="2">
        <v>5.4</v>
      </c>
      <c r="BO824" s="2">
        <v>42005.092361111114</v>
      </c>
      <c r="BP824" s="2">
        <v>6.92</v>
      </c>
      <c r="BQ824" s="2">
        <v>42005.092361111114</v>
      </c>
      <c r="BR824" s="2">
        <v>11.07</v>
      </c>
      <c r="BS824" s="2">
        <v>42005.092361111114</v>
      </c>
      <c r="BT824">
        <v>0</v>
      </c>
      <c r="BU824">
        <v>0</v>
      </c>
      <c r="BV824" t="s">
        <v>135</v>
      </c>
      <c r="BW824">
        <v>0</v>
      </c>
      <c r="BX824">
        <v>0</v>
      </c>
      <c r="BY824" t="s">
        <v>135</v>
      </c>
      <c r="BZ824">
        <v>0</v>
      </c>
      <c r="CA824">
        <v>0</v>
      </c>
      <c r="CB824" t="s">
        <v>135</v>
      </c>
      <c r="CH824" s="2"/>
      <c r="CJ824" s="2"/>
      <c r="CL824" s="2"/>
      <c r="CN824" s="2"/>
      <c r="CQ824" s="2"/>
      <c r="CT824" s="2"/>
      <c r="CW824" s="2"/>
    </row>
    <row r="825" spans="1:101" x14ac:dyDescent="0.25">
      <c r="A825" s="1" t="s">
        <v>163</v>
      </c>
      <c r="B825" s="75" t="s">
        <v>164</v>
      </c>
      <c r="C825">
        <v>0</v>
      </c>
      <c r="D825">
        <v>0</v>
      </c>
      <c r="E825">
        <v>0</v>
      </c>
      <c r="F825">
        <v>604324.56000000006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3.91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7490</v>
      </c>
      <c r="AW825">
        <v>3350</v>
      </c>
      <c r="AX825">
        <v>1219</v>
      </c>
      <c r="AY825">
        <v>12059</v>
      </c>
      <c r="AZ825">
        <v>4202</v>
      </c>
      <c r="BA825">
        <v>7438</v>
      </c>
      <c r="BB825">
        <v>1432</v>
      </c>
      <c r="BC825">
        <v>13072</v>
      </c>
      <c r="BD825">
        <v>9486</v>
      </c>
      <c r="BE825">
        <v>9222</v>
      </c>
      <c r="BF825">
        <v>1768</v>
      </c>
      <c r="BG825">
        <v>20476</v>
      </c>
      <c r="BH825">
        <v>0</v>
      </c>
      <c r="BI825">
        <v>0</v>
      </c>
      <c r="BJ825">
        <v>0</v>
      </c>
      <c r="BK825">
        <v>0</v>
      </c>
      <c r="BL825" s="2">
        <v>24.82</v>
      </c>
      <c r="BM825" s="2">
        <v>42005.095138888886</v>
      </c>
      <c r="BN825" s="2">
        <v>5.4</v>
      </c>
      <c r="BO825" s="2">
        <v>42005.092361111114</v>
      </c>
      <c r="BP825" s="2">
        <v>6.92</v>
      </c>
      <c r="BQ825" s="2">
        <v>42005.092361111114</v>
      </c>
      <c r="BR825" s="2">
        <v>11.07</v>
      </c>
      <c r="BS825" s="2">
        <v>42005.092361111114</v>
      </c>
      <c r="BT825">
        <v>0</v>
      </c>
      <c r="BU825">
        <v>0</v>
      </c>
      <c r="BV825" t="s">
        <v>135</v>
      </c>
      <c r="BW825">
        <v>0</v>
      </c>
      <c r="BX825">
        <v>0</v>
      </c>
      <c r="BY825" t="s">
        <v>135</v>
      </c>
      <c r="BZ825">
        <v>0</v>
      </c>
      <c r="CA825">
        <v>0</v>
      </c>
      <c r="CB825" t="s">
        <v>135</v>
      </c>
      <c r="CH825" s="2"/>
      <c r="CJ825" s="2"/>
      <c r="CL825" s="2"/>
      <c r="CN825" s="2"/>
      <c r="CQ825" s="2"/>
      <c r="CT825" s="2"/>
      <c r="CW825" s="2"/>
    </row>
    <row r="826" spans="1:101" x14ac:dyDescent="0.25">
      <c r="A826" s="1" t="s">
        <v>163</v>
      </c>
      <c r="B826" s="75" t="s">
        <v>164</v>
      </c>
      <c r="C826">
        <v>0</v>
      </c>
      <c r="D826">
        <v>0</v>
      </c>
      <c r="E826">
        <v>0</v>
      </c>
      <c r="F826">
        <v>604324.56000000006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3.91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7490</v>
      </c>
      <c r="AW826">
        <v>3350</v>
      </c>
      <c r="AX826">
        <v>1219</v>
      </c>
      <c r="AY826">
        <v>12059</v>
      </c>
      <c r="AZ826">
        <v>4202</v>
      </c>
      <c r="BA826">
        <v>7438</v>
      </c>
      <c r="BB826">
        <v>1432</v>
      </c>
      <c r="BC826">
        <v>13072</v>
      </c>
      <c r="BD826">
        <v>9486</v>
      </c>
      <c r="BE826">
        <v>9222</v>
      </c>
      <c r="BF826">
        <v>1768</v>
      </c>
      <c r="BG826">
        <v>20476</v>
      </c>
      <c r="BH826">
        <v>0</v>
      </c>
      <c r="BI826">
        <v>0</v>
      </c>
      <c r="BJ826">
        <v>0</v>
      </c>
      <c r="BK826">
        <v>0</v>
      </c>
      <c r="BL826" s="2">
        <v>24.82</v>
      </c>
      <c r="BM826" s="2">
        <v>42005.095138888886</v>
      </c>
      <c r="BN826" s="2">
        <v>5.4</v>
      </c>
      <c r="BO826" s="2">
        <v>42005.092361111114</v>
      </c>
      <c r="BP826" s="2">
        <v>6.92</v>
      </c>
      <c r="BQ826" s="2">
        <v>42005.092361111114</v>
      </c>
      <c r="BR826" s="2">
        <v>11.07</v>
      </c>
      <c r="BS826" s="2">
        <v>42005.092361111114</v>
      </c>
      <c r="BT826">
        <v>0</v>
      </c>
      <c r="BU826">
        <v>0</v>
      </c>
      <c r="BV826" t="s">
        <v>135</v>
      </c>
      <c r="BW826">
        <v>0</v>
      </c>
      <c r="BX826">
        <v>0</v>
      </c>
      <c r="BY826" t="s">
        <v>135</v>
      </c>
      <c r="BZ826">
        <v>0</v>
      </c>
      <c r="CA826">
        <v>0</v>
      </c>
      <c r="CB826" t="s">
        <v>135</v>
      </c>
      <c r="CH826" s="2"/>
      <c r="CJ826" s="2"/>
      <c r="CL826" s="2"/>
      <c r="CN826" s="2"/>
      <c r="CQ826" s="2"/>
      <c r="CT826" s="2"/>
      <c r="CW826" s="2"/>
    </row>
    <row r="827" spans="1:101" x14ac:dyDescent="0.25">
      <c r="A827" s="1" t="s">
        <v>163</v>
      </c>
      <c r="B827" s="75" t="s">
        <v>164</v>
      </c>
      <c r="C827">
        <v>0</v>
      </c>
      <c r="D827">
        <v>0</v>
      </c>
      <c r="E827">
        <v>0</v>
      </c>
      <c r="F827">
        <v>604324.56000000006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3.91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7490</v>
      </c>
      <c r="AW827">
        <v>3350</v>
      </c>
      <c r="AX827">
        <v>1219</v>
      </c>
      <c r="AY827">
        <v>12059</v>
      </c>
      <c r="AZ827">
        <v>4202</v>
      </c>
      <c r="BA827">
        <v>7438</v>
      </c>
      <c r="BB827">
        <v>1432</v>
      </c>
      <c r="BC827">
        <v>13072</v>
      </c>
      <c r="BD827">
        <v>9486</v>
      </c>
      <c r="BE827">
        <v>9222</v>
      </c>
      <c r="BF827">
        <v>1768</v>
      </c>
      <c r="BG827">
        <v>20476</v>
      </c>
      <c r="BH827">
        <v>0</v>
      </c>
      <c r="BI827">
        <v>0</v>
      </c>
      <c r="BJ827">
        <v>0</v>
      </c>
      <c r="BK827">
        <v>0</v>
      </c>
      <c r="BL827" s="2">
        <v>24.82</v>
      </c>
      <c r="BM827" s="2">
        <v>42005.095138888886</v>
      </c>
      <c r="BN827" s="2">
        <v>5.4</v>
      </c>
      <c r="BO827" s="2">
        <v>42005.092361111114</v>
      </c>
      <c r="BP827" s="2">
        <v>6.92</v>
      </c>
      <c r="BQ827" s="2">
        <v>42005.092361111114</v>
      </c>
      <c r="BR827" s="2">
        <v>11.07</v>
      </c>
      <c r="BS827" s="2">
        <v>42005.092361111114</v>
      </c>
      <c r="BT827">
        <v>0</v>
      </c>
      <c r="BU827">
        <v>0</v>
      </c>
      <c r="BV827" t="s">
        <v>135</v>
      </c>
      <c r="BW827">
        <v>0</v>
      </c>
      <c r="BX827">
        <v>0</v>
      </c>
      <c r="BY827" t="s">
        <v>135</v>
      </c>
      <c r="BZ827">
        <v>0</v>
      </c>
      <c r="CA827">
        <v>0</v>
      </c>
      <c r="CB827" t="s">
        <v>135</v>
      </c>
      <c r="CH827" s="2"/>
      <c r="CJ827" s="2"/>
      <c r="CL827" s="2"/>
      <c r="CN827" s="2"/>
      <c r="CQ827" s="2"/>
      <c r="CT827" s="2"/>
      <c r="CW827" s="2"/>
    </row>
    <row r="828" spans="1:101" x14ac:dyDescent="0.25">
      <c r="A828" s="1" t="s">
        <v>163</v>
      </c>
      <c r="B828" s="75" t="s">
        <v>164</v>
      </c>
      <c r="C828">
        <v>0</v>
      </c>
      <c r="D828">
        <v>0</v>
      </c>
      <c r="E828">
        <v>0</v>
      </c>
      <c r="F828">
        <v>604324.56000000006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3.91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7490</v>
      </c>
      <c r="AW828">
        <v>3350</v>
      </c>
      <c r="AX828">
        <v>1219</v>
      </c>
      <c r="AY828">
        <v>12059</v>
      </c>
      <c r="AZ828">
        <v>4202</v>
      </c>
      <c r="BA828">
        <v>7438</v>
      </c>
      <c r="BB828">
        <v>1432</v>
      </c>
      <c r="BC828">
        <v>13072</v>
      </c>
      <c r="BD828">
        <v>9486</v>
      </c>
      <c r="BE828">
        <v>9222</v>
      </c>
      <c r="BF828">
        <v>1768</v>
      </c>
      <c r="BG828">
        <v>20476</v>
      </c>
      <c r="BH828">
        <v>0</v>
      </c>
      <c r="BI828">
        <v>0</v>
      </c>
      <c r="BJ828">
        <v>0</v>
      </c>
      <c r="BK828">
        <v>0</v>
      </c>
      <c r="BL828" s="2">
        <v>24.82</v>
      </c>
      <c r="BM828" s="2">
        <v>42005.095138888886</v>
      </c>
      <c r="BN828" s="2">
        <v>5.4</v>
      </c>
      <c r="BO828" s="2">
        <v>42005.092361111114</v>
      </c>
      <c r="BP828" s="2">
        <v>6.92</v>
      </c>
      <c r="BQ828" s="2">
        <v>42005.092361111114</v>
      </c>
      <c r="BR828" s="2">
        <v>11.07</v>
      </c>
      <c r="BS828" s="2">
        <v>42005.092361111114</v>
      </c>
      <c r="BT828">
        <v>0</v>
      </c>
      <c r="BU828">
        <v>0</v>
      </c>
      <c r="BV828" t="s">
        <v>135</v>
      </c>
      <c r="BW828">
        <v>0</v>
      </c>
      <c r="BX828">
        <v>0</v>
      </c>
      <c r="BY828" t="s">
        <v>135</v>
      </c>
      <c r="BZ828">
        <v>0</v>
      </c>
      <c r="CA828">
        <v>0</v>
      </c>
      <c r="CB828" t="s">
        <v>135</v>
      </c>
      <c r="CH828" s="2"/>
      <c r="CJ828" s="2"/>
      <c r="CL828" s="2"/>
      <c r="CN828" s="2"/>
      <c r="CQ828" s="2"/>
      <c r="CT828" s="2"/>
      <c r="CW828" s="2"/>
    </row>
    <row r="829" spans="1:101" x14ac:dyDescent="0.25">
      <c r="A829" s="1" t="s">
        <v>163</v>
      </c>
      <c r="B829" s="75" t="s">
        <v>164</v>
      </c>
      <c r="C829">
        <v>0</v>
      </c>
      <c r="D829">
        <v>0</v>
      </c>
      <c r="E829">
        <v>0</v>
      </c>
      <c r="F829">
        <v>604324.56000000006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3.91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7490</v>
      </c>
      <c r="AW829">
        <v>3350</v>
      </c>
      <c r="AX829">
        <v>1219</v>
      </c>
      <c r="AY829">
        <v>12059</v>
      </c>
      <c r="AZ829">
        <v>4202</v>
      </c>
      <c r="BA829">
        <v>7438</v>
      </c>
      <c r="BB829">
        <v>1432</v>
      </c>
      <c r="BC829">
        <v>13072</v>
      </c>
      <c r="BD829">
        <v>9486</v>
      </c>
      <c r="BE829">
        <v>9222</v>
      </c>
      <c r="BF829">
        <v>1768</v>
      </c>
      <c r="BG829">
        <v>20476</v>
      </c>
      <c r="BH829">
        <v>0</v>
      </c>
      <c r="BI829">
        <v>0</v>
      </c>
      <c r="BJ829">
        <v>0</v>
      </c>
      <c r="BK829">
        <v>0</v>
      </c>
      <c r="BL829" s="2">
        <v>24.82</v>
      </c>
      <c r="BM829" s="2">
        <v>42005.095138888886</v>
      </c>
      <c r="BN829" s="2">
        <v>5.4</v>
      </c>
      <c r="BO829" s="2">
        <v>42005.092361111114</v>
      </c>
      <c r="BP829" s="2">
        <v>6.92</v>
      </c>
      <c r="BQ829" s="2">
        <v>42005.092361111114</v>
      </c>
      <c r="BR829" s="2">
        <v>11.07</v>
      </c>
      <c r="BS829" s="2">
        <v>42005.092361111114</v>
      </c>
      <c r="BT829">
        <v>0</v>
      </c>
      <c r="BU829">
        <v>0</v>
      </c>
      <c r="BV829" t="s">
        <v>135</v>
      </c>
      <c r="BW829">
        <v>0</v>
      </c>
      <c r="BX829">
        <v>0</v>
      </c>
      <c r="BY829" t="s">
        <v>135</v>
      </c>
      <c r="BZ829">
        <v>0</v>
      </c>
      <c r="CA829">
        <v>0</v>
      </c>
      <c r="CB829" t="s">
        <v>135</v>
      </c>
      <c r="CH829" s="2"/>
      <c r="CJ829" s="2"/>
      <c r="CL829" s="2"/>
      <c r="CN829" s="2"/>
      <c r="CQ829" s="2"/>
      <c r="CT829" s="2"/>
      <c r="CW829" s="2"/>
    </row>
    <row r="830" spans="1:101" x14ac:dyDescent="0.25">
      <c r="A830" s="1" t="s">
        <v>163</v>
      </c>
      <c r="B830" s="75" t="s">
        <v>164</v>
      </c>
      <c r="C830">
        <v>0</v>
      </c>
      <c r="D830">
        <v>0</v>
      </c>
      <c r="E830">
        <v>0</v>
      </c>
      <c r="F830">
        <v>604324.56000000006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3.91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7490</v>
      </c>
      <c r="AW830">
        <v>3350</v>
      </c>
      <c r="AX830">
        <v>1219</v>
      </c>
      <c r="AY830">
        <v>12059</v>
      </c>
      <c r="AZ830">
        <v>4202</v>
      </c>
      <c r="BA830">
        <v>7438</v>
      </c>
      <c r="BB830">
        <v>1432</v>
      </c>
      <c r="BC830">
        <v>13072</v>
      </c>
      <c r="BD830">
        <v>9486</v>
      </c>
      <c r="BE830">
        <v>9222</v>
      </c>
      <c r="BF830">
        <v>1768</v>
      </c>
      <c r="BG830">
        <v>20476</v>
      </c>
      <c r="BH830">
        <v>0</v>
      </c>
      <c r="BI830">
        <v>0</v>
      </c>
      <c r="BJ830">
        <v>0</v>
      </c>
      <c r="BK830">
        <v>0</v>
      </c>
      <c r="BL830" s="2">
        <v>24.82</v>
      </c>
      <c r="BM830" s="2">
        <v>42005.095138888886</v>
      </c>
      <c r="BN830" s="2">
        <v>5.4</v>
      </c>
      <c r="BO830" s="2">
        <v>42005.092361111114</v>
      </c>
      <c r="BP830" s="2">
        <v>6.92</v>
      </c>
      <c r="BQ830" s="2">
        <v>42005.092361111114</v>
      </c>
      <c r="BR830" s="2">
        <v>11.07</v>
      </c>
      <c r="BS830" s="2">
        <v>42005.092361111114</v>
      </c>
      <c r="BT830">
        <v>0</v>
      </c>
      <c r="BU830">
        <v>0</v>
      </c>
      <c r="BV830" t="s">
        <v>135</v>
      </c>
      <c r="BW830">
        <v>0</v>
      </c>
      <c r="BX830">
        <v>0</v>
      </c>
      <c r="BY830" t="s">
        <v>135</v>
      </c>
      <c r="BZ830">
        <v>0</v>
      </c>
      <c r="CA830">
        <v>0</v>
      </c>
      <c r="CB830" t="s">
        <v>135</v>
      </c>
      <c r="CH830" s="2"/>
      <c r="CJ830" s="2"/>
      <c r="CL830" s="2"/>
      <c r="CN830" s="2"/>
      <c r="CQ830" s="2"/>
      <c r="CT830" s="2"/>
      <c r="CW830" s="2"/>
    </row>
    <row r="831" spans="1:101" x14ac:dyDescent="0.25">
      <c r="A831" s="1" t="s">
        <v>163</v>
      </c>
      <c r="B831" s="75" t="s">
        <v>164</v>
      </c>
      <c r="C831">
        <v>0</v>
      </c>
      <c r="D831">
        <v>0</v>
      </c>
      <c r="E831">
        <v>0</v>
      </c>
      <c r="F831">
        <v>604324.56000000006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3.91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7490</v>
      </c>
      <c r="AW831">
        <v>3350</v>
      </c>
      <c r="AX831">
        <v>1219</v>
      </c>
      <c r="AY831">
        <v>12059</v>
      </c>
      <c r="AZ831">
        <v>4202</v>
      </c>
      <c r="BA831">
        <v>7438</v>
      </c>
      <c r="BB831">
        <v>1432</v>
      </c>
      <c r="BC831">
        <v>13072</v>
      </c>
      <c r="BD831">
        <v>9486</v>
      </c>
      <c r="BE831">
        <v>9222</v>
      </c>
      <c r="BF831">
        <v>1768</v>
      </c>
      <c r="BG831">
        <v>20476</v>
      </c>
      <c r="BH831">
        <v>0</v>
      </c>
      <c r="BI831">
        <v>0</v>
      </c>
      <c r="BJ831">
        <v>0</v>
      </c>
      <c r="BK831">
        <v>0</v>
      </c>
      <c r="BL831" s="2">
        <v>24.82</v>
      </c>
      <c r="BM831" s="2">
        <v>42005.095138888886</v>
      </c>
      <c r="BN831" s="2">
        <v>5.4</v>
      </c>
      <c r="BO831" s="2">
        <v>42005.092361111114</v>
      </c>
      <c r="BP831" s="2">
        <v>6.92</v>
      </c>
      <c r="BQ831" s="2">
        <v>42005.092361111114</v>
      </c>
      <c r="BR831" s="2">
        <v>11.07</v>
      </c>
      <c r="BS831" s="2">
        <v>42005.092361111114</v>
      </c>
      <c r="BT831">
        <v>0</v>
      </c>
      <c r="BU831">
        <v>0</v>
      </c>
      <c r="BV831" t="s">
        <v>135</v>
      </c>
      <c r="BW831">
        <v>0</v>
      </c>
      <c r="BX831">
        <v>0</v>
      </c>
      <c r="BY831" t="s">
        <v>135</v>
      </c>
      <c r="BZ831">
        <v>0</v>
      </c>
      <c r="CA831">
        <v>0</v>
      </c>
      <c r="CB831" t="s">
        <v>135</v>
      </c>
      <c r="CH831" s="2"/>
      <c r="CJ831" s="2"/>
      <c r="CL831" s="2"/>
      <c r="CN831" s="2"/>
      <c r="CQ831" s="2"/>
      <c r="CT831" s="2"/>
      <c r="CW831" s="2"/>
    </row>
    <row r="832" spans="1:101" x14ac:dyDescent="0.25">
      <c r="A832" s="1" t="s">
        <v>163</v>
      </c>
      <c r="B832" s="75" t="s">
        <v>164</v>
      </c>
      <c r="C832">
        <v>0</v>
      </c>
      <c r="D832">
        <v>0</v>
      </c>
      <c r="E832">
        <v>0</v>
      </c>
      <c r="F832">
        <v>604324.56000000006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3.91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7490</v>
      </c>
      <c r="AW832">
        <v>3350</v>
      </c>
      <c r="AX832">
        <v>1219</v>
      </c>
      <c r="AY832">
        <v>12059</v>
      </c>
      <c r="AZ832">
        <v>4202</v>
      </c>
      <c r="BA832">
        <v>7438</v>
      </c>
      <c r="BB832">
        <v>1432</v>
      </c>
      <c r="BC832">
        <v>13072</v>
      </c>
      <c r="BD832">
        <v>9486</v>
      </c>
      <c r="BE832">
        <v>9222</v>
      </c>
      <c r="BF832">
        <v>1768</v>
      </c>
      <c r="BG832">
        <v>20476</v>
      </c>
      <c r="BH832">
        <v>0</v>
      </c>
      <c r="BI832">
        <v>0</v>
      </c>
      <c r="BJ832">
        <v>0</v>
      </c>
      <c r="BK832">
        <v>0</v>
      </c>
      <c r="BL832" s="2">
        <v>24.82</v>
      </c>
      <c r="BM832" s="2">
        <v>42005.095138888886</v>
      </c>
      <c r="BN832" s="2">
        <v>5.4</v>
      </c>
      <c r="BO832" s="2">
        <v>42005.092361111114</v>
      </c>
      <c r="BP832" s="2">
        <v>6.92</v>
      </c>
      <c r="BQ832" s="2">
        <v>42005.092361111114</v>
      </c>
      <c r="BR832" s="2">
        <v>11.07</v>
      </c>
      <c r="BS832" s="2">
        <v>42005.092361111114</v>
      </c>
      <c r="BT832">
        <v>0</v>
      </c>
      <c r="BU832">
        <v>0</v>
      </c>
      <c r="BV832" t="s">
        <v>135</v>
      </c>
      <c r="BW832">
        <v>0</v>
      </c>
      <c r="BX832">
        <v>0</v>
      </c>
      <c r="BY832" t="s">
        <v>135</v>
      </c>
      <c r="BZ832">
        <v>0</v>
      </c>
      <c r="CA832">
        <v>0</v>
      </c>
      <c r="CB832" t="s">
        <v>135</v>
      </c>
      <c r="CH832" s="2"/>
      <c r="CJ832" s="2"/>
      <c r="CL832" s="2"/>
      <c r="CN832" s="2"/>
      <c r="CQ832" s="2"/>
      <c r="CT832" s="2"/>
      <c r="CW832" s="2"/>
    </row>
    <row r="833" spans="1:101" x14ac:dyDescent="0.25">
      <c r="A833" s="1" t="s">
        <v>163</v>
      </c>
      <c r="B833" s="75" t="s">
        <v>164</v>
      </c>
      <c r="C833">
        <v>0</v>
      </c>
      <c r="D833">
        <v>0</v>
      </c>
      <c r="E833">
        <v>0</v>
      </c>
      <c r="F833">
        <v>604324.56000000006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3.91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7490</v>
      </c>
      <c r="AW833">
        <v>3350</v>
      </c>
      <c r="AX833">
        <v>1219</v>
      </c>
      <c r="AY833">
        <v>12059</v>
      </c>
      <c r="AZ833">
        <v>4202</v>
      </c>
      <c r="BA833">
        <v>7438</v>
      </c>
      <c r="BB833">
        <v>1432</v>
      </c>
      <c r="BC833">
        <v>13072</v>
      </c>
      <c r="BD833">
        <v>9486</v>
      </c>
      <c r="BE833">
        <v>9222</v>
      </c>
      <c r="BF833">
        <v>1768</v>
      </c>
      <c r="BG833">
        <v>20476</v>
      </c>
      <c r="BH833">
        <v>0</v>
      </c>
      <c r="BI833">
        <v>0</v>
      </c>
      <c r="BJ833">
        <v>0</v>
      </c>
      <c r="BK833">
        <v>0</v>
      </c>
      <c r="BL833" s="2">
        <v>24.82</v>
      </c>
      <c r="BM833" s="2">
        <v>42005.095138888886</v>
      </c>
      <c r="BN833" s="2">
        <v>5.4</v>
      </c>
      <c r="BO833" s="2">
        <v>42005.092361111114</v>
      </c>
      <c r="BP833" s="2">
        <v>6.92</v>
      </c>
      <c r="BQ833" s="2">
        <v>42005.092361111114</v>
      </c>
      <c r="BR833" s="2">
        <v>11.07</v>
      </c>
      <c r="BS833" s="2">
        <v>42005.092361111114</v>
      </c>
      <c r="BT833">
        <v>0</v>
      </c>
      <c r="BU833">
        <v>0</v>
      </c>
      <c r="BV833" t="s">
        <v>135</v>
      </c>
      <c r="BW833">
        <v>0</v>
      </c>
      <c r="BX833">
        <v>0</v>
      </c>
      <c r="BY833" t="s">
        <v>135</v>
      </c>
      <c r="BZ833">
        <v>0</v>
      </c>
      <c r="CA833">
        <v>0</v>
      </c>
      <c r="CB833" t="s">
        <v>135</v>
      </c>
      <c r="CH833" s="2"/>
      <c r="CJ833" s="2"/>
      <c r="CL833" s="2"/>
      <c r="CN833" s="2"/>
      <c r="CQ833" s="2"/>
      <c r="CT833" s="2"/>
      <c r="CW833" s="2"/>
    </row>
    <row r="834" spans="1:101" x14ac:dyDescent="0.25">
      <c r="A834" s="1" t="s">
        <v>163</v>
      </c>
      <c r="B834" s="75" t="s">
        <v>164</v>
      </c>
      <c r="C834">
        <v>0</v>
      </c>
      <c r="D834">
        <v>0</v>
      </c>
      <c r="E834">
        <v>0</v>
      </c>
      <c r="F834">
        <v>604324.56000000006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3.91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7490</v>
      </c>
      <c r="AW834">
        <v>3350</v>
      </c>
      <c r="AX834">
        <v>1219</v>
      </c>
      <c r="AY834">
        <v>12059</v>
      </c>
      <c r="AZ834">
        <v>4202</v>
      </c>
      <c r="BA834">
        <v>7438</v>
      </c>
      <c r="BB834">
        <v>1432</v>
      </c>
      <c r="BC834">
        <v>13072</v>
      </c>
      <c r="BD834">
        <v>9486</v>
      </c>
      <c r="BE834">
        <v>9222</v>
      </c>
      <c r="BF834">
        <v>1768</v>
      </c>
      <c r="BG834">
        <v>20476</v>
      </c>
      <c r="BH834">
        <v>0</v>
      </c>
      <c r="BI834">
        <v>0</v>
      </c>
      <c r="BJ834">
        <v>0</v>
      </c>
      <c r="BK834">
        <v>0</v>
      </c>
      <c r="BL834" s="2">
        <v>24.82</v>
      </c>
      <c r="BM834" s="2">
        <v>42005.095138888886</v>
      </c>
      <c r="BN834" s="2">
        <v>5.4</v>
      </c>
      <c r="BO834" s="2">
        <v>42005.092361111114</v>
      </c>
      <c r="BP834" s="2">
        <v>6.92</v>
      </c>
      <c r="BQ834" s="2">
        <v>42005.092361111114</v>
      </c>
      <c r="BR834" s="2">
        <v>11.07</v>
      </c>
      <c r="BS834" s="2">
        <v>42005.092361111114</v>
      </c>
      <c r="BT834">
        <v>0</v>
      </c>
      <c r="BU834">
        <v>0</v>
      </c>
      <c r="BV834" t="s">
        <v>135</v>
      </c>
      <c r="BW834">
        <v>0</v>
      </c>
      <c r="BX834">
        <v>0</v>
      </c>
      <c r="BY834" t="s">
        <v>135</v>
      </c>
      <c r="BZ834">
        <v>0</v>
      </c>
      <c r="CA834">
        <v>0</v>
      </c>
      <c r="CB834" t="s">
        <v>135</v>
      </c>
      <c r="CH834" s="2"/>
      <c r="CJ834" s="2"/>
      <c r="CL834" s="2"/>
      <c r="CN834" s="2"/>
      <c r="CQ834" s="2"/>
      <c r="CT834" s="2"/>
      <c r="CW834" s="2"/>
    </row>
    <row r="835" spans="1:101" x14ac:dyDescent="0.25">
      <c r="A835" s="1" t="s">
        <v>163</v>
      </c>
      <c r="B835" s="75" t="s">
        <v>164</v>
      </c>
      <c r="C835">
        <v>0</v>
      </c>
      <c r="D835">
        <v>0</v>
      </c>
      <c r="E835">
        <v>0</v>
      </c>
      <c r="F835">
        <v>604324.56000000006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3.91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7490</v>
      </c>
      <c r="AW835">
        <v>3350</v>
      </c>
      <c r="AX835">
        <v>1219</v>
      </c>
      <c r="AY835">
        <v>12059</v>
      </c>
      <c r="AZ835">
        <v>4202</v>
      </c>
      <c r="BA835">
        <v>7438</v>
      </c>
      <c r="BB835">
        <v>1432</v>
      </c>
      <c r="BC835">
        <v>13072</v>
      </c>
      <c r="BD835">
        <v>9486</v>
      </c>
      <c r="BE835">
        <v>9222</v>
      </c>
      <c r="BF835">
        <v>1768</v>
      </c>
      <c r="BG835">
        <v>20476</v>
      </c>
      <c r="BH835">
        <v>0</v>
      </c>
      <c r="BI835">
        <v>0</v>
      </c>
      <c r="BJ835">
        <v>0</v>
      </c>
      <c r="BK835">
        <v>0</v>
      </c>
      <c r="BL835" s="2">
        <v>24.82</v>
      </c>
      <c r="BM835" s="2">
        <v>42005.095138888886</v>
      </c>
      <c r="BN835" s="2">
        <v>5.4</v>
      </c>
      <c r="BO835" s="2">
        <v>42005.092361111114</v>
      </c>
      <c r="BP835" s="2">
        <v>6.92</v>
      </c>
      <c r="BQ835" s="2">
        <v>42005.092361111114</v>
      </c>
      <c r="BR835" s="2">
        <v>11.07</v>
      </c>
      <c r="BS835" s="2">
        <v>42005.092361111114</v>
      </c>
      <c r="BT835">
        <v>0</v>
      </c>
      <c r="BU835">
        <v>0</v>
      </c>
      <c r="BV835" t="s">
        <v>135</v>
      </c>
      <c r="BW835">
        <v>0</v>
      </c>
      <c r="BX835">
        <v>0</v>
      </c>
      <c r="BY835" t="s">
        <v>135</v>
      </c>
      <c r="BZ835">
        <v>0</v>
      </c>
      <c r="CA835">
        <v>0</v>
      </c>
      <c r="CB835" t="s">
        <v>135</v>
      </c>
      <c r="CH835" s="2"/>
      <c r="CJ835" s="2"/>
      <c r="CL835" s="2"/>
      <c r="CN835" s="2"/>
      <c r="CQ835" s="2"/>
      <c r="CT835" s="2"/>
      <c r="CW835" s="2"/>
    </row>
    <row r="836" spans="1:101" x14ac:dyDescent="0.25">
      <c r="A836" s="1" t="s">
        <v>163</v>
      </c>
      <c r="B836" s="75" t="s">
        <v>164</v>
      </c>
      <c r="C836">
        <v>0</v>
      </c>
      <c r="D836">
        <v>0</v>
      </c>
      <c r="E836">
        <v>0</v>
      </c>
      <c r="F836">
        <v>604324.56000000006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3.91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7490</v>
      </c>
      <c r="AW836">
        <v>3350</v>
      </c>
      <c r="AX836">
        <v>1219</v>
      </c>
      <c r="AY836">
        <v>12059</v>
      </c>
      <c r="AZ836">
        <v>4202</v>
      </c>
      <c r="BA836">
        <v>7438</v>
      </c>
      <c r="BB836">
        <v>1432</v>
      </c>
      <c r="BC836">
        <v>13072</v>
      </c>
      <c r="BD836">
        <v>9486</v>
      </c>
      <c r="BE836">
        <v>9222</v>
      </c>
      <c r="BF836">
        <v>1768</v>
      </c>
      <c r="BG836">
        <v>20476</v>
      </c>
      <c r="BH836">
        <v>0</v>
      </c>
      <c r="BI836">
        <v>0</v>
      </c>
      <c r="BJ836">
        <v>0</v>
      </c>
      <c r="BK836">
        <v>0</v>
      </c>
      <c r="BL836" s="2">
        <v>24.82</v>
      </c>
      <c r="BM836" s="2">
        <v>42005.095138888886</v>
      </c>
      <c r="BN836" s="2">
        <v>5.4</v>
      </c>
      <c r="BO836" s="2">
        <v>42005.092361111114</v>
      </c>
      <c r="BP836" s="2">
        <v>6.92</v>
      </c>
      <c r="BQ836" s="2">
        <v>42005.092361111114</v>
      </c>
      <c r="BR836" s="2">
        <v>11.07</v>
      </c>
      <c r="BS836" s="2">
        <v>42005.092361111114</v>
      </c>
      <c r="BT836">
        <v>0</v>
      </c>
      <c r="BU836">
        <v>0</v>
      </c>
      <c r="BV836" t="s">
        <v>135</v>
      </c>
      <c r="BW836">
        <v>0</v>
      </c>
      <c r="BX836">
        <v>0</v>
      </c>
      <c r="BY836" t="s">
        <v>135</v>
      </c>
      <c r="BZ836">
        <v>0</v>
      </c>
      <c r="CA836">
        <v>0</v>
      </c>
      <c r="CB836" t="s">
        <v>135</v>
      </c>
      <c r="CH836" s="2"/>
      <c r="CJ836" s="2"/>
      <c r="CL836" s="2"/>
      <c r="CN836" s="2"/>
      <c r="CQ836" s="2"/>
      <c r="CT836" s="2"/>
      <c r="CW836" s="2"/>
    </row>
    <row r="837" spans="1:101" x14ac:dyDescent="0.25">
      <c r="A837" s="1" t="s">
        <v>163</v>
      </c>
      <c r="B837" s="75" t="s">
        <v>164</v>
      </c>
      <c r="C837">
        <v>0</v>
      </c>
      <c r="D837">
        <v>0</v>
      </c>
      <c r="E837">
        <v>0</v>
      </c>
      <c r="F837">
        <v>604324.56000000006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3.91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7490</v>
      </c>
      <c r="AW837">
        <v>3350</v>
      </c>
      <c r="AX837">
        <v>1219</v>
      </c>
      <c r="AY837">
        <v>12059</v>
      </c>
      <c r="AZ837">
        <v>4202</v>
      </c>
      <c r="BA837">
        <v>7438</v>
      </c>
      <c r="BB837">
        <v>1432</v>
      </c>
      <c r="BC837">
        <v>13072</v>
      </c>
      <c r="BD837">
        <v>9486</v>
      </c>
      <c r="BE837">
        <v>9222</v>
      </c>
      <c r="BF837">
        <v>1768</v>
      </c>
      <c r="BG837">
        <v>20476</v>
      </c>
      <c r="BH837">
        <v>0</v>
      </c>
      <c r="BI837">
        <v>0</v>
      </c>
      <c r="BJ837">
        <v>0</v>
      </c>
      <c r="BK837">
        <v>0</v>
      </c>
      <c r="BL837" s="2">
        <v>24.82</v>
      </c>
      <c r="BM837" s="2">
        <v>42005.095138888886</v>
      </c>
      <c r="BN837" s="2">
        <v>5.4</v>
      </c>
      <c r="BO837" s="2">
        <v>42005.092361111114</v>
      </c>
      <c r="BP837" s="2">
        <v>6.92</v>
      </c>
      <c r="BQ837" s="2">
        <v>42005.092361111114</v>
      </c>
      <c r="BR837" s="2">
        <v>11.07</v>
      </c>
      <c r="BS837" s="2">
        <v>42005.092361111114</v>
      </c>
      <c r="BT837">
        <v>0</v>
      </c>
      <c r="BU837">
        <v>0</v>
      </c>
      <c r="BV837" t="s">
        <v>135</v>
      </c>
      <c r="BW837">
        <v>0</v>
      </c>
      <c r="BX837">
        <v>0</v>
      </c>
      <c r="BY837" t="s">
        <v>135</v>
      </c>
      <c r="BZ837">
        <v>0</v>
      </c>
      <c r="CA837">
        <v>0</v>
      </c>
      <c r="CB837" t="s">
        <v>135</v>
      </c>
      <c r="CH837" s="2"/>
      <c r="CJ837" s="2"/>
      <c r="CL837" s="2"/>
      <c r="CN837" s="2"/>
      <c r="CQ837" s="2"/>
      <c r="CT837" s="2"/>
      <c r="CW837" s="2"/>
    </row>
    <row r="838" spans="1:101" x14ac:dyDescent="0.25">
      <c r="A838" s="1" t="s">
        <v>163</v>
      </c>
      <c r="B838" s="75" t="s">
        <v>164</v>
      </c>
      <c r="C838">
        <v>0</v>
      </c>
      <c r="D838">
        <v>0</v>
      </c>
      <c r="E838">
        <v>0</v>
      </c>
      <c r="F838">
        <v>604324.56000000006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3.91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7490</v>
      </c>
      <c r="AW838">
        <v>3350</v>
      </c>
      <c r="AX838">
        <v>1219</v>
      </c>
      <c r="AY838">
        <v>12059</v>
      </c>
      <c r="AZ838">
        <v>4202</v>
      </c>
      <c r="BA838">
        <v>7438</v>
      </c>
      <c r="BB838">
        <v>1432</v>
      </c>
      <c r="BC838">
        <v>13072</v>
      </c>
      <c r="BD838">
        <v>9486</v>
      </c>
      <c r="BE838">
        <v>9222</v>
      </c>
      <c r="BF838">
        <v>1768</v>
      </c>
      <c r="BG838">
        <v>20476</v>
      </c>
      <c r="BH838">
        <v>0</v>
      </c>
      <c r="BI838">
        <v>0</v>
      </c>
      <c r="BJ838">
        <v>0</v>
      </c>
      <c r="BK838">
        <v>0</v>
      </c>
      <c r="BL838" s="2">
        <v>24.82</v>
      </c>
      <c r="BM838" s="2">
        <v>42005.095138888886</v>
      </c>
      <c r="BN838" s="2">
        <v>5.4</v>
      </c>
      <c r="BO838" s="2">
        <v>42005.092361111114</v>
      </c>
      <c r="BP838" s="2">
        <v>6.92</v>
      </c>
      <c r="BQ838" s="2">
        <v>42005.092361111114</v>
      </c>
      <c r="BR838" s="2">
        <v>11.07</v>
      </c>
      <c r="BS838" s="2">
        <v>42005.092361111114</v>
      </c>
      <c r="BT838">
        <v>0</v>
      </c>
      <c r="BU838">
        <v>0</v>
      </c>
      <c r="BV838" t="s">
        <v>135</v>
      </c>
      <c r="BW838">
        <v>0</v>
      </c>
      <c r="BX838">
        <v>0</v>
      </c>
      <c r="BY838" t="s">
        <v>135</v>
      </c>
      <c r="BZ838">
        <v>0</v>
      </c>
      <c r="CA838">
        <v>0</v>
      </c>
      <c r="CB838" t="s">
        <v>135</v>
      </c>
      <c r="CH838" s="2"/>
      <c r="CJ838" s="2"/>
      <c r="CL838" s="2"/>
      <c r="CN838" s="2"/>
      <c r="CQ838" s="2"/>
      <c r="CT838" s="2"/>
      <c r="CW838" s="2"/>
    </row>
    <row r="839" spans="1:101" x14ac:dyDescent="0.25">
      <c r="A839" s="1" t="s">
        <v>163</v>
      </c>
      <c r="B839" s="75" t="s">
        <v>164</v>
      </c>
      <c r="C839">
        <v>0</v>
      </c>
      <c r="D839">
        <v>0</v>
      </c>
      <c r="E839">
        <v>0</v>
      </c>
      <c r="F839">
        <v>604324.56000000006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3.91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7490</v>
      </c>
      <c r="AW839">
        <v>3350</v>
      </c>
      <c r="AX839">
        <v>1219</v>
      </c>
      <c r="AY839">
        <v>12059</v>
      </c>
      <c r="AZ839">
        <v>4202</v>
      </c>
      <c r="BA839">
        <v>7438</v>
      </c>
      <c r="BB839">
        <v>1432</v>
      </c>
      <c r="BC839">
        <v>13072</v>
      </c>
      <c r="BD839">
        <v>9486</v>
      </c>
      <c r="BE839">
        <v>9222</v>
      </c>
      <c r="BF839">
        <v>1768</v>
      </c>
      <c r="BG839">
        <v>20476</v>
      </c>
      <c r="BH839">
        <v>0</v>
      </c>
      <c r="BI839">
        <v>0</v>
      </c>
      <c r="BJ839">
        <v>0</v>
      </c>
      <c r="BK839">
        <v>0</v>
      </c>
      <c r="BL839" s="2">
        <v>24.82</v>
      </c>
      <c r="BM839" s="2">
        <v>42005.095138888886</v>
      </c>
      <c r="BN839" s="2">
        <v>5.4</v>
      </c>
      <c r="BO839" s="2">
        <v>42005.092361111114</v>
      </c>
      <c r="BP839" s="2">
        <v>6.92</v>
      </c>
      <c r="BQ839" s="2">
        <v>42005.092361111114</v>
      </c>
      <c r="BR839" s="2">
        <v>11.07</v>
      </c>
      <c r="BS839" s="2">
        <v>42005.092361111114</v>
      </c>
      <c r="BT839">
        <v>0</v>
      </c>
      <c r="BU839">
        <v>0</v>
      </c>
      <c r="BV839" t="s">
        <v>135</v>
      </c>
      <c r="BW839">
        <v>0</v>
      </c>
      <c r="BX839">
        <v>0</v>
      </c>
      <c r="BY839" t="s">
        <v>135</v>
      </c>
      <c r="BZ839">
        <v>0</v>
      </c>
      <c r="CA839">
        <v>0</v>
      </c>
      <c r="CB839" t="s">
        <v>135</v>
      </c>
      <c r="CH839" s="2"/>
      <c r="CJ839" s="2"/>
      <c r="CL839" s="2"/>
      <c r="CN839" s="2"/>
      <c r="CQ839" s="2"/>
      <c r="CT839" s="2"/>
      <c r="CW839" s="2"/>
    </row>
    <row r="840" spans="1:101" x14ac:dyDescent="0.25">
      <c r="A840" s="1" t="s">
        <v>163</v>
      </c>
      <c r="B840" s="75" t="s">
        <v>164</v>
      </c>
      <c r="C840">
        <v>0</v>
      </c>
      <c r="D840">
        <v>0</v>
      </c>
      <c r="E840">
        <v>0</v>
      </c>
      <c r="F840">
        <v>604324.56000000006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3.91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7490</v>
      </c>
      <c r="AW840">
        <v>3350</v>
      </c>
      <c r="AX840">
        <v>1219</v>
      </c>
      <c r="AY840">
        <v>12059</v>
      </c>
      <c r="AZ840">
        <v>4202</v>
      </c>
      <c r="BA840">
        <v>7438</v>
      </c>
      <c r="BB840">
        <v>1432</v>
      </c>
      <c r="BC840">
        <v>13072</v>
      </c>
      <c r="BD840">
        <v>9486</v>
      </c>
      <c r="BE840">
        <v>9222</v>
      </c>
      <c r="BF840">
        <v>1768</v>
      </c>
      <c r="BG840">
        <v>20476</v>
      </c>
      <c r="BH840">
        <v>0</v>
      </c>
      <c r="BI840">
        <v>0</v>
      </c>
      <c r="BJ840">
        <v>0</v>
      </c>
      <c r="BK840">
        <v>0</v>
      </c>
      <c r="BL840" s="2">
        <v>24.82</v>
      </c>
      <c r="BM840" s="2">
        <v>42005.095138888886</v>
      </c>
      <c r="BN840" s="2">
        <v>5.4</v>
      </c>
      <c r="BO840" s="2">
        <v>42005.092361111114</v>
      </c>
      <c r="BP840" s="2">
        <v>6.92</v>
      </c>
      <c r="BQ840" s="2">
        <v>42005.092361111114</v>
      </c>
      <c r="BR840" s="2">
        <v>11.07</v>
      </c>
      <c r="BS840" s="2">
        <v>42005.092361111114</v>
      </c>
      <c r="BT840">
        <v>0</v>
      </c>
      <c r="BU840">
        <v>0</v>
      </c>
      <c r="BV840" t="s">
        <v>135</v>
      </c>
      <c r="BW840">
        <v>0</v>
      </c>
      <c r="BX840">
        <v>0</v>
      </c>
      <c r="BY840" t="s">
        <v>135</v>
      </c>
      <c r="BZ840">
        <v>0</v>
      </c>
      <c r="CA840">
        <v>0</v>
      </c>
      <c r="CB840" t="s">
        <v>135</v>
      </c>
      <c r="CH840" s="2"/>
      <c r="CJ840" s="2"/>
      <c r="CL840" s="2"/>
      <c r="CN840" s="2"/>
      <c r="CQ840" s="2"/>
      <c r="CT840" s="2"/>
      <c r="CW840" s="2"/>
    </row>
    <row r="841" spans="1:101" x14ac:dyDescent="0.25">
      <c r="A841" s="1" t="s">
        <v>163</v>
      </c>
      <c r="B841" s="75" t="s">
        <v>164</v>
      </c>
      <c r="C841">
        <v>0</v>
      </c>
      <c r="D841">
        <v>0</v>
      </c>
      <c r="E841">
        <v>0</v>
      </c>
      <c r="F841">
        <v>604324.56000000006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3.91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7490</v>
      </c>
      <c r="AW841">
        <v>3350</v>
      </c>
      <c r="AX841">
        <v>1219</v>
      </c>
      <c r="AY841">
        <v>12059</v>
      </c>
      <c r="AZ841">
        <v>4202</v>
      </c>
      <c r="BA841">
        <v>7438</v>
      </c>
      <c r="BB841">
        <v>1432</v>
      </c>
      <c r="BC841">
        <v>13072</v>
      </c>
      <c r="BD841">
        <v>9486</v>
      </c>
      <c r="BE841">
        <v>9222</v>
      </c>
      <c r="BF841">
        <v>1768</v>
      </c>
      <c r="BG841">
        <v>20476</v>
      </c>
      <c r="BH841">
        <v>0</v>
      </c>
      <c r="BI841">
        <v>0</v>
      </c>
      <c r="BJ841">
        <v>0</v>
      </c>
      <c r="BK841">
        <v>0</v>
      </c>
      <c r="BL841" s="2">
        <v>24.82</v>
      </c>
      <c r="BM841" s="2">
        <v>42005.095138888886</v>
      </c>
      <c r="BN841" s="2">
        <v>5.4</v>
      </c>
      <c r="BO841" s="2">
        <v>42005.092361111114</v>
      </c>
      <c r="BP841" s="2">
        <v>6.92</v>
      </c>
      <c r="BQ841" s="2">
        <v>42005.092361111114</v>
      </c>
      <c r="BR841" s="2">
        <v>11.07</v>
      </c>
      <c r="BS841" s="2">
        <v>42005.092361111114</v>
      </c>
      <c r="BT841">
        <v>0</v>
      </c>
      <c r="BU841">
        <v>0</v>
      </c>
      <c r="BV841" t="s">
        <v>135</v>
      </c>
      <c r="BW841">
        <v>0</v>
      </c>
      <c r="BX841">
        <v>0</v>
      </c>
      <c r="BY841" t="s">
        <v>135</v>
      </c>
      <c r="BZ841">
        <v>0</v>
      </c>
      <c r="CA841">
        <v>0</v>
      </c>
      <c r="CB841" t="s">
        <v>135</v>
      </c>
      <c r="CH841" s="2"/>
      <c r="CJ841" s="2"/>
      <c r="CL841" s="2"/>
      <c r="CN841" s="2"/>
      <c r="CQ841" s="2"/>
      <c r="CT841" s="2"/>
      <c r="CW841" s="2"/>
    </row>
    <row r="842" spans="1:101" x14ac:dyDescent="0.25">
      <c r="A842" s="1" t="s">
        <v>163</v>
      </c>
      <c r="B842" s="75" t="s">
        <v>164</v>
      </c>
      <c r="C842">
        <v>0</v>
      </c>
      <c r="D842">
        <v>0</v>
      </c>
      <c r="E842">
        <v>0</v>
      </c>
      <c r="F842">
        <v>604324.56000000006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3.91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7490</v>
      </c>
      <c r="AW842">
        <v>3350</v>
      </c>
      <c r="AX842">
        <v>1219</v>
      </c>
      <c r="AY842">
        <v>12059</v>
      </c>
      <c r="AZ842">
        <v>4202</v>
      </c>
      <c r="BA842">
        <v>7438</v>
      </c>
      <c r="BB842">
        <v>1432</v>
      </c>
      <c r="BC842">
        <v>13072</v>
      </c>
      <c r="BD842">
        <v>9486</v>
      </c>
      <c r="BE842">
        <v>9222</v>
      </c>
      <c r="BF842">
        <v>1768</v>
      </c>
      <c r="BG842">
        <v>20476</v>
      </c>
      <c r="BH842">
        <v>0</v>
      </c>
      <c r="BI842">
        <v>0</v>
      </c>
      <c r="BJ842">
        <v>0</v>
      </c>
      <c r="BK842">
        <v>0</v>
      </c>
      <c r="BL842" s="2">
        <v>24.82</v>
      </c>
      <c r="BM842" s="2">
        <v>42005.095138888886</v>
      </c>
      <c r="BN842" s="2">
        <v>5.4</v>
      </c>
      <c r="BO842" s="2">
        <v>42005.092361111114</v>
      </c>
      <c r="BP842" s="2">
        <v>6.92</v>
      </c>
      <c r="BQ842" s="2">
        <v>42005.092361111114</v>
      </c>
      <c r="BR842" s="2">
        <v>11.07</v>
      </c>
      <c r="BS842" s="2">
        <v>42005.092361111114</v>
      </c>
      <c r="BT842">
        <v>0</v>
      </c>
      <c r="BU842">
        <v>0</v>
      </c>
      <c r="BV842" t="s">
        <v>135</v>
      </c>
      <c r="BW842">
        <v>0</v>
      </c>
      <c r="BX842">
        <v>0</v>
      </c>
      <c r="BY842" t="s">
        <v>135</v>
      </c>
      <c r="BZ842">
        <v>0</v>
      </c>
      <c r="CA842">
        <v>0</v>
      </c>
      <c r="CB842" t="s">
        <v>135</v>
      </c>
      <c r="CH842" s="2"/>
      <c r="CJ842" s="2"/>
      <c r="CL842" s="2"/>
      <c r="CN842" s="2"/>
      <c r="CQ842" s="2"/>
      <c r="CT842" s="2"/>
      <c r="CW842" s="2"/>
    </row>
    <row r="843" spans="1:101" x14ac:dyDescent="0.25">
      <c r="A843" s="1" t="s">
        <v>163</v>
      </c>
      <c r="B843" s="75" t="s">
        <v>164</v>
      </c>
      <c r="C843">
        <v>0</v>
      </c>
      <c r="D843">
        <v>0</v>
      </c>
      <c r="E843">
        <v>0</v>
      </c>
      <c r="F843">
        <v>604324.56000000006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3.91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7490</v>
      </c>
      <c r="AW843">
        <v>3350</v>
      </c>
      <c r="AX843">
        <v>1219</v>
      </c>
      <c r="AY843">
        <v>12059</v>
      </c>
      <c r="AZ843">
        <v>4202</v>
      </c>
      <c r="BA843">
        <v>7438</v>
      </c>
      <c r="BB843">
        <v>1432</v>
      </c>
      <c r="BC843">
        <v>13072</v>
      </c>
      <c r="BD843">
        <v>9486</v>
      </c>
      <c r="BE843">
        <v>9222</v>
      </c>
      <c r="BF843">
        <v>1768</v>
      </c>
      <c r="BG843">
        <v>20476</v>
      </c>
      <c r="BH843">
        <v>0</v>
      </c>
      <c r="BI843">
        <v>0</v>
      </c>
      <c r="BJ843">
        <v>0</v>
      </c>
      <c r="BK843">
        <v>0</v>
      </c>
      <c r="BL843" s="2">
        <v>24.82</v>
      </c>
      <c r="BM843" s="2">
        <v>42005.095138888886</v>
      </c>
      <c r="BN843" s="2">
        <v>5.4</v>
      </c>
      <c r="BO843" s="2">
        <v>42005.092361111114</v>
      </c>
      <c r="BP843" s="2">
        <v>6.92</v>
      </c>
      <c r="BQ843" s="2">
        <v>42005.092361111114</v>
      </c>
      <c r="BR843" s="2">
        <v>11.07</v>
      </c>
      <c r="BS843" s="2">
        <v>42005.092361111114</v>
      </c>
      <c r="BT843">
        <v>0</v>
      </c>
      <c r="BU843">
        <v>0</v>
      </c>
      <c r="BV843" t="s">
        <v>135</v>
      </c>
      <c r="BW843">
        <v>0</v>
      </c>
      <c r="BX843">
        <v>0</v>
      </c>
      <c r="BY843" t="s">
        <v>135</v>
      </c>
      <c r="BZ843">
        <v>0</v>
      </c>
      <c r="CA843">
        <v>0</v>
      </c>
      <c r="CB843" t="s">
        <v>135</v>
      </c>
      <c r="CH843" s="2"/>
      <c r="CJ843" s="2"/>
      <c r="CL843" s="2"/>
      <c r="CN843" s="2"/>
      <c r="CQ843" s="2"/>
      <c r="CT843" s="2"/>
      <c r="CW843" s="2"/>
    </row>
    <row r="844" spans="1:101" x14ac:dyDescent="0.25">
      <c r="A844" s="1" t="s">
        <v>163</v>
      </c>
      <c r="B844" s="75" t="s">
        <v>164</v>
      </c>
      <c r="C844">
        <v>0</v>
      </c>
      <c r="D844">
        <v>0</v>
      </c>
      <c r="E844">
        <v>0</v>
      </c>
      <c r="F844">
        <v>604324.56000000006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3.91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7490</v>
      </c>
      <c r="AW844">
        <v>3350</v>
      </c>
      <c r="AX844">
        <v>1219</v>
      </c>
      <c r="AY844">
        <v>12059</v>
      </c>
      <c r="AZ844">
        <v>4202</v>
      </c>
      <c r="BA844">
        <v>7438</v>
      </c>
      <c r="BB844">
        <v>1432</v>
      </c>
      <c r="BC844">
        <v>13072</v>
      </c>
      <c r="BD844">
        <v>9486</v>
      </c>
      <c r="BE844">
        <v>9222</v>
      </c>
      <c r="BF844">
        <v>1768</v>
      </c>
      <c r="BG844">
        <v>20476</v>
      </c>
      <c r="BH844">
        <v>0</v>
      </c>
      <c r="BI844">
        <v>0</v>
      </c>
      <c r="BJ844">
        <v>0</v>
      </c>
      <c r="BK844">
        <v>0</v>
      </c>
      <c r="BL844" s="2">
        <v>24.82</v>
      </c>
      <c r="BM844" s="2">
        <v>42005.095138888886</v>
      </c>
      <c r="BN844" s="2">
        <v>5.4</v>
      </c>
      <c r="BO844" s="2">
        <v>42005.092361111114</v>
      </c>
      <c r="BP844" s="2">
        <v>6.92</v>
      </c>
      <c r="BQ844" s="2">
        <v>42005.092361111114</v>
      </c>
      <c r="BR844" s="2">
        <v>11.07</v>
      </c>
      <c r="BS844" s="2">
        <v>42005.092361111114</v>
      </c>
      <c r="BT844">
        <v>0</v>
      </c>
      <c r="BU844">
        <v>0</v>
      </c>
      <c r="BV844" t="s">
        <v>135</v>
      </c>
      <c r="BW844">
        <v>0</v>
      </c>
      <c r="BX844">
        <v>0</v>
      </c>
      <c r="BY844" t="s">
        <v>135</v>
      </c>
      <c r="BZ844">
        <v>0</v>
      </c>
      <c r="CA844">
        <v>0</v>
      </c>
      <c r="CB844" t="s">
        <v>135</v>
      </c>
      <c r="CH844" s="2"/>
      <c r="CJ844" s="2"/>
      <c r="CL844" s="2"/>
      <c r="CN844" s="2"/>
      <c r="CQ844" s="2"/>
      <c r="CT844" s="2"/>
      <c r="CW844" s="2"/>
    </row>
    <row r="845" spans="1:101" x14ac:dyDescent="0.25">
      <c r="A845" s="1" t="s">
        <v>163</v>
      </c>
      <c r="B845" s="75" t="s">
        <v>164</v>
      </c>
      <c r="C845">
        <v>0</v>
      </c>
      <c r="D845">
        <v>0</v>
      </c>
      <c r="E845">
        <v>0</v>
      </c>
      <c r="F845">
        <v>604324.56000000006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3.91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7490</v>
      </c>
      <c r="AW845">
        <v>3350</v>
      </c>
      <c r="AX845">
        <v>1219</v>
      </c>
      <c r="AY845">
        <v>12059</v>
      </c>
      <c r="AZ845">
        <v>4202</v>
      </c>
      <c r="BA845">
        <v>7438</v>
      </c>
      <c r="BB845">
        <v>1432</v>
      </c>
      <c r="BC845">
        <v>13072</v>
      </c>
      <c r="BD845">
        <v>9486</v>
      </c>
      <c r="BE845">
        <v>9222</v>
      </c>
      <c r="BF845">
        <v>1768</v>
      </c>
      <c r="BG845">
        <v>20476</v>
      </c>
      <c r="BH845">
        <v>0</v>
      </c>
      <c r="BI845">
        <v>0</v>
      </c>
      <c r="BJ845">
        <v>0</v>
      </c>
      <c r="BK845">
        <v>0</v>
      </c>
      <c r="BL845" s="2">
        <v>24.82</v>
      </c>
      <c r="BM845" s="2">
        <v>42005.095138888886</v>
      </c>
      <c r="BN845" s="2">
        <v>5.4</v>
      </c>
      <c r="BO845" s="2">
        <v>42005.092361111114</v>
      </c>
      <c r="BP845" s="2">
        <v>6.92</v>
      </c>
      <c r="BQ845" s="2">
        <v>42005.092361111114</v>
      </c>
      <c r="BR845" s="2">
        <v>11.07</v>
      </c>
      <c r="BS845" s="2">
        <v>42005.092361111114</v>
      </c>
      <c r="BT845">
        <v>0</v>
      </c>
      <c r="BU845">
        <v>0</v>
      </c>
      <c r="BV845" t="s">
        <v>135</v>
      </c>
      <c r="BW845">
        <v>0</v>
      </c>
      <c r="BX845">
        <v>0</v>
      </c>
      <c r="BY845" t="s">
        <v>135</v>
      </c>
      <c r="BZ845">
        <v>0</v>
      </c>
      <c r="CA845">
        <v>0</v>
      </c>
      <c r="CB845" t="s">
        <v>135</v>
      </c>
      <c r="CH845" s="2"/>
      <c r="CJ845" s="2"/>
      <c r="CL845" s="2"/>
      <c r="CN845" s="2"/>
      <c r="CQ845" s="2"/>
      <c r="CT845" s="2"/>
      <c r="CW845" s="2"/>
    </row>
    <row r="846" spans="1:101" x14ac:dyDescent="0.25">
      <c r="A846" s="1" t="s">
        <v>163</v>
      </c>
      <c r="B846" s="75" t="s">
        <v>164</v>
      </c>
      <c r="C846">
        <v>0</v>
      </c>
      <c r="D846">
        <v>0</v>
      </c>
      <c r="E846">
        <v>0</v>
      </c>
      <c r="F846">
        <v>604324.56000000006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3.91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7490</v>
      </c>
      <c r="AW846">
        <v>3350</v>
      </c>
      <c r="AX846">
        <v>1219</v>
      </c>
      <c r="AY846">
        <v>12059</v>
      </c>
      <c r="AZ846">
        <v>4202</v>
      </c>
      <c r="BA846">
        <v>7438</v>
      </c>
      <c r="BB846">
        <v>1432</v>
      </c>
      <c r="BC846">
        <v>13072</v>
      </c>
      <c r="BD846">
        <v>9486</v>
      </c>
      <c r="BE846">
        <v>9222</v>
      </c>
      <c r="BF846">
        <v>1768</v>
      </c>
      <c r="BG846">
        <v>20476</v>
      </c>
      <c r="BH846">
        <v>0</v>
      </c>
      <c r="BI846">
        <v>0</v>
      </c>
      <c r="BJ846">
        <v>0</v>
      </c>
      <c r="BK846">
        <v>0</v>
      </c>
      <c r="BL846" s="2">
        <v>24.82</v>
      </c>
      <c r="BM846" s="2">
        <v>42005.095138888886</v>
      </c>
      <c r="BN846" s="2">
        <v>5.4</v>
      </c>
      <c r="BO846" s="2">
        <v>42005.092361111114</v>
      </c>
      <c r="BP846" s="2">
        <v>6.92</v>
      </c>
      <c r="BQ846" s="2">
        <v>42005.092361111114</v>
      </c>
      <c r="BR846" s="2">
        <v>11.07</v>
      </c>
      <c r="BS846" s="2">
        <v>42005.092361111114</v>
      </c>
      <c r="BT846">
        <v>0</v>
      </c>
      <c r="BU846">
        <v>0</v>
      </c>
      <c r="BV846" t="s">
        <v>135</v>
      </c>
      <c r="BW846">
        <v>0</v>
      </c>
      <c r="BX846">
        <v>0</v>
      </c>
      <c r="BY846" t="s">
        <v>135</v>
      </c>
      <c r="BZ846">
        <v>0</v>
      </c>
      <c r="CA846">
        <v>0</v>
      </c>
      <c r="CB846" t="s">
        <v>135</v>
      </c>
      <c r="CH846" s="2"/>
      <c r="CJ846" s="2"/>
      <c r="CL846" s="2"/>
      <c r="CN846" s="2"/>
      <c r="CQ846" s="2"/>
      <c r="CT846" s="2"/>
      <c r="CW846" s="2"/>
    </row>
    <row r="847" spans="1:101" x14ac:dyDescent="0.25">
      <c r="A847" s="1" t="s">
        <v>163</v>
      </c>
      <c r="B847" s="75" t="s">
        <v>164</v>
      </c>
      <c r="C847">
        <v>0</v>
      </c>
      <c r="D847">
        <v>0</v>
      </c>
      <c r="E847">
        <v>0</v>
      </c>
      <c r="F847">
        <v>604324.56000000006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3.91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7490</v>
      </c>
      <c r="AW847">
        <v>3350</v>
      </c>
      <c r="AX847">
        <v>1219</v>
      </c>
      <c r="AY847">
        <v>12059</v>
      </c>
      <c r="AZ847">
        <v>4202</v>
      </c>
      <c r="BA847">
        <v>7438</v>
      </c>
      <c r="BB847">
        <v>1432</v>
      </c>
      <c r="BC847">
        <v>13072</v>
      </c>
      <c r="BD847">
        <v>9486</v>
      </c>
      <c r="BE847">
        <v>9222</v>
      </c>
      <c r="BF847">
        <v>1768</v>
      </c>
      <c r="BG847">
        <v>20476</v>
      </c>
      <c r="BH847">
        <v>0</v>
      </c>
      <c r="BI847">
        <v>0</v>
      </c>
      <c r="BJ847">
        <v>0</v>
      </c>
      <c r="BK847">
        <v>0</v>
      </c>
      <c r="BL847" s="2">
        <v>24.82</v>
      </c>
      <c r="BM847" s="2">
        <v>42005.095138888886</v>
      </c>
      <c r="BN847" s="2">
        <v>5.4</v>
      </c>
      <c r="BO847" s="2">
        <v>42005.092361111114</v>
      </c>
      <c r="BP847" s="2">
        <v>6.92</v>
      </c>
      <c r="BQ847" s="2">
        <v>42005.092361111114</v>
      </c>
      <c r="BR847" s="2">
        <v>11.07</v>
      </c>
      <c r="BS847" s="2">
        <v>42005.092361111114</v>
      </c>
      <c r="BT847">
        <v>0</v>
      </c>
      <c r="BU847">
        <v>0</v>
      </c>
      <c r="BV847" t="s">
        <v>135</v>
      </c>
      <c r="BW847">
        <v>0</v>
      </c>
      <c r="BX847">
        <v>0</v>
      </c>
      <c r="BY847" t="s">
        <v>135</v>
      </c>
      <c r="BZ847">
        <v>0</v>
      </c>
      <c r="CA847">
        <v>0</v>
      </c>
      <c r="CB847" t="s">
        <v>135</v>
      </c>
      <c r="CH847" s="2"/>
      <c r="CJ847" s="2"/>
      <c r="CL847" s="2"/>
      <c r="CN847" s="2"/>
      <c r="CQ847" s="2"/>
      <c r="CT847" s="2"/>
      <c r="CW847" s="2"/>
    </row>
    <row r="848" spans="1:101" x14ac:dyDescent="0.25">
      <c r="A848" s="1" t="s">
        <v>163</v>
      </c>
      <c r="B848" s="75" t="s">
        <v>164</v>
      </c>
      <c r="C848">
        <v>0</v>
      </c>
      <c r="D848">
        <v>0</v>
      </c>
      <c r="E848">
        <v>0</v>
      </c>
      <c r="F848">
        <v>604324.56000000006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3.91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7490</v>
      </c>
      <c r="AW848">
        <v>3350</v>
      </c>
      <c r="AX848">
        <v>1219</v>
      </c>
      <c r="AY848">
        <v>12059</v>
      </c>
      <c r="AZ848">
        <v>4202</v>
      </c>
      <c r="BA848">
        <v>7438</v>
      </c>
      <c r="BB848">
        <v>1432</v>
      </c>
      <c r="BC848">
        <v>13072</v>
      </c>
      <c r="BD848">
        <v>9486</v>
      </c>
      <c r="BE848">
        <v>9222</v>
      </c>
      <c r="BF848">
        <v>1768</v>
      </c>
      <c r="BG848">
        <v>20476</v>
      </c>
      <c r="BH848">
        <v>0</v>
      </c>
      <c r="BI848">
        <v>0</v>
      </c>
      <c r="BJ848">
        <v>0</v>
      </c>
      <c r="BK848">
        <v>0</v>
      </c>
      <c r="BL848" s="2">
        <v>24.82</v>
      </c>
      <c r="BM848" s="2">
        <v>42005.095138888886</v>
      </c>
      <c r="BN848" s="2">
        <v>5.4</v>
      </c>
      <c r="BO848" s="2">
        <v>42005.092361111114</v>
      </c>
      <c r="BP848" s="2">
        <v>6.92</v>
      </c>
      <c r="BQ848" s="2">
        <v>42005.092361111114</v>
      </c>
      <c r="BR848" s="2">
        <v>11.07</v>
      </c>
      <c r="BS848" s="2">
        <v>42005.092361111114</v>
      </c>
      <c r="BT848">
        <v>0</v>
      </c>
      <c r="BU848">
        <v>0</v>
      </c>
      <c r="BV848" t="s">
        <v>135</v>
      </c>
      <c r="BW848">
        <v>0</v>
      </c>
      <c r="BX848">
        <v>0</v>
      </c>
      <c r="BY848" t="s">
        <v>135</v>
      </c>
      <c r="BZ848">
        <v>0</v>
      </c>
      <c r="CA848">
        <v>0</v>
      </c>
      <c r="CB848" t="s">
        <v>135</v>
      </c>
      <c r="CH848" s="2"/>
      <c r="CJ848" s="2"/>
      <c r="CL848" s="2"/>
      <c r="CN848" s="2"/>
      <c r="CQ848" s="2"/>
      <c r="CT848" s="2"/>
      <c r="CW848" s="2"/>
    </row>
    <row r="849" spans="1:101" x14ac:dyDescent="0.25">
      <c r="A849" s="1" t="s">
        <v>163</v>
      </c>
      <c r="B849" s="75" t="s">
        <v>164</v>
      </c>
      <c r="C849">
        <v>0</v>
      </c>
      <c r="D849">
        <v>0</v>
      </c>
      <c r="E849">
        <v>0</v>
      </c>
      <c r="F849">
        <v>604324.56000000006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3.91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7490</v>
      </c>
      <c r="AW849">
        <v>3350</v>
      </c>
      <c r="AX849">
        <v>1219</v>
      </c>
      <c r="AY849">
        <v>12059</v>
      </c>
      <c r="AZ849">
        <v>4202</v>
      </c>
      <c r="BA849">
        <v>7438</v>
      </c>
      <c r="BB849">
        <v>1432</v>
      </c>
      <c r="BC849">
        <v>13072</v>
      </c>
      <c r="BD849">
        <v>9486</v>
      </c>
      <c r="BE849">
        <v>9222</v>
      </c>
      <c r="BF849">
        <v>1768</v>
      </c>
      <c r="BG849">
        <v>20476</v>
      </c>
      <c r="BH849">
        <v>0</v>
      </c>
      <c r="BI849">
        <v>0</v>
      </c>
      <c r="BJ849">
        <v>0</v>
      </c>
      <c r="BK849">
        <v>0</v>
      </c>
      <c r="BL849" s="2">
        <v>24.82</v>
      </c>
      <c r="BM849" s="2">
        <v>42005.095138888886</v>
      </c>
      <c r="BN849" s="2">
        <v>5.4</v>
      </c>
      <c r="BO849" s="2">
        <v>42005.092361111114</v>
      </c>
      <c r="BP849" s="2">
        <v>6.92</v>
      </c>
      <c r="BQ849" s="2">
        <v>42005.092361111114</v>
      </c>
      <c r="BR849" s="2">
        <v>11.07</v>
      </c>
      <c r="BS849" s="2">
        <v>42005.092361111114</v>
      </c>
      <c r="BT849">
        <v>0</v>
      </c>
      <c r="BU849">
        <v>0</v>
      </c>
      <c r="BV849" t="s">
        <v>135</v>
      </c>
      <c r="BW849">
        <v>0</v>
      </c>
      <c r="BX849">
        <v>0</v>
      </c>
      <c r="BY849" t="s">
        <v>135</v>
      </c>
      <c r="BZ849">
        <v>0</v>
      </c>
      <c r="CA849">
        <v>0</v>
      </c>
      <c r="CB849" t="s">
        <v>135</v>
      </c>
      <c r="CH849" s="2"/>
      <c r="CJ849" s="2"/>
      <c r="CL849" s="2"/>
      <c r="CN849" s="2"/>
      <c r="CQ849" s="2"/>
      <c r="CT849" s="2"/>
      <c r="CW849" s="2"/>
    </row>
    <row r="850" spans="1:101" x14ac:dyDescent="0.25">
      <c r="A850" s="1" t="s">
        <v>163</v>
      </c>
      <c r="B850" s="75" t="s">
        <v>164</v>
      </c>
      <c r="C850">
        <v>0</v>
      </c>
      <c r="D850">
        <v>0</v>
      </c>
      <c r="E850">
        <v>0</v>
      </c>
      <c r="F850">
        <v>604324.56000000006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3.91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7490</v>
      </c>
      <c r="AW850">
        <v>3350</v>
      </c>
      <c r="AX850">
        <v>1219</v>
      </c>
      <c r="AY850">
        <v>12059</v>
      </c>
      <c r="AZ850">
        <v>4202</v>
      </c>
      <c r="BA850">
        <v>7438</v>
      </c>
      <c r="BB850">
        <v>1432</v>
      </c>
      <c r="BC850">
        <v>13072</v>
      </c>
      <c r="BD850">
        <v>9486</v>
      </c>
      <c r="BE850">
        <v>9222</v>
      </c>
      <c r="BF850">
        <v>1768</v>
      </c>
      <c r="BG850">
        <v>20476</v>
      </c>
      <c r="BH850">
        <v>0</v>
      </c>
      <c r="BI850">
        <v>0</v>
      </c>
      <c r="BJ850">
        <v>0</v>
      </c>
      <c r="BK850">
        <v>0</v>
      </c>
      <c r="BL850" s="2">
        <v>24.82</v>
      </c>
      <c r="BM850" s="2">
        <v>42005.095138888886</v>
      </c>
      <c r="BN850" s="2">
        <v>5.4</v>
      </c>
      <c r="BO850" s="2">
        <v>42005.092361111114</v>
      </c>
      <c r="BP850" s="2">
        <v>6.92</v>
      </c>
      <c r="BQ850" s="2">
        <v>42005.092361111114</v>
      </c>
      <c r="BR850" s="2">
        <v>11.07</v>
      </c>
      <c r="BS850" s="2">
        <v>42005.092361111114</v>
      </c>
      <c r="BT850">
        <v>0</v>
      </c>
      <c r="BU850">
        <v>0</v>
      </c>
      <c r="BV850" t="s">
        <v>135</v>
      </c>
      <c r="BW850">
        <v>0</v>
      </c>
      <c r="BX850">
        <v>0</v>
      </c>
      <c r="BY850" t="s">
        <v>135</v>
      </c>
      <c r="BZ850">
        <v>0</v>
      </c>
      <c r="CA850">
        <v>0</v>
      </c>
      <c r="CB850" t="s">
        <v>135</v>
      </c>
      <c r="CH850" s="2"/>
      <c r="CJ850" s="2"/>
      <c r="CL850" s="2"/>
      <c r="CN850" s="2"/>
      <c r="CQ850" s="2"/>
      <c r="CT850" s="2"/>
      <c r="CW850" s="2"/>
    </row>
    <row r="851" spans="1:101" x14ac:dyDescent="0.25">
      <c r="A851" s="1" t="s">
        <v>163</v>
      </c>
      <c r="B851" s="75" t="s">
        <v>164</v>
      </c>
      <c r="C851">
        <v>0</v>
      </c>
      <c r="D851">
        <v>0</v>
      </c>
      <c r="E851">
        <v>0</v>
      </c>
      <c r="F851">
        <v>604324.56000000006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3.91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7490</v>
      </c>
      <c r="AW851">
        <v>3350</v>
      </c>
      <c r="AX851">
        <v>1219</v>
      </c>
      <c r="AY851">
        <v>12059</v>
      </c>
      <c r="AZ851">
        <v>4202</v>
      </c>
      <c r="BA851">
        <v>7438</v>
      </c>
      <c r="BB851">
        <v>1432</v>
      </c>
      <c r="BC851">
        <v>13072</v>
      </c>
      <c r="BD851">
        <v>9486</v>
      </c>
      <c r="BE851">
        <v>9222</v>
      </c>
      <c r="BF851">
        <v>1768</v>
      </c>
      <c r="BG851">
        <v>20476</v>
      </c>
      <c r="BH851">
        <v>0</v>
      </c>
      <c r="BI851">
        <v>0</v>
      </c>
      <c r="BJ851">
        <v>0</v>
      </c>
      <c r="BK851">
        <v>0</v>
      </c>
      <c r="BL851" s="2">
        <v>24.82</v>
      </c>
      <c r="BM851" s="2">
        <v>42005.095138888886</v>
      </c>
      <c r="BN851" s="2">
        <v>5.4</v>
      </c>
      <c r="BO851" s="2">
        <v>42005.092361111114</v>
      </c>
      <c r="BP851" s="2">
        <v>6.92</v>
      </c>
      <c r="BQ851" s="2">
        <v>42005.092361111114</v>
      </c>
      <c r="BR851" s="2">
        <v>11.07</v>
      </c>
      <c r="BS851" s="2">
        <v>42005.092361111114</v>
      </c>
      <c r="BT851">
        <v>0</v>
      </c>
      <c r="BU851">
        <v>0</v>
      </c>
      <c r="BV851" t="s">
        <v>135</v>
      </c>
      <c r="BW851">
        <v>0</v>
      </c>
      <c r="BX851">
        <v>0</v>
      </c>
      <c r="BY851" t="s">
        <v>135</v>
      </c>
      <c r="BZ851">
        <v>0</v>
      </c>
      <c r="CA851">
        <v>0</v>
      </c>
      <c r="CB851" t="s">
        <v>135</v>
      </c>
      <c r="CH851" s="2"/>
      <c r="CJ851" s="2"/>
      <c r="CL851" s="2"/>
      <c r="CN851" s="2"/>
      <c r="CQ851" s="2"/>
      <c r="CT851" s="2"/>
      <c r="CW851" s="2"/>
    </row>
    <row r="852" spans="1:101" x14ac:dyDescent="0.25">
      <c r="A852" s="1" t="s">
        <v>163</v>
      </c>
      <c r="B852" s="75" t="s">
        <v>164</v>
      </c>
      <c r="C852">
        <v>0</v>
      </c>
      <c r="D852">
        <v>0</v>
      </c>
      <c r="E852">
        <v>0</v>
      </c>
      <c r="F852">
        <v>604324.56000000006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3.91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7490</v>
      </c>
      <c r="AW852">
        <v>3350</v>
      </c>
      <c r="AX852">
        <v>1219</v>
      </c>
      <c r="AY852">
        <v>12059</v>
      </c>
      <c r="AZ852">
        <v>4202</v>
      </c>
      <c r="BA852">
        <v>7438</v>
      </c>
      <c r="BB852">
        <v>1432</v>
      </c>
      <c r="BC852">
        <v>13072</v>
      </c>
      <c r="BD852">
        <v>9486</v>
      </c>
      <c r="BE852">
        <v>9222</v>
      </c>
      <c r="BF852">
        <v>1768</v>
      </c>
      <c r="BG852">
        <v>20476</v>
      </c>
      <c r="BH852">
        <v>0</v>
      </c>
      <c r="BI852">
        <v>0</v>
      </c>
      <c r="BJ852">
        <v>0</v>
      </c>
      <c r="BK852">
        <v>0</v>
      </c>
      <c r="BL852" s="2">
        <v>24.82</v>
      </c>
      <c r="BM852" s="2">
        <v>42005.095138888886</v>
      </c>
      <c r="BN852" s="2">
        <v>5.4</v>
      </c>
      <c r="BO852" s="2">
        <v>42005.092361111114</v>
      </c>
      <c r="BP852" s="2">
        <v>6.92</v>
      </c>
      <c r="BQ852" s="2">
        <v>42005.092361111114</v>
      </c>
      <c r="BR852" s="2">
        <v>11.07</v>
      </c>
      <c r="BS852" s="2">
        <v>42005.092361111114</v>
      </c>
      <c r="BT852">
        <v>0</v>
      </c>
      <c r="BU852">
        <v>0</v>
      </c>
      <c r="BV852" t="s">
        <v>135</v>
      </c>
      <c r="BW852">
        <v>0</v>
      </c>
      <c r="BX852">
        <v>0</v>
      </c>
      <c r="BY852" t="s">
        <v>135</v>
      </c>
      <c r="BZ852">
        <v>0</v>
      </c>
      <c r="CA852">
        <v>0</v>
      </c>
      <c r="CB852" t="s">
        <v>135</v>
      </c>
      <c r="CH852" s="2"/>
      <c r="CJ852" s="2"/>
      <c r="CL852" s="2"/>
      <c r="CN852" s="2"/>
      <c r="CQ852" s="2"/>
      <c r="CT852" s="2"/>
      <c r="CW852" s="2"/>
    </row>
    <row r="853" spans="1:101" x14ac:dyDescent="0.25">
      <c r="A853" s="1" t="s">
        <v>163</v>
      </c>
      <c r="B853" s="75" t="s">
        <v>164</v>
      </c>
      <c r="C853">
        <v>0</v>
      </c>
      <c r="D853">
        <v>0</v>
      </c>
      <c r="E853">
        <v>0</v>
      </c>
      <c r="F853">
        <v>604324.56000000006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3.91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7490</v>
      </c>
      <c r="AW853">
        <v>3350</v>
      </c>
      <c r="AX853">
        <v>1219</v>
      </c>
      <c r="AY853">
        <v>12059</v>
      </c>
      <c r="AZ853">
        <v>4202</v>
      </c>
      <c r="BA853">
        <v>7438</v>
      </c>
      <c r="BB853">
        <v>1432</v>
      </c>
      <c r="BC853">
        <v>13072</v>
      </c>
      <c r="BD853">
        <v>9486</v>
      </c>
      <c r="BE853">
        <v>9222</v>
      </c>
      <c r="BF853">
        <v>1768</v>
      </c>
      <c r="BG853">
        <v>20476</v>
      </c>
      <c r="BH853">
        <v>0</v>
      </c>
      <c r="BI853">
        <v>0</v>
      </c>
      <c r="BJ853">
        <v>0</v>
      </c>
      <c r="BK853">
        <v>0</v>
      </c>
      <c r="BL853" s="2">
        <v>24.82</v>
      </c>
      <c r="BM853" s="2">
        <v>42005.095138888886</v>
      </c>
      <c r="BN853" s="2">
        <v>5.4</v>
      </c>
      <c r="BO853" s="2">
        <v>42005.092361111114</v>
      </c>
      <c r="BP853" s="2">
        <v>6.92</v>
      </c>
      <c r="BQ853" s="2">
        <v>42005.092361111114</v>
      </c>
      <c r="BR853" s="2">
        <v>11.07</v>
      </c>
      <c r="BS853" s="2">
        <v>42005.092361111114</v>
      </c>
      <c r="BT853">
        <v>0</v>
      </c>
      <c r="BU853">
        <v>0</v>
      </c>
      <c r="BV853" t="s">
        <v>135</v>
      </c>
      <c r="BW853">
        <v>0</v>
      </c>
      <c r="BX853">
        <v>0</v>
      </c>
      <c r="BY853" t="s">
        <v>135</v>
      </c>
      <c r="BZ853">
        <v>0</v>
      </c>
      <c r="CA853">
        <v>0</v>
      </c>
      <c r="CB853" t="s">
        <v>135</v>
      </c>
      <c r="CH853" s="2"/>
      <c r="CJ853" s="2"/>
      <c r="CL853" s="2"/>
      <c r="CN853" s="2"/>
      <c r="CQ853" s="2"/>
      <c r="CT853" s="2"/>
      <c r="CW853" s="2"/>
    </row>
    <row r="854" spans="1:101" x14ac:dyDescent="0.25">
      <c r="A854" s="1" t="s">
        <v>163</v>
      </c>
      <c r="B854" s="75" t="s">
        <v>164</v>
      </c>
      <c r="C854">
        <v>0</v>
      </c>
      <c r="D854">
        <v>0</v>
      </c>
      <c r="E854">
        <v>0</v>
      </c>
      <c r="F854">
        <v>604324.56000000006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3.91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7490</v>
      </c>
      <c r="AW854">
        <v>3350</v>
      </c>
      <c r="AX854">
        <v>1219</v>
      </c>
      <c r="AY854">
        <v>12059</v>
      </c>
      <c r="AZ854">
        <v>4202</v>
      </c>
      <c r="BA854">
        <v>7438</v>
      </c>
      <c r="BB854">
        <v>1432</v>
      </c>
      <c r="BC854">
        <v>13072</v>
      </c>
      <c r="BD854">
        <v>9486</v>
      </c>
      <c r="BE854">
        <v>9222</v>
      </c>
      <c r="BF854">
        <v>1768</v>
      </c>
      <c r="BG854">
        <v>20476</v>
      </c>
      <c r="BH854">
        <v>0</v>
      </c>
      <c r="BI854">
        <v>0</v>
      </c>
      <c r="BJ854">
        <v>0</v>
      </c>
      <c r="BK854">
        <v>0</v>
      </c>
      <c r="BL854" s="2">
        <v>24.82</v>
      </c>
      <c r="BM854" s="2">
        <v>42005.095138888886</v>
      </c>
      <c r="BN854" s="2">
        <v>5.4</v>
      </c>
      <c r="BO854" s="2">
        <v>42005.092361111114</v>
      </c>
      <c r="BP854" s="2">
        <v>6.92</v>
      </c>
      <c r="BQ854" s="2">
        <v>42005.092361111114</v>
      </c>
      <c r="BR854" s="2">
        <v>11.07</v>
      </c>
      <c r="BS854" s="2">
        <v>42005.092361111114</v>
      </c>
      <c r="BT854">
        <v>0</v>
      </c>
      <c r="BU854">
        <v>0</v>
      </c>
      <c r="BV854" t="s">
        <v>135</v>
      </c>
      <c r="BW854">
        <v>0</v>
      </c>
      <c r="BX854">
        <v>0</v>
      </c>
      <c r="BY854" t="s">
        <v>135</v>
      </c>
      <c r="BZ854">
        <v>0</v>
      </c>
      <c r="CA854">
        <v>0</v>
      </c>
      <c r="CB854" t="s">
        <v>135</v>
      </c>
      <c r="CH854" s="2"/>
      <c r="CJ854" s="2"/>
      <c r="CL854" s="2"/>
      <c r="CN854" s="2"/>
      <c r="CQ854" s="2"/>
      <c r="CT854" s="2"/>
      <c r="CW854" s="2"/>
    </row>
    <row r="855" spans="1:101" x14ac:dyDescent="0.25">
      <c r="A855" s="1" t="s">
        <v>163</v>
      </c>
      <c r="B855" s="75" t="s">
        <v>164</v>
      </c>
      <c r="C855">
        <v>0</v>
      </c>
      <c r="D855">
        <v>0</v>
      </c>
      <c r="E855">
        <v>0</v>
      </c>
      <c r="F855">
        <v>604324.56000000006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3.91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7490</v>
      </c>
      <c r="AW855">
        <v>3350</v>
      </c>
      <c r="AX855">
        <v>1219</v>
      </c>
      <c r="AY855">
        <v>12059</v>
      </c>
      <c r="AZ855">
        <v>4202</v>
      </c>
      <c r="BA855">
        <v>7438</v>
      </c>
      <c r="BB855">
        <v>1432</v>
      </c>
      <c r="BC855">
        <v>13072</v>
      </c>
      <c r="BD855">
        <v>9486</v>
      </c>
      <c r="BE855">
        <v>9222</v>
      </c>
      <c r="BF855">
        <v>1768</v>
      </c>
      <c r="BG855">
        <v>20476</v>
      </c>
      <c r="BH855">
        <v>0</v>
      </c>
      <c r="BI855">
        <v>0</v>
      </c>
      <c r="BJ855">
        <v>0</v>
      </c>
      <c r="BK855">
        <v>0</v>
      </c>
      <c r="BL855" s="2">
        <v>24.82</v>
      </c>
      <c r="BM855" s="2">
        <v>42005.095138888886</v>
      </c>
      <c r="BN855" s="2">
        <v>5.4</v>
      </c>
      <c r="BO855" s="2">
        <v>42005.092361111114</v>
      </c>
      <c r="BP855" s="2">
        <v>6.92</v>
      </c>
      <c r="BQ855" s="2">
        <v>42005.092361111114</v>
      </c>
      <c r="BR855" s="2">
        <v>11.07</v>
      </c>
      <c r="BS855" s="2">
        <v>42005.092361111114</v>
      </c>
      <c r="BT855">
        <v>0</v>
      </c>
      <c r="BU855">
        <v>0</v>
      </c>
      <c r="BV855" t="s">
        <v>135</v>
      </c>
      <c r="BW855">
        <v>0</v>
      </c>
      <c r="BX855">
        <v>0</v>
      </c>
      <c r="BY855" t="s">
        <v>135</v>
      </c>
      <c r="BZ855">
        <v>0</v>
      </c>
      <c r="CA855">
        <v>0</v>
      </c>
      <c r="CB855" t="s">
        <v>135</v>
      </c>
      <c r="CH855" s="2"/>
      <c r="CJ855" s="2"/>
      <c r="CL855" s="2"/>
      <c r="CN855" s="2"/>
      <c r="CQ855" s="2"/>
      <c r="CT855" s="2"/>
      <c r="CW855" s="2"/>
    </row>
    <row r="856" spans="1:101" x14ac:dyDescent="0.25">
      <c r="A856" s="1" t="s">
        <v>163</v>
      </c>
      <c r="B856" s="75" t="s">
        <v>164</v>
      </c>
      <c r="C856">
        <v>0</v>
      </c>
      <c r="D856">
        <v>0</v>
      </c>
      <c r="E856">
        <v>0</v>
      </c>
      <c r="F856">
        <v>604324.56000000006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3.91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7490</v>
      </c>
      <c r="AW856">
        <v>3350</v>
      </c>
      <c r="AX856">
        <v>1219</v>
      </c>
      <c r="AY856">
        <v>12059</v>
      </c>
      <c r="AZ856">
        <v>4202</v>
      </c>
      <c r="BA856">
        <v>7438</v>
      </c>
      <c r="BB856">
        <v>1432</v>
      </c>
      <c r="BC856">
        <v>13072</v>
      </c>
      <c r="BD856">
        <v>9486</v>
      </c>
      <c r="BE856">
        <v>9222</v>
      </c>
      <c r="BF856">
        <v>1768</v>
      </c>
      <c r="BG856">
        <v>20476</v>
      </c>
      <c r="BH856">
        <v>0</v>
      </c>
      <c r="BI856">
        <v>0</v>
      </c>
      <c r="BJ856">
        <v>0</v>
      </c>
      <c r="BK856">
        <v>0</v>
      </c>
      <c r="BL856" s="2">
        <v>24.82</v>
      </c>
      <c r="BM856" s="2">
        <v>42005.095138888886</v>
      </c>
      <c r="BN856" s="2">
        <v>5.4</v>
      </c>
      <c r="BO856" s="2">
        <v>42005.092361111114</v>
      </c>
      <c r="BP856" s="2">
        <v>6.92</v>
      </c>
      <c r="BQ856" s="2">
        <v>42005.092361111114</v>
      </c>
      <c r="BR856" s="2">
        <v>11.07</v>
      </c>
      <c r="BS856" s="2">
        <v>42005.092361111114</v>
      </c>
      <c r="BT856">
        <v>0</v>
      </c>
      <c r="BU856">
        <v>0</v>
      </c>
      <c r="BV856" t="s">
        <v>135</v>
      </c>
      <c r="BW856">
        <v>0</v>
      </c>
      <c r="BX856">
        <v>0</v>
      </c>
      <c r="BY856" t="s">
        <v>135</v>
      </c>
      <c r="BZ856">
        <v>0</v>
      </c>
      <c r="CA856">
        <v>0</v>
      </c>
      <c r="CB856" t="s">
        <v>135</v>
      </c>
      <c r="CH856" s="2"/>
      <c r="CJ856" s="2"/>
      <c r="CL856" s="2"/>
      <c r="CN856" s="2"/>
      <c r="CQ856" s="2"/>
      <c r="CT856" s="2"/>
      <c r="CW856" s="2"/>
    </row>
    <row r="857" spans="1:101" x14ac:dyDescent="0.25">
      <c r="A857" s="1" t="s">
        <v>163</v>
      </c>
      <c r="B857" s="75" t="s">
        <v>164</v>
      </c>
      <c r="C857">
        <v>0</v>
      </c>
      <c r="D857">
        <v>0</v>
      </c>
      <c r="E857">
        <v>0</v>
      </c>
      <c r="F857">
        <v>604324.56000000006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3.91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7490</v>
      </c>
      <c r="AW857">
        <v>3350</v>
      </c>
      <c r="AX857">
        <v>1219</v>
      </c>
      <c r="AY857">
        <v>12059</v>
      </c>
      <c r="AZ857">
        <v>4202</v>
      </c>
      <c r="BA857">
        <v>7438</v>
      </c>
      <c r="BB857">
        <v>1432</v>
      </c>
      <c r="BC857">
        <v>13072</v>
      </c>
      <c r="BD857">
        <v>9486</v>
      </c>
      <c r="BE857">
        <v>9222</v>
      </c>
      <c r="BF857">
        <v>1768</v>
      </c>
      <c r="BG857">
        <v>20476</v>
      </c>
      <c r="BH857">
        <v>0</v>
      </c>
      <c r="BI857">
        <v>0</v>
      </c>
      <c r="BJ857">
        <v>0</v>
      </c>
      <c r="BK857">
        <v>0</v>
      </c>
      <c r="BL857" s="2">
        <v>24.82</v>
      </c>
      <c r="BM857" s="2">
        <v>42005.095138888886</v>
      </c>
      <c r="BN857" s="2">
        <v>5.4</v>
      </c>
      <c r="BO857" s="2">
        <v>42005.092361111114</v>
      </c>
      <c r="BP857" s="2">
        <v>6.92</v>
      </c>
      <c r="BQ857" s="2">
        <v>42005.092361111114</v>
      </c>
      <c r="BR857" s="2">
        <v>11.07</v>
      </c>
      <c r="BS857" s="2">
        <v>42005.092361111114</v>
      </c>
      <c r="BT857">
        <v>0</v>
      </c>
      <c r="BU857">
        <v>0</v>
      </c>
      <c r="BV857" t="s">
        <v>135</v>
      </c>
      <c r="BW857">
        <v>0</v>
      </c>
      <c r="BX857">
        <v>0</v>
      </c>
      <c r="BY857" t="s">
        <v>135</v>
      </c>
      <c r="BZ857">
        <v>0</v>
      </c>
      <c r="CA857">
        <v>0</v>
      </c>
      <c r="CB857" t="s">
        <v>135</v>
      </c>
      <c r="CH857" s="2"/>
      <c r="CJ857" s="2"/>
      <c r="CL857" s="2"/>
      <c r="CN857" s="2"/>
      <c r="CQ857" s="2"/>
      <c r="CT857" s="2"/>
      <c r="CW857" s="2"/>
    </row>
    <row r="858" spans="1:101" x14ac:dyDescent="0.25">
      <c r="A858" s="1" t="s">
        <v>163</v>
      </c>
      <c r="B858" s="75" t="s">
        <v>164</v>
      </c>
      <c r="C858">
        <v>0</v>
      </c>
      <c r="D858">
        <v>0</v>
      </c>
      <c r="E858">
        <v>0</v>
      </c>
      <c r="F858">
        <v>604324.56000000006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3.91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7490</v>
      </c>
      <c r="AW858">
        <v>3350</v>
      </c>
      <c r="AX858">
        <v>1219</v>
      </c>
      <c r="AY858">
        <v>12059</v>
      </c>
      <c r="AZ858">
        <v>4202</v>
      </c>
      <c r="BA858">
        <v>7438</v>
      </c>
      <c r="BB858">
        <v>1432</v>
      </c>
      <c r="BC858">
        <v>13072</v>
      </c>
      <c r="BD858">
        <v>9486</v>
      </c>
      <c r="BE858">
        <v>9222</v>
      </c>
      <c r="BF858">
        <v>1768</v>
      </c>
      <c r="BG858">
        <v>20476</v>
      </c>
      <c r="BH858">
        <v>0</v>
      </c>
      <c r="BI858">
        <v>0</v>
      </c>
      <c r="BJ858">
        <v>0</v>
      </c>
      <c r="BK858">
        <v>0</v>
      </c>
      <c r="BL858" s="2">
        <v>24.82</v>
      </c>
      <c r="BM858" s="2">
        <v>42005.095138888886</v>
      </c>
      <c r="BN858" s="2">
        <v>5.4</v>
      </c>
      <c r="BO858" s="2">
        <v>42005.092361111114</v>
      </c>
      <c r="BP858" s="2">
        <v>6.92</v>
      </c>
      <c r="BQ858" s="2">
        <v>42005.092361111114</v>
      </c>
      <c r="BR858" s="2">
        <v>11.07</v>
      </c>
      <c r="BS858" s="2">
        <v>42005.092361111114</v>
      </c>
      <c r="BT858">
        <v>0</v>
      </c>
      <c r="BU858">
        <v>0</v>
      </c>
      <c r="BV858" t="s">
        <v>135</v>
      </c>
      <c r="BW858">
        <v>0</v>
      </c>
      <c r="BX858">
        <v>0</v>
      </c>
      <c r="BY858" t="s">
        <v>135</v>
      </c>
      <c r="BZ858">
        <v>0</v>
      </c>
      <c r="CA858">
        <v>0</v>
      </c>
      <c r="CB858" t="s">
        <v>135</v>
      </c>
      <c r="CH858" s="2"/>
      <c r="CJ858" s="2"/>
      <c r="CL858" s="2"/>
      <c r="CN858" s="2"/>
      <c r="CQ858" s="2"/>
      <c r="CT858" s="2"/>
      <c r="CW858" s="2"/>
    </row>
    <row r="859" spans="1:101" x14ac:dyDescent="0.25">
      <c r="A859" s="1" t="s">
        <v>163</v>
      </c>
      <c r="B859" s="75" t="s">
        <v>164</v>
      </c>
      <c r="C859">
        <v>0</v>
      </c>
      <c r="D859">
        <v>0</v>
      </c>
      <c r="E859">
        <v>0</v>
      </c>
      <c r="F859">
        <v>604324.56000000006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3.91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7490</v>
      </c>
      <c r="AW859">
        <v>3350</v>
      </c>
      <c r="AX859">
        <v>1219</v>
      </c>
      <c r="AY859">
        <v>12059</v>
      </c>
      <c r="AZ859">
        <v>4202</v>
      </c>
      <c r="BA859">
        <v>7438</v>
      </c>
      <c r="BB859">
        <v>1432</v>
      </c>
      <c r="BC859">
        <v>13072</v>
      </c>
      <c r="BD859">
        <v>9486</v>
      </c>
      <c r="BE859">
        <v>9222</v>
      </c>
      <c r="BF859">
        <v>1768</v>
      </c>
      <c r="BG859">
        <v>20476</v>
      </c>
      <c r="BH859">
        <v>0</v>
      </c>
      <c r="BI859">
        <v>0</v>
      </c>
      <c r="BJ859">
        <v>0</v>
      </c>
      <c r="BK859">
        <v>0</v>
      </c>
      <c r="BL859" s="2">
        <v>24.82</v>
      </c>
      <c r="BM859" s="2">
        <v>42005.095138888886</v>
      </c>
      <c r="BN859" s="2">
        <v>5.4</v>
      </c>
      <c r="BO859" s="2">
        <v>42005.092361111114</v>
      </c>
      <c r="BP859" s="2">
        <v>6.92</v>
      </c>
      <c r="BQ859" s="2">
        <v>42005.092361111114</v>
      </c>
      <c r="BR859" s="2">
        <v>11.07</v>
      </c>
      <c r="BS859" s="2">
        <v>42005.092361111114</v>
      </c>
      <c r="BT859">
        <v>0</v>
      </c>
      <c r="BU859">
        <v>0</v>
      </c>
      <c r="BV859" t="s">
        <v>135</v>
      </c>
      <c r="BW859">
        <v>0</v>
      </c>
      <c r="BX859">
        <v>0</v>
      </c>
      <c r="BY859" t="s">
        <v>135</v>
      </c>
      <c r="BZ859">
        <v>0</v>
      </c>
      <c r="CA859">
        <v>0</v>
      </c>
      <c r="CB859" t="s">
        <v>135</v>
      </c>
      <c r="CH859" s="2"/>
      <c r="CJ859" s="2"/>
      <c r="CL859" s="2"/>
      <c r="CN859" s="2"/>
      <c r="CQ859" s="2"/>
      <c r="CT859" s="2"/>
      <c r="CW859" s="2"/>
    </row>
    <row r="860" spans="1:101" x14ac:dyDescent="0.25">
      <c r="A860" s="1" t="s">
        <v>163</v>
      </c>
      <c r="B860" s="75" t="s">
        <v>164</v>
      </c>
      <c r="C860">
        <v>0</v>
      </c>
      <c r="D860">
        <v>0</v>
      </c>
      <c r="E860">
        <v>0</v>
      </c>
      <c r="F860">
        <v>604324.56000000006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3.91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7490</v>
      </c>
      <c r="AW860">
        <v>3350</v>
      </c>
      <c r="AX860">
        <v>1219</v>
      </c>
      <c r="AY860">
        <v>12059</v>
      </c>
      <c r="AZ860">
        <v>4202</v>
      </c>
      <c r="BA860">
        <v>7438</v>
      </c>
      <c r="BB860">
        <v>1432</v>
      </c>
      <c r="BC860">
        <v>13072</v>
      </c>
      <c r="BD860">
        <v>9486</v>
      </c>
      <c r="BE860">
        <v>9222</v>
      </c>
      <c r="BF860">
        <v>1768</v>
      </c>
      <c r="BG860">
        <v>20476</v>
      </c>
      <c r="BH860">
        <v>0</v>
      </c>
      <c r="BI860">
        <v>0</v>
      </c>
      <c r="BJ860">
        <v>0</v>
      </c>
      <c r="BK860">
        <v>0</v>
      </c>
      <c r="BL860" s="2">
        <v>24.82</v>
      </c>
      <c r="BM860" s="2">
        <v>42005.095138888886</v>
      </c>
      <c r="BN860" s="2">
        <v>5.4</v>
      </c>
      <c r="BO860" s="2">
        <v>42005.092361111114</v>
      </c>
      <c r="BP860" s="2">
        <v>6.92</v>
      </c>
      <c r="BQ860" s="2">
        <v>42005.092361111114</v>
      </c>
      <c r="BR860" s="2">
        <v>11.07</v>
      </c>
      <c r="BS860" s="2">
        <v>42005.092361111114</v>
      </c>
      <c r="BT860">
        <v>0</v>
      </c>
      <c r="BU860">
        <v>0</v>
      </c>
      <c r="BV860" t="s">
        <v>135</v>
      </c>
      <c r="BW860">
        <v>0</v>
      </c>
      <c r="BX860">
        <v>0</v>
      </c>
      <c r="BY860" t="s">
        <v>135</v>
      </c>
      <c r="BZ860">
        <v>0</v>
      </c>
      <c r="CA860">
        <v>0</v>
      </c>
      <c r="CB860" t="s">
        <v>135</v>
      </c>
      <c r="CH860" s="2"/>
      <c r="CJ860" s="2"/>
      <c r="CL860" s="2"/>
      <c r="CN860" s="2"/>
      <c r="CQ860" s="2"/>
      <c r="CT860" s="2"/>
      <c r="CW860" s="2"/>
    </row>
    <row r="861" spans="1:101" x14ac:dyDescent="0.25">
      <c r="A861" s="1" t="s">
        <v>163</v>
      </c>
      <c r="B861" s="75" t="s">
        <v>164</v>
      </c>
      <c r="C861">
        <v>0</v>
      </c>
      <c r="D861">
        <v>0</v>
      </c>
      <c r="E861">
        <v>0</v>
      </c>
      <c r="F861">
        <v>604324.56000000006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3.91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7490</v>
      </c>
      <c r="AW861">
        <v>3350</v>
      </c>
      <c r="AX861">
        <v>1219</v>
      </c>
      <c r="AY861">
        <v>12059</v>
      </c>
      <c r="AZ861">
        <v>4202</v>
      </c>
      <c r="BA861">
        <v>7438</v>
      </c>
      <c r="BB861">
        <v>1432</v>
      </c>
      <c r="BC861">
        <v>13072</v>
      </c>
      <c r="BD861">
        <v>9486</v>
      </c>
      <c r="BE861">
        <v>9222</v>
      </c>
      <c r="BF861">
        <v>1768</v>
      </c>
      <c r="BG861">
        <v>20476</v>
      </c>
      <c r="BH861">
        <v>0</v>
      </c>
      <c r="BI861">
        <v>0</v>
      </c>
      <c r="BJ861">
        <v>0</v>
      </c>
      <c r="BK861">
        <v>0</v>
      </c>
      <c r="BL861" s="2">
        <v>24.82</v>
      </c>
      <c r="BM861" s="2">
        <v>42005.095138888886</v>
      </c>
      <c r="BN861" s="2">
        <v>5.4</v>
      </c>
      <c r="BO861" s="2">
        <v>42005.092361111114</v>
      </c>
      <c r="BP861" s="2">
        <v>6.92</v>
      </c>
      <c r="BQ861" s="2">
        <v>42005.092361111114</v>
      </c>
      <c r="BR861" s="2">
        <v>11.07</v>
      </c>
      <c r="BS861" s="2">
        <v>42005.092361111114</v>
      </c>
      <c r="BT861">
        <v>0</v>
      </c>
      <c r="BU861">
        <v>0</v>
      </c>
      <c r="BV861" t="s">
        <v>135</v>
      </c>
      <c r="BW861">
        <v>0</v>
      </c>
      <c r="BX861">
        <v>0</v>
      </c>
      <c r="BY861" t="s">
        <v>135</v>
      </c>
      <c r="BZ861">
        <v>0</v>
      </c>
      <c r="CA861">
        <v>0</v>
      </c>
      <c r="CB861" t="s">
        <v>135</v>
      </c>
      <c r="CH861" s="2"/>
      <c r="CJ861" s="2"/>
      <c r="CL861" s="2"/>
      <c r="CN861" s="2"/>
      <c r="CQ861" s="2"/>
      <c r="CT861" s="2"/>
      <c r="CW861" s="2"/>
    </row>
    <row r="862" spans="1:101" x14ac:dyDescent="0.25">
      <c r="A862" s="1" t="s">
        <v>163</v>
      </c>
      <c r="B862" s="75" t="s">
        <v>164</v>
      </c>
      <c r="C862">
        <v>0</v>
      </c>
      <c r="D862">
        <v>0</v>
      </c>
      <c r="E862">
        <v>0</v>
      </c>
      <c r="F862">
        <v>604324.56000000006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3.91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7490</v>
      </c>
      <c r="AW862">
        <v>3350</v>
      </c>
      <c r="AX862">
        <v>1219</v>
      </c>
      <c r="AY862">
        <v>12059</v>
      </c>
      <c r="AZ862">
        <v>4202</v>
      </c>
      <c r="BA862">
        <v>7438</v>
      </c>
      <c r="BB862">
        <v>1432</v>
      </c>
      <c r="BC862">
        <v>13072</v>
      </c>
      <c r="BD862">
        <v>9486</v>
      </c>
      <c r="BE862">
        <v>9222</v>
      </c>
      <c r="BF862">
        <v>1768</v>
      </c>
      <c r="BG862">
        <v>20476</v>
      </c>
      <c r="BH862">
        <v>0</v>
      </c>
      <c r="BI862">
        <v>0</v>
      </c>
      <c r="BJ862">
        <v>0</v>
      </c>
      <c r="BK862">
        <v>0</v>
      </c>
      <c r="BL862" s="2">
        <v>24.82</v>
      </c>
      <c r="BM862" s="2">
        <v>42005.095138888886</v>
      </c>
      <c r="BN862" s="2">
        <v>5.4</v>
      </c>
      <c r="BO862" s="2">
        <v>42005.092361111114</v>
      </c>
      <c r="BP862" s="2">
        <v>6.92</v>
      </c>
      <c r="BQ862" s="2">
        <v>42005.092361111114</v>
      </c>
      <c r="BR862" s="2">
        <v>11.07</v>
      </c>
      <c r="BS862" s="2">
        <v>42005.092361111114</v>
      </c>
      <c r="BT862">
        <v>0</v>
      </c>
      <c r="BU862">
        <v>0</v>
      </c>
      <c r="BV862" t="s">
        <v>135</v>
      </c>
      <c r="BW862">
        <v>0</v>
      </c>
      <c r="BX862">
        <v>0</v>
      </c>
      <c r="BY862" t="s">
        <v>135</v>
      </c>
      <c r="BZ862">
        <v>0</v>
      </c>
      <c r="CA862">
        <v>0</v>
      </c>
      <c r="CB862" t="s">
        <v>135</v>
      </c>
      <c r="CH862" s="2"/>
      <c r="CJ862" s="2"/>
      <c r="CL862" s="2"/>
      <c r="CN862" s="2"/>
      <c r="CQ862" s="2"/>
      <c r="CT862" s="2"/>
      <c r="CW862" s="2"/>
    </row>
    <row r="863" spans="1:101" x14ac:dyDescent="0.25">
      <c r="A863" s="1" t="s">
        <v>163</v>
      </c>
      <c r="B863" s="75" t="s">
        <v>164</v>
      </c>
      <c r="C863">
        <v>0</v>
      </c>
      <c r="D863">
        <v>0</v>
      </c>
      <c r="E863">
        <v>0</v>
      </c>
      <c r="F863">
        <v>604324.56000000006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3.91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7490</v>
      </c>
      <c r="AW863">
        <v>3350</v>
      </c>
      <c r="AX863">
        <v>1219</v>
      </c>
      <c r="AY863">
        <v>12059</v>
      </c>
      <c r="AZ863">
        <v>4202</v>
      </c>
      <c r="BA863">
        <v>7438</v>
      </c>
      <c r="BB863">
        <v>1432</v>
      </c>
      <c r="BC863">
        <v>13072</v>
      </c>
      <c r="BD863">
        <v>9486</v>
      </c>
      <c r="BE863">
        <v>9222</v>
      </c>
      <c r="BF863">
        <v>1768</v>
      </c>
      <c r="BG863">
        <v>20476</v>
      </c>
      <c r="BH863">
        <v>0</v>
      </c>
      <c r="BI863">
        <v>0</v>
      </c>
      <c r="BJ863">
        <v>0</v>
      </c>
      <c r="BK863">
        <v>0</v>
      </c>
      <c r="BL863" s="2">
        <v>24.82</v>
      </c>
      <c r="BM863" s="2">
        <v>42005.095138888886</v>
      </c>
      <c r="BN863" s="2">
        <v>5.4</v>
      </c>
      <c r="BO863" s="2">
        <v>42005.092361111114</v>
      </c>
      <c r="BP863" s="2">
        <v>6.92</v>
      </c>
      <c r="BQ863" s="2">
        <v>42005.092361111114</v>
      </c>
      <c r="BR863" s="2">
        <v>11.07</v>
      </c>
      <c r="BS863" s="2">
        <v>42005.092361111114</v>
      </c>
      <c r="BT863">
        <v>0</v>
      </c>
      <c r="BU863">
        <v>0</v>
      </c>
      <c r="BV863" t="s">
        <v>135</v>
      </c>
      <c r="BW863">
        <v>0</v>
      </c>
      <c r="BX863">
        <v>0</v>
      </c>
      <c r="BY863" t="s">
        <v>135</v>
      </c>
      <c r="BZ863">
        <v>0</v>
      </c>
      <c r="CA863">
        <v>0</v>
      </c>
      <c r="CB863" t="s">
        <v>135</v>
      </c>
      <c r="CH863" s="2"/>
      <c r="CJ863" s="2"/>
      <c r="CL863" s="2"/>
      <c r="CN863" s="2"/>
      <c r="CQ863" s="2"/>
      <c r="CT863" s="2"/>
      <c r="CW863" s="2"/>
    </row>
    <row r="864" spans="1:101" x14ac:dyDescent="0.25">
      <c r="A864" s="1" t="s">
        <v>163</v>
      </c>
      <c r="B864" s="75" t="s">
        <v>164</v>
      </c>
      <c r="C864">
        <v>0</v>
      </c>
      <c r="D864">
        <v>0</v>
      </c>
      <c r="E864">
        <v>0</v>
      </c>
      <c r="F864">
        <v>604324.56000000006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3.91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7490</v>
      </c>
      <c r="AW864">
        <v>3350</v>
      </c>
      <c r="AX864">
        <v>1219</v>
      </c>
      <c r="AY864">
        <v>12059</v>
      </c>
      <c r="AZ864">
        <v>4202</v>
      </c>
      <c r="BA864">
        <v>7438</v>
      </c>
      <c r="BB864">
        <v>1432</v>
      </c>
      <c r="BC864">
        <v>13072</v>
      </c>
      <c r="BD864">
        <v>9486</v>
      </c>
      <c r="BE864">
        <v>9222</v>
      </c>
      <c r="BF864">
        <v>1768</v>
      </c>
      <c r="BG864">
        <v>20476</v>
      </c>
      <c r="BH864">
        <v>0</v>
      </c>
      <c r="BI864">
        <v>0</v>
      </c>
      <c r="BJ864">
        <v>0</v>
      </c>
      <c r="BK864">
        <v>0</v>
      </c>
      <c r="BL864" s="2">
        <v>24.82</v>
      </c>
      <c r="BM864" s="2">
        <v>42005.095138888886</v>
      </c>
      <c r="BN864" s="2">
        <v>5.4</v>
      </c>
      <c r="BO864" s="2">
        <v>42005.092361111114</v>
      </c>
      <c r="BP864" s="2">
        <v>6.92</v>
      </c>
      <c r="BQ864" s="2">
        <v>42005.092361111114</v>
      </c>
      <c r="BR864" s="2">
        <v>11.07</v>
      </c>
      <c r="BS864" s="2">
        <v>42005.092361111114</v>
      </c>
      <c r="BT864">
        <v>0</v>
      </c>
      <c r="BU864">
        <v>0</v>
      </c>
      <c r="BV864" t="s">
        <v>135</v>
      </c>
      <c r="BW864">
        <v>0</v>
      </c>
      <c r="BX864">
        <v>0</v>
      </c>
      <c r="BY864" t="s">
        <v>135</v>
      </c>
      <c r="BZ864">
        <v>0</v>
      </c>
      <c r="CA864">
        <v>0</v>
      </c>
      <c r="CB864" t="s">
        <v>135</v>
      </c>
      <c r="CH864" s="2"/>
      <c r="CJ864" s="2"/>
      <c r="CL864" s="2"/>
      <c r="CN864" s="2"/>
      <c r="CQ864" s="2"/>
      <c r="CT864" s="2"/>
      <c r="CW864" s="2"/>
    </row>
    <row r="865" spans="1:101" x14ac:dyDescent="0.25">
      <c r="A865" s="1" t="s">
        <v>163</v>
      </c>
      <c r="B865" s="75" t="s">
        <v>164</v>
      </c>
      <c r="C865">
        <v>0</v>
      </c>
      <c r="D865">
        <v>0</v>
      </c>
      <c r="E865">
        <v>0</v>
      </c>
      <c r="F865">
        <v>604324.56000000006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3.91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7490</v>
      </c>
      <c r="AW865">
        <v>3350</v>
      </c>
      <c r="AX865">
        <v>1219</v>
      </c>
      <c r="AY865">
        <v>12059</v>
      </c>
      <c r="AZ865">
        <v>4202</v>
      </c>
      <c r="BA865">
        <v>7438</v>
      </c>
      <c r="BB865">
        <v>1432</v>
      </c>
      <c r="BC865">
        <v>13072</v>
      </c>
      <c r="BD865">
        <v>9486</v>
      </c>
      <c r="BE865">
        <v>9222</v>
      </c>
      <c r="BF865">
        <v>1768</v>
      </c>
      <c r="BG865">
        <v>20476</v>
      </c>
      <c r="BH865">
        <v>0</v>
      </c>
      <c r="BI865">
        <v>0</v>
      </c>
      <c r="BJ865">
        <v>0</v>
      </c>
      <c r="BK865">
        <v>0</v>
      </c>
      <c r="BL865" s="2">
        <v>24.82</v>
      </c>
      <c r="BM865" s="2">
        <v>42005.095138888886</v>
      </c>
      <c r="BN865" s="2">
        <v>5.4</v>
      </c>
      <c r="BO865" s="2">
        <v>42005.092361111114</v>
      </c>
      <c r="BP865" s="2">
        <v>6.92</v>
      </c>
      <c r="BQ865" s="2">
        <v>42005.092361111114</v>
      </c>
      <c r="BR865" s="2">
        <v>11.07</v>
      </c>
      <c r="BS865" s="2">
        <v>42005.092361111114</v>
      </c>
      <c r="BT865">
        <v>0</v>
      </c>
      <c r="BU865">
        <v>0</v>
      </c>
      <c r="BV865" t="s">
        <v>135</v>
      </c>
      <c r="BW865">
        <v>0</v>
      </c>
      <c r="BX865">
        <v>0</v>
      </c>
      <c r="BY865" t="s">
        <v>135</v>
      </c>
      <c r="BZ865">
        <v>0</v>
      </c>
      <c r="CA865">
        <v>0</v>
      </c>
      <c r="CB865" t="s">
        <v>135</v>
      </c>
      <c r="CH865" s="2"/>
      <c r="CJ865" s="2"/>
      <c r="CL865" s="2"/>
      <c r="CN865" s="2"/>
      <c r="CQ865" s="2"/>
      <c r="CT865" s="2"/>
      <c r="CW865" s="2"/>
    </row>
    <row r="866" spans="1:101" x14ac:dyDescent="0.25">
      <c r="A866" s="1" t="s">
        <v>163</v>
      </c>
      <c r="B866" s="75" t="s">
        <v>164</v>
      </c>
      <c r="C866">
        <v>0</v>
      </c>
      <c r="D866">
        <v>0</v>
      </c>
      <c r="E866">
        <v>0</v>
      </c>
      <c r="F866">
        <v>604324.56000000006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3.91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7490</v>
      </c>
      <c r="AW866">
        <v>3350</v>
      </c>
      <c r="AX866">
        <v>1219</v>
      </c>
      <c r="AY866">
        <v>12059</v>
      </c>
      <c r="AZ866">
        <v>4202</v>
      </c>
      <c r="BA866">
        <v>7438</v>
      </c>
      <c r="BB866">
        <v>1432</v>
      </c>
      <c r="BC866">
        <v>13072</v>
      </c>
      <c r="BD866">
        <v>9486</v>
      </c>
      <c r="BE866">
        <v>9222</v>
      </c>
      <c r="BF866">
        <v>1768</v>
      </c>
      <c r="BG866">
        <v>20476</v>
      </c>
      <c r="BH866">
        <v>0</v>
      </c>
      <c r="BI866">
        <v>0</v>
      </c>
      <c r="BJ866">
        <v>0</v>
      </c>
      <c r="BK866">
        <v>0</v>
      </c>
      <c r="BL866" s="2">
        <v>24.82</v>
      </c>
      <c r="BM866" s="2">
        <v>42005.095138888886</v>
      </c>
      <c r="BN866" s="2">
        <v>5.4</v>
      </c>
      <c r="BO866" s="2">
        <v>42005.092361111114</v>
      </c>
      <c r="BP866" s="2">
        <v>6.92</v>
      </c>
      <c r="BQ866" s="2">
        <v>42005.092361111114</v>
      </c>
      <c r="BR866" s="2">
        <v>11.07</v>
      </c>
      <c r="BS866" s="2">
        <v>42005.092361111114</v>
      </c>
      <c r="BT866">
        <v>0</v>
      </c>
      <c r="BU866">
        <v>0</v>
      </c>
      <c r="BV866" t="s">
        <v>135</v>
      </c>
      <c r="BW866">
        <v>0</v>
      </c>
      <c r="BX866">
        <v>0</v>
      </c>
      <c r="BY866" t="s">
        <v>135</v>
      </c>
      <c r="BZ866">
        <v>0</v>
      </c>
      <c r="CA866">
        <v>0</v>
      </c>
      <c r="CB866" t="s">
        <v>135</v>
      </c>
      <c r="CH866" s="2"/>
      <c r="CJ866" s="2"/>
      <c r="CL866" s="2"/>
      <c r="CN866" s="2"/>
      <c r="CQ866" s="2"/>
      <c r="CT866" s="2"/>
      <c r="CW866" s="2"/>
    </row>
    <row r="867" spans="1:101" x14ac:dyDescent="0.25">
      <c r="A867" s="1" t="s">
        <v>163</v>
      </c>
      <c r="B867" s="75" t="s">
        <v>164</v>
      </c>
      <c r="C867">
        <v>0</v>
      </c>
      <c r="D867">
        <v>0</v>
      </c>
      <c r="E867">
        <v>0</v>
      </c>
      <c r="F867">
        <v>604324.56000000006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3.91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7490</v>
      </c>
      <c r="AW867">
        <v>3350</v>
      </c>
      <c r="AX867">
        <v>1219</v>
      </c>
      <c r="AY867">
        <v>12059</v>
      </c>
      <c r="AZ867">
        <v>4202</v>
      </c>
      <c r="BA867">
        <v>7438</v>
      </c>
      <c r="BB867">
        <v>1432</v>
      </c>
      <c r="BC867">
        <v>13072</v>
      </c>
      <c r="BD867">
        <v>9486</v>
      </c>
      <c r="BE867">
        <v>9222</v>
      </c>
      <c r="BF867">
        <v>1768</v>
      </c>
      <c r="BG867">
        <v>20476</v>
      </c>
      <c r="BH867">
        <v>0</v>
      </c>
      <c r="BI867">
        <v>0</v>
      </c>
      <c r="BJ867">
        <v>0</v>
      </c>
      <c r="BK867">
        <v>0</v>
      </c>
      <c r="BL867" s="2">
        <v>24.82</v>
      </c>
      <c r="BM867" s="2">
        <v>42005.095138888886</v>
      </c>
      <c r="BN867" s="2">
        <v>5.4</v>
      </c>
      <c r="BO867" s="2">
        <v>42005.092361111114</v>
      </c>
      <c r="BP867" s="2">
        <v>6.92</v>
      </c>
      <c r="BQ867" s="2">
        <v>42005.092361111114</v>
      </c>
      <c r="BR867" s="2">
        <v>11.07</v>
      </c>
      <c r="BS867" s="2">
        <v>42005.092361111114</v>
      </c>
      <c r="BT867">
        <v>0</v>
      </c>
      <c r="BU867">
        <v>0</v>
      </c>
      <c r="BV867" t="s">
        <v>135</v>
      </c>
      <c r="BW867">
        <v>0</v>
      </c>
      <c r="BX867">
        <v>0</v>
      </c>
      <c r="BY867" t="s">
        <v>135</v>
      </c>
      <c r="BZ867">
        <v>0</v>
      </c>
      <c r="CA867">
        <v>0</v>
      </c>
      <c r="CB867" t="s">
        <v>135</v>
      </c>
      <c r="CH867" s="2"/>
      <c r="CJ867" s="2"/>
      <c r="CL867" s="2"/>
      <c r="CN867" s="2"/>
      <c r="CQ867" s="2"/>
      <c r="CT867" s="2"/>
      <c r="CW867" s="2"/>
    </row>
    <row r="868" spans="1:101" x14ac:dyDescent="0.25">
      <c r="A868" s="1" t="s">
        <v>163</v>
      </c>
      <c r="B868" s="75" t="s">
        <v>164</v>
      </c>
      <c r="C868">
        <v>0</v>
      </c>
      <c r="D868">
        <v>0</v>
      </c>
      <c r="E868">
        <v>0</v>
      </c>
      <c r="F868">
        <v>604324.56000000006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3.91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7490</v>
      </c>
      <c r="AW868">
        <v>3350</v>
      </c>
      <c r="AX868">
        <v>1219</v>
      </c>
      <c r="AY868">
        <v>12059</v>
      </c>
      <c r="AZ868">
        <v>4202</v>
      </c>
      <c r="BA868">
        <v>7438</v>
      </c>
      <c r="BB868">
        <v>1432</v>
      </c>
      <c r="BC868">
        <v>13072</v>
      </c>
      <c r="BD868">
        <v>9486</v>
      </c>
      <c r="BE868">
        <v>9222</v>
      </c>
      <c r="BF868">
        <v>1768</v>
      </c>
      <c r="BG868">
        <v>20476</v>
      </c>
      <c r="BH868">
        <v>0</v>
      </c>
      <c r="BI868">
        <v>0</v>
      </c>
      <c r="BJ868">
        <v>0</v>
      </c>
      <c r="BK868">
        <v>0</v>
      </c>
      <c r="BL868" s="2">
        <v>24.82</v>
      </c>
      <c r="BM868" s="2">
        <v>42005.095138888886</v>
      </c>
      <c r="BN868" s="2">
        <v>5.4</v>
      </c>
      <c r="BO868" s="2">
        <v>42005.092361111114</v>
      </c>
      <c r="BP868" s="2">
        <v>6.92</v>
      </c>
      <c r="BQ868" s="2">
        <v>42005.092361111114</v>
      </c>
      <c r="BR868" s="2">
        <v>11.07</v>
      </c>
      <c r="BS868" s="2">
        <v>42005.092361111114</v>
      </c>
      <c r="BT868">
        <v>0</v>
      </c>
      <c r="BU868">
        <v>0</v>
      </c>
      <c r="BV868" t="s">
        <v>135</v>
      </c>
      <c r="BW868">
        <v>0</v>
      </c>
      <c r="BX868">
        <v>0</v>
      </c>
      <c r="BY868" t="s">
        <v>135</v>
      </c>
      <c r="BZ868">
        <v>0</v>
      </c>
      <c r="CA868">
        <v>0</v>
      </c>
      <c r="CB868" t="s">
        <v>135</v>
      </c>
      <c r="CH868" s="2"/>
      <c r="CJ868" s="2"/>
      <c r="CL868" s="2"/>
      <c r="CN868" s="2"/>
      <c r="CQ868" s="2"/>
      <c r="CT868" s="2"/>
      <c r="CW868" s="2"/>
    </row>
    <row r="869" spans="1:101" x14ac:dyDescent="0.25">
      <c r="A869" s="1" t="s">
        <v>163</v>
      </c>
      <c r="B869" s="75" t="s">
        <v>164</v>
      </c>
      <c r="C869">
        <v>0</v>
      </c>
      <c r="D869">
        <v>0</v>
      </c>
      <c r="E869">
        <v>0</v>
      </c>
      <c r="F869">
        <v>604324.56000000006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3.91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7490</v>
      </c>
      <c r="AW869">
        <v>3350</v>
      </c>
      <c r="AX869">
        <v>1219</v>
      </c>
      <c r="AY869">
        <v>12059</v>
      </c>
      <c r="AZ869">
        <v>4202</v>
      </c>
      <c r="BA869">
        <v>7438</v>
      </c>
      <c r="BB869">
        <v>1432</v>
      </c>
      <c r="BC869">
        <v>13072</v>
      </c>
      <c r="BD869">
        <v>9486</v>
      </c>
      <c r="BE869">
        <v>9222</v>
      </c>
      <c r="BF869">
        <v>1768</v>
      </c>
      <c r="BG869">
        <v>20476</v>
      </c>
      <c r="BH869">
        <v>0</v>
      </c>
      <c r="BI869">
        <v>0</v>
      </c>
      <c r="BJ869">
        <v>0</v>
      </c>
      <c r="BK869">
        <v>0</v>
      </c>
      <c r="BL869" s="2">
        <v>24.82</v>
      </c>
      <c r="BM869" s="2">
        <v>42005.095138888886</v>
      </c>
      <c r="BN869" s="2">
        <v>5.4</v>
      </c>
      <c r="BO869" s="2">
        <v>42005.092361111114</v>
      </c>
      <c r="BP869" s="2">
        <v>6.92</v>
      </c>
      <c r="BQ869" s="2">
        <v>42005.092361111114</v>
      </c>
      <c r="BR869" s="2">
        <v>11.07</v>
      </c>
      <c r="BS869" s="2">
        <v>42005.092361111114</v>
      </c>
      <c r="BT869">
        <v>0</v>
      </c>
      <c r="BU869">
        <v>0</v>
      </c>
      <c r="BV869" t="s">
        <v>135</v>
      </c>
      <c r="BW869">
        <v>0</v>
      </c>
      <c r="BX869">
        <v>0</v>
      </c>
      <c r="BY869" t="s">
        <v>135</v>
      </c>
      <c r="BZ869">
        <v>0</v>
      </c>
      <c r="CA869">
        <v>0</v>
      </c>
      <c r="CB869" t="s">
        <v>135</v>
      </c>
      <c r="CH869" s="2"/>
      <c r="CJ869" s="2"/>
      <c r="CL869" s="2"/>
      <c r="CN869" s="2"/>
      <c r="CQ869" s="2"/>
      <c r="CT869" s="2"/>
      <c r="CW869" s="2"/>
    </row>
    <row r="870" spans="1:101" x14ac:dyDescent="0.25">
      <c r="A870" s="1" t="s">
        <v>163</v>
      </c>
      <c r="B870" s="75" t="s">
        <v>164</v>
      </c>
      <c r="C870">
        <v>0</v>
      </c>
      <c r="D870">
        <v>0</v>
      </c>
      <c r="E870">
        <v>0</v>
      </c>
      <c r="F870">
        <v>604324.56000000006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3.91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7490</v>
      </c>
      <c r="AW870">
        <v>3350</v>
      </c>
      <c r="AX870">
        <v>1219</v>
      </c>
      <c r="AY870">
        <v>12059</v>
      </c>
      <c r="AZ870">
        <v>4202</v>
      </c>
      <c r="BA870">
        <v>7438</v>
      </c>
      <c r="BB870">
        <v>1432</v>
      </c>
      <c r="BC870">
        <v>13072</v>
      </c>
      <c r="BD870">
        <v>9486</v>
      </c>
      <c r="BE870">
        <v>9222</v>
      </c>
      <c r="BF870">
        <v>1768</v>
      </c>
      <c r="BG870">
        <v>20476</v>
      </c>
      <c r="BH870">
        <v>0</v>
      </c>
      <c r="BI870">
        <v>0</v>
      </c>
      <c r="BJ870">
        <v>0</v>
      </c>
      <c r="BK870">
        <v>0</v>
      </c>
      <c r="BL870" s="2">
        <v>24.82</v>
      </c>
      <c r="BM870" s="2">
        <v>42005.095138888886</v>
      </c>
      <c r="BN870" s="2">
        <v>5.4</v>
      </c>
      <c r="BO870" s="2">
        <v>42005.092361111114</v>
      </c>
      <c r="BP870" s="2">
        <v>6.92</v>
      </c>
      <c r="BQ870" s="2">
        <v>42005.092361111114</v>
      </c>
      <c r="BR870" s="2">
        <v>11.07</v>
      </c>
      <c r="BS870" s="2">
        <v>42005.092361111114</v>
      </c>
      <c r="BT870">
        <v>0</v>
      </c>
      <c r="BU870">
        <v>0</v>
      </c>
      <c r="BV870" t="s">
        <v>135</v>
      </c>
      <c r="BW870">
        <v>0</v>
      </c>
      <c r="BX870">
        <v>0</v>
      </c>
      <c r="BY870" t="s">
        <v>135</v>
      </c>
      <c r="BZ870">
        <v>0</v>
      </c>
      <c r="CA870">
        <v>0</v>
      </c>
      <c r="CB870" t="s">
        <v>135</v>
      </c>
      <c r="CH870" s="2"/>
      <c r="CJ870" s="2"/>
      <c r="CL870" s="2"/>
      <c r="CN870" s="2"/>
      <c r="CQ870" s="2"/>
      <c r="CT870" s="2"/>
      <c r="CW870" s="2"/>
    </row>
    <row r="871" spans="1:101" x14ac:dyDescent="0.25">
      <c r="A871" s="1" t="s">
        <v>163</v>
      </c>
      <c r="B871" s="75" t="s">
        <v>164</v>
      </c>
      <c r="C871">
        <v>0</v>
      </c>
      <c r="D871">
        <v>0</v>
      </c>
      <c r="E871">
        <v>0</v>
      </c>
      <c r="F871">
        <v>604324.56000000006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3.91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7490</v>
      </c>
      <c r="AW871">
        <v>3350</v>
      </c>
      <c r="AX871">
        <v>1219</v>
      </c>
      <c r="AY871">
        <v>12059</v>
      </c>
      <c r="AZ871">
        <v>4202</v>
      </c>
      <c r="BA871">
        <v>7438</v>
      </c>
      <c r="BB871">
        <v>1432</v>
      </c>
      <c r="BC871">
        <v>13072</v>
      </c>
      <c r="BD871">
        <v>9486</v>
      </c>
      <c r="BE871">
        <v>9222</v>
      </c>
      <c r="BF871">
        <v>1768</v>
      </c>
      <c r="BG871">
        <v>20476</v>
      </c>
      <c r="BH871">
        <v>0</v>
      </c>
      <c r="BI871">
        <v>0</v>
      </c>
      <c r="BJ871">
        <v>0</v>
      </c>
      <c r="BK871">
        <v>0</v>
      </c>
      <c r="BL871" s="2">
        <v>24.82</v>
      </c>
      <c r="BM871" s="2">
        <v>42005.095138888886</v>
      </c>
      <c r="BN871" s="2">
        <v>5.4</v>
      </c>
      <c r="BO871" s="2">
        <v>42005.092361111114</v>
      </c>
      <c r="BP871" s="2">
        <v>6.92</v>
      </c>
      <c r="BQ871" s="2">
        <v>42005.092361111114</v>
      </c>
      <c r="BR871" s="2">
        <v>11.07</v>
      </c>
      <c r="BS871" s="2">
        <v>42005.092361111114</v>
      </c>
      <c r="BT871">
        <v>0</v>
      </c>
      <c r="BU871">
        <v>0</v>
      </c>
      <c r="BV871" t="s">
        <v>135</v>
      </c>
      <c r="BW871">
        <v>0</v>
      </c>
      <c r="BX871">
        <v>0</v>
      </c>
      <c r="BY871" t="s">
        <v>135</v>
      </c>
      <c r="BZ871">
        <v>0</v>
      </c>
      <c r="CA871">
        <v>0</v>
      </c>
      <c r="CB871" t="s">
        <v>135</v>
      </c>
      <c r="CH871" s="2"/>
      <c r="CJ871" s="2"/>
      <c r="CL871" s="2"/>
      <c r="CN871" s="2"/>
      <c r="CQ871" s="2"/>
      <c r="CT871" s="2"/>
      <c r="CW871" s="2"/>
    </row>
    <row r="872" spans="1:101" x14ac:dyDescent="0.25">
      <c r="A872" s="1" t="s">
        <v>163</v>
      </c>
      <c r="B872" s="75" t="s">
        <v>164</v>
      </c>
      <c r="C872">
        <v>0</v>
      </c>
      <c r="D872">
        <v>0</v>
      </c>
      <c r="E872">
        <v>0</v>
      </c>
      <c r="F872">
        <v>604324.56000000006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3.91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7490</v>
      </c>
      <c r="AW872">
        <v>3350</v>
      </c>
      <c r="AX872">
        <v>1219</v>
      </c>
      <c r="AY872">
        <v>12059</v>
      </c>
      <c r="AZ872">
        <v>4202</v>
      </c>
      <c r="BA872">
        <v>7438</v>
      </c>
      <c r="BB872">
        <v>1432</v>
      </c>
      <c r="BC872">
        <v>13072</v>
      </c>
      <c r="BD872">
        <v>9486</v>
      </c>
      <c r="BE872">
        <v>9222</v>
      </c>
      <c r="BF872">
        <v>1768</v>
      </c>
      <c r="BG872">
        <v>20476</v>
      </c>
      <c r="BH872">
        <v>0</v>
      </c>
      <c r="BI872">
        <v>0</v>
      </c>
      <c r="BJ872">
        <v>0</v>
      </c>
      <c r="BK872">
        <v>0</v>
      </c>
      <c r="BL872" s="2">
        <v>24.82</v>
      </c>
      <c r="BM872" s="2">
        <v>42005.095138888886</v>
      </c>
      <c r="BN872" s="2">
        <v>5.4</v>
      </c>
      <c r="BO872" s="2">
        <v>42005.092361111114</v>
      </c>
      <c r="BP872" s="2">
        <v>6.92</v>
      </c>
      <c r="BQ872" s="2">
        <v>42005.092361111114</v>
      </c>
      <c r="BR872" s="2">
        <v>11.07</v>
      </c>
      <c r="BS872" s="2">
        <v>42005.092361111114</v>
      </c>
      <c r="BT872">
        <v>0</v>
      </c>
      <c r="BU872">
        <v>0</v>
      </c>
      <c r="BV872" t="s">
        <v>135</v>
      </c>
      <c r="BW872">
        <v>0</v>
      </c>
      <c r="BX872">
        <v>0</v>
      </c>
      <c r="BY872" t="s">
        <v>135</v>
      </c>
      <c r="BZ872">
        <v>0</v>
      </c>
      <c r="CA872">
        <v>0</v>
      </c>
      <c r="CB872" t="s">
        <v>135</v>
      </c>
      <c r="CH872" s="2"/>
      <c r="CJ872" s="2"/>
      <c r="CL872" s="2"/>
      <c r="CN872" s="2"/>
      <c r="CQ872" s="2"/>
      <c r="CT872" s="2"/>
      <c r="CW872" s="2"/>
    </row>
    <row r="873" spans="1:101" x14ac:dyDescent="0.25">
      <c r="A873" s="1" t="s">
        <v>163</v>
      </c>
      <c r="B873" s="75" t="s">
        <v>164</v>
      </c>
      <c r="C873">
        <v>0</v>
      </c>
      <c r="D873">
        <v>0</v>
      </c>
      <c r="E873">
        <v>0</v>
      </c>
      <c r="F873">
        <v>604324.56000000006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3.91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7490</v>
      </c>
      <c r="AW873">
        <v>3350</v>
      </c>
      <c r="AX873">
        <v>1219</v>
      </c>
      <c r="AY873">
        <v>12059</v>
      </c>
      <c r="AZ873">
        <v>4202</v>
      </c>
      <c r="BA873">
        <v>7438</v>
      </c>
      <c r="BB873">
        <v>1432</v>
      </c>
      <c r="BC873">
        <v>13072</v>
      </c>
      <c r="BD873">
        <v>9486</v>
      </c>
      <c r="BE873">
        <v>9222</v>
      </c>
      <c r="BF873">
        <v>1768</v>
      </c>
      <c r="BG873">
        <v>20476</v>
      </c>
      <c r="BH873">
        <v>0</v>
      </c>
      <c r="BI873">
        <v>0</v>
      </c>
      <c r="BJ873">
        <v>0</v>
      </c>
      <c r="BK873">
        <v>0</v>
      </c>
      <c r="BL873" s="2">
        <v>24.82</v>
      </c>
      <c r="BM873" s="2">
        <v>42005.095138888886</v>
      </c>
      <c r="BN873" s="2">
        <v>5.4</v>
      </c>
      <c r="BO873" s="2">
        <v>42005.092361111114</v>
      </c>
      <c r="BP873" s="2">
        <v>6.92</v>
      </c>
      <c r="BQ873" s="2">
        <v>42005.092361111114</v>
      </c>
      <c r="BR873" s="2">
        <v>11.07</v>
      </c>
      <c r="BS873" s="2">
        <v>42005.092361111114</v>
      </c>
      <c r="BT873">
        <v>0</v>
      </c>
      <c r="BU873">
        <v>0</v>
      </c>
      <c r="BV873" t="s">
        <v>135</v>
      </c>
      <c r="BW873">
        <v>0</v>
      </c>
      <c r="BX873">
        <v>0</v>
      </c>
      <c r="BY873" t="s">
        <v>135</v>
      </c>
      <c r="BZ873">
        <v>0</v>
      </c>
      <c r="CA873">
        <v>0</v>
      </c>
      <c r="CB873" t="s">
        <v>135</v>
      </c>
      <c r="CH873" s="2"/>
      <c r="CJ873" s="2"/>
      <c r="CL873" s="2"/>
      <c r="CN873" s="2"/>
      <c r="CQ873" s="2"/>
      <c r="CT873" s="2"/>
      <c r="CW873" s="2"/>
    </row>
    <row r="874" spans="1:101" x14ac:dyDescent="0.25">
      <c r="A874" s="1" t="s">
        <v>163</v>
      </c>
      <c r="B874" s="75" t="s">
        <v>164</v>
      </c>
      <c r="C874">
        <v>0</v>
      </c>
      <c r="D874">
        <v>0</v>
      </c>
      <c r="E874">
        <v>0</v>
      </c>
      <c r="F874">
        <v>604324.56000000006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3.91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7490</v>
      </c>
      <c r="AW874">
        <v>3350</v>
      </c>
      <c r="AX874">
        <v>1219</v>
      </c>
      <c r="AY874">
        <v>12059</v>
      </c>
      <c r="AZ874">
        <v>4202</v>
      </c>
      <c r="BA874">
        <v>7438</v>
      </c>
      <c r="BB874">
        <v>1432</v>
      </c>
      <c r="BC874">
        <v>13072</v>
      </c>
      <c r="BD874">
        <v>9486</v>
      </c>
      <c r="BE874">
        <v>9222</v>
      </c>
      <c r="BF874">
        <v>1768</v>
      </c>
      <c r="BG874">
        <v>20476</v>
      </c>
      <c r="BH874">
        <v>0</v>
      </c>
      <c r="BI874">
        <v>0</v>
      </c>
      <c r="BJ874">
        <v>0</v>
      </c>
      <c r="BK874">
        <v>0</v>
      </c>
      <c r="BL874" s="2">
        <v>24.82</v>
      </c>
      <c r="BM874" s="2">
        <v>42005.095138888886</v>
      </c>
      <c r="BN874" s="2">
        <v>5.4</v>
      </c>
      <c r="BO874" s="2">
        <v>42005.092361111114</v>
      </c>
      <c r="BP874" s="2">
        <v>6.92</v>
      </c>
      <c r="BQ874" s="2">
        <v>42005.092361111114</v>
      </c>
      <c r="BR874" s="2">
        <v>11.07</v>
      </c>
      <c r="BS874" s="2">
        <v>42005.092361111114</v>
      </c>
      <c r="BT874">
        <v>0</v>
      </c>
      <c r="BU874">
        <v>0</v>
      </c>
      <c r="BV874" t="s">
        <v>135</v>
      </c>
      <c r="BW874">
        <v>0</v>
      </c>
      <c r="BX874">
        <v>0</v>
      </c>
      <c r="BY874" t="s">
        <v>135</v>
      </c>
      <c r="BZ874">
        <v>0</v>
      </c>
      <c r="CA874">
        <v>0</v>
      </c>
      <c r="CB874" t="s">
        <v>135</v>
      </c>
      <c r="CH874" s="2"/>
      <c r="CJ874" s="2"/>
      <c r="CL874" s="2"/>
      <c r="CN874" s="2"/>
      <c r="CQ874" s="2"/>
      <c r="CT874" s="2"/>
      <c r="CW874" s="2"/>
    </row>
    <row r="875" spans="1:101" x14ac:dyDescent="0.25">
      <c r="A875" s="1" t="s">
        <v>163</v>
      </c>
      <c r="B875" s="75" t="s">
        <v>164</v>
      </c>
      <c r="C875">
        <v>0</v>
      </c>
      <c r="D875">
        <v>0</v>
      </c>
      <c r="E875">
        <v>0</v>
      </c>
      <c r="F875">
        <v>604324.56000000006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3.91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7490</v>
      </c>
      <c r="AW875">
        <v>3350</v>
      </c>
      <c r="AX875">
        <v>1219</v>
      </c>
      <c r="AY875">
        <v>12059</v>
      </c>
      <c r="AZ875">
        <v>4202</v>
      </c>
      <c r="BA875">
        <v>7438</v>
      </c>
      <c r="BB875">
        <v>1432</v>
      </c>
      <c r="BC875">
        <v>13072</v>
      </c>
      <c r="BD875">
        <v>9486</v>
      </c>
      <c r="BE875">
        <v>9222</v>
      </c>
      <c r="BF875">
        <v>1768</v>
      </c>
      <c r="BG875">
        <v>20476</v>
      </c>
      <c r="BH875">
        <v>0</v>
      </c>
      <c r="BI875">
        <v>0</v>
      </c>
      <c r="BJ875">
        <v>0</v>
      </c>
      <c r="BK875">
        <v>0</v>
      </c>
      <c r="BL875" s="2">
        <v>24.82</v>
      </c>
      <c r="BM875" s="2">
        <v>42005.095138888886</v>
      </c>
      <c r="BN875" s="2">
        <v>5.4</v>
      </c>
      <c r="BO875" s="2">
        <v>42005.092361111114</v>
      </c>
      <c r="BP875" s="2">
        <v>6.92</v>
      </c>
      <c r="BQ875" s="2">
        <v>42005.092361111114</v>
      </c>
      <c r="BR875" s="2">
        <v>11.07</v>
      </c>
      <c r="BS875" s="2">
        <v>42005.092361111114</v>
      </c>
      <c r="BT875">
        <v>0</v>
      </c>
      <c r="BU875">
        <v>0</v>
      </c>
      <c r="BV875" t="s">
        <v>135</v>
      </c>
      <c r="BW875">
        <v>0</v>
      </c>
      <c r="BX875">
        <v>0</v>
      </c>
      <c r="BY875" t="s">
        <v>135</v>
      </c>
      <c r="BZ875">
        <v>0</v>
      </c>
      <c r="CA875">
        <v>0</v>
      </c>
      <c r="CB875" t="s">
        <v>135</v>
      </c>
      <c r="CH875" s="2"/>
      <c r="CJ875" s="2"/>
      <c r="CL875" s="2"/>
      <c r="CN875" s="2"/>
      <c r="CQ875" s="2"/>
      <c r="CT875" s="2"/>
      <c r="CW875" s="2"/>
    </row>
    <row r="876" spans="1:101" x14ac:dyDescent="0.25">
      <c r="A876" s="1" t="s">
        <v>163</v>
      </c>
      <c r="B876" s="75" t="s">
        <v>164</v>
      </c>
      <c r="C876">
        <v>0</v>
      </c>
      <c r="D876">
        <v>0</v>
      </c>
      <c r="E876">
        <v>0</v>
      </c>
      <c r="F876">
        <v>604324.56000000006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3.91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7490</v>
      </c>
      <c r="AW876">
        <v>3350</v>
      </c>
      <c r="AX876">
        <v>1219</v>
      </c>
      <c r="AY876">
        <v>12059</v>
      </c>
      <c r="AZ876">
        <v>4202</v>
      </c>
      <c r="BA876">
        <v>7438</v>
      </c>
      <c r="BB876">
        <v>1432</v>
      </c>
      <c r="BC876">
        <v>13072</v>
      </c>
      <c r="BD876">
        <v>9486</v>
      </c>
      <c r="BE876">
        <v>9222</v>
      </c>
      <c r="BF876">
        <v>1768</v>
      </c>
      <c r="BG876">
        <v>20476</v>
      </c>
      <c r="BH876">
        <v>0</v>
      </c>
      <c r="BI876">
        <v>0</v>
      </c>
      <c r="BJ876">
        <v>0</v>
      </c>
      <c r="BK876">
        <v>0</v>
      </c>
      <c r="BL876" s="2">
        <v>24.82</v>
      </c>
      <c r="BM876" s="2">
        <v>42005.095138888886</v>
      </c>
      <c r="BN876" s="2">
        <v>5.4</v>
      </c>
      <c r="BO876" s="2">
        <v>42005.092361111114</v>
      </c>
      <c r="BP876" s="2">
        <v>6.92</v>
      </c>
      <c r="BQ876" s="2">
        <v>42005.092361111114</v>
      </c>
      <c r="BR876" s="2">
        <v>11.07</v>
      </c>
      <c r="BS876" s="2">
        <v>42005.092361111114</v>
      </c>
      <c r="BT876">
        <v>0</v>
      </c>
      <c r="BU876">
        <v>0</v>
      </c>
      <c r="BV876" t="s">
        <v>135</v>
      </c>
      <c r="BW876">
        <v>0</v>
      </c>
      <c r="BX876">
        <v>0</v>
      </c>
      <c r="BY876" t="s">
        <v>135</v>
      </c>
      <c r="BZ876">
        <v>0</v>
      </c>
      <c r="CA876">
        <v>0</v>
      </c>
      <c r="CB876" t="s">
        <v>135</v>
      </c>
      <c r="CH876" s="2"/>
      <c r="CJ876" s="2"/>
      <c r="CL876" s="2"/>
      <c r="CN876" s="2"/>
      <c r="CQ876" s="2"/>
      <c r="CT876" s="2"/>
      <c r="CW876" s="2"/>
    </row>
    <row r="877" spans="1:101" x14ac:dyDescent="0.25">
      <c r="A877" s="1" t="s">
        <v>163</v>
      </c>
      <c r="B877" s="75" t="s">
        <v>164</v>
      </c>
      <c r="C877">
        <v>0</v>
      </c>
      <c r="D877">
        <v>0</v>
      </c>
      <c r="E877">
        <v>0</v>
      </c>
      <c r="F877">
        <v>604324.56000000006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3.91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7490</v>
      </c>
      <c r="AW877">
        <v>3350</v>
      </c>
      <c r="AX877">
        <v>1219</v>
      </c>
      <c r="AY877">
        <v>12059</v>
      </c>
      <c r="AZ877">
        <v>4202</v>
      </c>
      <c r="BA877">
        <v>7438</v>
      </c>
      <c r="BB877">
        <v>1432</v>
      </c>
      <c r="BC877">
        <v>13072</v>
      </c>
      <c r="BD877">
        <v>9486</v>
      </c>
      <c r="BE877">
        <v>9222</v>
      </c>
      <c r="BF877">
        <v>1768</v>
      </c>
      <c r="BG877">
        <v>20476</v>
      </c>
      <c r="BH877">
        <v>0</v>
      </c>
      <c r="BI877">
        <v>0</v>
      </c>
      <c r="BJ877">
        <v>0</v>
      </c>
      <c r="BK877">
        <v>0</v>
      </c>
      <c r="BL877" s="2">
        <v>24.82</v>
      </c>
      <c r="BM877" s="2">
        <v>42005.095138888886</v>
      </c>
      <c r="BN877" s="2">
        <v>5.4</v>
      </c>
      <c r="BO877" s="2">
        <v>42005.092361111114</v>
      </c>
      <c r="BP877" s="2">
        <v>6.92</v>
      </c>
      <c r="BQ877" s="2">
        <v>42005.092361111114</v>
      </c>
      <c r="BR877" s="2">
        <v>11.07</v>
      </c>
      <c r="BS877" s="2">
        <v>42005.092361111114</v>
      </c>
      <c r="BT877">
        <v>0</v>
      </c>
      <c r="BU877">
        <v>0</v>
      </c>
      <c r="BV877" t="s">
        <v>135</v>
      </c>
      <c r="BW877">
        <v>0</v>
      </c>
      <c r="BX877">
        <v>0</v>
      </c>
      <c r="BY877" t="s">
        <v>135</v>
      </c>
      <c r="BZ877">
        <v>0</v>
      </c>
      <c r="CA877">
        <v>0</v>
      </c>
      <c r="CB877" t="s">
        <v>135</v>
      </c>
      <c r="CH877" s="2"/>
      <c r="CJ877" s="2"/>
      <c r="CL877" s="2"/>
      <c r="CN877" s="2"/>
      <c r="CQ877" s="2"/>
      <c r="CT877" s="2"/>
      <c r="CW877" s="2"/>
    </row>
    <row r="878" spans="1:101" x14ac:dyDescent="0.25">
      <c r="A878" s="1" t="s">
        <v>163</v>
      </c>
      <c r="B878" s="75" t="s">
        <v>164</v>
      </c>
      <c r="C878">
        <v>0</v>
      </c>
      <c r="D878">
        <v>0</v>
      </c>
      <c r="E878">
        <v>0</v>
      </c>
      <c r="F878">
        <v>604324.56000000006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3.91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7490</v>
      </c>
      <c r="AW878">
        <v>3350</v>
      </c>
      <c r="AX878">
        <v>1219</v>
      </c>
      <c r="AY878">
        <v>12059</v>
      </c>
      <c r="AZ878">
        <v>4202</v>
      </c>
      <c r="BA878">
        <v>7438</v>
      </c>
      <c r="BB878">
        <v>1432</v>
      </c>
      <c r="BC878">
        <v>13072</v>
      </c>
      <c r="BD878">
        <v>9486</v>
      </c>
      <c r="BE878">
        <v>9222</v>
      </c>
      <c r="BF878">
        <v>1768</v>
      </c>
      <c r="BG878">
        <v>20476</v>
      </c>
      <c r="BH878">
        <v>0</v>
      </c>
      <c r="BI878">
        <v>0</v>
      </c>
      <c r="BJ878">
        <v>0</v>
      </c>
      <c r="BK878">
        <v>0</v>
      </c>
      <c r="BL878" s="2">
        <v>24.82</v>
      </c>
      <c r="BM878" s="2">
        <v>42005.095138888886</v>
      </c>
      <c r="BN878" s="2">
        <v>5.4</v>
      </c>
      <c r="BO878" s="2">
        <v>42005.092361111114</v>
      </c>
      <c r="BP878" s="2">
        <v>6.92</v>
      </c>
      <c r="BQ878" s="2">
        <v>42005.092361111114</v>
      </c>
      <c r="BR878" s="2">
        <v>11.07</v>
      </c>
      <c r="BS878" s="2">
        <v>42005.092361111114</v>
      </c>
      <c r="BT878">
        <v>0</v>
      </c>
      <c r="BU878">
        <v>0</v>
      </c>
      <c r="BV878" t="s">
        <v>135</v>
      </c>
      <c r="BW878">
        <v>0</v>
      </c>
      <c r="BX878">
        <v>0</v>
      </c>
      <c r="BY878" t="s">
        <v>135</v>
      </c>
      <c r="BZ878">
        <v>0</v>
      </c>
      <c r="CA878">
        <v>0</v>
      </c>
      <c r="CB878" t="s">
        <v>135</v>
      </c>
      <c r="CH878" s="2"/>
      <c r="CJ878" s="2"/>
      <c r="CL878" s="2"/>
      <c r="CN878" s="2"/>
      <c r="CQ878" s="2"/>
      <c r="CT878" s="2"/>
      <c r="CW878" s="2"/>
    </row>
    <row r="879" spans="1:101" x14ac:dyDescent="0.25">
      <c r="A879" s="1" t="s">
        <v>163</v>
      </c>
      <c r="B879" s="75" t="s">
        <v>164</v>
      </c>
      <c r="C879">
        <v>0</v>
      </c>
      <c r="D879">
        <v>0</v>
      </c>
      <c r="E879">
        <v>0</v>
      </c>
      <c r="F879">
        <v>604324.56000000006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3.91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7490</v>
      </c>
      <c r="AW879">
        <v>3350</v>
      </c>
      <c r="AX879">
        <v>1219</v>
      </c>
      <c r="AY879">
        <v>12059</v>
      </c>
      <c r="AZ879">
        <v>4202</v>
      </c>
      <c r="BA879">
        <v>7438</v>
      </c>
      <c r="BB879">
        <v>1432</v>
      </c>
      <c r="BC879">
        <v>13072</v>
      </c>
      <c r="BD879">
        <v>9486</v>
      </c>
      <c r="BE879">
        <v>9222</v>
      </c>
      <c r="BF879">
        <v>1768</v>
      </c>
      <c r="BG879">
        <v>20476</v>
      </c>
      <c r="BH879">
        <v>0</v>
      </c>
      <c r="BI879">
        <v>0</v>
      </c>
      <c r="BJ879">
        <v>0</v>
      </c>
      <c r="BK879">
        <v>0</v>
      </c>
      <c r="BL879" s="2">
        <v>24.82</v>
      </c>
      <c r="BM879" s="2">
        <v>42005.095138888886</v>
      </c>
      <c r="BN879" s="2">
        <v>5.4</v>
      </c>
      <c r="BO879" s="2">
        <v>42005.092361111114</v>
      </c>
      <c r="BP879" s="2">
        <v>6.92</v>
      </c>
      <c r="BQ879" s="2">
        <v>42005.092361111114</v>
      </c>
      <c r="BR879" s="2">
        <v>11.07</v>
      </c>
      <c r="BS879" s="2">
        <v>42005.092361111114</v>
      </c>
      <c r="BT879">
        <v>0</v>
      </c>
      <c r="BU879">
        <v>0</v>
      </c>
      <c r="BV879" t="s">
        <v>135</v>
      </c>
      <c r="BW879">
        <v>0</v>
      </c>
      <c r="BX879">
        <v>0</v>
      </c>
      <c r="BY879" t="s">
        <v>135</v>
      </c>
      <c r="BZ879">
        <v>0</v>
      </c>
      <c r="CA879">
        <v>0</v>
      </c>
      <c r="CB879" t="s">
        <v>135</v>
      </c>
      <c r="CH879" s="2"/>
      <c r="CJ879" s="2"/>
      <c r="CL879" s="2"/>
      <c r="CN879" s="2"/>
      <c r="CQ879" s="2"/>
      <c r="CT879" s="2"/>
      <c r="CW879" s="2"/>
    </row>
    <row r="880" spans="1:101" x14ac:dyDescent="0.25">
      <c r="A880" s="1" t="s">
        <v>163</v>
      </c>
      <c r="B880" s="75" t="s">
        <v>164</v>
      </c>
      <c r="C880">
        <v>0</v>
      </c>
      <c r="D880">
        <v>0</v>
      </c>
      <c r="E880">
        <v>0</v>
      </c>
      <c r="F880">
        <v>604324.56000000006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3.91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7490</v>
      </c>
      <c r="AW880">
        <v>3350</v>
      </c>
      <c r="AX880">
        <v>1219</v>
      </c>
      <c r="AY880">
        <v>12059</v>
      </c>
      <c r="AZ880">
        <v>4202</v>
      </c>
      <c r="BA880">
        <v>7438</v>
      </c>
      <c r="BB880">
        <v>1432</v>
      </c>
      <c r="BC880">
        <v>13072</v>
      </c>
      <c r="BD880">
        <v>9486</v>
      </c>
      <c r="BE880">
        <v>9222</v>
      </c>
      <c r="BF880">
        <v>1768</v>
      </c>
      <c r="BG880">
        <v>20476</v>
      </c>
      <c r="BH880">
        <v>0</v>
      </c>
      <c r="BI880">
        <v>0</v>
      </c>
      <c r="BJ880">
        <v>0</v>
      </c>
      <c r="BK880">
        <v>0</v>
      </c>
      <c r="BL880" s="2">
        <v>24.82</v>
      </c>
      <c r="BM880" s="2">
        <v>42005.095138888886</v>
      </c>
      <c r="BN880" s="2">
        <v>5.4</v>
      </c>
      <c r="BO880" s="2">
        <v>42005.092361111114</v>
      </c>
      <c r="BP880" s="2">
        <v>6.92</v>
      </c>
      <c r="BQ880" s="2">
        <v>42005.092361111114</v>
      </c>
      <c r="BR880" s="2">
        <v>11.07</v>
      </c>
      <c r="BS880" s="2">
        <v>42005.092361111114</v>
      </c>
      <c r="BT880">
        <v>0</v>
      </c>
      <c r="BU880">
        <v>0</v>
      </c>
      <c r="BV880" t="s">
        <v>135</v>
      </c>
      <c r="BW880">
        <v>0</v>
      </c>
      <c r="BX880">
        <v>0</v>
      </c>
      <c r="BY880" t="s">
        <v>135</v>
      </c>
      <c r="BZ880">
        <v>0</v>
      </c>
      <c r="CA880">
        <v>0</v>
      </c>
      <c r="CB880" t="s">
        <v>135</v>
      </c>
      <c r="CH880" s="2"/>
      <c r="CJ880" s="2"/>
      <c r="CL880" s="2"/>
      <c r="CN880" s="2"/>
      <c r="CQ880" s="2"/>
      <c r="CT880" s="2"/>
      <c r="CW880" s="2"/>
    </row>
    <row r="881" spans="1:101" x14ac:dyDescent="0.25">
      <c r="A881" s="1" t="s">
        <v>163</v>
      </c>
      <c r="B881" s="75" t="s">
        <v>164</v>
      </c>
      <c r="C881">
        <v>0</v>
      </c>
      <c r="D881">
        <v>0</v>
      </c>
      <c r="E881">
        <v>0</v>
      </c>
      <c r="F881">
        <v>604324.56000000006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3.91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7490</v>
      </c>
      <c r="AW881">
        <v>3350</v>
      </c>
      <c r="AX881">
        <v>1219</v>
      </c>
      <c r="AY881">
        <v>12059</v>
      </c>
      <c r="AZ881">
        <v>4202</v>
      </c>
      <c r="BA881">
        <v>7438</v>
      </c>
      <c r="BB881">
        <v>1432</v>
      </c>
      <c r="BC881">
        <v>13072</v>
      </c>
      <c r="BD881">
        <v>9486</v>
      </c>
      <c r="BE881">
        <v>9222</v>
      </c>
      <c r="BF881">
        <v>1768</v>
      </c>
      <c r="BG881">
        <v>20476</v>
      </c>
      <c r="BH881">
        <v>0</v>
      </c>
      <c r="BI881">
        <v>0</v>
      </c>
      <c r="BJ881">
        <v>0</v>
      </c>
      <c r="BK881">
        <v>0</v>
      </c>
      <c r="BL881" s="2">
        <v>24.82</v>
      </c>
      <c r="BM881" s="2">
        <v>42005.095138888886</v>
      </c>
      <c r="BN881" s="2">
        <v>5.4</v>
      </c>
      <c r="BO881" s="2">
        <v>42005.092361111114</v>
      </c>
      <c r="BP881" s="2">
        <v>6.92</v>
      </c>
      <c r="BQ881" s="2">
        <v>42005.092361111114</v>
      </c>
      <c r="BR881" s="2">
        <v>11.07</v>
      </c>
      <c r="BS881" s="2">
        <v>42005.092361111114</v>
      </c>
      <c r="BT881">
        <v>0</v>
      </c>
      <c r="BU881">
        <v>0</v>
      </c>
      <c r="BV881" t="s">
        <v>135</v>
      </c>
      <c r="BW881">
        <v>0</v>
      </c>
      <c r="BX881">
        <v>0</v>
      </c>
      <c r="BY881" t="s">
        <v>135</v>
      </c>
      <c r="BZ881">
        <v>0</v>
      </c>
      <c r="CA881">
        <v>0</v>
      </c>
      <c r="CB881" t="s">
        <v>135</v>
      </c>
      <c r="CH881" s="2"/>
      <c r="CJ881" s="2"/>
      <c r="CL881" s="2"/>
      <c r="CN881" s="2"/>
      <c r="CQ881" s="2"/>
      <c r="CT881" s="2"/>
      <c r="CW881" s="2"/>
    </row>
    <row r="882" spans="1:101" x14ac:dyDescent="0.25">
      <c r="A882" s="1" t="s">
        <v>163</v>
      </c>
      <c r="B882" s="75" t="s">
        <v>164</v>
      </c>
      <c r="C882">
        <v>0</v>
      </c>
      <c r="D882">
        <v>0</v>
      </c>
      <c r="E882">
        <v>0</v>
      </c>
      <c r="F882">
        <v>604324.56000000006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3.91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7490</v>
      </c>
      <c r="AW882">
        <v>3350</v>
      </c>
      <c r="AX882">
        <v>1219</v>
      </c>
      <c r="AY882">
        <v>12059</v>
      </c>
      <c r="AZ882">
        <v>4202</v>
      </c>
      <c r="BA882">
        <v>7438</v>
      </c>
      <c r="BB882">
        <v>1432</v>
      </c>
      <c r="BC882">
        <v>13072</v>
      </c>
      <c r="BD882">
        <v>9486</v>
      </c>
      <c r="BE882">
        <v>9222</v>
      </c>
      <c r="BF882">
        <v>1768</v>
      </c>
      <c r="BG882">
        <v>20476</v>
      </c>
      <c r="BH882">
        <v>0</v>
      </c>
      <c r="BI882">
        <v>0</v>
      </c>
      <c r="BJ882">
        <v>0</v>
      </c>
      <c r="BK882">
        <v>0</v>
      </c>
      <c r="BL882" s="2">
        <v>24.82</v>
      </c>
      <c r="BM882" s="2">
        <v>42005.095138888886</v>
      </c>
      <c r="BN882" s="2">
        <v>5.4</v>
      </c>
      <c r="BO882" s="2">
        <v>42005.092361111114</v>
      </c>
      <c r="BP882" s="2">
        <v>6.92</v>
      </c>
      <c r="BQ882" s="2">
        <v>42005.092361111114</v>
      </c>
      <c r="BR882" s="2">
        <v>11.07</v>
      </c>
      <c r="BS882" s="2">
        <v>42005.092361111114</v>
      </c>
      <c r="BT882">
        <v>0</v>
      </c>
      <c r="BU882">
        <v>0</v>
      </c>
      <c r="BV882" t="s">
        <v>135</v>
      </c>
      <c r="BW882">
        <v>0</v>
      </c>
      <c r="BX882">
        <v>0</v>
      </c>
      <c r="BY882" t="s">
        <v>135</v>
      </c>
      <c r="BZ882">
        <v>0</v>
      </c>
      <c r="CA882">
        <v>0</v>
      </c>
      <c r="CB882" t="s">
        <v>135</v>
      </c>
      <c r="CH882" s="2"/>
      <c r="CJ882" s="2"/>
      <c r="CL882" s="2"/>
      <c r="CN882" s="2"/>
      <c r="CQ882" s="2"/>
      <c r="CT882" s="2"/>
      <c r="CW882" s="2"/>
    </row>
    <row r="883" spans="1:101" x14ac:dyDescent="0.25">
      <c r="A883" s="1" t="s">
        <v>163</v>
      </c>
      <c r="B883" s="75" t="s">
        <v>164</v>
      </c>
      <c r="C883">
        <v>0</v>
      </c>
      <c r="D883">
        <v>0</v>
      </c>
      <c r="E883">
        <v>0</v>
      </c>
      <c r="F883">
        <v>604324.56000000006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3.91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7490</v>
      </c>
      <c r="AW883">
        <v>3350</v>
      </c>
      <c r="AX883">
        <v>1219</v>
      </c>
      <c r="AY883">
        <v>12059</v>
      </c>
      <c r="AZ883">
        <v>4202</v>
      </c>
      <c r="BA883">
        <v>7438</v>
      </c>
      <c r="BB883">
        <v>1432</v>
      </c>
      <c r="BC883">
        <v>13072</v>
      </c>
      <c r="BD883">
        <v>9486</v>
      </c>
      <c r="BE883">
        <v>9222</v>
      </c>
      <c r="BF883">
        <v>1768</v>
      </c>
      <c r="BG883">
        <v>20476</v>
      </c>
      <c r="BH883">
        <v>0</v>
      </c>
      <c r="BI883">
        <v>0</v>
      </c>
      <c r="BJ883">
        <v>0</v>
      </c>
      <c r="BK883">
        <v>0</v>
      </c>
      <c r="BL883" s="2">
        <v>24.82</v>
      </c>
      <c r="BM883" s="2">
        <v>42005.095138888886</v>
      </c>
      <c r="BN883" s="2">
        <v>5.4</v>
      </c>
      <c r="BO883" s="2">
        <v>42005.092361111114</v>
      </c>
      <c r="BP883" s="2">
        <v>6.92</v>
      </c>
      <c r="BQ883" s="2">
        <v>42005.092361111114</v>
      </c>
      <c r="BR883" s="2">
        <v>11.07</v>
      </c>
      <c r="BS883" s="2">
        <v>42005.092361111114</v>
      </c>
      <c r="BT883">
        <v>0</v>
      </c>
      <c r="BU883">
        <v>0</v>
      </c>
      <c r="BV883" t="s">
        <v>135</v>
      </c>
      <c r="BW883">
        <v>0</v>
      </c>
      <c r="BX883">
        <v>0</v>
      </c>
      <c r="BY883" t="s">
        <v>135</v>
      </c>
      <c r="BZ883">
        <v>0</v>
      </c>
      <c r="CA883">
        <v>0</v>
      </c>
      <c r="CB883" t="s">
        <v>135</v>
      </c>
      <c r="CH883" s="2"/>
      <c r="CJ883" s="2"/>
      <c r="CL883" s="2"/>
      <c r="CN883" s="2"/>
      <c r="CQ883" s="2"/>
      <c r="CT883" s="2"/>
      <c r="CW883" s="2"/>
    </row>
    <row r="884" spans="1:101" x14ac:dyDescent="0.25">
      <c r="A884" s="1" t="s">
        <v>163</v>
      </c>
      <c r="B884" s="75" t="s">
        <v>164</v>
      </c>
      <c r="C884">
        <v>0</v>
      </c>
      <c r="D884">
        <v>0</v>
      </c>
      <c r="E884">
        <v>0</v>
      </c>
      <c r="F884">
        <v>604324.56000000006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3.91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7490</v>
      </c>
      <c r="AW884">
        <v>3350</v>
      </c>
      <c r="AX884">
        <v>1219</v>
      </c>
      <c r="AY884">
        <v>12059</v>
      </c>
      <c r="AZ884">
        <v>4202</v>
      </c>
      <c r="BA884">
        <v>7438</v>
      </c>
      <c r="BB884">
        <v>1432</v>
      </c>
      <c r="BC884">
        <v>13072</v>
      </c>
      <c r="BD884">
        <v>9486</v>
      </c>
      <c r="BE884">
        <v>9222</v>
      </c>
      <c r="BF884">
        <v>1768</v>
      </c>
      <c r="BG884">
        <v>20476</v>
      </c>
      <c r="BH884">
        <v>0</v>
      </c>
      <c r="BI884">
        <v>0</v>
      </c>
      <c r="BJ884">
        <v>0</v>
      </c>
      <c r="BK884">
        <v>0</v>
      </c>
      <c r="BL884" s="2">
        <v>24.82</v>
      </c>
      <c r="BM884" s="2">
        <v>42005.095138888886</v>
      </c>
      <c r="BN884" s="2">
        <v>5.4</v>
      </c>
      <c r="BO884" s="2">
        <v>42005.092361111114</v>
      </c>
      <c r="BP884" s="2">
        <v>6.92</v>
      </c>
      <c r="BQ884" s="2">
        <v>42005.092361111114</v>
      </c>
      <c r="BR884" s="2">
        <v>11.07</v>
      </c>
      <c r="BS884" s="2">
        <v>42005.092361111114</v>
      </c>
      <c r="BT884">
        <v>0</v>
      </c>
      <c r="BU884">
        <v>0</v>
      </c>
      <c r="BV884" t="s">
        <v>135</v>
      </c>
      <c r="BW884">
        <v>0</v>
      </c>
      <c r="BX884">
        <v>0</v>
      </c>
      <c r="BY884" t="s">
        <v>135</v>
      </c>
      <c r="BZ884">
        <v>0</v>
      </c>
      <c r="CA884">
        <v>0</v>
      </c>
      <c r="CB884" t="s">
        <v>135</v>
      </c>
      <c r="CH884" s="2"/>
      <c r="CJ884" s="2"/>
      <c r="CL884" s="2"/>
      <c r="CN884" s="2"/>
      <c r="CQ884" s="2"/>
      <c r="CT884" s="2"/>
      <c r="CW884" s="2"/>
    </row>
    <row r="885" spans="1:101" x14ac:dyDescent="0.25">
      <c r="A885" s="1" t="s">
        <v>163</v>
      </c>
      <c r="B885" s="75" t="s">
        <v>164</v>
      </c>
      <c r="C885">
        <v>0</v>
      </c>
      <c r="D885">
        <v>0</v>
      </c>
      <c r="E885">
        <v>0</v>
      </c>
      <c r="F885">
        <v>604324.56000000006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3.91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7490</v>
      </c>
      <c r="AW885">
        <v>3350</v>
      </c>
      <c r="AX885">
        <v>1219</v>
      </c>
      <c r="AY885">
        <v>12059</v>
      </c>
      <c r="AZ885">
        <v>4202</v>
      </c>
      <c r="BA885">
        <v>7438</v>
      </c>
      <c r="BB885">
        <v>1432</v>
      </c>
      <c r="BC885">
        <v>13072</v>
      </c>
      <c r="BD885">
        <v>9486</v>
      </c>
      <c r="BE885">
        <v>9222</v>
      </c>
      <c r="BF885">
        <v>1768</v>
      </c>
      <c r="BG885">
        <v>20476</v>
      </c>
      <c r="BH885">
        <v>0</v>
      </c>
      <c r="BI885">
        <v>0</v>
      </c>
      <c r="BJ885">
        <v>0</v>
      </c>
      <c r="BK885">
        <v>0</v>
      </c>
      <c r="BL885" s="2">
        <v>24.82</v>
      </c>
      <c r="BM885" s="2">
        <v>42005.095138888886</v>
      </c>
      <c r="BN885" s="2">
        <v>5.4</v>
      </c>
      <c r="BO885" s="2">
        <v>42005.092361111114</v>
      </c>
      <c r="BP885" s="2">
        <v>6.92</v>
      </c>
      <c r="BQ885" s="2">
        <v>42005.092361111114</v>
      </c>
      <c r="BR885" s="2">
        <v>11.07</v>
      </c>
      <c r="BS885" s="2">
        <v>42005.092361111114</v>
      </c>
      <c r="BT885">
        <v>0</v>
      </c>
      <c r="BU885">
        <v>0</v>
      </c>
      <c r="BV885" t="s">
        <v>135</v>
      </c>
      <c r="BW885">
        <v>0</v>
      </c>
      <c r="BX885">
        <v>0</v>
      </c>
      <c r="BY885" t="s">
        <v>135</v>
      </c>
      <c r="BZ885">
        <v>0</v>
      </c>
      <c r="CA885">
        <v>0</v>
      </c>
      <c r="CB885" t="s">
        <v>135</v>
      </c>
      <c r="CH885" s="2"/>
      <c r="CJ885" s="2"/>
      <c r="CL885" s="2"/>
      <c r="CN885" s="2"/>
      <c r="CQ885" s="2"/>
      <c r="CT885" s="2"/>
      <c r="CW885" s="2"/>
    </row>
    <row r="886" spans="1:101" x14ac:dyDescent="0.25">
      <c r="A886" s="1" t="s">
        <v>163</v>
      </c>
      <c r="B886" s="75" t="s">
        <v>164</v>
      </c>
      <c r="C886">
        <v>0</v>
      </c>
      <c r="D886">
        <v>0</v>
      </c>
      <c r="E886">
        <v>0</v>
      </c>
      <c r="F886">
        <v>604324.56000000006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3.91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7490</v>
      </c>
      <c r="AW886">
        <v>3350</v>
      </c>
      <c r="AX886">
        <v>1219</v>
      </c>
      <c r="AY886">
        <v>12059</v>
      </c>
      <c r="AZ886">
        <v>4202</v>
      </c>
      <c r="BA886">
        <v>7438</v>
      </c>
      <c r="BB886">
        <v>1432</v>
      </c>
      <c r="BC886">
        <v>13072</v>
      </c>
      <c r="BD886">
        <v>9486</v>
      </c>
      <c r="BE886">
        <v>9222</v>
      </c>
      <c r="BF886">
        <v>1768</v>
      </c>
      <c r="BG886">
        <v>20476</v>
      </c>
      <c r="BH886">
        <v>0</v>
      </c>
      <c r="BI886">
        <v>0</v>
      </c>
      <c r="BJ886">
        <v>0</v>
      </c>
      <c r="BK886">
        <v>0</v>
      </c>
      <c r="BL886" s="2">
        <v>24.82</v>
      </c>
      <c r="BM886" s="2">
        <v>42005.095138888886</v>
      </c>
      <c r="BN886" s="2">
        <v>5.4</v>
      </c>
      <c r="BO886" s="2">
        <v>42005.092361111114</v>
      </c>
      <c r="BP886" s="2">
        <v>6.92</v>
      </c>
      <c r="BQ886" s="2">
        <v>42005.092361111114</v>
      </c>
      <c r="BR886" s="2">
        <v>11.07</v>
      </c>
      <c r="BS886" s="2">
        <v>42005.092361111114</v>
      </c>
      <c r="BT886">
        <v>0</v>
      </c>
      <c r="BU886">
        <v>0</v>
      </c>
      <c r="BV886" t="s">
        <v>135</v>
      </c>
      <c r="BW886">
        <v>0</v>
      </c>
      <c r="BX886">
        <v>0</v>
      </c>
      <c r="BY886" t="s">
        <v>135</v>
      </c>
      <c r="BZ886">
        <v>0</v>
      </c>
      <c r="CA886">
        <v>0</v>
      </c>
      <c r="CB886" t="s">
        <v>135</v>
      </c>
      <c r="CH886" s="2"/>
      <c r="CJ886" s="2"/>
      <c r="CL886" s="2"/>
      <c r="CN886" s="2"/>
      <c r="CQ886" s="2"/>
      <c r="CT886" s="2"/>
      <c r="CW886" s="2"/>
    </row>
    <row r="887" spans="1:101" x14ac:dyDescent="0.25">
      <c r="A887" s="1" t="s">
        <v>163</v>
      </c>
      <c r="B887" s="75" t="s">
        <v>164</v>
      </c>
      <c r="C887">
        <v>0</v>
      </c>
      <c r="D887">
        <v>0</v>
      </c>
      <c r="E887">
        <v>0</v>
      </c>
      <c r="F887">
        <v>604324.56000000006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3.91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7490</v>
      </c>
      <c r="AW887">
        <v>3350</v>
      </c>
      <c r="AX887">
        <v>1219</v>
      </c>
      <c r="AY887">
        <v>12059</v>
      </c>
      <c r="AZ887">
        <v>4202</v>
      </c>
      <c r="BA887">
        <v>7438</v>
      </c>
      <c r="BB887">
        <v>1432</v>
      </c>
      <c r="BC887">
        <v>13072</v>
      </c>
      <c r="BD887">
        <v>9486</v>
      </c>
      <c r="BE887">
        <v>9222</v>
      </c>
      <c r="BF887">
        <v>1768</v>
      </c>
      <c r="BG887">
        <v>20476</v>
      </c>
      <c r="BH887">
        <v>0</v>
      </c>
      <c r="BI887">
        <v>0</v>
      </c>
      <c r="BJ887">
        <v>0</v>
      </c>
      <c r="BK887">
        <v>0</v>
      </c>
      <c r="BL887" s="2">
        <v>24.82</v>
      </c>
      <c r="BM887" s="2">
        <v>42005.095138888886</v>
      </c>
      <c r="BN887" s="2">
        <v>5.4</v>
      </c>
      <c r="BO887" s="2">
        <v>42005.092361111114</v>
      </c>
      <c r="BP887" s="2">
        <v>6.92</v>
      </c>
      <c r="BQ887" s="2">
        <v>42005.092361111114</v>
      </c>
      <c r="BR887" s="2">
        <v>11.07</v>
      </c>
      <c r="BS887" s="2">
        <v>42005.092361111114</v>
      </c>
      <c r="BT887">
        <v>0</v>
      </c>
      <c r="BU887">
        <v>0</v>
      </c>
      <c r="BV887" t="s">
        <v>135</v>
      </c>
      <c r="BW887">
        <v>0</v>
      </c>
      <c r="BX887">
        <v>0</v>
      </c>
      <c r="BY887" t="s">
        <v>135</v>
      </c>
      <c r="BZ887">
        <v>0</v>
      </c>
      <c r="CA887">
        <v>0</v>
      </c>
      <c r="CB887" t="s">
        <v>135</v>
      </c>
      <c r="CH887" s="2"/>
      <c r="CJ887" s="2"/>
      <c r="CL887" s="2"/>
      <c r="CN887" s="2"/>
      <c r="CQ887" s="2"/>
      <c r="CT887" s="2"/>
      <c r="CW887" s="2"/>
    </row>
    <row r="888" spans="1:101" x14ac:dyDescent="0.25">
      <c r="A888" s="1" t="s">
        <v>163</v>
      </c>
      <c r="B888" s="75" t="s">
        <v>164</v>
      </c>
      <c r="C888">
        <v>0</v>
      </c>
      <c r="D888">
        <v>0</v>
      </c>
      <c r="E888">
        <v>0</v>
      </c>
      <c r="F888">
        <v>604324.56000000006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3.91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7490</v>
      </c>
      <c r="AW888">
        <v>3350</v>
      </c>
      <c r="AX888">
        <v>1219</v>
      </c>
      <c r="AY888">
        <v>12059</v>
      </c>
      <c r="AZ888">
        <v>4202</v>
      </c>
      <c r="BA888">
        <v>7438</v>
      </c>
      <c r="BB888">
        <v>1432</v>
      </c>
      <c r="BC888">
        <v>13072</v>
      </c>
      <c r="BD888">
        <v>9486</v>
      </c>
      <c r="BE888">
        <v>9222</v>
      </c>
      <c r="BF888">
        <v>1768</v>
      </c>
      <c r="BG888">
        <v>20476</v>
      </c>
      <c r="BH888">
        <v>0</v>
      </c>
      <c r="BI888">
        <v>0</v>
      </c>
      <c r="BJ888">
        <v>0</v>
      </c>
      <c r="BK888">
        <v>0</v>
      </c>
      <c r="BL888" s="2">
        <v>24.82</v>
      </c>
      <c r="BM888" s="2">
        <v>42005.095138888886</v>
      </c>
      <c r="BN888" s="2">
        <v>5.4</v>
      </c>
      <c r="BO888" s="2">
        <v>42005.092361111114</v>
      </c>
      <c r="BP888" s="2">
        <v>6.92</v>
      </c>
      <c r="BQ888" s="2">
        <v>42005.092361111114</v>
      </c>
      <c r="BR888" s="2">
        <v>11.07</v>
      </c>
      <c r="BS888" s="2">
        <v>42005.092361111114</v>
      </c>
      <c r="BT888">
        <v>0</v>
      </c>
      <c r="BU888">
        <v>0</v>
      </c>
      <c r="BV888" t="s">
        <v>135</v>
      </c>
      <c r="BW888">
        <v>0</v>
      </c>
      <c r="BX888">
        <v>0</v>
      </c>
      <c r="BY888" t="s">
        <v>135</v>
      </c>
      <c r="BZ888">
        <v>0</v>
      </c>
      <c r="CA888">
        <v>0</v>
      </c>
      <c r="CB888" t="s">
        <v>135</v>
      </c>
      <c r="CH888" s="2"/>
      <c r="CJ888" s="2"/>
      <c r="CL888" s="2"/>
      <c r="CN888" s="2"/>
      <c r="CQ888" s="2"/>
      <c r="CT888" s="2"/>
      <c r="CW888" s="2"/>
    </row>
    <row r="889" spans="1:101" x14ac:dyDescent="0.25">
      <c r="A889" s="1" t="s">
        <v>163</v>
      </c>
      <c r="B889" s="75" t="s">
        <v>164</v>
      </c>
      <c r="C889">
        <v>0</v>
      </c>
      <c r="D889">
        <v>0</v>
      </c>
      <c r="E889">
        <v>0</v>
      </c>
      <c r="F889">
        <v>604324.56000000006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3.91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7490</v>
      </c>
      <c r="AW889">
        <v>3350</v>
      </c>
      <c r="AX889">
        <v>1219</v>
      </c>
      <c r="AY889">
        <v>12059</v>
      </c>
      <c r="AZ889">
        <v>4202</v>
      </c>
      <c r="BA889">
        <v>7438</v>
      </c>
      <c r="BB889">
        <v>1432</v>
      </c>
      <c r="BC889">
        <v>13072</v>
      </c>
      <c r="BD889">
        <v>9486</v>
      </c>
      <c r="BE889">
        <v>9222</v>
      </c>
      <c r="BF889">
        <v>1768</v>
      </c>
      <c r="BG889">
        <v>20476</v>
      </c>
      <c r="BH889">
        <v>0</v>
      </c>
      <c r="BI889">
        <v>0</v>
      </c>
      <c r="BJ889">
        <v>0</v>
      </c>
      <c r="BK889">
        <v>0</v>
      </c>
      <c r="BL889" s="2">
        <v>24.82</v>
      </c>
      <c r="BM889" s="2">
        <v>42005.095138888886</v>
      </c>
      <c r="BN889" s="2">
        <v>5.4</v>
      </c>
      <c r="BO889" s="2">
        <v>42005.092361111114</v>
      </c>
      <c r="BP889" s="2">
        <v>6.92</v>
      </c>
      <c r="BQ889" s="2">
        <v>42005.092361111114</v>
      </c>
      <c r="BR889" s="2">
        <v>11.07</v>
      </c>
      <c r="BS889" s="2">
        <v>42005.092361111114</v>
      </c>
      <c r="BT889">
        <v>0</v>
      </c>
      <c r="BU889">
        <v>0</v>
      </c>
      <c r="BV889" t="s">
        <v>135</v>
      </c>
      <c r="BW889">
        <v>0</v>
      </c>
      <c r="BX889">
        <v>0</v>
      </c>
      <c r="BY889" t="s">
        <v>135</v>
      </c>
      <c r="BZ889">
        <v>0</v>
      </c>
      <c r="CA889">
        <v>0</v>
      </c>
      <c r="CB889" t="s">
        <v>135</v>
      </c>
      <c r="CH889" s="2"/>
      <c r="CJ889" s="2"/>
      <c r="CL889" s="2"/>
      <c r="CN889" s="2"/>
      <c r="CQ889" s="2"/>
      <c r="CT889" s="2"/>
      <c r="CW889" s="2"/>
    </row>
    <row r="890" spans="1:101" x14ac:dyDescent="0.25">
      <c r="A890" s="1" t="s">
        <v>163</v>
      </c>
      <c r="B890" s="75" t="s">
        <v>164</v>
      </c>
      <c r="C890">
        <v>0</v>
      </c>
      <c r="D890">
        <v>0</v>
      </c>
      <c r="E890">
        <v>0</v>
      </c>
      <c r="F890">
        <v>604324.56000000006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3.91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7490</v>
      </c>
      <c r="AW890">
        <v>3350</v>
      </c>
      <c r="AX890">
        <v>1219</v>
      </c>
      <c r="AY890">
        <v>12059</v>
      </c>
      <c r="AZ890">
        <v>4202</v>
      </c>
      <c r="BA890">
        <v>7438</v>
      </c>
      <c r="BB890">
        <v>1432</v>
      </c>
      <c r="BC890">
        <v>13072</v>
      </c>
      <c r="BD890">
        <v>9486</v>
      </c>
      <c r="BE890">
        <v>9222</v>
      </c>
      <c r="BF890">
        <v>1768</v>
      </c>
      <c r="BG890">
        <v>20476</v>
      </c>
      <c r="BH890">
        <v>0</v>
      </c>
      <c r="BI890">
        <v>0</v>
      </c>
      <c r="BJ890">
        <v>0</v>
      </c>
      <c r="BK890">
        <v>0</v>
      </c>
      <c r="BL890" s="2">
        <v>24.82</v>
      </c>
      <c r="BM890" s="2">
        <v>42005.095138888886</v>
      </c>
      <c r="BN890" s="2">
        <v>5.4</v>
      </c>
      <c r="BO890" s="2">
        <v>42005.092361111114</v>
      </c>
      <c r="BP890" s="2">
        <v>6.92</v>
      </c>
      <c r="BQ890" s="2">
        <v>42005.092361111114</v>
      </c>
      <c r="BR890" s="2">
        <v>11.07</v>
      </c>
      <c r="BS890" s="2">
        <v>42005.092361111114</v>
      </c>
      <c r="BT890">
        <v>0</v>
      </c>
      <c r="BU890">
        <v>0</v>
      </c>
      <c r="BV890" t="s">
        <v>135</v>
      </c>
      <c r="BW890">
        <v>0</v>
      </c>
      <c r="BX890">
        <v>0</v>
      </c>
      <c r="BY890" t="s">
        <v>135</v>
      </c>
      <c r="BZ890">
        <v>0</v>
      </c>
      <c r="CA890">
        <v>0</v>
      </c>
      <c r="CB890" t="s">
        <v>135</v>
      </c>
      <c r="CH890" s="2"/>
      <c r="CJ890" s="2"/>
      <c r="CL890" s="2"/>
      <c r="CN890" s="2"/>
      <c r="CQ890" s="2"/>
      <c r="CT890" s="2"/>
      <c r="CW890" s="2"/>
    </row>
    <row r="891" spans="1:101" x14ac:dyDescent="0.25">
      <c r="A891" s="1" t="s">
        <v>163</v>
      </c>
      <c r="B891" s="75" t="s">
        <v>164</v>
      </c>
      <c r="C891">
        <v>0</v>
      </c>
      <c r="D891">
        <v>0</v>
      </c>
      <c r="E891">
        <v>0</v>
      </c>
      <c r="F891">
        <v>604324.56000000006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3.91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7490</v>
      </c>
      <c r="AW891">
        <v>3350</v>
      </c>
      <c r="AX891">
        <v>1219</v>
      </c>
      <c r="AY891">
        <v>12059</v>
      </c>
      <c r="AZ891">
        <v>4202</v>
      </c>
      <c r="BA891">
        <v>7438</v>
      </c>
      <c r="BB891">
        <v>1432</v>
      </c>
      <c r="BC891">
        <v>13072</v>
      </c>
      <c r="BD891">
        <v>9486</v>
      </c>
      <c r="BE891">
        <v>9222</v>
      </c>
      <c r="BF891">
        <v>1768</v>
      </c>
      <c r="BG891">
        <v>20476</v>
      </c>
      <c r="BH891">
        <v>0</v>
      </c>
      <c r="BI891">
        <v>0</v>
      </c>
      <c r="BJ891">
        <v>0</v>
      </c>
      <c r="BK891">
        <v>0</v>
      </c>
      <c r="BL891" s="2">
        <v>24.82</v>
      </c>
      <c r="BM891" s="2">
        <v>42005.095138888886</v>
      </c>
      <c r="BN891" s="2">
        <v>5.4</v>
      </c>
      <c r="BO891" s="2">
        <v>42005.092361111114</v>
      </c>
      <c r="BP891" s="2">
        <v>6.92</v>
      </c>
      <c r="BQ891" s="2">
        <v>42005.092361111114</v>
      </c>
      <c r="BR891" s="2">
        <v>11.07</v>
      </c>
      <c r="BS891" s="2">
        <v>42005.092361111114</v>
      </c>
      <c r="BT891">
        <v>0</v>
      </c>
      <c r="BU891">
        <v>0</v>
      </c>
      <c r="BV891" t="s">
        <v>135</v>
      </c>
      <c r="BW891">
        <v>0</v>
      </c>
      <c r="BX891">
        <v>0</v>
      </c>
      <c r="BY891" t="s">
        <v>135</v>
      </c>
      <c r="BZ891">
        <v>0</v>
      </c>
      <c r="CA891">
        <v>0</v>
      </c>
      <c r="CB891" t="s">
        <v>135</v>
      </c>
      <c r="CH891" s="2"/>
      <c r="CJ891" s="2"/>
      <c r="CL891" s="2"/>
      <c r="CN891" s="2"/>
      <c r="CQ891" s="2"/>
      <c r="CT891" s="2"/>
      <c r="CW891" s="2"/>
    </row>
    <row r="892" spans="1:101" x14ac:dyDescent="0.25">
      <c r="A892" s="1" t="s">
        <v>163</v>
      </c>
      <c r="B892" s="75" t="s">
        <v>164</v>
      </c>
      <c r="C892">
        <v>0</v>
      </c>
      <c r="D892">
        <v>0</v>
      </c>
      <c r="E892">
        <v>0</v>
      </c>
      <c r="F892">
        <v>604324.56000000006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3.91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7490</v>
      </c>
      <c r="AW892">
        <v>3350</v>
      </c>
      <c r="AX892">
        <v>1219</v>
      </c>
      <c r="AY892">
        <v>12059</v>
      </c>
      <c r="AZ892">
        <v>4202</v>
      </c>
      <c r="BA892">
        <v>7438</v>
      </c>
      <c r="BB892">
        <v>1432</v>
      </c>
      <c r="BC892">
        <v>13072</v>
      </c>
      <c r="BD892">
        <v>9486</v>
      </c>
      <c r="BE892">
        <v>9222</v>
      </c>
      <c r="BF892">
        <v>1768</v>
      </c>
      <c r="BG892">
        <v>20476</v>
      </c>
      <c r="BH892">
        <v>0</v>
      </c>
      <c r="BI892">
        <v>0</v>
      </c>
      <c r="BJ892">
        <v>0</v>
      </c>
      <c r="BK892">
        <v>0</v>
      </c>
      <c r="BL892" s="2">
        <v>24.82</v>
      </c>
      <c r="BM892" s="2">
        <v>42005.095138888886</v>
      </c>
      <c r="BN892" s="2">
        <v>5.4</v>
      </c>
      <c r="BO892" s="2">
        <v>42005.092361111114</v>
      </c>
      <c r="BP892" s="2">
        <v>6.92</v>
      </c>
      <c r="BQ892" s="2">
        <v>42005.092361111114</v>
      </c>
      <c r="BR892" s="2">
        <v>11.07</v>
      </c>
      <c r="BS892" s="2">
        <v>42005.092361111114</v>
      </c>
      <c r="BT892">
        <v>0</v>
      </c>
      <c r="BU892">
        <v>0</v>
      </c>
      <c r="BV892" t="s">
        <v>135</v>
      </c>
      <c r="BW892">
        <v>0</v>
      </c>
      <c r="BX892">
        <v>0</v>
      </c>
      <c r="BY892" t="s">
        <v>135</v>
      </c>
      <c r="BZ892">
        <v>0</v>
      </c>
      <c r="CA892">
        <v>0</v>
      </c>
      <c r="CB892" t="s">
        <v>135</v>
      </c>
      <c r="CH892" s="2"/>
      <c r="CJ892" s="2"/>
      <c r="CL892" s="2"/>
      <c r="CN892" s="2"/>
      <c r="CQ892" s="2"/>
      <c r="CT892" s="2"/>
      <c r="CW892" s="2"/>
    </row>
    <row r="893" spans="1:101" x14ac:dyDescent="0.25">
      <c r="A893" s="1" t="s">
        <v>163</v>
      </c>
      <c r="B893" s="75" t="s">
        <v>164</v>
      </c>
      <c r="C893">
        <v>0</v>
      </c>
      <c r="D893">
        <v>0</v>
      </c>
      <c r="E893">
        <v>0</v>
      </c>
      <c r="F893">
        <v>604324.56000000006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3.91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7490</v>
      </c>
      <c r="AW893">
        <v>3350</v>
      </c>
      <c r="AX893">
        <v>1219</v>
      </c>
      <c r="AY893">
        <v>12059</v>
      </c>
      <c r="AZ893">
        <v>4202</v>
      </c>
      <c r="BA893">
        <v>7438</v>
      </c>
      <c r="BB893">
        <v>1432</v>
      </c>
      <c r="BC893">
        <v>13072</v>
      </c>
      <c r="BD893">
        <v>9486</v>
      </c>
      <c r="BE893">
        <v>9222</v>
      </c>
      <c r="BF893">
        <v>1768</v>
      </c>
      <c r="BG893">
        <v>20476</v>
      </c>
      <c r="BH893">
        <v>0</v>
      </c>
      <c r="BI893">
        <v>0</v>
      </c>
      <c r="BJ893">
        <v>0</v>
      </c>
      <c r="BK893">
        <v>0</v>
      </c>
      <c r="BL893" s="2">
        <v>24.82</v>
      </c>
      <c r="BM893" s="2">
        <v>42005.095138888886</v>
      </c>
      <c r="BN893" s="2">
        <v>5.4</v>
      </c>
      <c r="BO893" s="2">
        <v>42005.092361111114</v>
      </c>
      <c r="BP893" s="2">
        <v>6.92</v>
      </c>
      <c r="BQ893" s="2">
        <v>42005.092361111114</v>
      </c>
      <c r="BR893" s="2">
        <v>11.07</v>
      </c>
      <c r="BS893" s="2">
        <v>42005.092361111114</v>
      </c>
      <c r="BT893">
        <v>0</v>
      </c>
      <c r="BU893">
        <v>0</v>
      </c>
      <c r="BV893" t="s">
        <v>135</v>
      </c>
      <c r="BW893">
        <v>0</v>
      </c>
      <c r="BX893">
        <v>0</v>
      </c>
      <c r="BY893" t="s">
        <v>135</v>
      </c>
      <c r="BZ893">
        <v>0</v>
      </c>
      <c r="CA893">
        <v>0</v>
      </c>
      <c r="CB893" t="s">
        <v>135</v>
      </c>
      <c r="CH893" s="2"/>
      <c r="CJ893" s="2"/>
      <c r="CL893" s="2"/>
      <c r="CN893" s="2"/>
      <c r="CQ893" s="2"/>
      <c r="CT893" s="2"/>
      <c r="CW893" s="2"/>
    </row>
    <row r="894" spans="1:101" x14ac:dyDescent="0.25">
      <c r="A894" s="1" t="s">
        <v>163</v>
      </c>
      <c r="B894" s="75" t="s">
        <v>164</v>
      </c>
      <c r="C894">
        <v>0</v>
      </c>
      <c r="D894">
        <v>0</v>
      </c>
      <c r="E894">
        <v>0</v>
      </c>
      <c r="F894">
        <v>604324.56000000006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3.91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7490</v>
      </c>
      <c r="AW894">
        <v>3350</v>
      </c>
      <c r="AX894">
        <v>1219</v>
      </c>
      <c r="AY894">
        <v>12059</v>
      </c>
      <c r="AZ894">
        <v>4202</v>
      </c>
      <c r="BA894">
        <v>7438</v>
      </c>
      <c r="BB894">
        <v>1432</v>
      </c>
      <c r="BC894">
        <v>13072</v>
      </c>
      <c r="BD894">
        <v>9486</v>
      </c>
      <c r="BE894">
        <v>9222</v>
      </c>
      <c r="BF894">
        <v>1768</v>
      </c>
      <c r="BG894">
        <v>20476</v>
      </c>
      <c r="BH894">
        <v>0</v>
      </c>
      <c r="BI894">
        <v>0</v>
      </c>
      <c r="BJ894">
        <v>0</v>
      </c>
      <c r="BK894">
        <v>0</v>
      </c>
      <c r="BL894" s="2">
        <v>24.82</v>
      </c>
      <c r="BM894" s="2">
        <v>42005.095138888886</v>
      </c>
      <c r="BN894" s="2">
        <v>5.4</v>
      </c>
      <c r="BO894" s="2">
        <v>42005.092361111114</v>
      </c>
      <c r="BP894" s="2">
        <v>6.92</v>
      </c>
      <c r="BQ894" s="2">
        <v>42005.092361111114</v>
      </c>
      <c r="BR894" s="2">
        <v>11.07</v>
      </c>
      <c r="BS894" s="2">
        <v>42005.092361111114</v>
      </c>
      <c r="BT894">
        <v>0</v>
      </c>
      <c r="BU894">
        <v>0</v>
      </c>
      <c r="BV894" t="s">
        <v>135</v>
      </c>
      <c r="BW894">
        <v>0</v>
      </c>
      <c r="BX894">
        <v>0</v>
      </c>
      <c r="BY894" t="s">
        <v>135</v>
      </c>
      <c r="BZ894">
        <v>0</v>
      </c>
      <c r="CA894">
        <v>0</v>
      </c>
      <c r="CB894" t="s">
        <v>135</v>
      </c>
      <c r="CH894" s="2"/>
      <c r="CJ894" s="2"/>
      <c r="CL894" s="2"/>
      <c r="CN894" s="2"/>
      <c r="CQ894" s="2"/>
      <c r="CT894" s="2"/>
      <c r="CW894" s="2"/>
    </row>
    <row r="895" spans="1:101" x14ac:dyDescent="0.25">
      <c r="A895" s="1" t="s">
        <v>163</v>
      </c>
      <c r="B895" s="75" t="s">
        <v>164</v>
      </c>
      <c r="C895">
        <v>0</v>
      </c>
      <c r="D895">
        <v>0</v>
      </c>
      <c r="E895">
        <v>0</v>
      </c>
      <c r="F895">
        <v>604324.56000000006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3.91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7490</v>
      </c>
      <c r="AW895">
        <v>3350</v>
      </c>
      <c r="AX895">
        <v>1219</v>
      </c>
      <c r="AY895">
        <v>12059</v>
      </c>
      <c r="AZ895">
        <v>4202</v>
      </c>
      <c r="BA895">
        <v>7438</v>
      </c>
      <c r="BB895">
        <v>1432</v>
      </c>
      <c r="BC895">
        <v>13072</v>
      </c>
      <c r="BD895">
        <v>9486</v>
      </c>
      <c r="BE895">
        <v>9222</v>
      </c>
      <c r="BF895">
        <v>1768</v>
      </c>
      <c r="BG895">
        <v>20476</v>
      </c>
      <c r="BH895">
        <v>0</v>
      </c>
      <c r="BI895">
        <v>0</v>
      </c>
      <c r="BJ895">
        <v>0</v>
      </c>
      <c r="BK895">
        <v>0</v>
      </c>
      <c r="BL895" s="2">
        <v>24.82</v>
      </c>
      <c r="BM895" s="2">
        <v>42005.095138888886</v>
      </c>
      <c r="BN895" s="2">
        <v>5.4</v>
      </c>
      <c r="BO895" s="2">
        <v>42005.092361111114</v>
      </c>
      <c r="BP895" s="2">
        <v>6.92</v>
      </c>
      <c r="BQ895" s="2">
        <v>42005.092361111114</v>
      </c>
      <c r="BR895" s="2">
        <v>11.07</v>
      </c>
      <c r="BS895" s="2">
        <v>42005.092361111114</v>
      </c>
      <c r="BT895">
        <v>0</v>
      </c>
      <c r="BU895">
        <v>0</v>
      </c>
      <c r="BV895" t="s">
        <v>135</v>
      </c>
      <c r="BW895">
        <v>0</v>
      </c>
      <c r="BX895">
        <v>0</v>
      </c>
      <c r="BY895" t="s">
        <v>135</v>
      </c>
      <c r="BZ895">
        <v>0</v>
      </c>
      <c r="CA895">
        <v>0</v>
      </c>
      <c r="CB895" t="s">
        <v>135</v>
      </c>
      <c r="CH895" s="2"/>
      <c r="CJ895" s="2"/>
      <c r="CL895" s="2"/>
      <c r="CN895" s="2"/>
      <c r="CQ895" s="2"/>
      <c r="CT895" s="2"/>
      <c r="CW895" s="2"/>
    </row>
    <row r="896" spans="1:101" x14ac:dyDescent="0.25">
      <c r="A896" s="1" t="s">
        <v>163</v>
      </c>
      <c r="B896" s="75" t="s">
        <v>164</v>
      </c>
      <c r="C896">
        <v>0</v>
      </c>
      <c r="D896">
        <v>0</v>
      </c>
      <c r="E896">
        <v>0</v>
      </c>
      <c r="F896">
        <v>604324.56000000006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3.91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7490</v>
      </c>
      <c r="AW896">
        <v>3350</v>
      </c>
      <c r="AX896">
        <v>1219</v>
      </c>
      <c r="AY896">
        <v>12059</v>
      </c>
      <c r="AZ896">
        <v>4202</v>
      </c>
      <c r="BA896">
        <v>7438</v>
      </c>
      <c r="BB896">
        <v>1432</v>
      </c>
      <c r="BC896">
        <v>13072</v>
      </c>
      <c r="BD896">
        <v>9486</v>
      </c>
      <c r="BE896">
        <v>9222</v>
      </c>
      <c r="BF896">
        <v>1768</v>
      </c>
      <c r="BG896">
        <v>20476</v>
      </c>
      <c r="BH896">
        <v>0</v>
      </c>
      <c r="BI896">
        <v>0</v>
      </c>
      <c r="BJ896">
        <v>0</v>
      </c>
      <c r="BK896">
        <v>0</v>
      </c>
      <c r="BL896" s="2">
        <v>24.82</v>
      </c>
      <c r="BM896" s="2">
        <v>42005.095138888886</v>
      </c>
      <c r="BN896" s="2">
        <v>5.4</v>
      </c>
      <c r="BO896" s="2">
        <v>42005.092361111114</v>
      </c>
      <c r="BP896" s="2">
        <v>6.92</v>
      </c>
      <c r="BQ896" s="2">
        <v>42005.092361111114</v>
      </c>
      <c r="BR896" s="2">
        <v>11.07</v>
      </c>
      <c r="BS896" s="2">
        <v>42005.092361111114</v>
      </c>
      <c r="BT896">
        <v>0</v>
      </c>
      <c r="BU896">
        <v>0</v>
      </c>
      <c r="BV896" t="s">
        <v>135</v>
      </c>
      <c r="BW896">
        <v>0</v>
      </c>
      <c r="BX896">
        <v>0</v>
      </c>
      <c r="BY896" t="s">
        <v>135</v>
      </c>
      <c r="BZ896">
        <v>0</v>
      </c>
      <c r="CA896">
        <v>0</v>
      </c>
      <c r="CB896" t="s">
        <v>135</v>
      </c>
      <c r="CH896" s="2"/>
      <c r="CJ896" s="2"/>
      <c r="CL896" s="2"/>
      <c r="CN896" s="2"/>
      <c r="CQ896" s="2"/>
      <c r="CT896" s="2"/>
      <c r="CW896" s="2"/>
    </row>
    <row r="897" spans="1:101" x14ac:dyDescent="0.25">
      <c r="A897" s="1" t="s">
        <v>163</v>
      </c>
      <c r="B897" s="75" t="s">
        <v>164</v>
      </c>
      <c r="C897">
        <v>0</v>
      </c>
      <c r="D897">
        <v>0</v>
      </c>
      <c r="E897">
        <v>0</v>
      </c>
      <c r="F897">
        <v>604324.56000000006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3.91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7490</v>
      </c>
      <c r="AW897">
        <v>3350</v>
      </c>
      <c r="AX897">
        <v>1219</v>
      </c>
      <c r="AY897">
        <v>12059</v>
      </c>
      <c r="AZ897">
        <v>4202</v>
      </c>
      <c r="BA897">
        <v>7438</v>
      </c>
      <c r="BB897">
        <v>1432</v>
      </c>
      <c r="BC897">
        <v>13072</v>
      </c>
      <c r="BD897">
        <v>9486</v>
      </c>
      <c r="BE897">
        <v>9222</v>
      </c>
      <c r="BF897">
        <v>1768</v>
      </c>
      <c r="BG897">
        <v>20476</v>
      </c>
      <c r="BH897">
        <v>0</v>
      </c>
      <c r="BI897">
        <v>0</v>
      </c>
      <c r="BJ897">
        <v>0</v>
      </c>
      <c r="BK897">
        <v>0</v>
      </c>
      <c r="BL897" s="2">
        <v>24.82</v>
      </c>
      <c r="BM897" s="2">
        <v>42005.095138888886</v>
      </c>
      <c r="BN897" s="2">
        <v>5.4</v>
      </c>
      <c r="BO897" s="2">
        <v>42005.092361111114</v>
      </c>
      <c r="BP897" s="2">
        <v>6.92</v>
      </c>
      <c r="BQ897" s="2">
        <v>42005.092361111114</v>
      </c>
      <c r="BR897" s="2">
        <v>11.07</v>
      </c>
      <c r="BS897" s="2">
        <v>42005.092361111114</v>
      </c>
      <c r="BT897">
        <v>0</v>
      </c>
      <c r="BU897">
        <v>0</v>
      </c>
      <c r="BV897" t="s">
        <v>135</v>
      </c>
      <c r="BW897">
        <v>0</v>
      </c>
      <c r="BX897">
        <v>0</v>
      </c>
      <c r="BY897" t="s">
        <v>135</v>
      </c>
      <c r="BZ897">
        <v>0</v>
      </c>
      <c r="CA897">
        <v>0</v>
      </c>
      <c r="CB897" t="s">
        <v>135</v>
      </c>
      <c r="CH897" s="2"/>
      <c r="CJ897" s="2"/>
      <c r="CL897" s="2"/>
      <c r="CN897" s="2"/>
      <c r="CQ897" s="2"/>
      <c r="CT897" s="2"/>
      <c r="CW897" s="2"/>
    </row>
    <row r="898" spans="1:101" x14ac:dyDescent="0.25">
      <c r="A898" s="1" t="s">
        <v>163</v>
      </c>
      <c r="B898" s="75" t="s">
        <v>164</v>
      </c>
      <c r="C898">
        <v>0</v>
      </c>
      <c r="D898">
        <v>0</v>
      </c>
      <c r="E898">
        <v>0</v>
      </c>
      <c r="F898">
        <v>604324.56000000006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3.91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7490</v>
      </c>
      <c r="AW898">
        <v>3350</v>
      </c>
      <c r="AX898">
        <v>1219</v>
      </c>
      <c r="AY898">
        <v>12059</v>
      </c>
      <c r="AZ898">
        <v>4202</v>
      </c>
      <c r="BA898">
        <v>7438</v>
      </c>
      <c r="BB898">
        <v>1432</v>
      </c>
      <c r="BC898">
        <v>13072</v>
      </c>
      <c r="BD898">
        <v>9486</v>
      </c>
      <c r="BE898">
        <v>9222</v>
      </c>
      <c r="BF898">
        <v>1768</v>
      </c>
      <c r="BG898">
        <v>20476</v>
      </c>
      <c r="BH898">
        <v>0</v>
      </c>
      <c r="BI898">
        <v>0</v>
      </c>
      <c r="BJ898">
        <v>0</v>
      </c>
      <c r="BK898">
        <v>0</v>
      </c>
      <c r="BL898" s="2">
        <v>24.82</v>
      </c>
      <c r="BM898" s="2">
        <v>42005.095138888886</v>
      </c>
      <c r="BN898" s="2">
        <v>5.4</v>
      </c>
      <c r="BO898" s="2">
        <v>42005.092361111114</v>
      </c>
      <c r="BP898" s="2">
        <v>6.92</v>
      </c>
      <c r="BQ898" s="2">
        <v>42005.092361111114</v>
      </c>
      <c r="BR898" s="2">
        <v>11.07</v>
      </c>
      <c r="BS898" s="2">
        <v>42005.092361111114</v>
      </c>
      <c r="BT898">
        <v>0</v>
      </c>
      <c r="BU898">
        <v>0</v>
      </c>
      <c r="BV898" t="s">
        <v>135</v>
      </c>
      <c r="BW898">
        <v>0</v>
      </c>
      <c r="BX898">
        <v>0</v>
      </c>
      <c r="BY898" t="s">
        <v>135</v>
      </c>
      <c r="BZ898">
        <v>0</v>
      </c>
      <c r="CA898">
        <v>0</v>
      </c>
      <c r="CB898" t="s">
        <v>135</v>
      </c>
      <c r="CH898" s="2"/>
      <c r="CJ898" s="2"/>
      <c r="CL898" s="2"/>
      <c r="CN898" s="2"/>
      <c r="CQ898" s="2"/>
      <c r="CT898" s="2"/>
      <c r="CW898" s="2"/>
    </row>
    <row r="899" spans="1:101" x14ac:dyDescent="0.25">
      <c r="A899" s="1" t="s">
        <v>163</v>
      </c>
      <c r="B899" s="75" t="s">
        <v>164</v>
      </c>
      <c r="C899">
        <v>0</v>
      </c>
      <c r="D899">
        <v>0</v>
      </c>
      <c r="E899">
        <v>0</v>
      </c>
      <c r="F899">
        <v>604324.56000000006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3.91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7490</v>
      </c>
      <c r="AW899">
        <v>3350</v>
      </c>
      <c r="AX899">
        <v>1219</v>
      </c>
      <c r="AY899">
        <v>12059</v>
      </c>
      <c r="AZ899">
        <v>4202</v>
      </c>
      <c r="BA899">
        <v>7438</v>
      </c>
      <c r="BB899">
        <v>1432</v>
      </c>
      <c r="BC899">
        <v>13072</v>
      </c>
      <c r="BD899">
        <v>9486</v>
      </c>
      <c r="BE899">
        <v>9222</v>
      </c>
      <c r="BF899">
        <v>1768</v>
      </c>
      <c r="BG899">
        <v>20476</v>
      </c>
      <c r="BH899">
        <v>0</v>
      </c>
      <c r="BI899">
        <v>0</v>
      </c>
      <c r="BJ899">
        <v>0</v>
      </c>
      <c r="BK899">
        <v>0</v>
      </c>
      <c r="BL899" s="2">
        <v>24.82</v>
      </c>
      <c r="BM899" s="2">
        <v>42005.095138888886</v>
      </c>
      <c r="BN899" s="2">
        <v>5.4</v>
      </c>
      <c r="BO899" s="2">
        <v>42005.092361111114</v>
      </c>
      <c r="BP899" s="2">
        <v>6.92</v>
      </c>
      <c r="BQ899" s="2">
        <v>42005.092361111114</v>
      </c>
      <c r="BR899" s="2">
        <v>11.07</v>
      </c>
      <c r="BS899" s="2">
        <v>42005.092361111114</v>
      </c>
      <c r="BT899">
        <v>0</v>
      </c>
      <c r="BU899">
        <v>0</v>
      </c>
      <c r="BV899" t="s">
        <v>135</v>
      </c>
      <c r="BW899">
        <v>0</v>
      </c>
      <c r="BX899">
        <v>0</v>
      </c>
      <c r="BY899" t="s">
        <v>135</v>
      </c>
      <c r="BZ899">
        <v>0</v>
      </c>
      <c r="CA899">
        <v>0</v>
      </c>
      <c r="CB899" t="s">
        <v>135</v>
      </c>
      <c r="CH899" s="2"/>
      <c r="CJ899" s="2"/>
      <c r="CL899" s="2"/>
      <c r="CN899" s="2"/>
      <c r="CQ899" s="2"/>
      <c r="CT899" s="2"/>
      <c r="CW899" s="2"/>
    </row>
    <row r="900" spans="1:101" x14ac:dyDescent="0.25">
      <c r="A900" s="1" t="s">
        <v>163</v>
      </c>
      <c r="B900" s="75" t="s">
        <v>164</v>
      </c>
      <c r="C900">
        <v>0</v>
      </c>
      <c r="D900">
        <v>0</v>
      </c>
      <c r="E900">
        <v>0</v>
      </c>
      <c r="F900">
        <v>604324.56000000006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3.91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7490</v>
      </c>
      <c r="AW900">
        <v>3350</v>
      </c>
      <c r="AX900">
        <v>1219</v>
      </c>
      <c r="AY900">
        <v>12059</v>
      </c>
      <c r="AZ900">
        <v>4202</v>
      </c>
      <c r="BA900">
        <v>7438</v>
      </c>
      <c r="BB900">
        <v>1432</v>
      </c>
      <c r="BC900">
        <v>13072</v>
      </c>
      <c r="BD900">
        <v>9486</v>
      </c>
      <c r="BE900">
        <v>9222</v>
      </c>
      <c r="BF900">
        <v>1768</v>
      </c>
      <c r="BG900">
        <v>20476</v>
      </c>
      <c r="BH900">
        <v>0</v>
      </c>
      <c r="BI900">
        <v>0</v>
      </c>
      <c r="BJ900">
        <v>0</v>
      </c>
      <c r="BK900">
        <v>0</v>
      </c>
      <c r="BL900" s="2">
        <v>24.82</v>
      </c>
      <c r="BM900" s="2">
        <v>42005.095138888886</v>
      </c>
      <c r="BN900" s="2">
        <v>5.4</v>
      </c>
      <c r="BO900" s="2">
        <v>42005.092361111114</v>
      </c>
      <c r="BP900" s="2">
        <v>6.92</v>
      </c>
      <c r="BQ900" s="2">
        <v>42005.092361111114</v>
      </c>
      <c r="BR900" s="2">
        <v>11.07</v>
      </c>
      <c r="BS900" s="2">
        <v>42005.092361111114</v>
      </c>
      <c r="BT900">
        <v>0</v>
      </c>
      <c r="BU900">
        <v>0</v>
      </c>
      <c r="BV900" t="s">
        <v>135</v>
      </c>
      <c r="BW900">
        <v>0</v>
      </c>
      <c r="BX900">
        <v>0</v>
      </c>
      <c r="BY900" t="s">
        <v>135</v>
      </c>
      <c r="BZ900">
        <v>0</v>
      </c>
      <c r="CA900">
        <v>0</v>
      </c>
      <c r="CB900" t="s">
        <v>135</v>
      </c>
      <c r="CH900" s="2"/>
      <c r="CJ900" s="2"/>
      <c r="CL900" s="2"/>
      <c r="CN900" s="2"/>
      <c r="CQ900" s="2"/>
      <c r="CT900" s="2"/>
      <c r="CW900" s="2"/>
    </row>
    <row r="901" spans="1:101" x14ac:dyDescent="0.25">
      <c r="A901" s="1" t="s">
        <v>163</v>
      </c>
      <c r="B901" s="75" t="s">
        <v>164</v>
      </c>
      <c r="C901">
        <v>0</v>
      </c>
      <c r="D901">
        <v>0</v>
      </c>
      <c r="E901">
        <v>0</v>
      </c>
      <c r="F901">
        <v>604324.56000000006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3.91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7490</v>
      </c>
      <c r="AW901">
        <v>3350</v>
      </c>
      <c r="AX901">
        <v>1219</v>
      </c>
      <c r="AY901">
        <v>12059</v>
      </c>
      <c r="AZ901">
        <v>4202</v>
      </c>
      <c r="BA901">
        <v>7438</v>
      </c>
      <c r="BB901">
        <v>1432</v>
      </c>
      <c r="BC901">
        <v>13072</v>
      </c>
      <c r="BD901">
        <v>9486</v>
      </c>
      <c r="BE901">
        <v>9222</v>
      </c>
      <c r="BF901">
        <v>1768</v>
      </c>
      <c r="BG901">
        <v>20476</v>
      </c>
      <c r="BH901">
        <v>0</v>
      </c>
      <c r="BI901">
        <v>0</v>
      </c>
      <c r="BJ901">
        <v>0</v>
      </c>
      <c r="BK901">
        <v>0</v>
      </c>
      <c r="BL901" s="2">
        <v>24.82</v>
      </c>
      <c r="BM901" s="2">
        <v>42005.095138888886</v>
      </c>
      <c r="BN901" s="2">
        <v>5.4</v>
      </c>
      <c r="BO901" s="2">
        <v>42005.092361111114</v>
      </c>
      <c r="BP901" s="2">
        <v>6.92</v>
      </c>
      <c r="BQ901" s="2">
        <v>42005.092361111114</v>
      </c>
      <c r="BR901" s="2">
        <v>11.07</v>
      </c>
      <c r="BS901" s="2">
        <v>42005.092361111114</v>
      </c>
      <c r="BT901">
        <v>0</v>
      </c>
      <c r="BU901">
        <v>0</v>
      </c>
      <c r="BV901" t="s">
        <v>135</v>
      </c>
      <c r="BW901">
        <v>0</v>
      </c>
      <c r="BX901">
        <v>0</v>
      </c>
      <c r="BY901" t="s">
        <v>135</v>
      </c>
      <c r="BZ901">
        <v>0</v>
      </c>
      <c r="CA901">
        <v>0</v>
      </c>
      <c r="CB901" t="s">
        <v>135</v>
      </c>
      <c r="CH901" s="2"/>
      <c r="CJ901" s="2"/>
      <c r="CL901" s="2"/>
      <c r="CN901" s="2"/>
      <c r="CQ901" s="2"/>
      <c r="CT901" s="2"/>
      <c r="CW901" s="2"/>
    </row>
    <row r="902" spans="1:101" x14ac:dyDescent="0.25">
      <c r="A902" s="1" t="s">
        <v>163</v>
      </c>
      <c r="B902" s="75" t="s">
        <v>164</v>
      </c>
      <c r="C902">
        <v>0</v>
      </c>
      <c r="D902">
        <v>0</v>
      </c>
      <c r="E902">
        <v>0</v>
      </c>
      <c r="F902">
        <v>604324.56000000006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3.91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7490</v>
      </c>
      <c r="AW902">
        <v>3350</v>
      </c>
      <c r="AX902">
        <v>1219</v>
      </c>
      <c r="AY902">
        <v>12059</v>
      </c>
      <c r="AZ902">
        <v>4202</v>
      </c>
      <c r="BA902">
        <v>7438</v>
      </c>
      <c r="BB902">
        <v>1432</v>
      </c>
      <c r="BC902">
        <v>13072</v>
      </c>
      <c r="BD902">
        <v>9486</v>
      </c>
      <c r="BE902">
        <v>9222</v>
      </c>
      <c r="BF902">
        <v>1768</v>
      </c>
      <c r="BG902">
        <v>20476</v>
      </c>
      <c r="BH902">
        <v>0</v>
      </c>
      <c r="BI902">
        <v>0</v>
      </c>
      <c r="BJ902">
        <v>0</v>
      </c>
      <c r="BK902">
        <v>0</v>
      </c>
      <c r="BL902" s="2">
        <v>24.82</v>
      </c>
      <c r="BM902" s="2">
        <v>42005.095138888886</v>
      </c>
      <c r="BN902" s="2">
        <v>5.4</v>
      </c>
      <c r="BO902" s="2">
        <v>42005.092361111114</v>
      </c>
      <c r="BP902" s="2">
        <v>6.92</v>
      </c>
      <c r="BQ902" s="2">
        <v>42005.092361111114</v>
      </c>
      <c r="BR902" s="2">
        <v>11.07</v>
      </c>
      <c r="BS902" s="2">
        <v>42005.092361111114</v>
      </c>
      <c r="BT902">
        <v>0</v>
      </c>
      <c r="BU902">
        <v>0</v>
      </c>
      <c r="BV902" t="s">
        <v>135</v>
      </c>
      <c r="BW902">
        <v>0</v>
      </c>
      <c r="BX902">
        <v>0</v>
      </c>
      <c r="BY902" t="s">
        <v>135</v>
      </c>
      <c r="BZ902">
        <v>0</v>
      </c>
      <c r="CA902">
        <v>0</v>
      </c>
      <c r="CB902" t="s">
        <v>135</v>
      </c>
      <c r="CH902" s="2"/>
      <c r="CJ902" s="2"/>
      <c r="CL902" s="2"/>
      <c r="CN902" s="2"/>
      <c r="CQ902" s="2"/>
      <c r="CT902" s="2"/>
      <c r="CW902" s="2"/>
    </row>
    <row r="903" spans="1:101" x14ac:dyDescent="0.25">
      <c r="A903" s="1" t="s">
        <v>163</v>
      </c>
      <c r="B903" s="75" t="s">
        <v>164</v>
      </c>
      <c r="C903">
        <v>0</v>
      </c>
      <c r="D903">
        <v>0</v>
      </c>
      <c r="E903">
        <v>0</v>
      </c>
      <c r="F903">
        <v>604324.56000000006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3.91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7490</v>
      </c>
      <c r="AW903">
        <v>3350</v>
      </c>
      <c r="AX903">
        <v>1219</v>
      </c>
      <c r="AY903">
        <v>12059</v>
      </c>
      <c r="AZ903">
        <v>4202</v>
      </c>
      <c r="BA903">
        <v>7438</v>
      </c>
      <c r="BB903">
        <v>1432</v>
      </c>
      <c r="BC903">
        <v>13072</v>
      </c>
      <c r="BD903">
        <v>9486</v>
      </c>
      <c r="BE903">
        <v>9222</v>
      </c>
      <c r="BF903">
        <v>1768</v>
      </c>
      <c r="BG903">
        <v>20476</v>
      </c>
      <c r="BH903">
        <v>0</v>
      </c>
      <c r="BI903">
        <v>0</v>
      </c>
      <c r="BJ903">
        <v>0</v>
      </c>
      <c r="BK903">
        <v>0</v>
      </c>
      <c r="BL903" s="2">
        <v>24.82</v>
      </c>
      <c r="BM903" s="2">
        <v>42005.095138888886</v>
      </c>
      <c r="BN903" s="2">
        <v>5.4</v>
      </c>
      <c r="BO903" s="2">
        <v>42005.092361111114</v>
      </c>
      <c r="BP903" s="2">
        <v>6.92</v>
      </c>
      <c r="BQ903" s="2">
        <v>42005.092361111114</v>
      </c>
      <c r="BR903" s="2">
        <v>11.07</v>
      </c>
      <c r="BS903" s="2">
        <v>42005.092361111114</v>
      </c>
      <c r="BT903">
        <v>0</v>
      </c>
      <c r="BU903">
        <v>0</v>
      </c>
      <c r="BV903" t="s">
        <v>135</v>
      </c>
      <c r="BW903">
        <v>0</v>
      </c>
      <c r="BX903">
        <v>0</v>
      </c>
      <c r="BY903" t="s">
        <v>135</v>
      </c>
      <c r="BZ903">
        <v>0</v>
      </c>
      <c r="CA903">
        <v>0</v>
      </c>
      <c r="CB903" t="s">
        <v>135</v>
      </c>
      <c r="CH903" s="2"/>
      <c r="CJ903" s="2"/>
      <c r="CL903" s="2"/>
      <c r="CN903" s="2"/>
      <c r="CQ903" s="2"/>
      <c r="CT903" s="2"/>
      <c r="CW903" s="2"/>
    </row>
    <row r="904" spans="1:101" x14ac:dyDescent="0.25">
      <c r="A904" s="1" t="s">
        <v>163</v>
      </c>
      <c r="B904" s="75" t="s">
        <v>164</v>
      </c>
      <c r="C904">
        <v>0</v>
      </c>
      <c r="D904">
        <v>0</v>
      </c>
      <c r="E904">
        <v>0</v>
      </c>
      <c r="F904">
        <v>604324.56000000006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3.91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7490</v>
      </c>
      <c r="AW904">
        <v>3350</v>
      </c>
      <c r="AX904">
        <v>1219</v>
      </c>
      <c r="AY904">
        <v>12059</v>
      </c>
      <c r="AZ904">
        <v>4202</v>
      </c>
      <c r="BA904">
        <v>7438</v>
      </c>
      <c r="BB904">
        <v>1432</v>
      </c>
      <c r="BC904">
        <v>13072</v>
      </c>
      <c r="BD904">
        <v>9486</v>
      </c>
      <c r="BE904">
        <v>9222</v>
      </c>
      <c r="BF904">
        <v>1768</v>
      </c>
      <c r="BG904">
        <v>20476</v>
      </c>
      <c r="BH904">
        <v>0</v>
      </c>
      <c r="BI904">
        <v>0</v>
      </c>
      <c r="BJ904">
        <v>0</v>
      </c>
      <c r="BK904">
        <v>0</v>
      </c>
      <c r="BL904" s="2">
        <v>24.82</v>
      </c>
      <c r="BM904" s="2">
        <v>42005.095138888886</v>
      </c>
      <c r="BN904" s="2">
        <v>5.4</v>
      </c>
      <c r="BO904" s="2">
        <v>42005.092361111114</v>
      </c>
      <c r="BP904" s="2">
        <v>6.92</v>
      </c>
      <c r="BQ904" s="2">
        <v>42005.092361111114</v>
      </c>
      <c r="BR904" s="2">
        <v>11.07</v>
      </c>
      <c r="BS904" s="2">
        <v>42005.092361111114</v>
      </c>
      <c r="BT904">
        <v>0</v>
      </c>
      <c r="BU904">
        <v>0</v>
      </c>
      <c r="BV904" t="s">
        <v>135</v>
      </c>
      <c r="BW904">
        <v>0</v>
      </c>
      <c r="BX904">
        <v>0</v>
      </c>
      <c r="BY904" t="s">
        <v>135</v>
      </c>
      <c r="BZ904">
        <v>0</v>
      </c>
      <c r="CA904">
        <v>0</v>
      </c>
      <c r="CB904" t="s">
        <v>135</v>
      </c>
      <c r="CH904" s="2"/>
      <c r="CJ904" s="2"/>
      <c r="CL904" s="2"/>
      <c r="CN904" s="2"/>
      <c r="CQ904" s="2"/>
      <c r="CT904" s="2"/>
      <c r="CW904" s="2"/>
    </row>
    <row r="905" spans="1:101" x14ac:dyDescent="0.25">
      <c r="A905" s="1" t="s">
        <v>163</v>
      </c>
      <c r="B905" s="75" t="s">
        <v>164</v>
      </c>
      <c r="C905">
        <v>0</v>
      </c>
      <c r="D905">
        <v>0</v>
      </c>
      <c r="E905">
        <v>0</v>
      </c>
      <c r="F905">
        <v>604324.56000000006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3.91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7490</v>
      </c>
      <c r="AW905">
        <v>3350</v>
      </c>
      <c r="AX905">
        <v>1219</v>
      </c>
      <c r="AY905">
        <v>12059</v>
      </c>
      <c r="AZ905">
        <v>4202</v>
      </c>
      <c r="BA905">
        <v>7438</v>
      </c>
      <c r="BB905">
        <v>1432</v>
      </c>
      <c r="BC905">
        <v>13072</v>
      </c>
      <c r="BD905">
        <v>9486</v>
      </c>
      <c r="BE905">
        <v>9222</v>
      </c>
      <c r="BF905">
        <v>1768</v>
      </c>
      <c r="BG905">
        <v>20476</v>
      </c>
      <c r="BH905">
        <v>0</v>
      </c>
      <c r="BI905">
        <v>0</v>
      </c>
      <c r="BJ905">
        <v>0</v>
      </c>
      <c r="BK905">
        <v>0</v>
      </c>
      <c r="BL905" s="2">
        <v>24.82</v>
      </c>
      <c r="BM905" s="2">
        <v>42005.095138888886</v>
      </c>
      <c r="BN905" s="2">
        <v>5.4</v>
      </c>
      <c r="BO905" s="2">
        <v>42005.092361111114</v>
      </c>
      <c r="BP905" s="2">
        <v>6.92</v>
      </c>
      <c r="BQ905" s="2">
        <v>42005.092361111114</v>
      </c>
      <c r="BR905" s="2">
        <v>11.07</v>
      </c>
      <c r="BS905" s="2">
        <v>42005.092361111114</v>
      </c>
      <c r="BT905">
        <v>0</v>
      </c>
      <c r="BU905">
        <v>0</v>
      </c>
      <c r="BV905" t="s">
        <v>135</v>
      </c>
      <c r="BW905">
        <v>0</v>
      </c>
      <c r="BX905">
        <v>0</v>
      </c>
      <c r="BY905" t="s">
        <v>135</v>
      </c>
      <c r="BZ905">
        <v>0</v>
      </c>
      <c r="CA905">
        <v>0</v>
      </c>
      <c r="CB905" t="s">
        <v>135</v>
      </c>
      <c r="CH905" s="2"/>
      <c r="CJ905" s="2"/>
      <c r="CL905" s="2"/>
      <c r="CN905" s="2"/>
      <c r="CQ905" s="2"/>
      <c r="CT905" s="2"/>
      <c r="CW905" s="2"/>
    </row>
    <row r="906" spans="1:101" x14ac:dyDescent="0.25">
      <c r="A906" s="1" t="s">
        <v>163</v>
      </c>
      <c r="B906" s="75" t="s">
        <v>164</v>
      </c>
      <c r="C906">
        <v>0</v>
      </c>
      <c r="D906">
        <v>0</v>
      </c>
      <c r="E906">
        <v>0</v>
      </c>
      <c r="F906">
        <v>604324.56000000006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3.91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7490</v>
      </c>
      <c r="AW906">
        <v>3350</v>
      </c>
      <c r="AX906">
        <v>1219</v>
      </c>
      <c r="AY906">
        <v>12059</v>
      </c>
      <c r="AZ906">
        <v>4202</v>
      </c>
      <c r="BA906">
        <v>7438</v>
      </c>
      <c r="BB906">
        <v>1432</v>
      </c>
      <c r="BC906">
        <v>13072</v>
      </c>
      <c r="BD906">
        <v>9486</v>
      </c>
      <c r="BE906">
        <v>9222</v>
      </c>
      <c r="BF906">
        <v>1768</v>
      </c>
      <c r="BG906">
        <v>20476</v>
      </c>
      <c r="BH906">
        <v>0</v>
      </c>
      <c r="BI906">
        <v>0</v>
      </c>
      <c r="BJ906">
        <v>0</v>
      </c>
      <c r="BK906">
        <v>0</v>
      </c>
      <c r="BL906" s="2">
        <v>24.82</v>
      </c>
      <c r="BM906" s="2">
        <v>42005.095138888886</v>
      </c>
      <c r="BN906" s="2">
        <v>5.4</v>
      </c>
      <c r="BO906" s="2">
        <v>42005.092361111114</v>
      </c>
      <c r="BP906" s="2">
        <v>6.92</v>
      </c>
      <c r="BQ906" s="2">
        <v>42005.092361111114</v>
      </c>
      <c r="BR906" s="2">
        <v>11.07</v>
      </c>
      <c r="BS906" s="2">
        <v>42005.092361111114</v>
      </c>
      <c r="BT906">
        <v>0</v>
      </c>
      <c r="BU906">
        <v>0</v>
      </c>
      <c r="BV906" t="s">
        <v>135</v>
      </c>
      <c r="BW906">
        <v>0</v>
      </c>
      <c r="BX906">
        <v>0</v>
      </c>
      <c r="BY906" t="s">
        <v>135</v>
      </c>
      <c r="BZ906">
        <v>0</v>
      </c>
      <c r="CA906">
        <v>0</v>
      </c>
      <c r="CB906" t="s">
        <v>135</v>
      </c>
      <c r="CH906" s="2"/>
      <c r="CJ906" s="2"/>
      <c r="CL906" s="2"/>
      <c r="CN906" s="2"/>
      <c r="CQ906" s="2"/>
      <c r="CT906" s="2"/>
      <c r="CW906" s="2"/>
    </row>
    <row r="907" spans="1:101" x14ac:dyDescent="0.25">
      <c r="A907" s="1" t="s">
        <v>163</v>
      </c>
      <c r="B907" s="75" t="s">
        <v>164</v>
      </c>
      <c r="C907">
        <v>0</v>
      </c>
      <c r="D907">
        <v>0</v>
      </c>
      <c r="E907">
        <v>0</v>
      </c>
      <c r="F907">
        <v>604324.56000000006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3.91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7490</v>
      </c>
      <c r="AW907">
        <v>3350</v>
      </c>
      <c r="AX907">
        <v>1219</v>
      </c>
      <c r="AY907">
        <v>12059</v>
      </c>
      <c r="AZ907">
        <v>4202</v>
      </c>
      <c r="BA907">
        <v>7438</v>
      </c>
      <c r="BB907">
        <v>1432</v>
      </c>
      <c r="BC907">
        <v>13072</v>
      </c>
      <c r="BD907">
        <v>9486</v>
      </c>
      <c r="BE907">
        <v>9222</v>
      </c>
      <c r="BF907">
        <v>1768</v>
      </c>
      <c r="BG907">
        <v>20476</v>
      </c>
      <c r="BH907">
        <v>0</v>
      </c>
      <c r="BI907">
        <v>0</v>
      </c>
      <c r="BJ907">
        <v>0</v>
      </c>
      <c r="BK907">
        <v>0</v>
      </c>
      <c r="BL907" s="2">
        <v>24.82</v>
      </c>
      <c r="BM907" s="2">
        <v>42005.095138888886</v>
      </c>
      <c r="BN907" s="2">
        <v>5.4</v>
      </c>
      <c r="BO907" s="2">
        <v>42005.092361111114</v>
      </c>
      <c r="BP907" s="2">
        <v>6.92</v>
      </c>
      <c r="BQ907" s="2">
        <v>42005.092361111114</v>
      </c>
      <c r="BR907" s="2">
        <v>11.07</v>
      </c>
      <c r="BS907" s="2">
        <v>42005.092361111114</v>
      </c>
      <c r="BT907">
        <v>0</v>
      </c>
      <c r="BU907">
        <v>0</v>
      </c>
      <c r="BV907" t="s">
        <v>135</v>
      </c>
      <c r="BW907">
        <v>0</v>
      </c>
      <c r="BX907">
        <v>0</v>
      </c>
      <c r="BY907" t="s">
        <v>135</v>
      </c>
      <c r="BZ907">
        <v>0</v>
      </c>
      <c r="CA907">
        <v>0</v>
      </c>
      <c r="CB907" t="s">
        <v>135</v>
      </c>
      <c r="CH907" s="2"/>
      <c r="CJ907" s="2"/>
      <c r="CL907" s="2"/>
      <c r="CN907" s="2"/>
      <c r="CQ907" s="2"/>
      <c r="CT907" s="2"/>
      <c r="CW907" s="2"/>
    </row>
    <row r="908" spans="1:101" x14ac:dyDescent="0.25">
      <c r="A908" s="1" t="s">
        <v>163</v>
      </c>
      <c r="B908" s="75" t="s">
        <v>164</v>
      </c>
      <c r="C908">
        <v>0</v>
      </c>
      <c r="D908">
        <v>0</v>
      </c>
      <c r="E908">
        <v>0</v>
      </c>
      <c r="F908">
        <v>604324.56000000006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3.91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7490</v>
      </c>
      <c r="AW908">
        <v>3350</v>
      </c>
      <c r="AX908">
        <v>1219</v>
      </c>
      <c r="AY908">
        <v>12059</v>
      </c>
      <c r="AZ908">
        <v>4202</v>
      </c>
      <c r="BA908">
        <v>7438</v>
      </c>
      <c r="BB908">
        <v>1432</v>
      </c>
      <c r="BC908">
        <v>13072</v>
      </c>
      <c r="BD908">
        <v>9486</v>
      </c>
      <c r="BE908">
        <v>9222</v>
      </c>
      <c r="BF908">
        <v>1768</v>
      </c>
      <c r="BG908">
        <v>20476</v>
      </c>
      <c r="BH908">
        <v>0</v>
      </c>
      <c r="BI908">
        <v>0</v>
      </c>
      <c r="BJ908">
        <v>0</v>
      </c>
      <c r="BK908">
        <v>0</v>
      </c>
      <c r="BL908" s="2">
        <v>24.82</v>
      </c>
      <c r="BM908" s="2">
        <v>42005.095138888886</v>
      </c>
      <c r="BN908" s="2">
        <v>5.4</v>
      </c>
      <c r="BO908" s="2">
        <v>42005.092361111114</v>
      </c>
      <c r="BP908" s="2">
        <v>6.92</v>
      </c>
      <c r="BQ908" s="2">
        <v>42005.092361111114</v>
      </c>
      <c r="BR908" s="2">
        <v>11.07</v>
      </c>
      <c r="BS908" s="2">
        <v>42005.092361111114</v>
      </c>
      <c r="BT908">
        <v>0</v>
      </c>
      <c r="BU908">
        <v>0</v>
      </c>
      <c r="BV908" t="s">
        <v>135</v>
      </c>
      <c r="BW908">
        <v>0</v>
      </c>
      <c r="BX908">
        <v>0</v>
      </c>
      <c r="BY908" t="s">
        <v>135</v>
      </c>
      <c r="BZ908">
        <v>0</v>
      </c>
      <c r="CA908">
        <v>0</v>
      </c>
      <c r="CB908" t="s">
        <v>135</v>
      </c>
      <c r="CH908" s="2"/>
      <c r="CJ908" s="2"/>
      <c r="CL908" s="2"/>
      <c r="CN908" s="2"/>
      <c r="CQ908" s="2"/>
      <c r="CT908" s="2"/>
      <c r="CW908" s="2"/>
    </row>
    <row r="909" spans="1:101" x14ac:dyDescent="0.25">
      <c r="A909" s="1" t="s">
        <v>163</v>
      </c>
      <c r="B909" s="75" t="s">
        <v>164</v>
      </c>
      <c r="C909">
        <v>0</v>
      </c>
      <c r="D909">
        <v>0</v>
      </c>
      <c r="E909">
        <v>0</v>
      </c>
      <c r="F909">
        <v>604324.56000000006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3.91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7490</v>
      </c>
      <c r="AW909">
        <v>3350</v>
      </c>
      <c r="AX909">
        <v>1219</v>
      </c>
      <c r="AY909">
        <v>12059</v>
      </c>
      <c r="AZ909">
        <v>4202</v>
      </c>
      <c r="BA909">
        <v>7438</v>
      </c>
      <c r="BB909">
        <v>1432</v>
      </c>
      <c r="BC909">
        <v>13072</v>
      </c>
      <c r="BD909">
        <v>9486</v>
      </c>
      <c r="BE909">
        <v>9222</v>
      </c>
      <c r="BF909">
        <v>1768</v>
      </c>
      <c r="BG909">
        <v>20476</v>
      </c>
      <c r="BH909">
        <v>0</v>
      </c>
      <c r="BI909">
        <v>0</v>
      </c>
      <c r="BJ909">
        <v>0</v>
      </c>
      <c r="BK909">
        <v>0</v>
      </c>
      <c r="BL909" s="2">
        <v>24.82</v>
      </c>
      <c r="BM909" s="2">
        <v>42005.095138888886</v>
      </c>
      <c r="BN909" s="2">
        <v>5.4</v>
      </c>
      <c r="BO909" s="2">
        <v>42005.092361111114</v>
      </c>
      <c r="BP909" s="2">
        <v>6.92</v>
      </c>
      <c r="BQ909" s="2">
        <v>42005.092361111114</v>
      </c>
      <c r="BR909" s="2">
        <v>11.07</v>
      </c>
      <c r="BS909" s="2">
        <v>42005.092361111114</v>
      </c>
      <c r="BT909">
        <v>0</v>
      </c>
      <c r="BU909">
        <v>0</v>
      </c>
      <c r="BV909" t="s">
        <v>135</v>
      </c>
      <c r="BW909">
        <v>0</v>
      </c>
      <c r="BX909">
        <v>0</v>
      </c>
      <c r="BY909" t="s">
        <v>135</v>
      </c>
      <c r="BZ909">
        <v>0</v>
      </c>
      <c r="CA909">
        <v>0</v>
      </c>
      <c r="CB909" t="s">
        <v>135</v>
      </c>
      <c r="CH909" s="2"/>
      <c r="CJ909" s="2"/>
      <c r="CL909" s="2"/>
      <c r="CN909" s="2"/>
      <c r="CQ909" s="2"/>
      <c r="CT909" s="2"/>
      <c r="CW909" s="2"/>
    </row>
    <row r="910" spans="1:101" x14ac:dyDescent="0.25">
      <c r="A910" s="1" t="s">
        <v>163</v>
      </c>
      <c r="B910" s="75" t="s">
        <v>164</v>
      </c>
      <c r="C910">
        <v>0</v>
      </c>
      <c r="D910">
        <v>0</v>
      </c>
      <c r="E910">
        <v>0</v>
      </c>
      <c r="F910">
        <v>604324.56000000006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3.91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7490</v>
      </c>
      <c r="AW910">
        <v>3350</v>
      </c>
      <c r="AX910">
        <v>1219</v>
      </c>
      <c r="AY910">
        <v>12059</v>
      </c>
      <c r="AZ910">
        <v>4202</v>
      </c>
      <c r="BA910">
        <v>7438</v>
      </c>
      <c r="BB910">
        <v>1432</v>
      </c>
      <c r="BC910">
        <v>13072</v>
      </c>
      <c r="BD910">
        <v>9486</v>
      </c>
      <c r="BE910">
        <v>9222</v>
      </c>
      <c r="BF910">
        <v>1768</v>
      </c>
      <c r="BG910">
        <v>20476</v>
      </c>
      <c r="BH910">
        <v>0</v>
      </c>
      <c r="BI910">
        <v>0</v>
      </c>
      <c r="BJ910">
        <v>0</v>
      </c>
      <c r="BK910">
        <v>0</v>
      </c>
      <c r="BL910" s="2">
        <v>24.82</v>
      </c>
      <c r="BM910" s="2">
        <v>42005.095138888886</v>
      </c>
      <c r="BN910" s="2">
        <v>5.4</v>
      </c>
      <c r="BO910" s="2">
        <v>42005.092361111114</v>
      </c>
      <c r="BP910" s="2">
        <v>6.92</v>
      </c>
      <c r="BQ910" s="2">
        <v>42005.092361111114</v>
      </c>
      <c r="BR910" s="2">
        <v>11.07</v>
      </c>
      <c r="BS910" s="2">
        <v>42005.092361111114</v>
      </c>
      <c r="BT910">
        <v>0</v>
      </c>
      <c r="BU910">
        <v>0</v>
      </c>
      <c r="BV910" t="s">
        <v>135</v>
      </c>
      <c r="BW910">
        <v>0</v>
      </c>
      <c r="BX910">
        <v>0</v>
      </c>
      <c r="BY910" t="s">
        <v>135</v>
      </c>
      <c r="BZ910">
        <v>0</v>
      </c>
      <c r="CA910">
        <v>0</v>
      </c>
      <c r="CB910" t="s">
        <v>135</v>
      </c>
      <c r="CH910" s="2"/>
      <c r="CJ910" s="2"/>
      <c r="CL910" s="2"/>
      <c r="CN910" s="2"/>
      <c r="CQ910" s="2"/>
      <c r="CT910" s="2"/>
      <c r="CW910" s="2"/>
    </row>
    <row r="911" spans="1:101" x14ac:dyDescent="0.25">
      <c r="A911" s="1" t="s">
        <v>163</v>
      </c>
      <c r="B911" s="75" t="s">
        <v>164</v>
      </c>
      <c r="C911">
        <v>0</v>
      </c>
      <c r="D911">
        <v>0</v>
      </c>
      <c r="E911">
        <v>0</v>
      </c>
      <c r="F911">
        <v>604324.56000000006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3.91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7490</v>
      </c>
      <c r="AW911">
        <v>3350</v>
      </c>
      <c r="AX911">
        <v>1219</v>
      </c>
      <c r="AY911">
        <v>12059</v>
      </c>
      <c r="AZ911">
        <v>4202</v>
      </c>
      <c r="BA911">
        <v>7438</v>
      </c>
      <c r="BB911">
        <v>1432</v>
      </c>
      <c r="BC911">
        <v>13072</v>
      </c>
      <c r="BD911">
        <v>9486</v>
      </c>
      <c r="BE911">
        <v>9222</v>
      </c>
      <c r="BF911">
        <v>1768</v>
      </c>
      <c r="BG911">
        <v>20476</v>
      </c>
      <c r="BH911">
        <v>0</v>
      </c>
      <c r="BI911">
        <v>0</v>
      </c>
      <c r="BJ911">
        <v>0</v>
      </c>
      <c r="BK911">
        <v>0</v>
      </c>
      <c r="BL911" s="2">
        <v>24.82</v>
      </c>
      <c r="BM911" s="2">
        <v>42005.095138888886</v>
      </c>
      <c r="BN911" s="2">
        <v>5.4</v>
      </c>
      <c r="BO911" s="2">
        <v>42005.092361111114</v>
      </c>
      <c r="BP911" s="2">
        <v>6.92</v>
      </c>
      <c r="BQ911" s="2">
        <v>42005.092361111114</v>
      </c>
      <c r="BR911" s="2">
        <v>11.07</v>
      </c>
      <c r="BS911" s="2">
        <v>42005.092361111114</v>
      </c>
      <c r="BT911">
        <v>0</v>
      </c>
      <c r="BU911">
        <v>0</v>
      </c>
      <c r="BV911" t="s">
        <v>135</v>
      </c>
      <c r="BW911">
        <v>0</v>
      </c>
      <c r="BX911">
        <v>0</v>
      </c>
      <c r="BY911" t="s">
        <v>135</v>
      </c>
      <c r="BZ911">
        <v>0</v>
      </c>
      <c r="CA911">
        <v>0</v>
      </c>
      <c r="CB911" t="s">
        <v>135</v>
      </c>
      <c r="CH911" s="2"/>
      <c r="CJ911" s="2"/>
      <c r="CL911" s="2"/>
      <c r="CN911" s="2"/>
      <c r="CQ911" s="2"/>
      <c r="CT911" s="2"/>
      <c r="CW911" s="2"/>
    </row>
    <row r="912" spans="1:101" x14ac:dyDescent="0.25">
      <c r="A912" s="1" t="s">
        <v>163</v>
      </c>
      <c r="B912" s="75" t="s">
        <v>164</v>
      </c>
      <c r="C912">
        <v>0</v>
      </c>
      <c r="D912">
        <v>0</v>
      </c>
      <c r="E912">
        <v>0</v>
      </c>
      <c r="F912">
        <v>604324.56000000006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3.91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7490</v>
      </c>
      <c r="AW912">
        <v>3350</v>
      </c>
      <c r="AX912">
        <v>1219</v>
      </c>
      <c r="AY912">
        <v>12059</v>
      </c>
      <c r="AZ912">
        <v>4202</v>
      </c>
      <c r="BA912">
        <v>7438</v>
      </c>
      <c r="BB912">
        <v>1432</v>
      </c>
      <c r="BC912">
        <v>13072</v>
      </c>
      <c r="BD912">
        <v>9486</v>
      </c>
      <c r="BE912">
        <v>9222</v>
      </c>
      <c r="BF912">
        <v>1768</v>
      </c>
      <c r="BG912">
        <v>20476</v>
      </c>
      <c r="BH912">
        <v>0</v>
      </c>
      <c r="BI912">
        <v>0</v>
      </c>
      <c r="BJ912">
        <v>0</v>
      </c>
      <c r="BK912">
        <v>0</v>
      </c>
      <c r="BL912" s="2">
        <v>24.82</v>
      </c>
      <c r="BM912" s="2">
        <v>42005.095138888886</v>
      </c>
      <c r="BN912" s="2">
        <v>5.4</v>
      </c>
      <c r="BO912" s="2">
        <v>42005.092361111114</v>
      </c>
      <c r="BP912" s="2">
        <v>6.92</v>
      </c>
      <c r="BQ912" s="2">
        <v>42005.092361111114</v>
      </c>
      <c r="BR912" s="2">
        <v>11.07</v>
      </c>
      <c r="BS912" s="2">
        <v>42005.092361111114</v>
      </c>
      <c r="BT912">
        <v>0</v>
      </c>
      <c r="BU912">
        <v>0</v>
      </c>
      <c r="BV912" t="s">
        <v>135</v>
      </c>
      <c r="BW912">
        <v>0</v>
      </c>
      <c r="BX912">
        <v>0</v>
      </c>
      <c r="BY912" t="s">
        <v>135</v>
      </c>
      <c r="BZ912">
        <v>0</v>
      </c>
      <c r="CA912">
        <v>0</v>
      </c>
      <c r="CB912" t="s">
        <v>135</v>
      </c>
      <c r="CH912" s="2"/>
      <c r="CJ912" s="2"/>
      <c r="CL912" s="2"/>
      <c r="CN912" s="2"/>
      <c r="CQ912" s="2"/>
      <c r="CT912" s="2"/>
      <c r="CW912" s="2"/>
    </row>
    <row r="913" spans="1:101" x14ac:dyDescent="0.25">
      <c r="A913" s="1" t="s">
        <v>163</v>
      </c>
      <c r="B913" s="75" t="s">
        <v>164</v>
      </c>
      <c r="C913">
        <v>0</v>
      </c>
      <c r="D913">
        <v>0</v>
      </c>
      <c r="E913">
        <v>0</v>
      </c>
      <c r="F913">
        <v>604324.56000000006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3.91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7490</v>
      </c>
      <c r="AW913">
        <v>3350</v>
      </c>
      <c r="AX913">
        <v>1219</v>
      </c>
      <c r="AY913">
        <v>12059</v>
      </c>
      <c r="AZ913">
        <v>4202</v>
      </c>
      <c r="BA913">
        <v>7438</v>
      </c>
      <c r="BB913">
        <v>1432</v>
      </c>
      <c r="BC913">
        <v>13072</v>
      </c>
      <c r="BD913">
        <v>9486</v>
      </c>
      <c r="BE913">
        <v>9222</v>
      </c>
      <c r="BF913">
        <v>1768</v>
      </c>
      <c r="BG913">
        <v>20476</v>
      </c>
      <c r="BH913">
        <v>0</v>
      </c>
      <c r="BI913">
        <v>0</v>
      </c>
      <c r="BJ913">
        <v>0</v>
      </c>
      <c r="BK913">
        <v>0</v>
      </c>
      <c r="BL913" s="2">
        <v>24.82</v>
      </c>
      <c r="BM913" s="2">
        <v>42005.095138888886</v>
      </c>
      <c r="BN913" s="2">
        <v>5.4</v>
      </c>
      <c r="BO913" s="2">
        <v>42005.092361111114</v>
      </c>
      <c r="BP913" s="2">
        <v>6.92</v>
      </c>
      <c r="BQ913" s="2">
        <v>42005.092361111114</v>
      </c>
      <c r="BR913" s="2">
        <v>11.07</v>
      </c>
      <c r="BS913" s="2">
        <v>42005.092361111114</v>
      </c>
      <c r="BT913">
        <v>0</v>
      </c>
      <c r="BU913">
        <v>0</v>
      </c>
      <c r="BV913" t="s">
        <v>135</v>
      </c>
      <c r="BW913">
        <v>0</v>
      </c>
      <c r="BX913">
        <v>0</v>
      </c>
      <c r="BY913" t="s">
        <v>135</v>
      </c>
      <c r="BZ913">
        <v>0</v>
      </c>
      <c r="CA913">
        <v>0</v>
      </c>
      <c r="CB913" t="s">
        <v>135</v>
      </c>
      <c r="CH913" s="2"/>
      <c r="CJ913" s="2"/>
      <c r="CL913" s="2"/>
      <c r="CN913" s="2"/>
      <c r="CQ913" s="2"/>
      <c r="CT913" s="2"/>
      <c r="CW913" s="2"/>
    </row>
    <row r="914" spans="1:101" x14ac:dyDescent="0.25">
      <c r="A914" s="1" t="s">
        <v>163</v>
      </c>
      <c r="B914" s="75" t="s">
        <v>164</v>
      </c>
      <c r="C914">
        <v>0</v>
      </c>
      <c r="D914">
        <v>0</v>
      </c>
      <c r="E914">
        <v>0</v>
      </c>
      <c r="F914">
        <v>604324.56000000006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3.91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7490</v>
      </c>
      <c r="AW914">
        <v>3350</v>
      </c>
      <c r="AX914">
        <v>1219</v>
      </c>
      <c r="AY914">
        <v>12059</v>
      </c>
      <c r="AZ914">
        <v>4202</v>
      </c>
      <c r="BA914">
        <v>7438</v>
      </c>
      <c r="BB914">
        <v>1432</v>
      </c>
      <c r="BC914">
        <v>13072</v>
      </c>
      <c r="BD914">
        <v>9486</v>
      </c>
      <c r="BE914">
        <v>9222</v>
      </c>
      <c r="BF914">
        <v>1768</v>
      </c>
      <c r="BG914">
        <v>20476</v>
      </c>
      <c r="BH914">
        <v>0</v>
      </c>
      <c r="BI914">
        <v>0</v>
      </c>
      <c r="BJ914">
        <v>0</v>
      </c>
      <c r="BK914">
        <v>0</v>
      </c>
      <c r="BL914" s="2">
        <v>24.82</v>
      </c>
      <c r="BM914" s="2">
        <v>42005.095138888886</v>
      </c>
      <c r="BN914" s="2">
        <v>5.4</v>
      </c>
      <c r="BO914" s="2">
        <v>42005.092361111114</v>
      </c>
      <c r="BP914" s="2">
        <v>6.92</v>
      </c>
      <c r="BQ914" s="2">
        <v>42005.092361111114</v>
      </c>
      <c r="BR914" s="2">
        <v>11.07</v>
      </c>
      <c r="BS914" s="2">
        <v>42005.092361111114</v>
      </c>
      <c r="BT914">
        <v>0</v>
      </c>
      <c r="BU914">
        <v>0</v>
      </c>
      <c r="BV914" t="s">
        <v>135</v>
      </c>
      <c r="BW914">
        <v>0</v>
      </c>
      <c r="BX914">
        <v>0</v>
      </c>
      <c r="BY914" t="s">
        <v>135</v>
      </c>
      <c r="BZ914">
        <v>0</v>
      </c>
      <c r="CA914">
        <v>0</v>
      </c>
      <c r="CB914" t="s">
        <v>135</v>
      </c>
      <c r="CH914" s="2"/>
      <c r="CJ914" s="2"/>
      <c r="CL914" s="2"/>
      <c r="CN914" s="2"/>
      <c r="CQ914" s="2"/>
      <c r="CT914" s="2"/>
      <c r="CW914" s="2"/>
    </row>
    <row r="915" spans="1:101" x14ac:dyDescent="0.25">
      <c r="A915" s="1" t="s">
        <v>163</v>
      </c>
      <c r="B915" s="75" t="s">
        <v>164</v>
      </c>
      <c r="C915">
        <v>0</v>
      </c>
      <c r="D915">
        <v>0</v>
      </c>
      <c r="E915">
        <v>0</v>
      </c>
      <c r="F915">
        <v>604324.56000000006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3.91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7490</v>
      </c>
      <c r="AW915">
        <v>3350</v>
      </c>
      <c r="AX915">
        <v>1219</v>
      </c>
      <c r="AY915">
        <v>12059</v>
      </c>
      <c r="AZ915">
        <v>4202</v>
      </c>
      <c r="BA915">
        <v>7438</v>
      </c>
      <c r="BB915">
        <v>1432</v>
      </c>
      <c r="BC915">
        <v>13072</v>
      </c>
      <c r="BD915">
        <v>9486</v>
      </c>
      <c r="BE915">
        <v>9222</v>
      </c>
      <c r="BF915">
        <v>1768</v>
      </c>
      <c r="BG915">
        <v>20476</v>
      </c>
      <c r="BH915">
        <v>0</v>
      </c>
      <c r="BI915">
        <v>0</v>
      </c>
      <c r="BJ915">
        <v>0</v>
      </c>
      <c r="BK915">
        <v>0</v>
      </c>
      <c r="BL915" s="2">
        <v>24.82</v>
      </c>
      <c r="BM915" s="2">
        <v>42005.095138888886</v>
      </c>
      <c r="BN915" s="2">
        <v>5.4</v>
      </c>
      <c r="BO915" s="2">
        <v>42005.092361111114</v>
      </c>
      <c r="BP915" s="2">
        <v>6.92</v>
      </c>
      <c r="BQ915" s="2">
        <v>42005.092361111114</v>
      </c>
      <c r="BR915" s="2">
        <v>11.07</v>
      </c>
      <c r="BS915" s="2">
        <v>42005.092361111114</v>
      </c>
      <c r="BT915">
        <v>0</v>
      </c>
      <c r="BU915">
        <v>0</v>
      </c>
      <c r="BV915" t="s">
        <v>135</v>
      </c>
      <c r="BW915">
        <v>0</v>
      </c>
      <c r="BX915">
        <v>0</v>
      </c>
      <c r="BY915" t="s">
        <v>135</v>
      </c>
      <c r="BZ915">
        <v>0</v>
      </c>
      <c r="CA915">
        <v>0</v>
      </c>
      <c r="CB915" t="s">
        <v>135</v>
      </c>
      <c r="CH915" s="2"/>
      <c r="CJ915" s="2"/>
      <c r="CL915" s="2"/>
      <c r="CN915" s="2"/>
      <c r="CQ915" s="2"/>
      <c r="CT915" s="2"/>
      <c r="CW915" s="2"/>
    </row>
    <row r="916" spans="1:101" x14ac:dyDescent="0.25">
      <c r="A916" s="1" t="s">
        <v>163</v>
      </c>
      <c r="B916" s="75" t="s">
        <v>164</v>
      </c>
      <c r="C916">
        <v>0</v>
      </c>
      <c r="D916">
        <v>0</v>
      </c>
      <c r="E916">
        <v>0</v>
      </c>
      <c r="F916">
        <v>604324.56000000006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3.91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7490</v>
      </c>
      <c r="AW916">
        <v>3350</v>
      </c>
      <c r="AX916">
        <v>1219</v>
      </c>
      <c r="AY916">
        <v>12059</v>
      </c>
      <c r="AZ916">
        <v>4202</v>
      </c>
      <c r="BA916">
        <v>7438</v>
      </c>
      <c r="BB916">
        <v>1432</v>
      </c>
      <c r="BC916">
        <v>13072</v>
      </c>
      <c r="BD916">
        <v>9486</v>
      </c>
      <c r="BE916">
        <v>9222</v>
      </c>
      <c r="BF916">
        <v>1768</v>
      </c>
      <c r="BG916">
        <v>20476</v>
      </c>
      <c r="BH916">
        <v>0</v>
      </c>
      <c r="BI916">
        <v>0</v>
      </c>
      <c r="BJ916">
        <v>0</v>
      </c>
      <c r="BK916">
        <v>0</v>
      </c>
      <c r="BL916" s="2">
        <v>24.82</v>
      </c>
      <c r="BM916" s="2">
        <v>42005.095138888886</v>
      </c>
      <c r="BN916" s="2">
        <v>5.4</v>
      </c>
      <c r="BO916" s="2">
        <v>42005.092361111114</v>
      </c>
      <c r="BP916" s="2">
        <v>6.92</v>
      </c>
      <c r="BQ916" s="2">
        <v>42005.092361111114</v>
      </c>
      <c r="BR916" s="2">
        <v>11.07</v>
      </c>
      <c r="BS916" s="2">
        <v>42005.092361111114</v>
      </c>
      <c r="BT916">
        <v>0</v>
      </c>
      <c r="BU916">
        <v>0</v>
      </c>
      <c r="BV916" t="s">
        <v>135</v>
      </c>
      <c r="BW916">
        <v>0</v>
      </c>
      <c r="BX916">
        <v>0</v>
      </c>
      <c r="BY916" t="s">
        <v>135</v>
      </c>
      <c r="BZ916">
        <v>0</v>
      </c>
      <c r="CA916">
        <v>0</v>
      </c>
      <c r="CB916" t="s">
        <v>135</v>
      </c>
      <c r="CH916" s="2"/>
      <c r="CJ916" s="2"/>
      <c r="CL916" s="2"/>
      <c r="CN916" s="2"/>
      <c r="CQ916" s="2"/>
      <c r="CT916" s="2"/>
      <c r="CW916" s="2"/>
    </row>
    <row r="917" spans="1:101" x14ac:dyDescent="0.25">
      <c r="A917" s="1" t="s">
        <v>163</v>
      </c>
      <c r="B917" s="75" t="s">
        <v>164</v>
      </c>
      <c r="C917">
        <v>0</v>
      </c>
      <c r="D917">
        <v>0</v>
      </c>
      <c r="E917">
        <v>0</v>
      </c>
      <c r="F917">
        <v>604324.56000000006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3.91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7490</v>
      </c>
      <c r="AW917">
        <v>3350</v>
      </c>
      <c r="AX917">
        <v>1219</v>
      </c>
      <c r="AY917">
        <v>12059</v>
      </c>
      <c r="AZ917">
        <v>4202</v>
      </c>
      <c r="BA917">
        <v>7438</v>
      </c>
      <c r="BB917">
        <v>1432</v>
      </c>
      <c r="BC917">
        <v>13072</v>
      </c>
      <c r="BD917">
        <v>9486</v>
      </c>
      <c r="BE917">
        <v>9222</v>
      </c>
      <c r="BF917">
        <v>1768</v>
      </c>
      <c r="BG917">
        <v>20476</v>
      </c>
      <c r="BH917">
        <v>0</v>
      </c>
      <c r="BI917">
        <v>0</v>
      </c>
      <c r="BJ917">
        <v>0</v>
      </c>
      <c r="BK917">
        <v>0</v>
      </c>
      <c r="BL917" s="2">
        <v>24.82</v>
      </c>
      <c r="BM917" s="2">
        <v>42005.095138888886</v>
      </c>
      <c r="BN917" s="2">
        <v>5.4</v>
      </c>
      <c r="BO917" s="2">
        <v>42005.092361111114</v>
      </c>
      <c r="BP917" s="2">
        <v>6.92</v>
      </c>
      <c r="BQ917" s="2">
        <v>42005.092361111114</v>
      </c>
      <c r="BR917" s="2">
        <v>11.07</v>
      </c>
      <c r="BS917" s="2">
        <v>42005.092361111114</v>
      </c>
      <c r="BT917">
        <v>0</v>
      </c>
      <c r="BU917">
        <v>0</v>
      </c>
      <c r="BV917" t="s">
        <v>135</v>
      </c>
      <c r="BW917">
        <v>0</v>
      </c>
      <c r="BX917">
        <v>0</v>
      </c>
      <c r="BY917" t="s">
        <v>135</v>
      </c>
      <c r="BZ917">
        <v>0</v>
      </c>
      <c r="CA917">
        <v>0</v>
      </c>
      <c r="CB917" t="s">
        <v>135</v>
      </c>
      <c r="CH917" s="2"/>
      <c r="CJ917" s="2"/>
      <c r="CL917" s="2"/>
      <c r="CN917" s="2"/>
      <c r="CQ917" s="2"/>
      <c r="CT917" s="2"/>
      <c r="CW917" s="2"/>
    </row>
    <row r="918" spans="1:101" x14ac:dyDescent="0.25">
      <c r="A918" s="1" t="s">
        <v>163</v>
      </c>
      <c r="B918" s="75" t="s">
        <v>164</v>
      </c>
      <c r="C918">
        <v>0</v>
      </c>
      <c r="D918">
        <v>0</v>
      </c>
      <c r="E918">
        <v>0</v>
      </c>
      <c r="F918">
        <v>604324.56000000006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3.91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7490</v>
      </c>
      <c r="AW918">
        <v>3350</v>
      </c>
      <c r="AX918">
        <v>1219</v>
      </c>
      <c r="AY918">
        <v>12059</v>
      </c>
      <c r="AZ918">
        <v>4202</v>
      </c>
      <c r="BA918">
        <v>7438</v>
      </c>
      <c r="BB918">
        <v>1432</v>
      </c>
      <c r="BC918">
        <v>13072</v>
      </c>
      <c r="BD918">
        <v>9486</v>
      </c>
      <c r="BE918">
        <v>9222</v>
      </c>
      <c r="BF918">
        <v>1768</v>
      </c>
      <c r="BG918">
        <v>20476</v>
      </c>
      <c r="BH918">
        <v>0</v>
      </c>
      <c r="BI918">
        <v>0</v>
      </c>
      <c r="BJ918">
        <v>0</v>
      </c>
      <c r="BK918">
        <v>0</v>
      </c>
      <c r="BL918" s="2">
        <v>24.82</v>
      </c>
      <c r="BM918" s="2">
        <v>42005.095138888886</v>
      </c>
      <c r="BN918" s="2">
        <v>5.4</v>
      </c>
      <c r="BO918" s="2">
        <v>42005.092361111114</v>
      </c>
      <c r="BP918" s="2">
        <v>6.92</v>
      </c>
      <c r="BQ918" s="2">
        <v>42005.092361111114</v>
      </c>
      <c r="BR918" s="2">
        <v>11.07</v>
      </c>
      <c r="BS918" s="2">
        <v>42005.092361111114</v>
      </c>
      <c r="BT918">
        <v>0</v>
      </c>
      <c r="BU918">
        <v>0</v>
      </c>
      <c r="BV918" t="s">
        <v>135</v>
      </c>
      <c r="BW918">
        <v>0</v>
      </c>
      <c r="BX918">
        <v>0</v>
      </c>
      <c r="BY918" t="s">
        <v>135</v>
      </c>
      <c r="BZ918">
        <v>0</v>
      </c>
      <c r="CA918">
        <v>0</v>
      </c>
      <c r="CB918" t="s">
        <v>135</v>
      </c>
      <c r="CH918" s="2"/>
      <c r="CJ918" s="2"/>
      <c r="CL918" s="2"/>
      <c r="CN918" s="2"/>
      <c r="CQ918" s="2"/>
      <c r="CT918" s="2"/>
      <c r="CW918" s="2"/>
    </row>
    <row r="919" spans="1:101" x14ac:dyDescent="0.25">
      <c r="A919" s="1" t="s">
        <v>163</v>
      </c>
      <c r="B919" s="75" t="s">
        <v>164</v>
      </c>
      <c r="C919">
        <v>0</v>
      </c>
      <c r="D919">
        <v>0</v>
      </c>
      <c r="E919">
        <v>0</v>
      </c>
      <c r="F919">
        <v>604324.56000000006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3.91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7490</v>
      </c>
      <c r="AW919">
        <v>3350</v>
      </c>
      <c r="AX919">
        <v>1219</v>
      </c>
      <c r="AY919">
        <v>12059</v>
      </c>
      <c r="AZ919">
        <v>4202</v>
      </c>
      <c r="BA919">
        <v>7438</v>
      </c>
      <c r="BB919">
        <v>1432</v>
      </c>
      <c r="BC919">
        <v>13072</v>
      </c>
      <c r="BD919">
        <v>9486</v>
      </c>
      <c r="BE919">
        <v>9222</v>
      </c>
      <c r="BF919">
        <v>1768</v>
      </c>
      <c r="BG919">
        <v>20476</v>
      </c>
      <c r="BH919">
        <v>0</v>
      </c>
      <c r="BI919">
        <v>0</v>
      </c>
      <c r="BJ919">
        <v>0</v>
      </c>
      <c r="BK919">
        <v>0</v>
      </c>
      <c r="BL919" s="2">
        <v>24.82</v>
      </c>
      <c r="BM919" s="2">
        <v>42005.095138888886</v>
      </c>
      <c r="BN919" s="2">
        <v>5.4</v>
      </c>
      <c r="BO919" s="2">
        <v>42005.092361111114</v>
      </c>
      <c r="BP919" s="2">
        <v>6.92</v>
      </c>
      <c r="BQ919" s="2">
        <v>42005.092361111114</v>
      </c>
      <c r="BR919" s="2">
        <v>11.07</v>
      </c>
      <c r="BS919" s="2">
        <v>42005.092361111114</v>
      </c>
      <c r="BT919">
        <v>0</v>
      </c>
      <c r="BU919">
        <v>0</v>
      </c>
      <c r="BV919" t="s">
        <v>135</v>
      </c>
      <c r="BW919">
        <v>0</v>
      </c>
      <c r="BX919">
        <v>0</v>
      </c>
      <c r="BY919" t="s">
        <v>135</v>
      </c>
      <c r="BZ919">
        <v>0</v>
      </c>
      <c r="CA919">
        <v>0</v>
      </c>
      <c r="CB919" t="s">
        <v>135</v>
      </c>
      <c r="CH919" s="2"/>
      <c r="CJ919" s="2"/>
      <c r="CL919" s="2"/>
      <c r="CN919" s="2"/>
      <c r="CQ919" s="2"/>
      <c r="CT919" s="2"/>
      <c r="CW919" s="2"/>
    </row>
    <row r="920" spans="1:101" x14ac:dyDescent="0.25">
      <c r="A920" s="1" t="s">
        <v>163</v>
      </c>
      <c r="B920" s="75" t="s">
        <v>164</v>
      </c>
      <c r="C920">
        <v>0</v>
      </c>
      <c r="D920">
        <v>0</v>
      </c>
      <c r="E920">
        <v>0</v>
      </c>
      <c r="F920">
        <v>604324.56000000006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3.91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7490</v>
      </c>
      <c r="AW920">
        <v>3350</v>
      </c>
      <c r="AX920">
        <v>1219</v>
      </c>
      <c r="AY920">
        <v>12059</v>
      </c>
      <c r="AZ920">
        <v>4202</v>
      </c>
      <c r="BA920">
        <v>7438</v>
      </c>
      <c r="BB920">
        <v>1432</v>
      </c>
      <c r="BC920">
        <v>13072</v>
      </c>
      <c r="BD920">
        <v>9486</v>
      </c>
      <c r="BE920">
        <v>9222</v>
      </c>
      <c r="BF920">
        <v>1768</v>
      </c>
      <c r="BG920">
        <v>20476</v>
      </c>
      <c r="BH920">
        <v>0</v>
      </c>
      <c r="BI920">
        <v>0</v>
      </c>
      <c r="BJ920">
        <v>0</v>
      </c>
      <c r="BK920">
        <v>0</v>
      </c>
      <c r="BL920" s="2">
        <v>24.82</v>
      </c>
      <c r="BM920" s="2">
        <v>42005.095138888886</v>
      </c>
      <c r="BN920" s="2">
        <v>5.4</v>
      </c>
      <c r="BO920" s="2">
        <v>42005.092361111114</v>
      </c>
      <c r="BP920" s="2">
        <v>6.92</v>
      </c>
      <c r="BQ920" s="2">
        <v>42005.092361111114</v>
      </c>
      <c r="BR920" s="2">
        <v>11.07</v>
      </c>
      <c r="BS920" s="2">
        <v>42005.092361111114</v>
      </c>
      <c r="BT920">
        <v>0</v>
      </c>
      <c r="BU920">
        <v>0</v>
      </c>
      <c r="BV920" t="s">
        <v>135</v>
      </c>
      <c r="BW920">
        <v>0</v>
      </c>
      <c r="BX920">
        <v>0</v>
      </c>
      <c r="BY920" t="s">
        <v>135</v>
      </c>
      <c r="BZ920">
        <v>0</v>
      </c>
      <c r="CA920">
        <v>0</v>
      </c>
      <c r="CB920" t="s">
        <v>135</v>
      </c>
      <c r="CH920" s="2"/>
      <c r="CJ920" s="2"/>
      <c r="CL920" s="2"/>
      <c r="CN920" s="2"/>
      <c r="CQ920" s="2"/>
      <c r="CT920" s="2"/>
      <c r="CW920" s="2"/>
    </row>
    <row r="921" spans="1:101" x14ac:dyDescent="0.25">
      <c r="A921" s="1" t="s">
        <v>163</v>
      </c>
      <c r="B921" s="75" t="s">
        <v>164</v>
      </c>
      <c r="C921">
        <v>0</v>
      </c>
      <c r="D921">
        <v>0</v>
      </c>
      <c r="E921">
        <v>0</v>
      </c>
      <c r="F921">
        <v>604324.56000000006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3.91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7490</v>
      </c>
      <c r="AW921">
        <v>3350</v>
      </c>
      <c r="AX921">
        <v>1219</v>
      </c>
      <c r="AY921">
        <v>12059</v>
      </c>
      <c r="AZ921">
        <v>4202</v>
      </c>
      <c r="BA921">
        <v>7438</v>
      </c>
      <c r="BB921">
        <v>1432</v>
      </c>
      <c r="BC921">
        <v>13072</v>
      </c>
      <c r="BD921">
        <v>9486</v>
      </c>
      <c r="BE921">
        <v>9222</v>
      </c>
      <c r="BF921">
        <v>1768</v>
      </c>
      <c r="BG921">
        <v>20476</v>
      </c>
      <c r="BH921">
        <v>0</v>
      </c>
      <c r="BI921">
        <v>0</v>
      </c>
      <c r="BJ921">
        <v>0</v>
      </c>
      <c r="BK921">
        <v>0</v>
      </c>
      <c r="BL921" s="2">
        <v>24.82</v>
      </c>
      <c r="BM921" s="2">
        <v>42005.095138888886</v>
      </c>
      <c r="BN921" s="2">
        <v>5.4</v>
      </c>
      <c r="BO921" s="2">
        <v>42005.092361111114</v>
      </c>
      <c r="BP921" s="2">
        <v>6.92</v>
      </c>
      <c r="BQ921" s="2">
        <v>42005.092361111114</v>
      </c>
      <c r="BR921" s="2">
        <v>11.07</v>
      </c>
      <c r="BS921" s="2">
        <v>42005.092361111114</v>
      </c>
      <c r="BT921">
        <v>0</v>
      </c>
      <c r="BU921">
        <v>0</v>
      </c>
      <c r="BV921" t="s">
        <v>135</v>
      </c>
      <c r="BW921">
        <v>0</v>
      </c>
      <c r="BX921">
        <v>0</v>
      </c>
      <c r="BY921" t="s">
        <v>135</v>
      </c>
      <c r="BZ921">
        <v>0</v>
      </c>
      <c r="CA921">
        <v>0</v>
      </c>
      <c r="CB921" t="s">
        <v>135</v>
      </c>
      <c r="CH921" s="2"/>
      <c r="CJ921" s="2"/>
      <c r="CL921" s="2"/>
      <c r="CN921" s="2"/>
      <c r="CQ921" s="2"/>
      <c r="CT921" s="2"/>
      <c r="CW921" s="2"/>
    </row>
    <row r="922" spans="1:101" x14ac:dyDescent="0.25">
      <c r="A922" s="1" t="s">
        <v>163</v>
      </c>
      <c r="B922" s="75" t="s">
        <v>164</v>
      </c>
      <c r="C922">
        <v>0</v>
      </c>
      <c r="D922">
        <v>0</v>
      </c>
      <c r="E922">
        <v>0</v>
      </c>
      <c r="F922">
        <v>604324.56000000006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3.91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7490</v>
      </c>
      <c r="AW922">
        <v>3350</v>
      </c>
      <c r="AX922">
        <v>1219</v>
      </c>
      <c r="AY922">
        <v>12059</v>
      </c>
      <c r="AZ922">
        <v>4202</v>
      </c>
      <c r="BA922">
        <v>7438</v>
      </c>
      <c r="BB922">
        <v>1432</v>
      </c>
      <c r="BC922">
        <v>13072</v>
      </c>
      <c r="BD922">
        <v>9486</v>
      </c>
      <c r="BE922">
        <v>9222</v>
      </c>
      <c r="BF922">
        <v>1768</v>
      </c>
      <c r="BG922">
        <v>20476</v>
      </c>
      <c r="BH922">
        <v>0</v>
      </c>
      <c r="BI922">
        <v>0</v>
      </c>
      <c r="BJ922">
        <v>0</v>
      </c>
      <c r="BK922">
        <v>0</v>
      </c>
      <c r="BL922" s="2">
        <v>24.82</v>
      </c>
      <c r="BM922" s="2">
        <v>42005.095138888886</v>
      </c>
      <c r="BN922" s="2">
        <v>5.4</v>
      </c>
      <c r="BO922" s="2">
        <v>42005.092361111114</v>
      </c>
      <c r="BP922" s="2">
        <v>6.92</v>
      </c>
      <c r="BQ922" s="2">
        <v>42005.092361111114</v>
      </c>
      <c r="BR922" s="2">
        <v>11.07</v>
      </c>
      <c r="BS922" s="2">
        <v>42005.092361111114</v>
      </c>
      <c r="BT922">
        <v>0</v>
      </c>
      <c r="BU922">
        <v>0</v>
      </c>
      <c r="BV922" t="s">
        <v>135</v>
      </c>
      <c r="BW922">
        <v>0</v>
      </c>
      <c r="BX922">
        <v>0</v>
      </c>
      <c r="BY922" t="s">
        <v>135</v>
      </c>
      <c r="BZ922">
        <v>0</v>
      </c>
      <c r="CA922">
        <v>0</v>
      </c>
      <c r="CB922" t="s">
        <v>135</v>
      </c>
      <c r="CH922" s="2"/>
      <c r="CJ922" s="2"/>
      <c r="CL922" s="2"/>
      <c r="CN922" s="2"/>
      <c r="CQ922" s="2"/>
      <c r="CT922" s="2"/>
      <c r="CW922" s="2"/>
    </row>
    <row r="923" spans="1:101" x14ac:dyDescent="0.25">
      <c r="A923" s="1" t="s">
        <v>163</v>
      </c>
      <c r="B923" s="75" t="s">
        <v>164</v>
      </c>
      <c r="C923">
        <v>0</v>
      </c>
      <c r="D923">
        <v>0</v>
      </c>
      <c r="E923">
        <v>0</v>
      </c>
      <c r="F923">
        <v>604324.56000000006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3.91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7490</v>
      </c>
      <c r="AW923">
        <v>3350</v>
      </c>
      <c r="AX923">
        <v>1219</v>
      </c>
      <c r="AY923">
        <v>12059</v>
      </c>
      <c r="AZ923">
        <v>4202</v>
      </c>
      <c r="BA923">
        <v>7438</v>
      </c>
      <c r="BB923">
        <v>1432</v>
      </c>
      <c r="BC923">
        <v>13072</v>
      </c>
      <c r="BD923">
        <v>9486</v>
      </c>
      <c r="BE923">
        <v>9222</v>
      </c>
      <c r="BF923">
        <v>1768</v>
      </c>
      <c r="BG923">
        <v>20476</v>
      </c>
      <c r="BH923">
        <v>0</v>
      </c>
      <c r="BI923">
        <v>0</v>
      </c>
      <c r="BJ923">
        <v>0</v>
      </c>
      <c r="BK923">
        <v>0</v>
      </c>
      <c r="BL923" s="2">
        <v>24.82</v>
      </c>
      <c r="BM923" s="2">
        <v>42005.095138888886</v>
      </c>
      <c r="BN923" s="2">
        <v>5.4</v>
      </c>
      <c r="BO923" s="2">
        <v>42005.092361111114</v>
      </c>
      <c r="BP923" s="2">
        <v>6.92</v>
      </c>
      <c r="BQ923" s="2">
        <v>42005.092361111114</v>
      </c>
      <c r="BR923" s="2">
        <v>11.07</v>
      </c>
      <c r="BS923" s="2">
        <v>42005.092361111114</v>
      </c>
      <c r="BT923">
        <v>0</v>
      </c>
      <c r="BU923">
        <v>0</v>
      </c>
      <c r="BV923" t="s">
        <v>135</v>
      </c>
      <c r="BW923">
        <v>0</v>
      </c>
      <c r="BX923">
        <v>0</v>
      </c>
      <c r="BY923" t="s">
        <v>135</v>
      </c>
      <c r="BZ923">
        <v>0</v>
      </c>
      <c r="CA923">
        <v>0</v>
      </c>
      <c r="CB923" t="s">
        <v>135</v>
      </c>
      <c r="CH923" s="2"/>
      <c r="CJ923" s="2"/>
      <c r="CL923" s="2"/>
      <c r="CN923" s="2"/>
      <c r="CQ923" s="2"/>
      <c r="CT923" s="2"/>
      <c r="CW923" s="2"/>
    </row>
    <row r="924" spans="1:101" x14ac:dyDescent="0.25">
      <c r="A924" s="1" t="s">
        <v>163</v>
      </c>
      <c r="B924" s="75" t="s">
        <v>164</v>
      </c>
      <c r="C924">
        <v>0</v>
      </c>
      <c r="D924">
        <v>0</v>
      </c>
      <c r="E924">
        <v>0</v>
      </c>
      <c r="F924">
        <v>604324.56000000006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3.91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7490</v>
      </c>
      <c r="AW924">
        <v>3350</v>
      </c>
      <c r="AX924">
        <v>1219</v>
      </c>
      <c r="AY924">
        <v>12059</v>
      </c>
      <c r="AZ924">
        <v>4202</v>
      </c>
      <c r="BA924">
        <v>7438</v>
      </c>
      <c r="BB924">
        <v>1432</v>
      </c>
      <c r="BC924">
        <v>13072</v>
      </c>
      <c r="BD924">
        <v>9486</v>
      </c>
      <c r="BE924">
        <v>9222</v>
      </c>
      <c r="BF924">
        <v>1768</v>
      </c>
      <c r="BG924">
        <v>20476</v>
      </c>
      <c r="BH924">
        <v>0</v>
      </c>
      <c r="BI924">
        <v>0</v>
      </c>
      <c r="BJ924">
        <v>0</v>
      </c>
      <c r="BK924">
        <v>0</v>
      </c>
      <c r="BL924" s="2">
        <v>24.82</v>
      </c>
      <c r="BM924" s="2">
        <v>42005.095138888886</v>
      </c>
      <c r="BN924" s="2">
        <v>5.4</v>
      </c>
      <c r="BO924" s="2">
        <v>42005.092361111114</v>
      </c>
      <c r="BP924" s="2">
        <v>6.92</v>
      </c>
      <c r="BQ924" s="2">
        <v>42005.092361111114</v>
      </c>
      <c r="BR924" s="2">
        <v>11.07</v>
      </c>
      <c r="BS924" s="2">
        <v>42005.092361111114</v>
      </c>
      <c r="BT924">
        <v>0</v>
      </c>
      <c r="BU924">
        <v>0</v>
      </c>
      <c r="BV924" t="s">
        <v>135</v>
      </c>
      <c r="BW924">
        <v>0</v>
      </c>
      <c r="BX924">
        <v>0</v>
      </c>
      <c r="BY924" t="s">
        <v>135</v>
      </c>
      <c r="BZ924">
        <v>0</v>
      </c>
      <c r="CA924">
        <v>0</v>
      </c>
      <c r="CB924" t="s">
        <v>135</v>
      </c>
      <c r="CH924" s="2"/>
      <c r="CJ924" s="2"/>
      <c r="CL924" s="2"/>
      <c r="CN924" s="2"/>
      <c r="CQ924" s="2"/>
      <c r="CT924" s="2"/>
      <c r="CW924" s="2"/>
    </row>
    <row r="925" spans="1:101" x14ac:dyDescent="0.25">
      <c r="A925" s="1" t="s">
        <v>163</v>
      </c>
      <c r="B925" s="75" t="s">
        <v>164</v>
      </c>
      <c r="C925">
        <v>0</v>
      </c>
      <c r="D925">
        <v>0</v>
      </c>
      <c r="E925">
        <v>0</v>
      </c>
      <c r="F925">
        <v>604324.56000000006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3.91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7490</v>
      </c>
      <c r="AW925">
        <v>3350</v>
      </c>
      <c r="AX925">
        <v>1219</v>
      </c>
      <c r="AY925">
        <v>12059</v>
      </c>
      <c r="AZ925">
        <v>4202</v>
      </c>
      <c r="BA925">
        <v>7438</v>
      </c>
      <c r="BB925">
        <v>1432</v>
      </c>
      <c r="BC925">
        <v>13072</v>
      </c>
      <c r="BD925">
        <v>9486</v>
      </c>
      <c r="BE925">
        <v>9222</v>
      </c>
      <c r="BF925">
        <v>1768</v>
      </c>
      <c r="BG925">
        <v>20476</v>
      </c>
      <c r="BH925">
        <v>0</v>
      </c>
      <c r="BI925">
        <v>0</v>
      </c>
      <c r="BJ925">
        <v>0</v>
      </c>
      <c r="BK925">
        <v>0</v>
      </c>
      <c r="BL925" s="2">
        <v>24.82</v>
      </c>
      <c r="BM925" s="2">
        <v>42005.095138888886</v>
      </c>
      <c r="BN925" s="2">
        <v>5.4</v>
      </c>
      <c r="BO925" s="2">
        <v>42005.092361111114</v>
      </c>
      <c r="BP925" s="2">
        <v>6.92</v>
      </c>
      <c r="BQ925" s="2">
        <v>42005.092361111114</v>
      </c>
      <c r="BR925" s="2">
        <v>11.07</v>
      </c>
      <c r="BS925" s="2">
        <v>42005.092361111114</v>
      </c>
      <c r="BT925">
        <v>0</v>
      </c>
      <c r="BU925">
        <v>0</v>
      </c>
      <c r="BV925" t="s">
        <v>135</v>
      </c>
      <c r="BW925">
        <v>0</v>
      </c>
      <c r="BX925">
        <v>0</v>
      </c>
      <c r="BY925" t="s">
        <v>135</v>
      </c>
      <c r="BZ925">
        <v>0</v>
      </c>
      <c r="CA925">
        <v>0</v>
      </c>
      <c r="CB925" t="s">
        <v>135</v>
      </c>
      <c r="CH925" s="2"/>
      <c r="CJ925" s="2"/>
      <c r="CL925" s="2"/>
      <c r="CN925" s="2"/>
      <c r="CQ925" s="2"/>
      <c r="CT925" s="2"/>
      <c r="CW925" s="2"/>
    </row>
    <row r="926" spans="1:101" x14ac:dyDescent="0.25">
      <c r="A926" s="1" t="s">
        <v>163</v>
      </c>
      <c r="B926" s="75" t="s">
        <v>164</v>
      </c>
      <c r="C926">
        <v>0</v>
      </c>
      <c r="D926">
        <v>0</v>
      </c>
      <c r="E926">
        <v>0</v>
      </c>
      <c r="F926">
        <v>604324.56000000006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3.91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7490</v>
      </c>
      <c r="AW926">
        <v>3350</v>
      </c>
      <c r="AX926">
        <v>1219</v>
      </c>
      <c r="AY926">
        <v>12059</v>
      </c>
      <c r="AZ926">
        <v>4202</v>
      </c>
      <c r="BA926">
        <v>7438</v>
      </c>
      <c r="BB926">
        <v>1432</v>
      </c>
      <c r="BC926">
        <v>13072</v>
      </c>
      <c r="BD926">
        <v>9486</v>
      </c>
      <c r="BE926">
        <v>9222</v>
      </c>
      <c r="BF926">
        <v>1768</v>
      </c>
      <c r="BG926">
        <v>20476</v>
      </c>
      <c r="BH926">
        <v>0</v>
      </c>
      <c r="BI926">
        <v>0</v>
      </c>
      <c r="BJ926">
        <v>0</v>
      </c>
      <c r="BK926">
        <v>0</v>
      </c>
      <c r="BL926" s="2">
        <v>24.82</v>
      </c>
      <c r="BM926" s="2">
        <v>42005.095138888886</v>
      </c>
      <c r="BN926" s="2">
        <v>5.4</v>
      </c>
      <c r="BO926" s="2">
        <v>42005.092361111114</v>
      </c>
      <c r="BP926" s="2">
        <v>6.92</v>
      </c>
      <c r="BQ926" s="2">
        <v>42005.092361111114</v>
      </c>
      <c r="BR926" s="2">
        <v>11.07</v>
      </c>
      <c r="BS926" s="2">
        <v>42005.092361111114</v>
      </c>
      <c r="BT926">
        <v>0</v>
      </c>
      <c r="BU926">
        <v>0</v>
      </c>
      <c r="BV926" t="s">
        <v>135</v>
      </c>
      <c r="BW926">
        <v>0</v>
      </c>
      <c r="BX926">
        <v>0</v>
      </c>
      <c r="BY926" t="s">
        <v>135</v>
      </c>
      <c r="BZ926">
        <v>0</v>
      </c>
      <c r="CA926">
        <v>0</v>
      </c>
      <c r="CB926" t="s">
        <v>135</v>
      </c>
      <c r="CH926" s="2"/>
      <c r="CJ926" s="2"/>
      <c r="CL926" s="2"/>
      <c r="CN926" s="2"/>
      <c r="CQ926" s="2"/>
      <c r="CT926" s="2"/>
      <c r="CW926" s="2"/>
    </row>
    <row r="927" spans="1:101" x14ac:dyDescent="0.25">
      <c r="A927" s="1" t="s">
        <v>163</v>
      </c>
      <c r="B927" s="75" t="s">
        <v>164</v>
      </c>
      <c r="C927">
        <v>0</v>
      </c>
      <c r="D927">
        <v>0</v>
      </c>
      <c r="E927">
        <v>0</v>
      </c>
      <c r="F927">
        <v>604324.56000000006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3.91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7490</v>
      </c>
      <c r="AW927">
        <v>3350</v>
      </c>
      <c r="AX927">
        <v>1219</v>
      </c>
      <c r="AY927">
        <v>12059</v>
      </c>
      <c r="AZ927">
        <v>4202</v>
      </c>
      <c r="BA927">
        <v>7438</v>
      </c>
      <c r="BB927">
        <v>1432</v>
      </c>
      <c r="BC927">
        <v>13072</v>
      </c>
      <c r="BD927">
        <v>9486</v>
      </c>
      <c r="BE927">
        <v>9222</v>
      </c>
      <c r="BF927">
        <v>1768</v>
      </c>
      <c r="BG927">
        <v>20476</v>
      </c>
      <c r="BH927">
        <v>0</v>
      </c>
      <c r="BI927">
        <v>0</v>
      </c>
      <c r="BJ927">
        <v>0</v>
      </c>
      <c r="BK927">
        <v>0</v>
      </c>
      <c r="BL927" s="2">
        <v>24.82</v>
      </c>
      <c r="BM927" s="2">
        <v>42005.095138888886</v>
      </c>
      <c r="BN927" s="2">
        <v>5.4</v>
      </c>
      <c r="BO927" s="2">
        <v>42005.092361111114</v>
      </c>
      <c r="BP927" s="2">
        <v>6.92</v>
      </c>
      <c r="BQ927" s="2">
        <v>42005.092361111114</v>
      </c>
      <c r="BR927" s="2">
        <v>11.07</v>
      </c>
      <c r="BS927" s="2">
        <v>42005.092361111114</v>
      </c>
      <c r="BT927">
        <v>0</v>
      </c>
      <c r="BU927">
        <v>0</v>
      </c>
      <c r="BV927" t="s">
        <v>135</v>
      </c>
      <c r="BW927">
        <v>0</v>
      </c>
      <c r="BX927">
        <v>0</v>
      </c>
      <c r="BY927" t="s">
        <v>135</v>
      </c>
      <c r="BZ927">
        <v>0</v>
      </c>
      <c r="CA927">
        <v>0</v>
      </c>
      <c r="CB927" t="s">
        <v>135</v>
      </c>
      <c r="CH927" s="2"/>
      <c r="CJ927" s="2"/>
      <c r="CL927" s="2"/>
      <c r="CN927" s="2"/>
      <c r="CQ927" s="2"/>
      <c r="CT927" s="2"/>
      <c r="CW927" s="2"/>
    </row>
    <row r="928" spans="1:101" x14ac:dyDescent="0.25">
      <c r="A928" s="1" t="s">
        <v>163</v>
      </c>
      <c r="B928" s="75" t="s">
        <v>164</v>
      </c>
      <c r="C928">
        <v>0</v>
      </c>
      <c r="D928">
        <v>0</v>
      </c>
      <c r="E928">
        <v>0</v>
      </c>
      <c r="F928">
        <v>604324.56000000006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3.91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7490</v>
      </c>
      <c r="AW928">
        <v>3350</v>
      </c>
      <c r="AX928">
        <v>1219</v>
      </c>
      <c r="AY928">
        <v>12059</v>
      </c>
      <c r="AZ928">
        <v>4202</v>
      </c>
      <c r="BA928">
        <v>7438</v>
      </c>
      <c r="BB928">
        <v>1432</v>
      </c>
      <c r="BC928">
        <v>13072</v>
      </c>
      <c r="BD928">
        <v>9486</v>
      </c>
      <c r="BE928">
        <v>9222</v>
      </c>
      <c r="BF928">
        <v>1768</v>
      </c>
      <c r="BG928">
        <v>20476</v>
      </c>
      <c r="BH928">
        <v>0</v>
      </c>
      <c r="BI928">
        <v>0</v>
      </c>
      <c r="BJ928">
        <v>0</v>
      </c>
      <c r="BK928">
        <v>0</v>
      </c>
      <c r="BL928" s="2">
        <v>24.82</v>
      </c>
      <c r="BM928" s="2">
        <v>42005.095138888886</v>
      </c>
      <c r="BN928" s="2">
        <v>5.4</v>
      </c>
      <c r="BO928" s="2">
        <v>42005.092361111114</v>
      </c>
      <c r="BP928" s="2">
        <v>6.92</v>
      </c>
      <c r="BQ928" s="2">
        <v>42005.092361111114</v>
      </c>
      <c r="BR928" s="2">
        <v>11.07</v>
      </c>
      <c r="BS928" s="2">
        <v>42005.092361111114</v>
      </c>
      <c r="BT928">
        <v>0</v>
      </c>
      <c r="BU928">
        <v>0</v>
      </c>
      <c r="BV928" t="s">
        <v>135</v>
      </c>
      <c r="BW928">
        <v>0</v>
      </c>
      <c r="BX928">
        <v>0</v>
      </c>
      <c r="BY928" t="s">
        <v>135</v>
      </c>
      <c r="BZ928">
        <v>0</v>
      </c>
      <c r="CA928">
        <v>0</v>
      </c>
      <c r="CB928" t="s">
        <v>135</v>
      </c>
      <c r="CH928" s="2"/>
      <c r="CJ928" s="2"/>
      <c r="CL928" s="2"/>
      <c r="CN928" s="2"/>
      <c r="CQ928" s="2"/>
      <c r="CT928" s="2"/>
      <c r="CW928" s="2"/>
    </row>
    <row r="929" spans="1:101" x14ac:dyDescent="0.25">
      <c r="A929" s="1" t="s">
        <v>163</v>
      </c>
      <c r="B929" s="75" t="s">
        <v>164</v>
      </c>
      <c r="C929">
        <v>0</v>
      </c>
      <c r="D929">
        <v>0</v>
      </c>
      <c r="E929">
        <v>0</v>
      </c>
      <c r="F929">
        <v>604324.56000000006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3.91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7490</v>
      </c>
      <c r="AW929">
        <v>3350</v>
      </c>
      <c r="AX929">
        <v>1219</v>
      </c>
      <c r="AY929">
        <v>12059</v>
      </c>
      <c r="AZ929">
        <v>4202</v>
      </c>
      <c r="BA929">
        <v>7438</v>
      </c>
      <c r="BB929">
        <v>1432</v>
      </c>
      <c r="BC929">
        <v>13072</v>
      </c>
      <c r="BD929">
        <v>9486</v>
      </c>
      <c r="BE929">
        <v>9222</v>
      </c>
      <c r="BF929">
        <v>1768</v>
      </c>
      <c r="BG929">
        <v>20476</v>
      </c>
      <c r="BH929">
        <v>0</v>
      </c>
      <c r="BI929">
        <v>0</v>
      </c>
      <c r="BJ929">
        <v>0</v>
      </c>
      <c r="BK929">
        <v>0</v>
      </c>
      <c r="BL929" s="2">
        <v>24.82</v>
      </c>
      <c r="BM929" s="2">
        <v>42005.095138888886</v>
      </c>
      <c r="BN929" s="2">
        <v>5.4</v>
      </c>
      <c r="BO929" s="2">
        <v>42005.092361111114</v>
      </c>
      <c r="BP929" s="2">
        <v>6.92</v>
      </c>
      <c r="BQ929" s="2">
        <v>42005.092361111114</v>
      </c>
      <c r="BR929" s="2">
        <v>11.07</v>
      </c>
      <c r="BS929" s="2">
        <v>42005.092361111114</v>
      </c>
      <c r="BT929">
        <v>0</v>
      </c>
      <c r="BU929">
        <v>0</v>
      </c>
      <c r="BV929" t="s">
        <v>135</v>
      </c>
      <c r="BW929">
        <v>0</v>
      </c>
      <c r="BX929">
        <v>0</v>
      </c>
      <c r="BY929" t="s">
        <v>135</v>
      </c>
      <c r="BZ929">
        <v>0</v>
      </c>
      <c r="CA929">
        <v>0</v>
      </c>
      <c r="CB929" t="s">
        <v>135</v>
      </c>
      <c r="CH929" s="2"/>
      <c r="CJ929" s="2"/>
      <c r="CL929" s="2"/>
      <c r="CN929" s="2"/>
      <c r="CQ929" s="2"/>
      <c r="CT929" s="2"/>
      <c r="CW929" s="2"/>
    </row>
    <row r="930" spans="1:101" x14ac:dyDescent="0.25">
      <c r="A930" s="1" t="s">
        <v>163</v>
      </c>
      <c r="B930" s="75" t="s">
        <v>164</v>
      </c>
      <c r="C930">
        <v>0</v>
      </c>
      <c r="D930">
        <v>0</v>
      </c>
      <c r="E930">
        <v>0</v>
      </c>
      <c r="F930">
        <v>604324.56000000006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3.91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7490</v>
      </c>
      <c r="AW930">
        <v>3350</v>
      </c>
      <c r="AX930">
        <v>1219</v>
      </c>
      <c r="AY930">
        <v>12059</v>
      </c>
      <c r="AZ930">
        <v>4202</v>
      </c>
      <c r="BA930">
        <v>7438</v>
      </c>
      <c r="BB930">
        <v>1432</v>
      </c>
      <c r="BC930">
        <v>13072</v>
      </c>
      <c r="BD930">
        <v>9486</v>
      </c>
      <c r="BE930">
        <v>9222</v>
      </c>
      <c r="BF930">
        <v>1768</v>
      </c>
      <c r="BG930">
        <v>20476</v>
      </c>
      <c r="BH930">
        <v>0</v>
      </c>
      <c r="BI930">
        <v>0</v>
      </c>
      <c r="BJ930">
        <v>0</v>
      </c>
      <c r="BK930">
        <v>0</v>
      </c>
      <c r="BL930" s="2">
        <v>24.82</v>
      </c>
      <c r="BM930" s="2">
        <v>42005.095138888886</v>
      </c>
      <c r="BN930" s="2">
        <v>5.4</v>
      </c>
      <c r="BO930" s="2">
        <v>42005.092361111114</v>
      </c>
      <c r="BP930" s="2">
        <v>6.92</v>
      </c>
      <c r="BQ930" s="2">
        <v>42005.092361111114</v>
      </c>
      <c r="BR930" s="2">
        <v>11.07</v>
      </c>
      <c r="BS930" s="2">
        <v>42005.092361111114</v>
      </c>
      <c r="BT930">
        <v>0</v>
      </c>
      <c r="BU930">
        <v>0</v>
      </c>
      <c r="BV930" t="s">
        <v>135</v>
      </c>
      <c r="BW930">
        <v>0</v>
      </c>
      <c r="BX930">
        <v>0</v>
      </c>
      <c r="BY930" t="s">
        <v>135</v>
      </c>
      <c r="BZ930">
        <v>0</v>
      </c>
      <c r="CA930">
        <v>0</v>
      </c>
      <c r="CB930" t="s">
        <v>135</v>
      </c>
      <c r="CH930" s="2"/>
      <c r="CJ930" s="2"/>
      <c r="CL930" s="2"/>
      <c r="CN930" s="2"/>
      <c r="CQ930" s="2"/>
      <c r="CT930" s="2"/>
      <c r="CW930" s="2"/>
    </row>
    <row r="931" spans="1:101" x14ac:dyDescent="0.25">
      <c r="A931" s="1" t="s">
        <v>163</v>
      </c>
      <c r="B931" s="75" t="s">
        <v>164</v>
      </c>
      <c r="C931">
        <v>0</v>
      </c>
      <c r="D931">
        <v>0</v>
      </c>
      <c r="E931">
        <v>0</v>
      </c>
      <c r="F931">
        <v>604324.56000000006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3.91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7490</v>
      </c>
      <c r="AW931">
        <v>3350</v>
      </c>
      <c r="AX931">
        <v>1219</v>
      </c>
      <c r="AY931">
        <v>12059</v>
      </c>
      <c r="AZ931">
        <v>4202</v>
      </c>
      <c r="BA931">
        <v>7438</v>
      </c>
      <c r="BB931">
        <v>1432</v>
      </c>
      <c r="BC931">
        <v>13072</v>
      </c>
      <c r="BD931">
        <v>9486</v>
      </c>
      <c r="BE931">
        <v>9222</v>
      </c>
      <c r="BF931">
        <v>1768</v>
      </c>
      <c r="BG931">
        <v>20476</v>
      </c>
      <c r="BH931">
        <v>0</v>
      </c>
      <c r="BI931">
        <v>0</v>
      </c>
      <c r="BJ931">
        <v>0</v>
      </c>
      <c r="BK931">
        <v>0</v>
      </c>
      <c r="BL931" s="2">
        <v>24.82</v>
      </c>
      <c r="BM931" s="2">
        <v>42005.095138888886</v>
      </c>
      <c r="BN931" s="2">
        <v>5.4</v>
      </c>
      <c r="BO931" s="2">
        <v>42005.092361111114</v>
      </c>
      <c r="BP931" s="2">
        <v>6.92</v>
      </c>
      <c r="BQ931" s="2">
        <v>42005.092361111114</v>
      </c>
      <c r="BR931" s="2">
        <v>11.07</v>
      </c>
      <c r="BS931" s="2">
        <v>42005.092361111114</v>
      </c>
      <c r="BT931">
        <v>0</v>
      </c>
      <c r="BU931">
        <v>0</v>
      </c>
      <c r="BV931" t="s">
        <v>135</v>
      </c>
      <c r="BW931">
        <v>0</v>
      </c>
      <c r="BX931">
        <v>0</v>
      </c>
      <c r="BY931" t="s">
        <v>135</v>
      </c>
      <c r="BZ931">
        <v>0</v>
      </c>
      <c r="CA931">
        <v>0</v>
      </c>
      <c r="CB931" t="s">
        <v>135</v>
      </c>
      <c r="CH931" s="2"/>
      <c r="CJ931" s="2"/>
      <c r="CL931" s="2"/>
      <c r="CN931" s="2"/>
      <c r="CQ931" s="2"/>
      <c r="CT931" s="2"/>
      <c r="CW931" s="2"/>
    </row>
    <row r="932" spans="1:101" x14ac:dyDescent="0.25">
      <c r="A932" s="1" t="s">
        <v>163</v>
      </c>
      <c r="B932" s="75" t="s">
        <v>164</v>
      </c>
      <c r="C932">
        <v>0</v>
      </c>
      <c r="D932">
        <v>0</v>
      </c>
      <c r="E932">
        <v>0</v>
      </c>
      <c r="F932">
        <v>604324.56000000006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3.91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7490</v>
      </c>
      <c r="AW932">
        <v>3350</v>
      </c>
      <c r="AX932">
        <v>1219</v>
      </c>
      <c r="AY932">
        <v>12059</v>
      </c>
      <c r="AZ932">
        <v>4202</v>
      </c>
      <c r="BA932">
        <v>7438</v>
      </c>
      <c r="BB932">
        <v>1432</v>
      </c>
      <c r="BC932">
        <v>13072</v>
      </c>
      <c r="BD932">
        <v>9486</v>
      </c>
      <c r="BE932">
        <v>9222</v>
      </c>
      <c r="BF932">
        <v>1768</v>
      </c>
      <c r="BG932">
        <v>20476</v>
      </c>
      <c r="BH932">
        <v>0</v>
      </c>
      <c r="BI932">
        <v>0</v>
      </c>
      <c r="BJ932">
        <v>0</v>
      </c>
      <c r="BK932">
        <v>0</v>
      </c>
      <c r="BL932" s="2">
        <v>24.82</v>
      </c>
      <c r="BM932" s="2">
        <v>42005.095138888886</v>
      </c>
      <c r="BN932" s="2">
        <v>5.4</v>
      </c>
      <c r="BO932" s="2">
        <v>42005.092361111114</v>
      </c>
      <c r="BP932" s="2">
        <v>6.92</v>
      </c>
      <c r="BQ932" s="2">
        <v>42005.092361111114</v>
      </c>
      <c r="BR932" s="2">
        <v>11.07</v>
      </c>
      <c r="BS932" s="2">
        <v>42005.092361111114</v>
      </c>
      <c r="BT932">
        <v>0</v>
      </c>
      <c r="BU932">
        <v>0</v>
      </c>
      <c r="BV932" t="s">
        <v>135</v>
      </c>
      <c r="BW932">
        <v>0</v>
      </c>
      <c r="BX932">
        <v>0</v>
      </c>
      <c r="BY932" t="s">
        <v>135</v>
      </c>
      <c r="BZ932">
        <v>0</v>
      </c>
      <c r="CA932">
        <v>0</v>
      </c>
      <c r="CB932" t="s">
        <v>135</v>
      </c>
      <c r="CH932" s="2"/>
      <c r="CJ932" s="2"/>
      <c r="CL932" s="2"/>
      <c r="CN932" s="2"/>
      <c r="CQ932" s="2"/>
      <c r="CT932" s="2"/>
      <c r="CW932" s="2"/>
    </row>
    <row r="933" spans="1:101" x14ac:dyDescent="0.25">
      <c r="A933" s="1" t="s">
        <v>163</v>
      </c>
      <c r="B933" s="75" t="s">
        <v>164</v>
      </c>
      <c r="C933">
        <v>0</v>
      </c>
      <c r="D933">
        <v>0</v>
      </c>
      <c r="E933">
        <v>0</v>
      </c>
      <c r="F933">
        <v>604324.56000000006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3.91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7490</v>
      </c>
      <c r="AW933">
        <v>3350</v>
      </c>
      <c r="AX933">
        <v>1219</v>
      </c>
      <c r="AY933">
        <v>12059</v>
      </c>
      <c r="AZ933">
        <v>4202</v>
      </c>
      <c r="BA933">
        <v>7438</v>
      </c>
      <c r="BB933">
        <v>1432</v>
      </c>
      <c r="BC933">
        <v>13072</v>
      </c>
      <c r="BD933">
        <v>9486</v>
      </c>
      <c r="BE933">
        <v>9222</v>
      </c>
      <c r="BF933">
        <v>1768</v>
      </c>
      <c r="BG933">
        <v>20476</v>
      </c>
      <c r="BH933">
        <v>0</v>
      </c>
      <c r="BI933">
        <v>0</v>
      </c>
      <c r="BJ933">
        <v>0</v>
      </c>
      <c r="BK933">
        <v>0</v>
      </c>
      <c r="BL933" s="2">
        <v>24.82</v>
      </c>
      <c r="BM933" s="2">
        <v>42005.095138888886</v>
      </c>
      <c r="BN933" s="2">
        <v>5.4</v>
      </c>
      <c r="BO933" s="2">
        <v>42005.092361111114</v>
      </c>
      <c r="BP933" s="2">
        <v>6.92</v>
      </c>
      <c r="BQ933" s="2">
        <v>42005.092361111114</v>
      </c>
      <c r="BR933" s="2">
        <v>11.07</v>
      </c>
      <c r="BS933" s="2">
        <v>42005.092361111114</v>
      </c>
      <c r="BT933">
        <v>0</v>
      </c>
      <c r="BU933">
        <v>0</v>
      </c>
      <c r="BV933" t="s">
        <v>135</v>
      </c>
      <c r="BW933">
        <v>0</v>
      </c>
      <c r="BX933">
        <v>0</v>
      </c>
      <c r="BY933" t="s">
        <v>135</v>
      </c>
      <c r="BZ933">
        <v>0</v>
      </c>
      <c r="CA933">
        <v>0</v>
      </c>
      <c r="CB933" t="s">
        <v>135</v>
      </c>
      <c r="CH933" s="2"/>
      <c r="CJ933" s="2"/>
      <c r="CL933" s="2"/>
      <c r="CN933" s="2"/>
      <c r="CQ933" s="2"/>
      <c r="CT933" s="2"/>
      <c r="CW933" s="2"/>
    </row>
    <row r="934" spans="1:101" x14ac:dyDescent="0.25">
      <c r="A934" s="1" t="s">
        <v>163</v>
      </c>
      <c r="B934" s="75" t="s">
        <v>164</v>
      </c>
      <c r="C934">
        <v>0</v>
      </c>
      <c r="D934">
        <v>0</v>
      </c>
      <c r="E934">
        <v>0</v>
      </c>
      <c r="F934">
        <v>604324.56000000006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3.91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7490</v>
      </c>
      <c r="AW934">
        <v>3350</v>
      </c>
      <c r="AX934">
        <v>1219</v>
      </c>
      <c r="AY934">
        <v>12059</v>
      </c>
      <c r="AZ934">
        <v>4202</v>
      </c>
      <c r="BA934">
        <v>7438</v>
      </c>
      <c r="BB934">
        <v>1432</v>
      </c>
      <c r="BC934">
        <v>13072</v>
      </c>
      <c r="BD934">
        <v>9486</v>
      </c>
      <c r="BE934">
        <v>9222</v>
      </c>
      <c r="BF934">
        <v>1768</v>
      </c>
      <c r="BG934">
        <v>20476</v>
      </c>
      <c r="BH934">
        <v>0</v>
      </c>
      <c r="BI934">
        <v>0</v>
      </c>
      <c r="BJ934">
        <v>0</v>
      </c>
      <c r="BK934">
        <v>0</v>
      </c>
      <c r="BL934" s="2">
        <v>24.82</v>
      </c>
      <c r="BM934" s="2">
        <v>42005.095138888886</v>
      </c>
      <c r="BN934" s="2">
        <v>5.4</v>
      </c>
      <c r="BO934" s="2">
        <v>42005.092361111114</v>
      </c>
      <c r="BP934" s="2">
        <v>6.92</v>
      </c>
      <c r="BQ934" s="2">
        <v>42005.092361111114</v>
      </c>
      <c r="BR934" s="2">
        <v>11.07</v>
      </c>
      <c r="BS934" s="2">
        <v>42005.092361111114</v>
      </c>
      <c r="BT934">
        <v>0</v>
      </c>
      <c r="BU934">
        <v>0</v>
      </c>
      <c r="BV934" t="s">
        <v>135</v>
      </c>
      <c r="BW934">
        <v>0</v>
      </c>
      <c r="BX934">
        <v>0</v>
      </c>
      <c r="BY934" t="s">
        <v>135</v>
      </c>
      <c r="BZ934">
        <v>0</v>
      </c>
      <c r="CA934">
        <v>0</v>
      </c>
      <c r="CB934" t="s">
        <v>135</v>
      </c>
      <c r="CH934" s="2"/>
      <c r="CJ934" s="2"/>
      <c r="CL934" s="2"/>
      <c r="CN934" s="2"/>
      <c r="CQ934" s="2"/>
      <c r="CT934" s="2"/>
      <c r="CW934" s="2"/>
    </row>
    <row r="935" spans="1:101" x14ac:dyDescent="0.25">
      <c r="A935" s="1" t="s">
        <v>163</v>
      </c>
      <c r="B935" s="75" t="s">
        <v>164</v>
      </c>
      <c r="C935">
        <v>0</v>
      </c>
      <c r="D935">
        <v>0</v>
      </c>
      <c r="E935">
        <v>0</v>
      </c>
      <c r="F935">
        <v>604324.56000000006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3.91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7490</v>
      </c>
      <c r="AW935">
        <v>3350</v>
      </c>
      <c r="AX935">
        <v>1219</v>
      </c>
      <c r="AY935">
        <v>12059</v>
      </c>
      <c r="AZ935">
        <v>4202</v>
      </c>
      <c r="BA935">
        <v>7438</v>
      </c>
      <c r="BB935">
        <v>1432</v>
      </c>
      <c r="BC935">
        <v>13072</v>
      </c>
      <c r="BD935">
        <v>9486</v>
      </c>
      <c r="BE935">
        <v>9222</v>
      </c>
      <c r="BF935">
        <v>1768</v>
      </c>
      <c r="BG935">
        <v>20476</v>
      </c>
      <c r="BH935">
        <v>0</v>
      </c>
      <c r="BI935">
        <v>0</v>
      </c>
      <c r="BJ935">
        <v>0</v>
      </c>
      <c r="BK935">
        <v>0</v>
      </c>
      <c r="BL935" s="2">
        <v>24.82</v>
      </c>
      <c r="BM935" s="2">
        <v>42005.095138888886</v>
      </c>
      <c r="BN935" s="2">
        <v>5.4</v>
      </c>
      <c r="BO935" s="2">
        <v>42005.092361111114</v>
      </c>
      <c r="BP935" s="2">
        <v>6.92</v>
      </c>
      <c r="BQ935" s="2">
        <v>42005.092361111114</v>
      </c>
      <c r="BR935" s="2">
        <v>11.07</v>
      </c>
      <c r="BS935" s="2">
        <v>42005.092361111114</v>
      </c>
      <c r="BT935">
        <v>0</v>
      </c>
      <c r="BU935">
        <v>0</v>
      </c>
      <c r="BV935" t="s">
        <v>135</v>
      </c>
      <c r="BW935">
        <v>0</v>
      </c>
      <c r="BX935">
        <v>0</v>
      </c>
      <c r="BY935" t="s">
        <v>135</v>
      </c>
      <c r="BZ935">
        <v>0</v>
      </c>
      <c r="CA935">
        <v>0</v>
      </c>
      <c r="CB935" t="s">
        <v>135</v>
      </c>
      <c r="CH935" s="2"/>
      <c r="CJ935" s="2"/>
      <c r="CL935" s="2"/>
      <c r="CN935" s="2"/>
      <c r="CQ935" s="2"/>
      <c r="CT935" s="2"/>
      <c r="CW935" s="2"/>
    </row>
    <row r="936" spans="1:101" x14ac:dyDescent="0.25">
      <c r="A936" s="1" t="s">
        <v>163</v>
      </c>
      <c r="B936" s="75" t="s">
        <v>164</v>
      </c>
      <c r="C936">
        <v>0</v>
      </c>
      <c r="D936">
        <v>0</v>
      </c>
      <c r="E936">
        <v>0</v>
      </c>
      <c r="F936">
        <v>604324.56000000006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3.91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7490</v>
      </c>
      <c r="AW936">
        <v>3350</v>
      </c>
      <c r="AX936">
        <v>1219</v>
      </c>
      <c r="AY936">
        <v>12059</v>
      </c>
      <c r="AZ936">
        <v>4202</v>
      </c>
      <c r="BA936">
        <v>7438</v>
      </c>
      <c r="BB936">
        <v>1432</v>
      </c>
      <c r="BC936">
        <v>13072</v>
      </c>
      <c r="BD936">
        <v>9486</v>
      </c>
      <c r="BE936">
        <v>9222</v>
      </c>
      <c r="BF936">
        <v>1768</v>
      </c>
      <c r="BG936">
        <v>20476</v>
      </c>
      <c r="BH936">
        <v>0</v>
      </c>
      <c r="BI936">
        <v>0</v>
      </c>
      <c r="BJ936">
        <v>0</v>
      </c>
      <c r="BK936">
        <v>0</v>
      </c>
      <c r="BL936" s="2">
        <v>24.82</v>
      </c>
      <c r="BM936" s="2">
        <v>42005.095138888886</v>
      </c>
      <c r="BN936" s="2">
        <v>5.4</v>
      </c>
      <c r="BO936" s="2">
        <v>42005.092361111114</v>
      </c>
      <c r="BP936" s="2">
        <v>6.92</v>
      </c>
      <c r="BQ936" s="2">
        <v>42005.092361111114</v>
      </c>
      <c r="BR936" s="2">
        <v>11.07</v>
      </c>
      <c r="BS936" s="2">
        <v>42005.092361111114</v>
      </c>
      <c r="BT936">
        <v>0</v>
      </c>
      <c r="BU936">
        <v>0</v>
      </c>
      <c r="BV936" t="s">
        <v>135</v>
      </c>
      <c r="BW936">
        <v>0</v>
      </c>
      <c r="BX936">
        <v>0</v>
      </c>
      <c r="BY936" t="s">
        <v>135</v>
      </c>
      <c r="BZ936">
        <v>0</v>
      </c>
      <c r="CA936">
        <v>0</v>
      </c>
      <c r="CB936" t="s">
        <v>135</v>
      </c>
      <c r="CH936" s="2"/>
      <c r="CJ936" s="2"/>
      <c r="CL936" s="2"/>
      <c r="CN936" s="2"/>
      <c r="CQ936" s="2"/>
      <c r="CT936" s="2"/>
      <c r="CW936" s="2"/>
    </row>
    <row r="937" spans="1:101" x14ac:dyDescent="0.25">
      <c r="A937" s="1" t="s">
        <v>163</v>
      </c>
      <c r="B937" s="75" t="s">
        <v>164</v>
      </c>
      <c r="C937">
        <v>0</v>
      </c>
      <c r="D937">
        <v>0</v>
      </c>
      <c r="E937">
        <v>0</v>
      </c>
      <c r="F937">
        <v>604324.56000000006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3.91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7490</v>
      </c>
      <c r="AW937">
        <v>3350</v>
      </c>
      <c r="AX937">
        <v>1219</v>
      </c>
      <c r="AY937">
        <v>12059</v>
      </c>
      <c r="AZ937">
        <v>4202</v>
      </c>
      <c r="BA937">
        <v>7438</v>
      </c>
      <c r="BB937">
        <v>1432</v>
      </c>
      <c r="BC937">
        <v>13072</v>
      </c>
      <c r="BD937">
        <v>9486</v>
      </c>
      <c r="BE937">
        <v>9222</v>
      </c>
      <c r="BF937">
        <v>1768</v>
      </c>
      <c r="BG937">
        <v>20476</v>
      </c>
      <c r="BH937">
        <v>0</v>
      </c>
      <c r="BI937">
        <v>0</v>
      </c>
      <c r="BJ937">
        <v>0</v>
      </c>
      <c r="BK937">
        <v>0</v>
      </c>
      <c r="BL937" s="2">
        <v>24.82</v>
      </c>
      <c r="BM937" s="2">
        <v>42005.095138888886</v>
      </c>
      <c r="BN937" s="2">
        <v>5.4</v>
      </c>
      <c r="BO937" s="2">
        <v>42005.092361111114</v>
      </c>
      <c r="BP937" s="2">
        <v>6.92</v>
      </c>
      <c r="BQ937" s="2">
        <v>42005.092361111114</v>
      </c>
      <c r="BR937" s="2">
        <v>11.07</v>
      </c>
      <c r="BS937" s="2">
        <v>42005.092361111114</v>
      </c>
      <c r="BT937">
        <v>0</v>
      </c>
      <c r="BU937">
        <v>0</v>
      </c>
      <c r="BV937" t="s">
        <v>135</v>
      </c>
      <c r="BW937">
        <v>0</v>
      </c>
      <c r="BX937">
        <v>0</v>
      </c>
      <c r="BY937" t="s">
        <v>135</v>
      </c>
      <c r="BZ937">
        <v>0</v>
      </c>
      <c r="CA937">
        <v>0</v>
      </c>
      <c r="CB937" t="s">
        <v>135</v>
      </c>
      <c r="CH937" s="2"/>
      <c r="CJ937" s="2"/>
      <c r="CL937" s="2"/>
      <c r="CN937" s="2"/>
      <c r="CQ937" s="2"/>
      <c r="CT937" s="2"/>
      <c r="CW937" s="2"/>
    </row>
    <row r="938" spans="1:101" x14ac:dyDescent="0.25">
      <c r="A938" s="1" t="s">
        <v>163</v>
      </c>
      <c r="B938" s="75" t="s">
        <v>164</v>
      </c>
      <c r="C938">
        <v>0</v>
      </c>
      <c r="D938">
        <v>0</v>
      </c>
      <c r="E938">
        <v>0</v>
      </c>
      <c r="F938">
        <v>604324.56000000006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3.91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7490</v>
      </c>
      <c r="AW938">
        <v>3350</v>
      </c>
      <c r="AX938">
        <v>1219</v>
      </c>
      <c r="AY938">
        <v>12059</v>
      </c>
      <c r="AZ938">
        <v>4202</v>
      </c>
      <c r="BA938">
        <v>7438</v>
      </c>
      <c r="BB938">
        <v>1432</v>
      </c>
      <c r="BC938">
        <v>13072</v>
      </c>
      <c r="BD938">
        <v>9486</v>
      </c>
      <c r="BE938">
        <v>9222</v>
      </c>
      <c r="BF938">
        <v>1768</v>
      </c>
      <c r="BG938">
        <v>20476</v>
      </c>
      <c r="BH938">
        <v>0</v>
      </c>
      <c r="BI938">
        <v>0</v>
      </c>
      <c r="BJ938">
        <v>0</v>
      </c>
      <c r="BK938">
        <v>0</v>
      </c>
      <c r="BL938" s="2">
        <v>24.82</v>
      </c>
      <c r="BM938" s="2">
        <v>42005.095138888886</v>
      </c>
      <c r="BN938" s="2">
        <v>5.4</v>
      </c>
      <c r="BO938" s="2">
        <v>42005.092361111114</v>
      </c>
      <c r="BP938" s="2">
        <v>6.92</v>
      </c>
      <c r="BQ938" s="2">
        <v>42005.092361111114</v>
      </c>
      <c r="BR938" s="2">
        <v>11.07</v>
      </c>
      <c r="BS938" s="2">
        <v>42005.092361111114</v>
      </c>
      <c r="BT938">
        <v>0</v>
      </c>
      <c r="BU938">
        <v>0</v>
      </c>
      <c r="BV938" t="s">
        <v>135</v>
      </c>
      <c r="BW938">
        <v>0</v>
      </c>
      <c r="BX938">
        <v>0</v>
      </c>
      <c r="BY938" t="s">
        <v>135</v>
      </c>
      <c r="BZ938">
        <v>0</v>
      </c>
      <c r="CA938">
        <v>0</v>
      </c>
      <c r="CB938" t="s">
        <v>135</v>
      </c>
      <c r="CH938" s="2"/>
      <c r="CJ938" s="2"/>
      <c r="CL938" s="2"/>
      <c r="CN938" s="2"/>
      <c r="CQ938" s="2"/>
      <c r="CT938" s="2"/>
      <c r="CW938" s="2"/>
    </row>
    <row r="939" spans="1:101" x14ac:dyDescent="0.25">
      <c r="A939" s="1" t="s">
        <v>163</v>
      </c>
      <c r="B939" s="75" t="s">
        <v>164</v>
      </c>
      <c r="C939">
        <v>0</v>
      </c>
      <c r="D939">
        <v>0</v>
      </c>
      <c r="E939">
        <v>0</v>
      </c>
      <c r="F939">
        <v>604324.56000000006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3.91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7490</v>
      </c>
      <c r="AW939">
        <v>3350</v>
      </c>
      <c r="AX939">
        <v>1219</v>
      </c>
      <c r="AY939">
        <v>12059</v>
      </c>
      <c r="AZ939">
        <v>4202</v>
      </c>
      <c r="BA939">
        <v>7438</v>
      </c>
      <c r="BB939">
        <v>1432</v>
      </c>
      <c r="BC939">
        <v>13072</v>
      </c>
      <c r="BD939">
        <v>9486</v>
      </c>
      <c r="BE939">
        <v>9222</v>
      </c>
      <c r="BF939">
        <v>1768</v>
      </c>
      <c r="BG939">
        <v>20476</v>
      </c>
      <c r="BH939">
        <v>0</v>
      </c>
      <c r="BI939">
        <v>0</v>
      </c>
      <c r="BJ939">
        <v>0</v>
      </c>
      <c r="BK939">
        <v>0</v>
      </c>
      <c r="BL939" s="2">
        <v>24.82</v>
      </c>
      <c r="BM939" s="2">
        <v>42005.095138888886</v>
      </c>
      <c r="BN939" s="2">
        <v>5.4</v>
      </c>
      <c r="BO939" s="2">
        <v>42005.092361111114</v>
      </c>
      <c r="BP939" s="2">
        <v>6.92</v>
      </c>
      <c r="BQ939" s="2">
        <v>42005.092361111114</v>
      </c>
      <c r="BR939" s="2">
        <v>11.07</v>
      </c>
      <c r="BS939" s="2">
        <v>42005.092361111114</v>
      </c>
      <c r="BT939">
        <v>0</v>
      </c>
      <c r="BU939">
        <v>0</v>
      </c>
      <c r="BV939" t="s">
        <v>135</v>
      </c>
      <c r="BW939">
        <v>0</v>
      </c>
      <c r="BX939">
        <v>0</v>
      </c>
      <c r="BY939" t="s">
        <v>135</v>
      </c>
      <c r="BZ939">
        <v>0</v>
      </c>
      <c r="CA939">
        <v>0</v>
      </c>
      <c r="CB939" t="s">
        <v>135</v>
      </c>
      <c r="CH939" s="2"/>
      <c r="CJ939" s="2"/>
      <c r="CL939" s="2"/>
      <c r="CN939" s="2"/>
      <c r="CQ939" s="2"/>
      <c r="CT939" s="2"/>
      <c r="CW939" s="2"/>
    </row>
    <row r="940" spans="1:101" x14ac:dyDescent="0.25">
      <c r="A940" s="1" t="s">
        <v>163</v>
      </c>
      <c r="B940" s="75" t="s">
        <v>164</v>
      </c>
      <c r="C940">
        <v>0</v>
      </c>
      <c r="D940">
        <v>0</v>
      </c>
      <c r="E940">
        <v>0</v>
      </c>
      <c r="F940">
        <v>604324.56000000006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3.91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7490</v>
      </c>
      <c r="AW940">
        <v>3350</v>
      </c>
      <c r="AX940">
        <v>1219</v>
      </c>
      <c r="AY940">
        <v>12059</v>
      </c>
      <c r="AZ940">
        <v>4202</v>
      </c>
      <c r="BA940">
        <v>7438</v>
      </c>
      <c r="BB940">
        <v>1432</v>
      </c>
      <c r="BC940">
        <v>13072</v>
      </c>
      <c r="BD940">
        <v>9486</v>
      </c>
      <c r="BE940">
        <v>9222</v>
      </c>
      <c r="BF940">
        <v>1768</v>
      </c>
      <c r="BG940">
        <v>20476</v>
      </c>
      <c r="BH940">
        <v>0</v>
      </c>
      <c r="BI940">
        <v>0</v>
      </c>
      <c r="BJ940">
        <v>0</v>
      </c>
      <c r="BK940">
        <v>0</v>
      </c>
      <c r="BL940" s="2">
        <v>24.82</v>
      </c>
      <c r="BM940" s="2">
        <v>42005.095138888886</v>
      </c>
      <c r="BN940" s="2">
        <v>5.4</v>
      </c>
      <c r="BO940" s="2">
        <v>42005.092361111114</v>
      </c>
      <c r="BP940" s="2">
        <v>6.92</v>
      </c>
      <c r="BQ940" s="2">
        <v>42005.092361111114</v>
      </c>
      <c r="BR940" s="2">
        <v>11.07</v>
      </c>
      <c r="BS940" s="2">
        <v>42005.092361111114</v>
      </c>
      <c r="BT940">
        <v>0</v>
      </c>
      <c r="BU940">
        <v>0</v>
      </c>
      <c r="BV940" t="s">
        <v>135</v>
      </c>
      <c r="BW940">
        <v>0</v>
      </c>
      <c r="BX940">
        <v>0</v>
      </c>
      <c r="BY940" t="s">
        <v>135</v>
      </c>
      <c r="BZ940">
        <v>0</v>
      </c>
      <c r="CA940">
        <v>0</v>
      </c>
      <c r="CB940" t="s">
        <v>135</v>
      </c>
      <c r="CH940" s="2"/>
      <c r="CJ940" s="2"/>
      <c r="CL940" s="2"/>
      <c r="CN940" s="2"/>
      <c r="CQ940" s="2"/>
      <c r="CT940" s="2"/>
      <c r="CW940" s="2"/>
    </row>
    <row r="941" spans="1:101" x14ac:dyDescent="0.25">
      <c r="A941" s="1" t="s">
        <v>163</v>
      </c>
      <c r="B941" s="75" t="s">
        <v>164</v>
      </c>
      <c r="C941">
        <v>0</v>
      </c>
      <c r="D941">
        <v>0</v>
      </c>
      <c r="E941">
        <v>0</v>
      </c>
      <c r="F941">
        <v>604324.56000000006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3.91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7490</v>
      </c>
      <c r="AW941">
        <v>3350</v>
      </c>
      <c r="AX941">
        <v>1219</v>
      </c>
      <c r="AY941">
        <v>12059</v>
      </c>
      <c r="AZ941">
        <v>4202</v>
      </c>
      <c r="BA941">
        <v>7438</v>
      </c>
      <c r="BB941">
        <v>1432</v>
      </c>
      <c r="BC941">
        <v>13072</v>
      </c>
      <c r="BD941">
        <v>9486</v>
      </c>
      <c r="BE941">
        <v>9222</v>
      </c>
      <c r="BF941">
        <v>1768</v>
      </c>
      <c r="BG941">
        <v>20476</v>
      </c>
      <c r="BH941">
        <v>0</v>
      </c>
      <c r="BI941">
        <v>0</v>
      </c>
      <c r="BJ941">
        <v>0</v>
      </c>
      <c r="BK941">
        <v>0</v>
      </c>
      <c r="BL941" s="2">
        <v>24.82</v>
      </c>
      <c r="BM941" s="2">
        <v>42005.095138888886</v>
      </c>
      <c r="BN941" s="2">
        <v>5.4</v>
      </c>
      <c r="BO941" s="2">
        <v>42005.092361111114</v>
      </c>
      <c r="BP941" s="2">
        <v>6.92</v>
      </c>
      <c r="BQ941" s="2">
        <v>42005.092361111114</v>
      </c>
      <c r="BR941" s="2">
        <v>11.07</v>
      </c>
      <c r="BS941" s="2">
        <v>42005.092361111114</v>
      </c>
      <c r="BT941">
        <v>0</v>
      </c>
      <c r="BU941">
        <v>0</v>
      </c>
      <c r="BV941" t="s">
        <v>135</v>
      </c>
      <c r="BW941">
        <v>0</v>
      </c>
      <c r="BX941">
        <v>0</v>
      </c>
      <c r="BY941" t="s">
        <v>135</v>
      </c>
      <c r="BZ941">
        <v>0</v>
      </c>
      <c r="CA941">
        <v>0</v>
      </c>
      <c r="CB941" t="s">
        <v>135</v>
      </c>
      <c r="CH941" s="2"/>
      <c r="CJ941" s="2"/>
      <c r="CL941" s="2"/>
      <c r="CN941" s="2"/>
      <c r="CQ941" s="2"/>
      <c r="CT941" s="2"/>
      <c r="CW941" s="2"/>
    </row>
    <row r="942" spans="1:101" x14ac:dyDescent="0.25">
      <c r="A942" s="1" t="s">
        <v>163</v>
      </c>
      <c r="B942" s="75" t="s">
        <v>164</v>
      </c>
      <c r="C942">
        <v>0</v>
      </c>
      <c r="D942">
        <v>0</v>
      </c>
      <c r="E942">
        <v>0</v>
      </c>
      <c r="F942">
        <v>604324.56000000006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3.91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7490</v>
      </c>
      <c r="AW942">
        <v>3350</v>
      </c>
      <c r="AX942">
        <v>1219</v>
      </c>
      <c r="AY942">
        <v>12059</v>
      </c>
      <c r="AZ942">
        <v>4202</v>
      </c>
      <c r="BA942">
        <v>7438</v>
      </c>
      <c r="BB942">
        <v>1432</v>
      </c>
      <c r="BC942">
        <v>13072</v>
      </c>
      <c r="BD942">
        <v>9486</v>
      </c>
      <c r="BE942">
        <v>9222</v>
      </c>
      <c r="BF942">
        <v>1768</v>
      </c>
      <c r="BG942">
        <v>20476</v>
      </c>
      <c r="BH942">
        <v>0</v>
      </c>
      <c r="BI942">
        <v>0</v>
      </c>
      <c r="BJ942">
        <v>0</v>
      </c>
      <c r="BK942">
        <v>0</v>
      </c>
      <c r="BL942" s="2">
        <v>24.82</v>
      </c>
      <c r="BM942" s="2">
        <v>42005.095138888886</v>
      </c>
      <c r="BN942" s="2">
        <v>5.4</v>
      </c>
      <c r="BO942" s="2">
        <v>42005.092361111114</v>
      </c>
      <c r="BP942" s="2">
        <v>6.92</v>
      </c>
      <c r="BQ942" s="2">
        <v>42005.092361111114</v>
      </c>
      <c r="BR942" s="2">
        <v>11.07</v>
      </c>
      <c r="BS942" s="2">
        <v>42005.092361111114</v>
      </c>
      <c r="BT942">
        <v>0</v>
      </c>
      <c r="BU942">
        <v>0</v>
      </c>
      <c r="BV942" t="s">
        <v>135</v>
      </c>
      <c r="BW942">
        <v>0</v>
      </c>
      <c r="BX942">
        <v>0</v>
      </c>
      <c r="BY942" t="s">
        <v>135</v>
      </c>
      <c r="BZ942">
        <v>0</v>
      </c>
      <c r="CA942">
        <v>0</v>
      </c>
      <c r="CB942" t="s">
        <v>135</v>
      </c>
      <c r="CH942" s="2"/>
      <c r="CJ942" s="2"/>
      <c r="CL942" s="2"/>
      <c r="CN942" s="2"/>
      <c r="CQ942" s="2"/>
      <c r="CT942" s="2"/>
      <c r="CW942" s="2"/>
    </row>
    <row r="943" spans="1:101" x14ac:dyDescent="0.25">
      <c r="A943" s="1" t="s">
        <v>163</v>
      </c>
      <c r="B943" s="75" t="s">
        <v>164</v>
      </c>
      <c r="C943">
        <v>0</v>
      </c>
      <c r="D943">
        <v>0</v>
      </c>
      <c r="E943">
        <v>0</v>
      </c>
      <c r="F943">
        <v>604324.56000000006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3.91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7490</v>
      </c>
      <c r="AW943">
        <v>3350</v>
      </c>
      <c r="AX943">
        <v>1219</v>
      </c>
      <c r="AY943">
        <v>12059</v>
      </c>
      <c r="AZ943">
        <v>4202</v>
      </c>
      <c r="BA943">
        <v>7438</v>
      </c>
      <c r="BB943">
        <v>1432</v>
      </c>
      <c r="BC943">
        <v>13072</v>
      </c>
      <c r="BD943">
        <v>9486</v>
      </c>
      <c r="BE943">
        <v>9222</v>
      </c>
      <c r="BF943">
        <v>1768</v>
      </c>
      <c r="BG943">
        <v>20476</v>
      </c>
      <c r="BH943">
        <v>0</v>
      </c>
      <c r="BI943">
        <v>0</v>
      </c>
      <c r="BJ943">
        <v>0</v>
      </c>
      <c r="BK943">
        <v>0</v>
      </c>
      <c r="BL943" s="2">
        <v>24.82</v>
      </c>
      <c r="BM943" s="2">
        <v>42005.095138888886</v>
      </c>
      <c r="BN943" s="2">
        <v>5.4</v>
      </c>
      <c r="BO943" s="2">
        <v>42005.092361111114</v>
      </c>
      <c r="BP943" s="2">
        <v>6.92</v>
      </c>
      <c r="BQ943" s="2">
        <v>42005.092361111114</v>
      </c>
      <c r="BR943" s="2">
        <v>11.07</v>
      </c>
      <c r="BS943" s="2">
        <v>42005.092361111114</v>
      </c>
      <c r="BT943">
        <v>0</v>
      </c>
      <c r="BU943">
        <v>0</v>
      </c>
      <c r="BV943" t="s">
        <v>135</v>
      </c>
      <c r="BW943">
        <v>0</v>
      </c>
      <c r="BX943">
        <v>0</v>
      </c>
      <c r="BY943" t="s">
        <v>135</v>
      </c>
      <c r="BZ943">
        <v>0</v>
      </c>
      <c r="CA943">
        <v>0</v>
      </c>
      <c r="CB943" t="s">
        <v>135</v>
      </c>
      <c r="CH943" s="2"/>
      <c r="CJ943" s="2"/>
      <c r="CL943" s="2"/>
      <c r="CN943" s="2"/>
      <c r="CQ943" s="2"/>
      <c r="CT943" s="2"/>
      <c r="CW943" s="2"/>
    </row>
    <row r="944" spans="1:101" x14ac:dyDescent="0.25">
      <c r="A944" s="1" t="s">
        <v>163</v>
      </c>
      <c r="B944" s="75" t="s">
        <v>164</v>
      </c>
      <c r="C944">
        <v>0</v>
      </c>
      <c r="D944">
        <v>0</v>
      </c>
      <c r="E944">
        <v>0</v>
      </c>
      <c r="F944">
        <v>604324.56000000006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3.91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7490</v>
      </c>
      <c r="AW944">
        <v>3350</v>
      </c>
      <c r="AX944">
        <v>1219</v>
      </c>
      <c r="AY944">
        <v>12059</v>
      </c>
      <c r="AZ944">
        <v>4202</v>
      </c>
      <c r="BA944">
        <v>7438</v>
      </c>
      <c r="BB944">
        <v>1432</v>
      </c>
      <c r="BC944">
        <v>13072</v>
      </c>
      <c r="BD944">
        <v>9486</v>
      </c>
      <c r="BE944">
        <v>9222</v>
      </c>
      <c r="BF944">
        <v>1768</v>
      </c>
      <c r="BG944">
        <v>20476</v>
      </c>
      <c r="BH944">
        <v>0</v>
      </c>
      <c r="BI944">
        <v>0</v>
      </c>
      <c r="BJ944">
        <v>0</v>
      </c>
      <c r="BK944">
        <v>0</v>
      </c>
      <c r="BL944" s="2">
        <v>24.82</v>
      </c>
      <c r="BM944" s="2">
        <v>42005.095138888886</v>
      </c>
      <c r="BN944" s="2">
        <v>5.4</v>
      </c>
      <c r="BO944" s="2">
        <v>42005.092361111114</v>
      </c>
      <c r="BP944" s="2">
        <v>6.92</v>
      </c>
      <c r="BQ944" s="2">
        <v>42005.092361111114</v>
      </c>
      <c r="BR944" s="2">
        <v>11.07</v>
      </c>
      <c r="BS944" s="2">
        <v>42005.092361111114</v>
      </c>
      <c r="BT944">
        <v>0</v>
      </c>
      <c r="BU944">
        <v>0</v>
      </c>
      <c r="BV944" t="s">
        <v>135</v>
      </c>
      <c r="BW944">
        <v>0</v>
      </c>
      <c r="BX944">
        <v>0</v>
      </c>
      <c r="BY944" t="s">
        <v>135</v>
      </c>
      <c r="BZ944">
        <v>0</v>
      </c>
      <c r="CA944">
        <v>0</v>
      </c>
      <c r="CB944" t="s">
        <v>135</v>
      </c>
      <c r="CH944" s="2"/>
      <c r="CJ944" s="2"/>
      <c r="CL944" s="2"/>
      <c r="CN944" s="2"/>
      <c r="CQ944" s="2"/>
      <c r="CT944" s="2"/>
      <c r="CW944" s="2"/>
    </row>
    <row r="945" spans="1:101" x14ac:dyDescent="0.25">
      <c r="A945" s="1" t="s">
        <v>163</v>
      </c>
      <c r="B945" s="75" t="s">
        <v>164</v>
      </c>
      <c r="C945">
        <v>0</v>
      </c>
      <c r="D945">
        <v>0</v>
      </c>
      <c r="E945">
        <v>0</v>
      </c>
      <c r="F945">
        <v>604324.56000000006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3.91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7490</v>
      </c>
      <c r="AW945">
        <v>3350</v>
      </c>
      <c r="AX945">
        <v>1219</v>
      </c>
      <c r="AY945">
        <v>12059</v>
      </c>
      <c r="AZ945">
        <v>4202</v>
      </c>
      <c r="BA945">
        <v>7438</v>
      </c>
      <c r="BB945">
        <v>1432</v>
      </c>
      <c r="BC945">
        <v>13072</v>
      </c>
      <c r="BD945">
        <v>9486</v>
      </c>
      <c r="BE945">
        <v>9222</v>
      </c>
      <c r="BF945">
        <v>1768</v>
      </c>
      <c r="BG945">
        <v>20476</v>
      </c>
      <c r="BH945">
        <v>0</v>
      </c>
      <c r="BI945">
        <v>0</v>
      </c>
      <c r="BJ945">
        <v>0</v>
      </c>
      <c r="BK945">
        <v>0</v>
      </c>
      <c r="BL945" s="2">
        <v>24.82</v>
      </c>
      <c r="BM945" s="2">
        <v>42005.095138888886</v>
      </c>
      <c r="BN945" s="2">
        <v>5.4</v>
      </c>
      <c r="BO945" s="2">
        <v>42005.092361111114</v>
      </c>
      <c r="BP945" s="2">
        <v>6.92</v>
      </c>
      <c r="BQ945" s="2">
        <v>42005.092361111114</v>
      </c>
      <c r="BR945" s="2">
        <v>11.07</v>
      </c>
      <c r="BS945" s="2">
        <v>42005.092361111114</v>
      </c>
      <c r="BT945">
        <v>0</v>
      </c>
      <c r="BU945">
        <v>0</v>
      </c>
      <c r="BV945" t="s">
        <v>135</v>
      </c>
      <c r="BW945">
        <v>0</v>
      </c>
      <c r="BX945">
        <v>0</v>
      </c>
      <c r="BY945" t="s">
        <v>135</v>
      </c>
      <c r="BZ945">
        <v>0</v>
      </c>
      <c r="CA945">
        <v>0</v>
      </c>
      <c r="CB945" t="s">
        <v>135</v>
      </c>
      <c r="CH945" s="2"/>
      <c r="CJ945" s="2"/>
      <c r="CL945" s="2"/>
      <c r="CN945" s="2"/>
      <c r="CQ945" s="2"/>
      <c r="CT945" s="2"/>
      <c r="CW945" s="2"/>
    </row>
    <row r="946" spans="1:101" x14ac:dyDescent="0.25">
      <c r="A946" s="1" t="s">
        <v>163</v>
      </c>
      <c r="B946" s="75" t="s">
        <v>164</v>
      </c>
      <c r="C946">
        <v>0</v>
      </c>
      <c r="D946">
        <v>0</v>
      </c>
      <c r="E946">
        <v>0</v>
      </c>
      <c r="F946">
        <v>604324.56000000006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3.91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7490</v>
      </c>
      <c r="AW946">
        <v>3350</v>
      </c>
      <c r="AX946">
        <v>1219</v>
      </c>
      <c r="AY946">
        <v>12059</v>
      </c>
      <c r="AZ946">
        <v>4202</v>
      </c>
      <c r="BA946">
        <v>7438</v>
      </c>
      <c r="BB946">
        <v>1432</v>
      </c>
      <c r="BC946">
        <v>13072</v>
      </c>
      <c r="BD946">
        <v>9486</v>
      </c>
      <c r="BE946">
        <v>9222</v>
      </c>
      <c r="BF946">
        <v>1768</v>
      </c>
      <c r="BG946">
        <v>20476</v>
      </c>
      <c r="BH946">
        <v>0</v>
      </c>
      <c r="BI946">
        <v>0</v>
      </c>
      <c r="BJ946">
        <v>0</v>
      </c>
      <c r="BK946">
        <v>0</v>
      </c>
      <c r="BL946" s="2">
        <v>24.82</v>
      </c>
      <c r="BM946" s="2">
        <v>42005.095138888886</v>
      </c>
      <c r="BN946" s="2">
        <v>5.4</v>
      </c>
      <c r="BO946" s="2">
        <v>42005.092361111114</v>
      </c>
      <c r="BP946" s="2">
        <v>6.92</v>
      </c>
      <c r="BQ946" s="2">
        <v>42005.092361111114</v>
      </c>
      <c r="BR946" s="2">
        <v>11.07</v>
      </c>
      <c r="BS946" s="2">
        <v>42005.092361111114</v>
      </c>
      <c r="BT946">
        <v>0</v>
      </c>
      <c r="BU946">
        <v>0</v>
      </c>
      <c r="BV946" t="s">
        <v>135</v>
      </c>
      <c r="BW946">
        <v>0</v>
      </c>
      <c r="BX946">
        <v>0</v>
      </c>
      <c r="BY946" t="s">
        <v>135</v>
      </c>
      <c r="BZ946">
        <v>0</v>
      </c>
      <c r="CA946">
        <v>0</v>
      </c>
      <c r="CB946" t="s">
        <v>135</v>
      </c>
      <c r="CH946" s="2"/>
      <c r="CJ946" s="2"/>
      <c r="CL946" s="2"/>
      <c r="CN946" s="2"/>
      <c r="CQ946" s="2"/>
      <c r="CT946" s="2"/>
      <c r="CW946" s="2"/>
    </row>
    <row r="947" spans="1:101" x14ac:dyDescent="0.25">
      <c r="A947" s="1" t="s">
        <v>163</v>
      </c>
      <c r="B947" s="75" t="s">
        <v>164</v>
      </c>
      <c r="C947">
        <v>0</v>
      </c>
      <c r="D947">
        <v>0</v>
      </c>
      <c r="E947">
        <v>0</v>
      </c>
      <c r="F947">
        <v>604324.56000000006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3.91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7490</v>
      </c>
      <c r="AW947">
        <v>3350</v>
      </c>
      <c r="AX947">
        <v>1219</v>
      </c>
      <c r="AY947">
        <v>12059</v>
      </c>
      <c r="AZ947">
        <v>4202</v>
      </c>
      <c r="BA947">
        <v>7438</v>
      </c>
      <c r="BB947">
        <v>1432</v>
      </c>
      <c r="BC947">
        <v>13072</v>
      </c>
      <c r="BD947">
        <v>9486</v>
      </c>
      <c r="BE947">
        <v>9222</v>
      </c>
      <c r="BF947">
        <v>1768</v>
      </c>
      <c r="BG947">
        <v>20476</v>
      </c>
      <c r="BH947">
        <v>0</v>
      </c>
      <c r="BI947">
        <v>0</v>
      </c>
      <c r="BJ947">
        <v>0</v>
      </c>
      <c r="BK947">
        <v>0</v>
      </c>
      <c r="BL947" s="2">
        <v>24.82</v>
      </c>
      <c r="BM947" s="2">
        <v>42005.095138888886</v>
      </c>
      <c r="BN947" s="2">
        <v>5.4</v>
      </c>
      <c r="BO947" s="2">
        <v>42005.092361111114</v>
      </c>
      <c r="BP947" s="2">
        <v>6.92</v>
      </c>
      <c r="BQ947" s="2">
        <v>42005.092361111114</v>
      </c>
      <c r="BR947" s="2">
        <v>11.07</v>
      </c>
      <c r="BS947" s="2">
        <v>42005.092361111114</v>
      </c>
      <c r="BT947">
        <v>0</v>
      </c>
      <c r="BU947">
        <v>0</v>
      </c>
      <c r="BV947" t="s">
        <v>135</v>
      </c>
      <c r="BW947">
        <v>0</v>
      </c>
      <c r="BX947">
        <v>0</v>
      </c>
      <c r="BY947" t="s">
        <v>135</v>
      </c>
      <c r="BZ947">
        <v>0</v>
      </c>
      <c r="CA947">
        <v>0</v>
      </c>
      <c r="CB947" t="s">
        <v>135</v>
      </c>
      <c r="CH947" s="2"/>
      <c r="CJ947" s="2"/>
      <c r="CL947" s="2"/>
      <c r="CN947" s="2"/>
      <c r="CQ947" s="2"/>
      <c r="CT947" s="2"/>
      <c r="CW947" s="2"/>
    </row>
    <row r="948" spans="1:101" x14ac:dyDescent="0.25">
      <c r="A948" s="1" t="s">
        <v>163</v>
      </c>
      <c r="B948" s="75" t="s">
        <v>164</v>
      </c>
      <c r="C948">
        <v>0</v>
      </c>
      <c r="D948">
        <v>0</v>
      </c>
      <c r="E948">
        <v>0</v>
      </c>
      <c r="F948">
        <v>604324.56000000006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3.91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7490</v>
      </c>
      <c r="AW948">
        <v>3350</v>
      </c>
      <c r="AX948">
        <v>1219</v>
      </c>
      <c r="AY948">
        <v>12059</v>
      </c>
      <c r="AZ948">
        <v>4202</v>
      </c>
      <c r="BA948">
        <v>7438</v>
      </c>
      <c r="BB948">
        <v>1432</v>
      </c>
      <c r="BC948">
        <v>13072</v>
      </c>
      <c r="BD948">
        <v>9486</v>
      </c>
      <c r="BE948">
        <v>9222</v>
      </c>
      <c r="BF948">
        <v>1768</v>
      </c>
      <c r="BG948">
        <v>20476</v>
      </c>
      <c r="BH948">
        <v>0</v>
      </c>
      <c r="BI948">
        <v>0</v>
      </c>
      <c r="BJ948">
        <v>0</v>
      </c>
      <c r="BK948">
        <v>0</v>
      </c>
      <c r="BL948" s="2">
        <v>24.82</v>
      </c>
      <c r="BM948" s="2">
        <v>42005.095138888886</v>
      </c>
      <c r="BN948" s="2">
        <v>5.4</v>
      </c>
      <c r="BO948" s="2">
        <v>42005.092361111114</v>
      </c>
      <c r="BP948" s="2">
        <v>6.92</v>
      </c>
      <c r="BQ948" s="2">
        <v>42005.092361111114</v>
      </c>
      <c r="BR948" s="2">
        <v>11.07</v>
      </c>
      <c r="BS948" s="2">
        <v>42005.092361111114</v>
      </c>
      <c r="BT948">
        <v>0</v>
      </c>
      <c r="BU948">
        <v>0</v>
      </c>
      <c r="BV948" t="s">
        <v>135</v>
      </c>
      <c r="BW948">
        <v>0</v>
      </c>
      <c r="BX948">
        <v>0</v>
      </c>
      <c r="BY948" t="s">
        <v>135</v>
      </c>
      <c r="BZ948">
        <v>0</v>
      </c>
      <c r="CA948">
        <v>0</v>
      </c>
      <c r="CB948" t="s">
        <v>135</v>
      </c>
      <c r="CH948" s="2"/>
      <c r="CJ948" s="2"/>
      <c r="CL948" s="2"/>
      <c r="CN948" s="2"/>
      <c r="CQ948" s="2"/>
      <c r="CT948" s="2"/>
      <c r="CW948" s="2"/>
    </row>
    <row r="949" spans="1:101" x14ac:dyDescent="0.25">
      <c r="A949" s="1" t="s">
        <v>163</v>
      </c>
      <c r="B949" s="75" t="s">
        <v>164</v>
      </c>
      <c r="C949">
        <v>0</v>
      </c>
      <c r="D949">
        <v>0</v>
      </c>
      <c r="E949">
        <v>0</v>
      </c>
      <c r="F949">
        <v>604324.56000000006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3.91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7490</v>
      </c>
      <c r="AW949">
        <v>3350</v>
      </c>
      <c r="AX949">
        <v>1219</v>
      </c>
      <c r="AY949">
        <v>12059</v>
      </c>
      <c r="AZ949">
        <v>4202</v>
      </c>
      <c r="BA949">
        <v>7438</v>
      </c>
      <c r="BB949">
        <v>1432</v>
      </c>
      <c r="BC949">
        <v>13072</v>
      </c>
      <c r="BD949">
        <v>9486</v>
      </c>
      <c r="BE949">
        <v>9222</v>
      </c>
      <c r="BF949">
        <v>1768</v>
      </c>
      <c r="BG949">
        <v>20476</v>
      </c>
      <c r="BH949">
        <v>0</v>
      </c>
      <c r="BI949">
        <v>0</v>
      </c>
      <c r="BJ949">
        <v>0</v>
      </c>
      <c r="BK949">
        <v>0</v>
      </c>
      <c r="BL949" s="2">
        <v>24.82</v>
      </c>
      <c r="BM949" s="2">
        <v>42005.095138888886</v>
      </c>
      <c r="BN949" s="2">
        <v>5.4</v>
      </c>
      <c r="BO949" s="2">
        <v>42005.092361111114</v>
      </c>
      <c r="BP949" s="2">
        <v>6.92</v>
      </c>
      <c r="BQ949" s="2">
        <v>42005.092361111114</v>
      </c>
      <c r="BR949" s="2">
        <v>11.07</v>
      </c>
      <c r="BS949" s="2">
        <v>42005.092361111114</v>
      </c>
      <c r="BT949">
        <v>0</v>
      </c>
      <c r="BU949">
        <v>0</v>
      </c>
      <c r="BV949" t="s">
        <v>135</v>
      </c>
      <c r="BW949">
        <v>0</v>
      </c>
      <c r="BX949">
        <v>0</v>
      </c>
      <c r="BY949" t="s">
        <v>135</v>
      </c>
      <c r="BZ949">
        <v>0</v>
      </c>
      <c r="CA949">
        <v>0</v>
      </c>
      <c r="CB949" t="s">
        <v>135</v>
      </c>
      <c r="CH949" s="2"/>
      <c r="CJ949" s="2"/>
      <c r="CL949" s="2"/>
      <c r="CN949" s="2"/>
      <c r="CQ949" s="2"/>
      <c r="CT949" s="2"/>
      <c r="CW949" s="2"/>
    </row>
    <row r="950" spans="1:101" x14ac:dyDescent="0.25">
      <c r="A950" s="1" t="s">
        <v>163</v>
      </c>
      <c r="B950" s="75" t="s">
        <v>164</v>
      </c>
      <c r="C950">
        <v>0</v>
      </c>
      <c r="D950">
        <v>0</v>
      </c>
      <c r="E950">
        <v>0</v>
      </c>
      <c r="F950">
        <v>604324.56000000006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3.91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7490</v>
      </c>
      <c r="AW950">
        <v>3350</v>
      </c>
      <c r="AX950">
        <v>1219</v>
      </c>
      <c r="AY950">
        <v>12059</v>
      </c>
      <c r="AZ950">
        <v>4202</v>
      </c>
      <c r="BA950">
        <v>7438</v>
      </c>
      <c r="BB950">
        <v>1432</v>
      </c>
      <c r="BC950">
        <v>13072</v>
      </c>
      <c r="BD950">
        <v>9486</v>
      </c>
      <c r="BE950">
        <v>9222</v>
      </c>
      <c r="BF950">
        <v>1768</v>
      </c>
      <c r="BG950">
        <v>20476</v>
      </c>
      <c r="BH950">
        <v>0</v>
      </c>
      <c r="BI950">
        <v>0</v>
      </c>
      <c r="BJ950">
        <v>0</v>
      </c>
      <c r="BK950">
        <v>0</v>
      </c>
      <c r="BL950" s="2">
        <v>24.82</v>
      </c>
      <c r="BM950" s="2">
        <v>42005.095138888886</v>
      </c>
      <c r="BN950" s="2">
        <v>5.4</v>
      </c>
      <c r="BO950" s="2">
        <v>42005.092361111114</v>
      </c>
      <c r="BP950" s="2">
        <v>6.92</v>
      </c>
      <c r="BQ950" s="2">
        <v>42005.092361111114</v>
      </c>
      <c r="BR950" s="2">
        <v>11.07</v>
      </c>
      <c r="BS950" s="2">
        <v>42005.092361111114</v>
      </c>
      <c r="BT950">
        <v>0</v>
      </c>
      <c r="BU950">
        <v>0</v>
      </c>
      <c r="BV950" t="s">
        <v>135</v>
      </c>
      <c r="BW950">
        <v>0</v>
      </c>
      <c r="BX950">
        <v>0</v>
      </c>
      <c r="BY950" t="s">
        <v>135</v>
      </c>
      <c r="BZ950">
        <v>0</v>
      </c>
      <c r="CA950">
        <v>0</v>
      </c>
      <c r="CB950" t="s">
        <v>135</v>
      </c>
      <c r="CH950" s="2"/>
      <c r="CJ950" s="2"/>
      <c r="CL950" s="2"/>
      <c r="CN950" s="2"/>
      <c r="CQ950" s="2"/>
      <c r="CT950" s="2"/>
      <c r="CW950" s="2"/>
    </row>
    <row r="951" spans="1:101" x14ac:dyDescent="0.25">
      <c r="A951" s="1" t="s">
        <v>163</v>
      </c>
      <c r="B951" s="75" t="s">
        <v>164</v>
      </c>
      <c r="C951">
        <v>0</v>
      </c>
      <c r="D951">
        <v>0</v>
      </c>
      <c r="E951">
        <v>0</v>
      </c>
      <c r="F951">
        <v>604324.56000000006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3.91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7490</v>
      </c>
      <c r="AW951">
        <v>3350</v>
      </c>
      <c r="AX951">
        <v>1219</v>
      </c>
      <c r="AY951">
        <v>12059</v>
      </c>
      <c r="AZ951">
        <v>4202</v>
      </c>
      <c r="BA951">
        <v>7438</v>
      </c>
      <c r="BB951">
        <v>1432</v>
      </c>
      <c r="BC951">
        <v>13072</v>
      </c>
      <c r="BD951">
        <v>9486</v>
      </c>
      <c r="BE951">
        <v>9222</v>
      </c>
      <c r="BF951">
        <v>1768</v>
      </c>
      <c r="BG951">
        <v>20476</v>
      </c>
      <c r="BH951">
        <v>0</v>
      </c>
      <c r="BI951">
        <v>0</v>
      </c>
      <c r="BJ951">
        <v>0</v>
      </c>
      <c r="BK951">
        <v>0</v>
      </c>
      <c r="BL951" s="2">
        <v>24.82</v>
      </c>
      <c r="BM951" s="2">
        <v>42005.095138888886</v>
      </c>
      <c r="BN951" s="2">
        <v>5.4</v>
      </c>
      <c r="BO951" s="2">
        <v>42005.092361111114</v>
      </c>
      <c r="BP951" s="2">
        <v>6.92</v>
      </c>
      <c r="BQ951" s="2">
        <v>42005.092361111114</v>
      </c>
      <c r="BR951" s="2">
        <v>11.07</v>
      </c>
      <c r="BS951" s="2">
        <v>42005.092361111114</v>
      </c>
      <c r="BT951">
        <v>0</v>
      </c>
      <c r="BU951">
        <v>0</v>
      </c>
      <c r="BV951" t="s">
        <v>135</v>
      </c>
      <c r="BW951">
        <v>0</v>
      </c>
      <c r="BX951">
        <v>0</v>
      </c>
      <c r="BY951" t="s">
        <v>135</v>
      </c>
      <c r="BZ951">
        <v>0</v>
      </c>
      <c r="CA951">
        <v>0</v>
      </c>
      <c r="CB951" t="s">
        <v>135</v>
      </c>
      <c r="CH951" s="2"/>
      <c r="CJ951" s="2"/>
      <c r="CL951" s="2"/>
      <c r="CN951" s="2"/>
      <c r="CQ951" s="2"/>
      <c r="CT951" s="2"/>
      <c r="CW951" s="2"/>
    </row>
    <row r="952" spans="1:101" x14ac:dyDescent="0.25">
      <c r="A952" s="1" t="s">
        <v>163</v>
      </c>
      <c r="B952" s="75" t="s">
        <v>164</v>
      </c>
      <c r="C952">
        <v>0</v>
      </c>
      <c r="D952">
        <v>0</v>
      </c>
      <c r="E952">
        <v>0</v>
      </c>
      <c r="F952">
        <v>604324.56000000006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3.91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7490</v>
      </c>
      <c r="AW952">
        <v>3350</v>
      </c>
      <c r="AX952">
        <v>1219</v>
      </c>
      <c r="AY952">
        <v>12059</v>
      </c>
      <c r="AZ952">
        <v>4202</v>
      </c>
      <c r="BA952">
        <v>7438</v>
      </c>
      <c r="BB952">
        <v>1432</v>
      </c>
      <c r="BC952">
        <v>13072</v>
      </c>
      <c r="BD952">
        <v>9486</v>
      </c>
      <c r="BE952">
        <v>9222</v>
      </c>
      <c r="BF952">
        <v>1768</v>
      </c>
      <c r="BG952">
        <v>20476</v>
      </c>
      <c r="BH952">
        <v>0</v>
      </c>
      <c r="BI952">
        <v>0</v>
      </c>
      <c r="BJ952">
        <v>0</v>
      </c>
      <c r="BK952">
        <v>0</v>
      </c>
      <c r="BL952" s="2">
        <v>24.82</v>
      </c>
      <c r="BM952" s="2">
        <v>42005.095138888886</v>
      </c>
      <c r="BN952" s="2">
        <v>5.4</v>
      </c>
      <c r="BO952" s="2">
        <v>42005.092361111114</v>
      </c>
      <c r="BP952" s="2">
        <v>6.92</v>
      </c>
      <c r="BQ952" s="2">
        <v>42005.092361111114</v>
      </c>
      <c r="BR952" s="2">
        <v>11.07</v>
      </c>
      <c r="BS952" s="2">
        <v>42005.092361111114</v>
      </c>
      <c r="BT952">
        <v>0</v>
      </c>
      <c r="BU952">
        <v>0</v>
      </c>
      <c r="BV952" t="s">
        <v>135</v>
      </c>
      <c r="BW952">
        <v>0</v>
      </c>
      <c r="BX952">
        <v>0</v>
      </c>
      <c r="BY952" t="s">
        <v>135</v>
      </c>
      <c r="BZ952">
        <v>0</v>
      </c>
      <c r="CA952">
        <v>0</v>
      </c>
      <c r="CB952" t="s">
        <v>135</v>
      </c>
      <c r="CH952" s="2"/>
      <c r="CJ952" s="2"/>
      <c r="CL952" s="2"/>
      <c r="CN952" s="2"/>
      <c r="CQ952" s="2"/>
      <c r="CT952" s="2"/>
      <c r="CW952" s="2"/>
    </row>
    <row r="953" spans="1:101" x14ac:dyDescent="0.25">
      <c r="A953" s="1" t="s">
        <v>163</v>
      </c>
      <c r="B953" s="75" t="s">
        <v>164</v>
      </c>
      <c r="C953">
        <v>0</v>
      </c>
      <c r="D953">
        <v>0</v>
      </c>
      <c r="E953">
        <v>0</v>
      </c>
      <c r="F953">
        <v>604324.56000000006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3.91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7490</v>
      </c>
      <c r="AW953">
        <v>3350</v>
      </c>
      <c r="AX953">
        <v>1219</v>
      </c>
      <c r="AY953">
        <v>12059</v>
      </c>
      <c r="AZ953">
        <v>4202</v>
      </c>
      <c r="BA953">
        <v>7438</v>
      </c>
      <c r="BB953">
        <v>1432</v>
      </c>
      <c r="BC953">
        <v>13072</v>
      </c>
      <c r="BD953">
        <v>9486</v>
      </c>
      <c r="BE953">
        <v>9222</v>
      </c>
      <c r="BF953">
        <v>1768</v>
      </c>
      <c r="BG953">
        <v>20476</v>
      </c>
      <c r="BH953">
        <v>0</v>
      </c>
      <c r="BI953">
        <v>0</v>
      </c>
      <c r="BJ953">
        <v>0</v>
      </c>
      <c r="BK953">
        <v>0</v>
      </c>
      <c r="BL953" s="2">
        <v>24.82</v>
      </c>
      <c r="BM953" s="2">
        <v>42005.095138888886</v>
      </c>
      <c r="BN953" s="2">
        <v>5.4</v>
      </c>
      <c r="BO953" s="2">
        <v>42005.092361111114</v>
      </c>
      <c r="BP953" s="2">
        <v>6.92</v>
      </c>
      <c r="BQ953" s="2">
        <v>42005.092361111114</v>
      </c>
      <c r="BR953" s="2">
        <v>11.07</v>
      </c>
      <c r="BS953" s="2">
        <v>42005.092361111114</v>
      </c>
      <c r="BT953">
        <v>0</v>
      </c>
      <c r="BU953">
        <v>0</v>
      </c>
      <c r="BV953" t="s">
        <v>135</v>
      </c>
      <c r="BW953">
        <v>0</v>
      </c>
      <c r="BX953">
        <v>0</v>
      </c>
      <c r="BY953" t="s">
        <v>135</v>
      </c>
      <c r="BZ953">
        <v>0</v>
      </c>
      <c r="CA953">
        <v>0</v>
      </c>
      <c r="CB953" t="s">
        <v>135</v>
      </c>
      <c r="CH953" s="2"/>
      <c r="CJ953" s="2"/>
      <c r="CL953" s="2"/>
      <c r="CN953" s="2"/>
      <c r="CQ953" s="2"/>
      <c r="CT953" s="2"/>
      <c r="CW953" s="2"/>
    </row>
    <row r="954" spans="1:101" x14ac:dyDescent="0.25">
      <c r="A954" s="1" t="s">
        <v>163</v>
      </c>
      <c r="B954" s="75" t="s">
        <v>164</v>
      </c>
      <c r="C954">
        <v>0</v>
      </c>
      <c r="D954">
        <v>0</v>
      </c>
      <c r="E954">
        <v>0</v>
      </c>
      <c r="F954">
        <v>604324.56000000006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3.91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7490</v>
      </c>
      <c r="AW954">
        <v>3350</v>
      </c>
      <c r="AX954">
        <v>1219</v>
      </c>
      <c r="AY954">
        <v>12059</v>
      </c>
      <c r="AZ954">
        <v>4202</v>
      </c>
      <c r="BA954">
        <v>7438</v>
      </c>
      <c r="BB954">
        <v>1432</v>
      </c>
      <c r="BC954">
        <v>13072</v>
      </c>
      <c r="BD954">
        <v>9486</v>
      </c>
      <c r="BE954">
        <v>9222</v>
      </c>
      <c r="BF954">
        <v>1768</v>
      </c>
      <c r="BG954">
        <v>20476</v>
      </c>
      <c r="BH954">
        <v>0</v>
      </c>
      <c r="BI954">
        <v>0</v>
      </c>
      <c r="BJ954">
        <v>0</v>
      </c>
      <c r="BK954">
        <v>0</v>
      </c>
      <c r="BL954" s="2">
        <v>24.82</v>
      </c>
      <c r="BM954" s="2">
        <v>42005.095138888886</v>
      </c>
      <c r="BN954" s="2">
        <v>5.4</v>
      </c>
      <c r="BO954" s="2">
        <v>42005.092361111114</v>
      </c>
      <c r="BP954" s="2">
        <v>6.92</v>
      </c>
      <c r="BQ954" s="2">
        <v>42005.092361111114</v>
      </c>
      <c r="BR954" s="2">
        <v>11.07</v>
      </c>
      <c r="BS954" s="2">
        <v>42005.092361111114</v>
      </c>
      <c r="BT954">
        <v>0</v>
      </c>
      <c r="BU954">
        <v>0</v>
      </c>
      <c r="BV954" t="s">
        <v>135</v>
      </c>
      <c r="BW954">
        <v>0</v>
      </c>
      <c r="BX954">
        <v>0</v>
      </c>
      <c r="BY954" t="s">
        <v>135</v>
      </c>
      <c r="BZ954">
        <v>0</v>
      </c>
      <c r="CA954">
        <v>0</v>
      </c>
      <c r="CB954" t="s">
        <v>135</v>
      </c>
      <c r="CH954" s="2"/>
      <c r="CJ954" s="2"/>
      <c r="CL954" s="2"/>
      <c r="CN954" s="2"/>
      <c r="CQ954" s="2"/>
      <c r="CT954" s="2"/>
      <c r="CW954" s="2"/>
    </row>
    <row r="955" spans="1:101" x14ac:dyDescent="0.25">
      <c r="A955" s="1" t="s">
        <v>163</v>
      </c>
      <c r="B955" s="75" t="s">
        <v>164</v>
      </c>
      <c r="C955">
        <v>0</v>
      </c>
      <c r="D955">
        <v>0</v>
      </c>
      <c r="E955">
        <v>0</v>
      </c>
      <c r="F955">
        <v>604324.56000000006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3.91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7490</v>
      </c>
      <c r="AW955">
        <v>3350</v>
      </c>
      <c r="AX955">
        <v>1219</v>
      </c>
      <c r="AY955">
        <v>12059</v>
      </c>
      <c r="AZ955">
        <v>4202</v>
      </c>
      <c r="BA955">
        <v>7438</v>
      </c>
      <c r="BB955">
        <v>1432</v>
      </c>
      <c r="BC955">
        <v>13072</v>
      </c>
      <c r="BD955">
        <v>9486</v>
      </c>
      <c r="BE955">
        <v>9222</v>
      </c>
      <c r="BF955">
        <v>1768</v>
      </c>
      <c r="BG955">
        <v>20476</v>
      </c>
      <c r="BH955">
        <v>0</v>
      </c>
      <c r="BI955">
        <v>0</v>
      </c>
      <c r="BJ955">
        <v>0</v>
      </c>
      <c r="BK955">
        <v>0</v>
      </c>
      <c r="BL955" s="2">
        <v>24.82</v>
      </c>
      <c r="BM955" s="2">
        <v>42005.095138888886</v>
      </c>
      <c r="BN955" s="2">
        <v>5.4</v>
      </c>
      <c r="BO955" s="2">
        <v>42005.092361111114</v>
      </c>
      <c r="BP955" s="2">
        <v>6.92</v>
      </c>
      <c r="BQ955" s="2">
        <v>42005.092361111114</v>
      </c>
      <c r="BR955" s="2">
        <v>11.07</v>
      </c>
      <c r="BS955" s="2">
        <v>42005.092361111114</v>
      </c>
      <c r="BT955">
        <v>0</v>
      </c>
      <c r="BU955">
        <v>0</v>
      </c>
      <c r="BV955" t="s">
        <v>135</v>
      </c>
      <c r="BW955">
        <v>0</v>
      </c>
      <c r="BX955">
        <v>0</v>
      </c>
      <c r="BY955" t="s">
        <v>135</v>
      </c>
      <c r="BZ955">
        <v>0</v>
      </c>
      <c r="CA955">
        <v>0</v>
      </c>
      <c r="CB955" t="s">
        <v>135</v>
      </c>
      <c r="CH955" s="2"/>
      <c r="CJ955" s="2"/>
      <c r="CL955" s="2"/>
      <c r="CN955" s="2"/>
      <c r="CQ955" s="2"/>
      <c r="CT955" s="2"/>
      <c r="CW955" s="2"/>
    </row>
    <row r="956" spans="1:101" x14ac:dyDescent="0.25">
      <c r="A956" s="1" t="s">
        <v>163</v>
      </c>
      <c r="B956" s="75" t="s">
        <v>164</v>
      </c>
      <c r="C956">
        <v>0</v>
      </c>
      <c r="D956">
        <v>0</v>
      </c>
      <c r="E956">
        <v>0</v>
      </c>
      <c r="F956">
        <v>604324.56000000006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3.91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7490</v>
      </c>
      <c r="AW956">
        <v>3350</v>
      </c>
      <c r="AX956">
        <v>1219</v>
      </c>
      <c r="AY956">
        <v>12059</v>
      </c>
      <c r="AZ956">
        <v>4202</v>
      </c>
      <c r="BA956">
        <v>7438</v>
      </c>
      <c r="BB956">
        <v>1432</v>
      </c>
      <c r="BC956">
        <v>13072</v>
      </c>
      <c r="BD956">
        <v>9486</v>
      </c>
      <c r="BE956">
        <v>9222</v>
      </c>
      <c r="BF956">
        <v>1768</v>
      </c>
      <c r="BG956">
        <v>20476</v>
      </c>
      <c r="BH956">
        <v>0</v>
      </c>
      <c r="BI956">
        <v>0</v>
      </c>
      <c r="BJ956">
        <v>0</v>
      </c>
      <c r="BK956">
        <v>0</v>
      </c>
      <c r="BL956" s="2">
        <v>24.82</v>
      </c>
      <c r="BM956" s="2">
        <v>42005.095138888886</v>
      </c>
      <c r="BN956" s="2">
        <v>5.4</v>
      </c>
      <c r="BO956" s="2">
        <v>42005.092361111114</v>
      </c>
      <c r="BP956" s="2">
        <v>6.92</v>
      </c>
      <c r="BQ956" s="2">
        <v>42005.092361111114</v>
      </c>
      <c r="BR956" s="2">
        <v>11.07</v>
      </c>
      <c r="BS956" s="2">
        <v>42005.092361111114</v>
      </c>
      <c r="BT956">
        <v>0</v>
      </c>
      <c r="BU956">
        <v>0</v>
      </c>
      <c r="BV956" t="s">
        <v>135</v>
      </c>
      <c r="BW956">
        <v>0</v>
      </c>
      <c r="BX956">
        <v>0</v>
      </c>
      <c r="BY956" t="s">
        <v>135</v>
      </c>
      <c r="BZ956">
        <v>0</v>
      </c>
      <c r="CA956">
        <v>0</v>
      </c>
      <c r="CB956" t="s">
        <v>135</v>
      </c>
      <c r="CH956" s="2"/>
      <c r="CJ956" s="2"/>
      <c r="CL956" s="2"/>
      <c r="CN956" s="2"/>
      <c r="CQ956" s="2"/>
      <c r="CT956" s="2"/>
      <c r="CW956" s="2"/>
    </row>
    <row r="957" spans="1:101" x14ac:dyDescent="0.25">
      <c r="A957" s="1" t="s">
        <v>163</v>
      </c>
      <c r="B957" s="75" t="s">
        <v>164</v>
      </c>
      <c r="C957">
        <v>0</v>
      </c>
      <c r="D957">
        <v>0</v>
      </c>
      <c r="E957">
        <v>0</v>
      </c>
      <c r="F957">
        <v>604324.56000000006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3.91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7490</v>
      </c>
      <c r="AW957">
        <v>3350</v>
      </c>
      <c r="AX957">
        <v>1219</v>
      </c>
      <c r="AY957">
        <v>12059</v>
      </c>
      <c r="AZ957">
        <v>4202</v>
      </c>
      <c r="BA957">
        <v>7438</v>
      </c>
      <c r="BB957">
        <v>1432</v>
      </c>
      <c r="BC957">
        <v>13072</v>
      </c>
      <c r="BD957">
        <v>9486</v>
      </c>
      <c r="BE957">
        <v>9222</v>
      </c>
      <c r="BF957">
        <v>1768</v>
      </c>
      <c r="BG957">
        <v>20476</v>
      </c>
      <c r="BH957">
        <v>0</v>
      </c>
      <c r="BI957">
        <v>0</v>
      </c>
      <c r="BJ957">
        <v>0</v>
      </c>
      <c r="BK957">
        <v>0</v>
      </c>
      <c r="BL957" s="2">
        <v>24.82</v>
      </c>
      <c r="BM957" s="2">
        <v>42005.095138888886</v>
      </c>
      <c r="BN957" s="2">
        <v>5.4</v>
      </c>
      <c r="BO957" s="2">
        <v>42005.092361111114</v>
      </c>
      <c r="BP957" s="2">
        <v>6.92</v>
      </c>
      <c r="BQ957" s="2">
        <v>42005.092361111114</v>
      </c>
      <c r="BR957" s="2">
        <v>11.07</v>
      </c>
      <c r="BS957" s="2">
        <v>42005.092361111114</v>
      </c>
      <c r="BT957">
        <v>0</v>
      </c>
      <c r="BU957">
        <v>0</v>
      </c>
      <c r="BV957" t="s">
        <v>135</v>
      </c>
      <c r="BW957">
        <v>0</v>
      </c>
      <c r="BX957">
        <v>0</v>
      </c>
      <c r="BY957" t="s">
        <v>135</v>
      </c>
      <c r="BZ957">
        <v>0</v>
      </c>
      <c r="CA957">
        <v>0</v>
      </c>
      <c r="CB957" t="s">
        <v>135</v>
      </c>
      <c r="CH957" s="2"/>
      <c r="CJ957" s="2"/>
      <c r="CL957" s="2"/>
      <c r="CN957" s="2"/>
      <c r="CQ957" s="2"/>
      <c r="CT957" s="2"/>
      <c r="CW957" s="2"/>
    </row>
    <row r="958" spans="1:101" x14ac:dyDescent="0.25">
      <c r="A958" s="1" t="s">
        <v>163</v>
      </c>
      <c r="B958" s="75" t="s">
        <v>164</v>
      </c>
      <c r="C958">
        <v>0</v>
      </c>
      <c r="D958">
        <v>0</v>
      </c>
      <c r="E958">
        <v>0</v>
      </c>
      <c r="F958">
        <v>604324.56000000006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3.91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7490</v>
      </c>
      <c r="AW958">
        <v>3350</v>
      </c>
      <c r="AX958">
        <v>1219</v>
      </c>
      <c r="AY958">
        <v>12059</v>
      </c>
      <c r="AZ958">
        <v>4202</v>
      </c>
      <c r="BA958">
        <v>7438</v>
      </c>
      <c r="BB958">
        <v>1432</v>
      </c>
      <c r="BC958">
        <v>13072</v>
      </c>
      <c r="BD958">
        <v>9486</v>
      </c>
      <c r="BE958">
        <v>9222</v>
      </c>
      <c r="BF958">
        <v>1768</v>
      </c>
      <c r="BG958">
        <v>20476</v>
      </c>
      <c r="BH958">
        <v>0</v>
      </c>
      <c r="BI958">
        <v>0</v>
      </c>
      <c r="BJ958">
        <v>0</v>
      </c>
      <c r="BK958">
        <v>0</v>
      </c>
      <c r="BL958" s="2">
        <v>24.82</v>
      </c>
      <c r="BM958" s="2">
        <v>42005.095138888886</v>
      </c>
      <c r="BN958" s="2">
        <v>5.4</v>
      </c>
      <c r="BO958" s="2">
        <v>42005.092361111114</v>
      </c>
      <c r="BP958" s="2">
        <v>6.92</v>
      </c>
      <c r="BQ958" s="2">
        <v>42005.092361111114</v>
      </c>
      <c r="BR958" s="2">
        <v>11.07</v>
      </c>
      <c r="BS958" s="2">
        <v>42005.092361111114</v>
      </c>
      <c r="BT958">
        <v>0</v>
      </c>
      <c r="BU958">
        <v>0</v>
      </c>
      <c r="BV958" t="s">
        <v>135</v>
      </c>
      <c r="BW958">
        <v>0</v>
      </c>
      <c r="BX958">
        <v>0</v>
      </c>
      <c r="BY958" t="s">
        <v>135</v>
      </c>
      <c r="BZ958">
        <v>0</v>
      </c>
      <c r="CA958">
        <v>0</v>
      </c>
      <c r="CB958" t="s">
        <v>135</v>
      </c>
      <c r="CH958" s="2"/>
      <c r="CJ958" s="2"/>
      <c r="CL958" s="2"/>
      <c r="CN958" s="2"/>
      <c r="CQ958" s="2"/>
      <c r="CT958" s="2"/>
      <c r="CW958" s="2"/>
    </row>
    <row r="959" spans="1:101" x14ac:dyDescent="0.25">
      <c r="A959" s="1" t="s">
        <v>163</v>
      </c>
      <c r="B959" s="75" t="s">
        <v>164</v>
      </c>
      <c r="C959">
        <v>0</v>
      </c>
      <c r="D959">
        <v>0</v>
      </c>
      <c r="E959">
        <v>0</v>
      </c>
      <c r="F959">
        <v>604324.56000000006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3.91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7490</v>
      </c>
      <c r="AW959">
        <v>3350</v>
      </c>
      <c r="AX959">
        <v>1219</v>
      </c>
      <c r="AY959">
        <v>12059</v>
      </c>
      <c r="AZ959">
        <v>4202</v>
      </c>
      <c r="BA959">
        <v>7438</v>
      </c>
      <c r="BB959">
        <v>1432</v>
      </c>
      <c r="BC959">
        <v>13072</v>
      </c>
      <c r="BD959">
        <v>9486</v>
      </c>
      <c r="BE959">
        <v>9222</v>
      </c>
      <c r="BF959">
        <v>1768</v>
      </c>
      <c r="BG959">
        <v>20476</v>
      </c>
      <c r="BH959">
        <v>0</v>
      </c>
      <c r="BI959">
        <v>0</v>
      </c>
      <c r="BJ959">
        <v>0</v>
      </c>
      <c r="BK959">
        <v>0</v>
      </c>
      <c r="BL959" s="2">
        <v>24.82</v>
      </c>
      <c r="BM959" s="2">
        <v>42005.095138888886</v>
      </c>
      <c r="BN959" s="2">
        <v>5.4</v>
      </c>
      <c r="BO959" s="2">
        <v>42005.092361111114</v>
      </c>
      <c r="BP959" s="2">
        <v>6.92</v>
      </c>
      <c r="BQ959" s="2">
        <v>42005.092361111114</v>
      </c>
      <c r="BR959" s="2">
        <v>11.07</v>
      </c>
      <c r="BS959" s="2">
        <v>42005.092361111114</v>
      </c>
      <c r="BT959">
        <v>0</v>
      </c>
      <c r="BU959">
        <v>0</v>
      </c>
      <c r="BV959" t="s">
        <v>135</v>
      </c>
      <c r="BW959">
        <v>0</v>
      </c>
      <c r="BX959">
        <v>0</v>
      </c>
      <c r="BY959" t="s">
        <v>135</v>
      </c>
      <c r="BZ959">
        <v>0</v>
      </c>
      <c r="CA959">
        <v>0</v>
      </c>
      <c r="CB959" t="s">
        <v>135</v>
      </c>
      <c r="CH959" s="2"/>
      <c r="CJ959" s="2"/>
      <c r="CL959" s="2"/>
      <c r="CN959" s="2"/>
      <c r="CQ959" s="2"/>
      <c r="CT959" s="2"/>
      <c r="CW959" s="2"/>
    </row>
    <row r="960" spans="1:101" x14ac:dyDescent="0.25">
      <c r="A960" s="1" t="s">
        <v>163</v>
      </c>
      <c r="B960" s="75" t="s">
        <v>164</v>
      </c>
      <c r="C960">
        <v>0</v>
      </c>
      <c r="D960">
        <v>0</v>
      </c>
      <c r="E960">
        <v>0</v>
      </c>
      <c r="F960">
        <v>604324.56000000006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3.91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7490</v>
      </c>
      <c r="AW960">
        <v>3350</v>
      </c>
      <c r="AX960">
        <v>1219</v>
      </c>
      <c r="AY960">
        <v>12059</v>
      </c>
      <c r="AZ960">
        <v>4202</v>
      </c>
      <c r="BA960">
        <v>7438</v>
      </c>
      <c r="BB960">
        <v>1432</v>
      </c>
      <c r="BC960">
        <v>13072</v>
      </c>
      <c r="BD960">
        <v>9486</v>
      </c>
      <c r="BE960">
        <v>9222</v>
      </c>
      <c r="BF960">
        <v>1768</v>
      </c>
      <c r="BG960">
        <v>20476</v>
      </c>
      <c r="BH960">
        <v>0</v>
      </c>
      <c r="BI960">
        <v>0</v>
      </c>
      <c r="BJ960">
        <v>0</v>
      </c>
      <c r="BK960">
        <v>0</v>
      </c>
      <c r="BL960" s="2">
        <v>24.82</v>
      </c>
      <c r="BM960" s="2">
        <v>42005.095138888886</v>
      </c>
      <c r="BN960" s="2">
        <v>5.4</v>
      </c>
      <c r="BO960" s="2">
        <v>42005.092361111114</v>
      </c>
      <c r="BP960" s="2">
        <v>6.92</v>
      </c>
      <c r="BQ960" s="2">
        <v>42005.092361111114</v>
      </c>
      <c r="BR960" s="2">
        <v>11.07</v>
      </c>
      <c r="BS960" s="2">
        <v>42005.092361111114</v>
      </c>
      <c r="BT960">
        <v>0</v>
      </c>
      <c r="BU960">
        <v>0</v>
      </c>
      <c r="BV960" t="s">
        <v>135</v>
      </c>
      <c r="BW960">
        <v>0</v>
      </c>
      <c r="BX960">
        <v>0</v>
      </c>
      <c r="BY960" t="s">
        <v>135</v>
      </c>
      <c r="BZ960">
        <v>0</v>
      </c>
      <c r="CA960">
        <v>0</v>
      </c>
      <c r="CB960" t="s">
        <v>135</v>
      </c>
      <c r="CH960" s="2"/>
      <c r="CJ960" s="2"/>
      <c r="CL960" s="2"/>
      <c r="CN960" s="2"/>
      <c r="CQ960" s="2"/>
      <c r="CT960" s="2"/>
      <c r="CW960" s="2"/>
    </row>
    <row r="961" spans="1:101" x14ac:dyDescent="0.25">
      <c r="A961" s="1" t="s">
        <v>163</v>
      </c>
      <c r="B961" s="75" t="s">
        <v>164</v>
      </c>
      <c r="C961">
        <v>0</v>
      </c>
      <c r="D961">
        <v>0</v>
      </c>
      <c r="E961">
        <v>0</v>
      </c>
      <c r="F961">
        <v>604324.56000000006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3.91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7490</v>
      </c>
      <c r="AW961">
        <v>3350</v>
      </c>
      <c r="AX961">
        <v>1219</v>
      </c>
      <c r="AY961">
        <v>12059</v>
      </c>
      <c r="AZ961">
        <v>4202</v>
      </c>
      <c r="BA961">
        <v>7438</v>
      </c>
      <c r="BB961">
        <v>1432</v>
      </c>
      <c r="BC961">
        <v>13072</v>
      </c>
      <c r="BD961">
        <v>9486</v>
      </c>
      <c r="BE961">
        <v>9222</v>
      </c>
      <c r="BF961">
        <v>1768</v>
      </c>
      <c r="BG961">
        <v>20476</v>
      </c>
      <c r="BH961">
        <v>0</v>
      </c>
      <c r="BI961">
        <v>0</v>
      </c>
      <c r="BJ961">
        <v>0</v>
      </c>
      <c r="BK961">
        <v>0</v>
      </c>
      <c r="BL961" s="2">
        <v>24.82</v>
      </c>
      <c r="BM961" s="2">
        <v>42005.095138888886</v>
      </c>
      <c r="BN961" s="2">
        <v>5.4</v>
      </c>
      <c r="BO961" s="2">
        <v>42005.092361111114</v>
      </c>
      <c r="BP961" s="2">
        <v>6.92</v>
      </c>
      <c r="BQ961" s="2">
        <v>42005.092361111114</v>
      </c>
      <c r="BR961" s="2">
        <v>11.07</v>
      </c>
      <c r="BS961" s="2">
        <v>42005.092361111114</v>
      </c>
      <c r="BT961">
        <v>0</v>
      </c>
      <c r="BU961">
        <v>0</v>
      </c>
      <c r="BV961" t="s">
        <v>135</v>
      </c>
      <c r="BW961">
        <v>0</v>
      </c>
      <c r="BX961">
        <v>0</v>
      </c>
      <c r="BY961" t="s">
        <v>135</v>
      </c>
      <c r="BZ961">
        <v>0</v>
      </c>
      <c r="CA961">
        <v>0</v>
      </c>
      <c r="CB961" t="s">
        <v>135</v>
      </c>
      <c r="CH961" s="2"/>
      <c r="CJ961" s="2"/>
      <c r="CL961" s="2"/>
      <c r="CN961" s="2"/>
      <c r="CQ961" s="2"/>
      <c r="CT961" s="2"/>
      <c r="CW961" s="2"/>
    </row>
    <row r="962" spans="1:101" x14ac:dyDescent="0.25">
      <c r="A962" s="1" t="s">
        <v>163</v>
      </c>
      <c r="B962" s="75" t="s">
        <v>164</v>
      </c>
      <c r="C962">
        <v>0</v>
      </c>
      <c r="D962">
        <v>0</v>
      </c>
      <c r="E962">
        <v>0</v>
      </c>
      <c r="F962">
        <v>604324.56000000006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3.91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7490</v>
      </c>
      <c r="AW962">
        <v>3350</v>
      </c>
      <c r="AX962">
        <v>1219</v>
      </c>
      <c r="AY962">
        <v>12059</v>
      </c>
      <c r="AZ962">
        <v>4202</v>
      </c>
      <c r="BA962">
        <v>7438</v>
      </c>
      <c r="BB962">
        <v>1432</v>
      </c>
      <c r="BC962">
        <v>13072</v>
      </c>
      <c r="BD962">
        <v>9486</v>
      </c>
      <c r="BE962">
        <v>9222</v>
      </c>
      <c r="BF962">
        <v>1768</v>
      </c>
      <c r="BG962">
        <v>20476</v>
      </c>
      <c r="BH962">
        <v>0</v>
      </c>
      <c r="BI962">
        <v>0</v>
      </c>
      <c r="BJ962">
        <v>0</v>
      </c>
      <c r="BK962">
        <v>0</v>
      </c>
      <c r="BL962" s="2">
        <v>24.82</v>
      </c>
      <c r="BM962" s="2">
        <v>42005.095138888886</v>
      </c>
      <c r="BN962" s="2">
        <v>5.4</v>
      </c>
      <c r="BO962" s="2">
        <v>42005.092361111114</v>
      </c>
      <c r="BP962" s="2">
        <v>6.92</v>
      </c>
      <c r="BQ962" s="2">
        <v>42005.092361111114</v>
      </c>
      <c r="BR962" s="2">
        <v>11.07</v>
      </c>
      <c r="BS962" s="2">
        <v>42005.092361111114</v>
      </c>
      <c r="BT962">
        <v>0</v>
      </c>
      <c r="BU962">
        <v>0</v>
      </c>
      <c r="BV962" t="s">
        <v>135</v>
      </c>
      <c r="BW962">
        <v>0</v>
      </c>
      <c r="BX962">
        <v>0</v>
      </c>
      <c r="BY962" t="s">
        <v>135</v>
      </c>
      <c r="BZ962">
        <v>0</v>
      </c>
      <c r="CA962">
        <v>0</v>
      </c>
      <c r="CB962" t="s">
        <v>135</v>
      </c>
      <c r="CH962" s="2"/>
      <c r="CJ962" s="2"/>
      <c r="CL962" s="2"/>
      <c r="CN962" s="2"/>
      <c r="CQ962" s="2"/>
      <c r="CT962" s="2"/>
      <c r="CW962" s="2"/>
    </row>
    <row r="963" spans="1:101" x14ac:dyDescent="0.25">
      <c r="A963" s="1" t="s">
        <v>163</v>
      </c>
      <c r="B963" s="75" t="s">
        <v>164</v>
      </c>
      <c r="C963">
        <v>0</v>
      </c>
      <c r="D963">
        <v>0</v>
      </c>
      <c r="E963">
        <v>0</v>
      </c>
      <c r="F963">
        <v>604324.56000000006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3.91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7490</v>
      </c>
      <c r="AW963">
        <v>3350</v>
      </c>
      <c r="AX963">
        <v>1219</v>
      </c>
      <c r="AY963">
        <v>12059</v>
      </c>
      <c r="AZ963">
        <v>4202</v>
      </c>
      <c r="BA963">
        <v>7438</v>
      </c>
      <c r="BB963">
        <v>1432</v>
      </c>
      <c r="BC963">
        <v>13072</v>
      </c>
      <c r="BD963">
        <v>9486</v>
      </c>
      <c r="BE963">
        <v>9222</v>
      </c>
      <c r="BF963">
        <v>1768</v>
      </c>
      <c r="BG963">
        <v>20476</v>
      </c>
      <c r="BH963">
        <v>0</v>
      </c>
      <c r="BI963">
        <v>0</v>
      </c>
      <c r="BJ963">
        <v>0</v>
      </c>
      <c r="BK963">
        <v>0</v>
      </c>
      <c r="BL963" s="2">
        <v>24.82</v>
      </c>
      <c r="BM963" s="2">
        <v>42005.095138888886</v>
      </c>
      <c r="BN963" s="2">
        <v>5.4</v>
      </c>
      <c r="BO963" s="2">
        <v>42005.092361111114</v>
      </c>
      <c r="BP963" s="2">
        <v>6.92</v>
      </c>
      <c r="BQ963" s="2">
        <v>42005.092361111114</v>
      </c>
      <c r="BR963" s="2">
        <v>11.07</v>
      </c>
      <c r="BS963" s="2">
        <v>42005.092361111114</v>
      </c>
      <c r="BT963">
        <v>0</v>
      </c>
      <c r="BU963">
        <v>0</v>
      </c>
      <c r="BV963" t="s">
        <v>135</v>
      </c>
      <c r="BW963">
        <v>0</v>
      </c>
      <c r="BX963">
        <v>0</v>
      </c>
      <c r="BY963" t="s">
        <v>135</v>
      </c>
      <c r="BZ963">
        <v>0</v>
      </c>
      <c r="CA963">
        <v>0</v>
      </c>
      <c r="CB963" t="s">
        <v>135</v>
      </c>
      <c r="CH963" s="2"/>
      <c r="CJ963" s="2"/>
      <c r="CL963" s="2"/>
      <c r="CN963" s="2"/>
      <c r="CQ963" s="2"/>
      <c r="CT963" s="2"/>
      <c r="CW963" s="2"/>
    </row>
    <row r="964" spans="1:101" x14ac:dyDescent="0.25">
      <c r="A964" s="1" t="s">
        <v>163</v>
      </c>
      <c r="B964" s="75" t="s">
        <v>164</v>
      </c>
      <c r="C964">
        <v>0</v>
      </c>
      <c r="D964">
        <v>0</v>
      </c>
      <c r="E964">
        <v>0</v>
      </c>
      <c r="F964">
        <v>604324.56000000006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3.91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7490</v>
      </c>
      <c r="AW964">
        <v>3350</v>
      </c>
      <c r="AX964">
        <v>1219</v>
      </c>
      <c r="AY964">
        <v>12059</v>
      </c>
      <c r="AZ964">
        <v>4202</v>
      </c>
      <c r="BA964">
        <v>7438</v>
      </c>
      <c r="BB964">
        <v>1432</v>
      </c>
      <c r="BC964">
        <v>13072</v>
      </c>
      <c r="BD964">
        <v>9486</v>
      </c>
      <c r="BE964">
        <v>9222</v>
      </c>
      <c r="BF964">
        <v>1768</v>
      </c>
      <c r="BG964">
        <v>20476</v>
      </c>
      <c r="BH964">
        <v>0</v>
      </c>
      <c r="BI964">
        <v>0</v>
      </c>
      <c r="BJ964">
        <v>0</v>
      </c>
      <c r="BK964">
        <v>0</v>
      </c>
      <c r="BL964" s="2">
        <v>24.82</v>
      </c>
      <c r="BM964" s="2">
        <v>42005.095138888886</v>
      </c>
      <c r="BN964" s="2">
        <v>5.4</v>
      </c>
      <c r="BO964" s="2">
        <v>42005.092361111114</v>
      </c>
      <c r="BP964" s="2">
        <v>6.92</v>
      </c>
      <c r="BQ964" s="2">
        <v>42005.092361111114</v>
      </c>
      <c r="BR964" s="2">
        <v>11.07</v>
      </c>
      <c r="BS964" s="2">
        <v>42005.092361111114</v>
      </c>
      <c r="BT964">
        <v>0</v>
      </c>
      <c r="BU964">
        <v>0</v>
      </c>
      <c r="BV964" t="s">
        <v>135</v>
      </c>
      <c r="BW964">
        <v>0</v>
      </c>
      <c r="BX964">
        <v>0</v>
      </c>
      <c r="BY964" t="s">
        <v>135</v>
      </c>
      <c r="BZ964">
        <v>0</v>
      </c>
      <c r="CA964">
        <v>0</v>
      </c>
      <c r="CB964" t="s">
        <v>135</v>
      </c>
      <c r="CH964" s="2"/>
      <c r="CJ964" s="2"/>
      <c r="CL964" s="2"/>
      <c r="CN964" s="2"/>
      <c r="CQ964" s="2"/>
      <c r="CT964" s="2"/>
      <c r="CW964" s="2"/>
    </row>
    <row r="965" spans="1:101" x14ac:dyDescent="0.25">
      <c r="A965" s="1" t="s">
        <v>163</v>
      </c>
      <c r="B965" s="75" t="s">
        <v>164</v>
      </c>
      <c r="C965">
        <v>0</v>
      </c>
      <c r="D965">
        <v>0</v>
      </c>
      <c r="E965">
        <v>0</v>
      </c>
      <c r="F965">
        <v>604324.56000000006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3.91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7490</v>
      </c>
      <c r="AW965">
        <v>3350</v>
      </c>
      <c r="AX965">
        <v>1219</v>
      </c>
      <c r="AY965">
        <v>12059</v>
      </c>
      <c r="AZ965">
        <v>4202</v>
      </c>
      <c r="BA965">
        <v>7438</v>
      </c>
      <c r="BB965">
        <v>1432</v>
      </c>
      <c r="BC965">
        <v>13072</v>
      </c>
      <c r="BD965">
        <v>9486</v>
      </c>
      <c r="BE965">
        <v>9222</v>
      </c>
      <c r="BF965">
        <v>1768</v>
      </c>
      <c r="BG965">
        <v>20476</v>
      </c>
      <c r="BH965">
        <v>0</v>
      </c>
      <c r="BI965">
        <v>0</v>
      </c>
      <c r="BJ965">
        <v>0</v>
      </c>
      <c r="BK965">
        <v>0</v>
      </c>
      <c r="BL965" s="2">
        <v>24.82</v>
      </c>
      <c r="BM965" s="2">
        <v>42005.095138888886</v>
      </c>
      <c r="BN965" s="2">
        <v>5.4</v>
      </c>
      <c r="BO965" s="2">
        <v>42005.092361111114</v>
      </c>
      <c r="BP965" s="2">
        <v>6.92</v>
      </c>
      <c r="BQ965" s="2">
        <v>42005.092361111114</v>
      </c>
      <c r="BR965" s="2">
        <v>11.07</v>
      </c>
      <c r="BS965" s="2">
        <v>42005.092361111114</v>
      </c>
      <c r="BT965">
        <v>0</v>
      </c>
      <c r="BU965">
        <v>0</v>
      </c>
      <c r="BV965" t="s">
        <v>135</v>
      </c>
      <c r="BW965">
        <v>0</v>
      </c>
      <c r="BX965">
        <v>0</v>
      </c>
      <c r="BY965" t="s">
        <v>135</v>
      </c>
      <c r="BZ965">
        <v>0</v>
      </c>
      <c r="CA965">
        <v>0</v>
      </c>
      <c r="CB965" t="s">
        <v>135</v>
      </c>
      <c r="CH965" s="2"/>
      <c r="CJ965" s="2"/>
      <c r="CL965" s="2"/>
      <c r="CN965" s="2"/>
      <c r="CQ965" s="2"/>
      <c r="CT965" s="2"/>
      <c r="CW965" s="2"/>
    </row>
    <row r="966" spans="1:101" x14ac:dyDescent="0.25">
      <c r="A966" s="1" t="s">
        <v>163</v>
      </c>
      <c r="B966" s="75" t="s">
        <v>164</v>
      </c>
      <c r="C966">
        <v>0</v>
      </c>
      <c r="D966">
        <v>0</v>
      </c>
      <c r="E966">
        <v>0</v>
      </c>
      <c r="F966">
        <v>604324.56000000006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3.91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7490</v>
      </c>
      <c r="AW966">
        <v>3350</v>
      </c>
      <c r="AX966">
        <v>1219</v>
      </c>
      <c r="AY966">
        <v>12059</v>
      </c>
      <c r="AZ966">
        <v>4202</v>
      </c>
      <c r="BA966">
        <v>7438</v>
      </c>
      <c r="BB966">
        <v>1432</v>
      </c>
      <c r="BC966">
        <v>13072</v>
      </c>
      <c r="BD966">
        <v>9486</v>
      </c>
      <c r="BE966">
        <v>9222</v>
      </c>
      <c r="BF966">
        <v>1768</v>
      </c>
      <c r="BG966">
        <v>20476</v>
      </c>
      <c r="BH966">
        <v>0</v>
      </c>
      <c r="BI966">
        <v>0</v>
      </c>
      <c r="BJ966">
        <v>0</v>
      </c>
      <c r="BK966">
        <v>0</v>
      </c>
      <c r="BL966" s="2">
        <v>24.82</v>
      </c>
      <c r="BM966" s="2">
        <v>42005.095138888886</v>
      </c>
      <c r="BN966" s="2">
        <v>5.4</v>
      </c>
      <c r="BO966" s="2">
        <v>42005.092361111114</v>
      </c>
      <c r="BP966" s="2">
        <v>6.92</v>
      </c>
      <c r="BQ966" s="2">
        <v>42005.092361111114</v>
      </c>
      <c r="BR966" s="2">
        <v>11.07</v>
      </c>
      <c r="BS966" s="2">
        <v>42005.092361111114</v>
      </c>
      <c r="BT966">
        <v>0</v>
      </c>
      <c r="BU966">
        <v>0</v>
      </c>
      <c r="BV966" t="s">
        <v>135</v>
      </c>
      <c r="BW966">
        <v>0</v>
      </c>
      <c r="BX966">
        <v>0</v>
      </c>
      <c r="BY966" t="s">
        <v>135</v>
      </c>
      <c r="BZ966">
        <v>0</v>
      </c>
      <c r="CA966">
        <v>0</v>
      </c>
      <c r="CB966" t="s">
        <v>135</v>
      </c>
      <c r="CH966" s="2"/>
      <c r="CJ966" s="2"/>
      <c r="CL966" s="2"/>
      <c r="CN966" s="2"/>
      <c r="CQ966" s="2"/>
      <c r="CT966" s="2"/>
      <c r="CW966" s="2"/>
    </row>
    <row r="967" spans="1:101" x14ac:dyDescent="0.25">
      <c r="A967" s="1" t="s">
        <v>163</v>
      </c>
      <c r="B967" s="75" t="s">
        <v>164</v>
      </c>
      <c r="C967">
        <v>0</v>
      </c>
      <c r="D967">
        <v>0</v>
      </c>
      <c r="E967">
        <v>0</v>
      </c>
      <c r="F967">
        <v>604324.56000000006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3.91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7490</v>
      </c>
      <c r="AW967">
        <v>3350</v>
      </c>
      <c r="AX967">
        <v>1219</v>
      </c>
      <c r="AY967">
        <v>12059</v>
      </c>
      <c r="AZ967">
        <v>4202</v>
      </c>
      <c r="BA967">
        <v>7438</v>
      </c>
      <c r="BB967">
        <v>1432</v>
      </c>
      <c r="BC967">
        <v>13072</v>
      </c>
      <c r="BD967">
        <v>9486</v>
      </c>
      <c r="BE967">
        <v>9222</v>
      </c>
      <c r="BF967">
        <v>1768</v>
      </c>
      <c r="BG967">
        <v>20476</v>
      </c>
      <c r="BH967">
        <v>0</v>
      </c>
      <c r="BI967">
        <v>0</v>
      </c>
      <c r="BJ967">
        <v>0</v>
      </c>
      <c r="BK967">
        <v>0</v>
      </c>
      <c r="BL967" s="2">
        <v>24.82</v>
      </c>
      <c r="BM967" s="2">
        <v>42005.095138888886</v>
      </c>
      <c r="BN967" s="2">
        <v>5.4</v>
      </c>
      <c r="BO967" s="2">
        <v>42005.092361111114</v>
      </c>
      <c r="BP967" s="2">
        <v>6.92</v>
      </c>
      <c r="BQ967" s="2">
        <v>42005.092361111114</v>
      </c>
      <c r="BR967" s="2">
        <v>11.07</v>
      </c>
      <c r="BS967" s="2">
        <v>42005.092361111114</v>
      </c>
      <c r="BT967">
        <v>0</v>
      </c>
      <c r="BU967">
        <v>0</v>
      </c>
      <c r="BV967" t="s">
        <v>135</v>
      </c>
      <c r="BW967">
        <v>0</v>
      </c>
      <c r="BX967">
        <v>0</v>
      </c>
      <c r="BY967" t="s">
        <v>135</v>
      </c>
      <c r="BZ967">
        <v>0</v>
      </c>
      <c r="CA967">
        <v>0</v>
      </c>
      <c r="CB967" t="s">
        <v>135</v>
      </c>
      <c r="CH967" s="2"/>
      <c r="CJ967" s="2"/>
      <c r="CL967" s="2"/>
      <c r="CN967" s="2"/>
      <c r="CQ967" s="2"/>
      <c r="CT967" s="2"/>
      <c r="CW967" s="2"/>
    </row>
    <row r="968" spans="1:101" x14ac:dyDescent="0.25">
      <c r="A968" s="1" t="s">
        <v>163</v>
      </c>
      <c r="B968" s="75" t="s">
        <v>164</v>
      </c>
      <c r="C968">
        <v>0</v>
      </c>
      <c r="D968">
        <v>0</v>
      </c>
      <c r="E968">
        <v>0</v>
      </c>
      <c r="F968">
        <v>604324.56000000006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3.91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7490</v>
      </c>
      <c r="AW968">
        <v>3350</v>
      </c>
      <c r="AX968">
        <v>1219</v>
      </c>
      <c r="AY968">
        <v>12059</v>
      </c>
      <c r="AZ968">
        <v>4202</v>
      </c>
      <c r="BA968">
        <v>7438</v>
      </c>
      <c r="BB968">
        <v>1432</v>
      </c>
      <c r="BC968">
        <v>13072</v>
      </c>
      <c r="BD968">
        <v>9486</v>
      </c>
      <c r="BE968">
        <v>9222</v>
      </c>
      <c r="BF968">
        <v>1768</v>
      </c>
      <c r="BG968">
        <v>20476</v>
      </c>
      <c r="BH968">
        <v>0</v>
      </c>
      <c r="BI968">
        <v>0</v>
      </c>
      <c r="BJ968">
        <v>0</v>
      </c>
      <c r="BK968">
        <v>0</v>
      </c>
      <c r="BL968" s="2">
        <v>24.82</v>
      </c>
      <c r="BM968" s="2">
        <v>42005.095138888886</v>
      </c>
      <c r="BN968" s="2">
        <v>5.4</v>
      </c>
      <c r="BO968" s="2">
        <v>42005.092361111114</v>
      </c>
      <c r="BP968" s="2">
        <v>6.92</v>
      </c>
      <c r="BQ968" s="2">
        <v>42005.092361111114</v>
      </c>
      <c r="BR968" s="2">
        <v>11.07</v>
      </c>
      <c r="BS968" s="2">
        <v>42005.092361111114</v>
      </c>
      <c r="BT968">
        <v>0</v>
      </c>
      <c r="BU968">
        <v>0</v>
      </c>
      <c r="BV968" t="s">
        <v>135</v>
      </c>
      <c r="BW968">
        <v>0</v>
      </c>
      <c r="BX968">
        <v>0</v>
      </c>
      <c r="BY968" t="s">
        <v>135</v>
      </c>
      <c r="BZ968">
        <v>0</v>
      </c>
      <c r="CA968">
        <v>0</v>
      </c>
      <c r="CB968" t="s">
        <v>135</v>
      </c>
      <c r="CH968" s="2"/>
      <c r="CJ968" s="2"/>
      <c r="CL968" s="2"/>
      <c r="CN968" s="2"/>
      <c r="CQ968" s="2"/>
      <c r="CT968" s="2"/>
      <c r="CW968" s="2"/>
    </row>
    <row r="969" spans="1:101" x14ac:dyDescent="0.25">
      <c r="A969" s="1" t="s">
        <v>163</v>
      </c>
      <c r="B969" s="75" t="s">
        <v>164</v>
      </c>
      <c r="C969">
        <v>0</v>
      </c>
      <c r="D969">
        <v>0</v>
      </c>
      <c r="E969">
        <v>0</v>
      </c>
      <c r="F969">
        <v>604324.56000000006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3.91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7490</v>
      </c>
      <c r="AW969">
        <v>3350</v>
      </c>
      <c r="AX969">
        <v>1219</v>
      </c>
      <c r="AY969">
        <v>12059</v>
      </c>
      <c r="AZ969">
        <v>4202</v>
      </c>
      <c r="BA969">
        <v>7438</v>
      </c>
      <c r="BB969">
        <v>1432</v>
      </c>
      <c r="BC969">
        <v>13072</v>
      </c>
      <c r="BD969">
        <v>9486</v>
      </c>
      <c r="BE969">
        <v>9222</v>
      </c>
      <c r="BF969">
        <v>1768</v>
      </c>
      <c r="BG969">
        <v>20476</v>
      </c>
      <c r="BH969">
        <v>0</v>
      </c>
      <c r="BI969">
        <v>0</v>
      </c>
      <c r="BJ969">
        <v>0</v>
      </c>
      <c r="BK969">
        <v>0</v>
      </c>
      <c r="BL969" s="2">
        <v>24.82</v>
      </c>
      <c r="BM969" s="2">
        <v>42005.095138888886</v>
      </c>
      <c r="BN969" s="2">
        <v>5.4</v>
      </c>
      <c r="BO969" s="2">
        <v>42005.092361111114</v>
      </c>
      <c r="BP969" s="2">
        <v>6.92</v>
      </c>
      <c r="BQ969" s="2">
        <v>42005.092361111114</v>
      </c>
      <c r="BR969" s="2">
        <v>11.07</v>
      </c>
      <c r="BS969" s="2">
        <v>42005.092361111114</v>
      </c>
      <c r="BT969">
        <v>0</v>
      </c>
      <c r="BU969">
        <v>0</v>
      </c>
      <c r="BV969" t="s">
        <v>135</v>
      </c>
      <c r="BW969">
        <v>0</v>
      </c>
      <c r="BX969">
        <v>0</v>
      </c>
      <c r="BY969" t="s">
        <v>135</v>
      </c>
      <c r="BZ969">
        <v>0</v>
      </c>
      <c r="CA969">
        <v>0</v>
      </c>
      <c r="CB969" t="s">
        <v>135</v>
      </c>
      <c r="CH969" s="2"/>
      <c r="CJ969" s="2"/>
      <c r="CL969" s="2"/>
      <c r="CN969" s="2"/>
      <c r="CQ969" s="2"/>
      <c r="CT969" s="2"/>
      <c r="CW969" s="2"/>
    </row>
    <row r="970" spans="1:101" x14ac:dyDescent="0.25">
      <c r="A970" s="1" t="s">
        <v>163</v>
      </c>
      <c r="B970" s="75" t="s">
        <v>164</v>
      </c>
      <c r="C970">
        <v>0</v>
      </c>
      <c r="D970">
        <v>0</v>
      </c>
      <c r="E970">
        <v>0</v>
      </c>
      <c r="F970">
        <v>604324.56000000006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3.91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7490</v>
      </c>
      <c r="AW970">
        <v>3350</v>
      </c>
      <c r="AX970">
        <v>1219</v>
      </c>
      <c r="AY970">
        <v>12059</v>
      </c>
      <c r="AZ970">
        <v>4202</v>
      </c>
      <c r="BA970">
        <v>7438</v>
      </c>
      <c r="BB970">
        <v>1432</v>
      </c>
      <c r="BC970">
        <v>13072</v>
      </c>
      <c r="BD970">
        <v>9486</v>
      </c>
      <c r="BE970">
        <v>9222</v>
      </c>
      <c r="BF970">
        <v>1768</v>
      </c>
      <c r="BG970">
        <v>20476</v>
      </c>
      <c r="BH970">
        <v>0</v>
      </c>
      <c r="BI970">
        <v>0</v>
      </c>
      <c r="BJ970">
        <v>0</v>
      </c>
      <c r="BK970">
        <v>0</v>
      </c>
      <c r="BL970" s="2">
        <v>24.82</v>
      </c>
      <c r="BM970" s="2">
        <v>42005.095138888886</v>
      </c>
      <c r="BN970" s="2">
        <v>5.4</v>
      </c>
      <c r="BO970" s="2">
        <v>42005.092361111114</v>
      </c>
      <c r="BP970" s="2">
        <v>6.92</v>
      </c>
      <c r="BQ970" s="2">
        <v>42005.092361111114</v>
      </c>
      <c r="BR970" s="2">
        <v>11.07</v>
      </c>
      <c r="BS970" s="2">
        <v>42005.092361111114</v>
      </c>
      <c r="BT970">
        <v>0</v>
      </c>
      <c r="BU970">
        <v>0</v>
      </c>
      <c r="BV970" t="s">
        <v>135</v>
      </c>
      <c r="BW970">
        <v>0</v>
      </c>
      <c r="BX970">
        <v>0</v>
      </c>
      <c r="BY970" t="s">
        <v>135</v>
      </c>
      <c r="BZ970">
        <v>0</v>
      </c>
      <c r="CA970">
        <v>0</v>
      </c>
      <c r="CB970" t="s">
        <v>135</v>
      </c>
      <c r="CH970" s="2"/>
      <c r="CJ970" s="2"/>
      <c r="CL970" s="2"/>
      <c r="CN970" s="2"/>
      <c r="CQ970" s="2"/>
      <c r="CT970" s="2"/>
      <c r="CW970" s="2"/>
    </row>
    <row r="971" spans="1:101" x14ac:dyDescent="0.25">
      <c r="A971" s="1" t="s">
        <v>163</v>
      </c>
      <c r="B971" s="75" t="s">
        <v>164</v>
      </c>
      <c r="C971">
        <v>0</v>
      </c>
      <c r="D971">
        <v>0</v>
      </c>
      <c r="E971">
        <v>0</v>
      </c>
      <c r="F971">
        <v>604324.56000000006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3.91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7490</v>
      </c>
      <c r="AW971">
        <v>3350</v>
      </c>
      <c r="AX971">
        <v>1219</v>
      </c>
      <c r="AY971">
        <v>12059</v>
      </c>
      <c r="AZ971">
        <v>4202</v>
      </c>
      <c r="BA971">
        <v>7438</v>
      </c>
      <c r="BB971">
        <v>1432</v>
      </c>
      <c r="BC971">
        <v>13072</v>
      </c>
      <c r="BD971">
        <v>9486</v>
      </c>
      <c r="BE971">
        <v>9222</v>
      </c>
      <c r="BF971">
        <v>1768</v>
      </c>
      <c r="BG971">
        <v>20476</v>
      </c>
      <c r="BH971">
        <v>0</v>
      </c>
      <c r="BI971">
        <v>0</v>
      </c>
      <c r="BJ971">
        <v>0</v>
      </c>
      <c r="BK971">
        <v>0</v>
      </c>
      <c r="BL971" s="2">
        <v>24.82</v>
      </c>
      <c r="BM971" s="2">
        <v>42005.095138888886</v>
      </c>
      <c r="BN971" s="2">
        <v>5.4</v>
      </c>
      <c r="BO971" s="2">
        <v>42005.092361111114</v>
      </c>
      <c r="BP971" s="2">
        <v>6.92</v>
      </c>
      <c r="BQ971" s="2">
        <v>42005.092361111114</v>
      </c>
      <c r="BR971" s="2">
        <v>11.07</v>
      </c>
      <c r="BS971" s="2">
        <v>42005.092361111114</v>
      </c>
      <c r="BT971">
        <v>0</v>
      </c>
      <c r="BU971">
        <v>0</v>
      </c>
      <c r="BV971" t="s">
        <v>135</v>
      </c>
      <c r="BW971">
        <v>0</v>
      </c>
      <c r="BX971">
        <v>0</v>
      </c>
      <c r="BY971" t="s">
        <v>135</v>
      </c>
      <c r="BZ971">
        <v>0</v>
      </c>
      <c r="CA971">
        <v>0</v>
      </c>
      <c r="CB971" t="s">
        <v>135</v>
      </c>
      <c r="CH971" s="2"/>
      <c r="CJ971" s="2"/>
      <c r="CL971" s="2"/>
      <c r="CN971" s="2"/>
      <c r="CQ971" s="2"/>
      <c r="CT971" s="2"/>
      <c r="CW971" s="2"/>
    </row>
    <row r="972" spans="1:101" x14ac:dyDescent="0.25">
      <c r="A972" s="1" t="s">
        <v>163</v>
      </c>
      <c r="B972" s="75" t="s">
        <v>164</v>
      </c>
      <c r="C972">
        <v>0</v>
      </c>
      <c r="D972">
        <v>0</v>
      </c>
      <c r="E972">
        <v>0</v>
      </c>
      <c r="F972">
        <v>604324.56000000006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3.91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7490</v>
      </c>
      <c r="AW972">
        <v>3350</v>
      </c>
      <c r="AX972">
        <v>1219</v>
      </c>
      <c r="AY972">
        <v>12059</v>
      </c>
      <c r="AZ972">
        <v>4202</v>
      </c>
      <c r="BA972">
        <v>7438</v>
      </c>
      <c r="BB972">
        <v>1432</v>
      </c>
      <c r="BC972">
        <v>13072</v>
      </c>
      <c r="BD972">
        <v>9486</v>
      </c>
      <c r="BE972">
        <v>9222</v>
      </c>
      <c r="BF972">
        <v>1768</v>
      </c>
      <c r="BG972">
        <v>20476</v>
      </c>
      <c r="BH972">
        <v>0</v>
      </c>
      <c r="BI972">
        <v>0</v>
      </c>
      <c r="BJ972">
        <v>0</v>
      </c>
      <c r="BK972">
        <v>0</v>
      </c>
      <c r="BL972" s="2">
        <v>24.82</v>
      </c>
      <c r="BM972" s="2">
        <v>42005.095138888886</v>
      </c>
      <c r="BN972" s="2">
        <v>5.4</v>
      </c>
      <c r="BO972" s="2">
        <v>42005.092361111114</v>
      </c>
      <c r="BP972" s="2">
        <v>6.92</v>
      </c>
      <c r="BQ972" s="2">
        <v>42005.092361111114</v>
      </c>
      <c r="BR972" s="2">
        <v>11.07</v>
      </c>
      <c r="BS972" s="2">
        <v>42005.092361111114</v>
      </c>
      <c r="BT972">
        <v>0</v>
      </c>
      <c r="BU972">
        <v>0</v>
      </c>
      <c r="BV972" t="s">
        <v>135</v>
      </c>
      <c r="BW972">
        <v>0</v>
      </c>
      <c r="BX972">
        <v>0</v>
      </c>
      <c r="BY972" t="s">
        <v>135</v>
      </c>
      <c r="BZ972">
        <v>0</v>
      </c>
      <c r="CA972">
        <v>0</v>
      </c>
      <c r="CB972" t="s">
        <v>135</v>
      </c>
      <c r="CH972" s="2"/>
      <c r="CJ972" s="2"/>
      <c r="CL972" s="2"/>
      <c r="CN972" s="2"/>
      <c r="CQ972" s="2"/>
      <c r="CT972" s="2"/>
      <c r="CW972" s="2"/>
    </row>
    <row r="973" spans="1:101" x14ac:dyDescent="0.25">
      <c r="A973" s="1" t="s">
        <v>163</v>
      </c>
      <c r="B973" s="75" t="s">
        <v>164</v>
      </c>
      <c r="C973">
        <v>0</v>
      </c>
      <c r="D973">
        <v>0</v>
      </c>
      <c r="E973">
        <v>0</v>
      </c>
      <c r="F973">
        <v>604324.56000000006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3.91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7490</v>
      </c>
      <c r="AW973">
        <v>3350</v>
      </c>
      <c r="AX973">
        <v>1219</v>
      </c>
      <c r="AY973">
        <v>12059</v>
      </c>
      <c r="AZ973">
        <v>4202</v>
      </c>
      <c r="BA973">
        <v>7438</v>
      </c>
      <c r="BB973">
        <v>1432</v>
      </c>
      <c r="BC973">
        <v>13072</v>
      </c>
      <c r="BD973">
        <v>9486</v>
      </c>
      <c r="BE973">
        <v>9222</v>
      </c>
      <c r="BF973">
        <v>1768</v>
      </c>
      <c r="BG973">
        <v>20476</v>
      </c>
      <c r="BH973">
        <v>0</v>
      </c>
      <c r="BI973">
        <v>0</v>
      </c>
      <c r="BJ973">
        <v>0</v>
      </c>
      <c r="BK973">
        <v>0</v>
      </c>
      <c r="BL973" s="2">
        <v>24.82</v>
      </c>
      <c r="BM973" s="2">
        <v>42005.095138888886</v>
      </c>
      <c r="BN973" s="2">
        <v>5.4</v>
      </c>
      <c r="BO973" s="2">
        <v>42005.092361111114</v>
      </c>
      <c r="BP973" s="2">
        <v>6.92</v>
      </c>
      <c r="BQ973" s="2">
        <v>42005.092361111114</v>
      </c>
      <c r="BR973" s="2">
        <v>11.07</v>
      </c>
      <c r="BS973" s="2">
        <v>42005.092361111114</v>
      </c>
      <c r="BT973">
        <v>0</v>
      </c>
      <c r="BU973">
        <v>0</v>
      </c>
      <c r="BV973" t="s">
        <v>135</v>
      </c>
      <c r="BW973">
        <v>0</v>
      </c>
      <c r="BX973">
        <v>0</v>
      </c>
      <c r="BY973" t="s">
        <v>135</v>
      </c>
      <c r="BZ973">
        <v>0</v>
      </c>
      <c r="CA973">
        <v>0</v>
      </c>
      <c r="CB973" t="s">
        <v>135</v>
      </c>
      <c r="CH973" s="2"/>
      <c r="CJ973" s="2"/>
      <c r="CL973" s="2"/>
      <c r="CN973" s="2"/>
      <c r="CQ973" s="2"/>
      <c r="CT973" s="2"/>
      <c r="CW973" s="2"/>
    </row>
    <row r="974" spans="1:101" x14ac:dyDescent="0.25">
      <c r="A974" s="1" t="s">
        <v>163</v>
      </c>
      <c r="B974" s="75" t="s">
        <v>164</v>
      </c>
      <c r="C974">
        <v>0</v>
      </c>
      <c r="D974">
        <v>0</v>
      </c>
      <c r="E974">
        <v>0</v>
      </c>
      <c r="F974">
        <v>604324.56000000006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3.91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7490</v>
      </c>
      <c r="AW974">
        <v>3350</v>
      </c>
      <c r="AX974">
        <v>1219</v>
      </c>
      <c r="AY974">
        <v>12059</v>
      </c>
      <c r="AZ974">
        <v>4202</v>
      </c>
      <c r="BA974">
        <v>7438</v>
      </c>
      <c r="BB974">
        <v>1432</v>
      </c>
      <c r="BC974">
        <v>13072</v>
      </c>
      <c r="BD974">
        <v>9486</v>
      </c>
      <c r="BE974">
        <v>9222</v>
      </c>
      <c r="BF974">
        <v>1768</v>
      </c>
      <c r="BG974">
        <v>20476</v>
      </c>
      <c r="BH974">
        <v>0</v>
      </c>
      <c r="BI974">
        <v>0</v>
      </c>
      <c r="BJ974">
        <v>0</v>
      </c>
      <c r="BK974">
        <v>0</v>
      </c>
      <c r="BL974" s="2">
        <v>24.82</v>
      </c>
      <c r="BM974" s="2">
        <v>42005.095138888886</v>
      </c>
      <c r="BN974" s="2">
        <v>5.4</v>
      </c>
      <c r="BO974" s="2">
        <v>42005.092361111114</v>
      </c>
      <c r="BP974" s="2">
        <v>6.92</v>
      </c>
      <c r="BQ974" s="2">
        <v>42005.092361111114</v>
      </c>
      <c r="BR974" s="2">
        <v>11.07</v>
      </c>
      <c r="BS974" s="2">
        <v>42005.092361111114</v>
      </c>
      <c r="BT974">
        <v>0</v>
      </c>
      <c r="BU974">
        <v>0</v>
      </c>
      <c r="BV974" t="s">
        <v>135</v>
      </c>
      <c r="BW974">
        <v>0</v>
      </c>
      <c r="BX974">
        <v>0</v>
      </c>
      <c r="BY974" t="s">
        <v>135</v>
      </c>
      <c r="BZ974">
        <v>0</v>
      </c>
      <c r="CA974">
        <v>0</v>
      </c>
      <c r="CB974" t="s">
        <v>135</v>
      </c>
      <c r="CH974" s="2"/>
      <c r="CJ974" s="2"/>
      <c r="CL974" s="2"/>
      <c r="CN974" s="2"/>
      <c r="CQ974" s="2"/>
      <c r="CT974" s="2"/>
      <c r="CW974" s="2"/>
    </row>
    <row r="975" spans="1:101" x14ac:dyDescent="0.25">
      <c r="A975" s="1" t="s">
        <v>163</v>
      </c>
      <c r="B975" s="75" t="s">
        <v>164</v>
      </c>
      <c r="C975">
        <v>0</v>
      </c>
      <c r="D975">
        <v>0</v>
      </c>
      <c r="E975">
        <v>0</v>
      </c>
      <c r="F975">
        <v>604324.56000000006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3.91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7490</v>
      </c>
      <c r="AW975">
        <v>3350</v>
      </c>
      <c r="AX975">
        <v>1219</v>
      </c>
      <c r="AY975">
        <v>12059</v>
      </c>
      <c r="AZ975">
        <v>4202</v>
      </c>
      <c r="BA975">
        <v>7438</v>
      </c>
      <c r="BB975">
        <v>1432</v>
      </c>
      <c r="BC975">
        <v>13072</v>
      </c>
      <c r="BD975">
        <v>9486</v>
      </c>
      <c r="BE975">
        <v>9222</v>
      </c>
      <c r="BF975">
        <v>1768</v>
      </c>
      <c r="BG975">
        <v>20476</v>
      </c>
      <c r="BH975">
        <v>0</v>
      </c>
      <c r="BI975">
        <v>0</v>
      </c>
      <c r="BJ975">
        <v>0</v>
      </c>
      <c r="BK975">
        <v>0</v>
      </c>
      <c r="BL975" s="2">
        <v>24.82</v>
      </c>
      <c r="BM975" s="2">
        <v>42005.095138888886</v>
      </c>
      <c r="BN975" s="2">
        <v>5.4</v>
      </c>
      <c r="BO975" s="2">
        <v>42005.092361111114</v>
      </c>
      <c r="BP975" s="2">
        <v>6.92</v>
      </c>
      <c r="BQ975" s="2">
        <v>42005.092361111114</v>
      </c>
      <c r="BR975" s="2">
        <v>11.07</v>
      </c>
      <c r="BS975" s="2">
        <v>42005.092361111114</v>
      </c>
      <c r="BT975">
        <v>0</v>
      </c>
      <c r="BU975">
        <v>0</v>
      </c>
      <c r="BV975" t="s">
        <v>135</v>
      </c>
      <c r="BW975">
        <v>0</v>
      </c>
      <c r="BX975">
        <v>0</v>
      </c>
      <c r="BY975" t="s">
        <v>135</v>
      </c>
      <c r="BZ975">
        <v>0</v>
      </c>
      <c r="CA975">
        <v>0</v>
      </c>
      <c r="CB975" t="s">
        <v>135</v>
      </c>
      <c r="CH975" s="2"/>
      <c r="CJ975" s="2"/>
      <c r="CL975" s="2"/>
      <c r="CN975" s="2"/>
      <c r="CQ975" s="2"/>
      <c r="CT975" s="2"/>
      <c r="CW975" s="2"/>
    </row>
    <row r="976" spans="1:101" x14ac:dyDescent="0.25">
      <c r="A976" s="1" t="s">
        <v>163</v>
      </c>
      <c r="B976" s="75" t="s">
        <v>164</v>
      </c>
      <c r="C976">
        <v>0</v>
      </c>
      <c r="D976">
        <v>0</v>
      </c>
      <c r="E976">
        <v>0</v>
      </c>
      <c r="F976">
        <v>604324.56000000006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3.91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7490</v>
      </c>
      <c r="AW976">
        <v>3350</v>
      </c>
      <c r="AX976">
        <v>1219</v>
      </c>
      <c r="AY976">
        <v>12059</v>
      </c>
      <c r="AZ976">
        <v>4202</v>
      </c>
      <c r="BA976">
        <v>7438</v>
      </c>
      <c r="BB976">
        <v>1432</v>
      </c>
      <c r="BC976">
        <v>13072</v>
      </c>
      <c r="BD976">
        <v>9486</v>
      </c>
      <c r="BE976">
        <v>9222</v>
      </c>
      <c r="BF976">
        <v>1768</v>
      </c>
      <c r="BG976">
        <v>20476</v>
      </c>
      <c r="BH976">
        <v>0</v>
      </c>
      <c r="BI976">
        <v>0</v>
      </c>
      <c r="BJ976">
        <v>0</v>
      </c>
      <c r="BK976">
        <v>0</v>
      </c>
      <c r="BL976" s="2">
        <v>24.82</v>
      </c>
      <c r="BM976" s="2">
        <v>42005.095138888886</v>
      </c>
      <c r="BN976" s="2">
        <v>5.4</v>
      </c>
      <c r="BO976" s="2">
        <v>42005.092361111114</v>
      </c>
      <c r="BP976" s="2">
        <v>6.92</v>
      </c>
      <c r="BQ976" s="2">
        <v>42005.092361111114</v>
      </c>
      <c r="BR976" s="2">
        <v>11.07</v>
      </c>
      <c r="BS976" s="2">
        <v>42005.092361111114</v>
      </c>
      <c r="BT976">
        <v>0</v>
      </c>
      <c r="BU976">
        <v>0</v>
      </c>
      <c r="BV976" t="s">
        <v>135</v>
      </c>
      <c r="BW976">
        <v>0</v>
      </c>
      <c r="BX976">
        <v>0</v>
      </c>
      <c r="BY976" t="s">
        <v>135</v>
      </c>
      <c r="BZ976">
        <v>0</v>
      </c>
      <c r="CA976">
        <v>0</v>
      </c>
      <c r="CB976" t="s">
        <v>135</v>
      </c>
      <c r="CH976" s="2"/>
      <c r="CJ976" s="2"/>
      <c r="CL976" s="2"/>
      <c r="CN976" s="2"/>
      <c r="CQ976" s="2"/>
      <c r="CT976" s="2"/>
      <c r="CW976" s="2"/>
    </row>
    <row r="977" spans="1:101" x14ac:dyDescent="0.25">
      <c r="A977" s="1" t="s">
        <v>163</v>
      </c>
      <c r="B977" s="75" t="s">
        <v>164</v>
      </c>
      <c r="C977">
        <v>0</v>
      </c>
      <c r="D977">
        <v>0</v>
      </c>
      <c r="E977">
        <v>0</v>
      </c>
      <c r="F977">
        <v>604324.56000000006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3.91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7490</v>
      </c>
      <c r="AW977">
        <v>3350</v>
      </c>
      <c r="AX977">
        <v>1219</v>
      </c>
      <c r="AY977">
        <v>12059</v>
      </c>
      <c r="AZ977">
        <v>4202</v>
      </c>
      <c r="BA977">
        <v>7438</v>
      </c>
      <c r="BB977">
        <v>1432</v>
      </c>
      <c r="BC977">
        <v>13072</v>
      </c>
      <c r="BD977">
        <v>9486</v>
      </c>
      <c r="BE977">
        <v>9222</v>
      </c>
      <c r="BF977">
        <v>1768</v>
      </c>
      <c r="BG977">
        <v>20476</v>
      </c>
      <c r="BH977">
        <v>0</v>
      </c>
      <c r="BI977">
        <v>0</v>
      </c>
      <c r="BJ977">
        <v>0</v>
      </c>
      <c r="BK977">
        <v>0</v>
      </c>
      <c r="BL977" s="2">
        <v>24.82</v>
      </c>
      <c r="BM977" s="2">
        <v>42005.095138888886</v>
      </c>
      <c r="BN977" s="2">
        <v>5.4</v>
      </c>
      <c r="BO977" s="2">
        <v>42005.092361111114</v>
      </c>
      <c r="BP977" s="2">
        <v>6.92</v>
      </c>
      <c r="BQ977" s="2">
        <v>42005.092361111114</v>
      </c>
      <c r="BR977" s="2">
        <v>11.07</v>
      </c>
      <c r="BS977" s="2">
        <v>42005.092361111114</v>
      </c>
      <c r="BT977">
        <v>0</v>
      </c>
      <c r="BU977">
        <v>0</v>
      </c>
      <c r="BV977" t="s">
        <v>135</v>
      </c>
      <c r="BW977">
        <v>0</v>
      </c>
      <c r="BX977">
        <v>0</v>
      </c>
      <c r="BY977" t="s">
        <v>135</v>
      </c>
      <c r="BZ977">
        <v>0</v>
      </c>
      <c r="CA977">
        <v>0</v>
      </c>
      <c r="CB977" t="s">
        <v>135</v>
      </c>
      <c r="CH977" s="2"/>
      <c r="CJ977" s="2"/>
      <c r="CL977" s="2"/>
      <c r="CN977" s="2"/>
      <c r="CQ977" s="2"/>
      <c r="CT977" s="2"/>
      <c r="CW977" s="2"/>
    </row>
    <row r="978" spans="1:101" x14ac:dyDescent="0.25">
      <c r="A978" s="1" t="s">
        <v>163</v>
      </c>
      <c r="B978" s="75" t="s">
        <v>164</v>
      </c>
      <c r="C978">
        <v>0</v>
      </c>
      <c r="D978">
        <v>0</v>
      </c>
      <c r="E978">
        <v>0</v>
      </c>
      <c r="F978">
        <v>604324.56000000006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3.91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7490</v>
      </c>
      <c r="AW978">
        <v>3350</v>
      </c>
      <c r="AX978">
        <v>1219</v>
      </c>
      <c r="AY978">
        <v>12059</v>
      </c>
      <c r="AZ978">
        <v>4202</v>
      </c>
      <c r="BA978">
        <v>7438</v>
      </c>
      <c r="BB978">
        <v>1432</v>
      </c>
      <c r="BC978">
        <v>13072</v>
      </c>
      <c r="BD978">
        <v>9486</v>
      </c>
      <c r="BE978">
        <v>9222</v>
      </c>
      <c r="BF978">
        <v>1768</v>
      </c>
      <c r="BG978">
        <v>20476</v>
      </c>
      <c r="BH978">
        <v>0</v>
      </c>
      <c r="BI978">
        <v>0</v>
      </c>
      <c r="BJ978">
        <v>0</v>
      </c>
      <c r="BK978">
        <v>0</v>
      </c>
      <c r="BL978" s="2">
        <v>24.82</v>
      </c>
      <c r="BM978" s="2">
        <v>42005.095138888886</v>
      </c>
      <c r="BN978" s="2">
        <v>5.4</v>
      </c>
      <c r="BO978" s="2">
        <v>42005.092361111114</v>
      </c>
      <c r="BP978" s="2">
        <v>6.92</v>
      </c>
      <c r="BQ978" s="2">
        <v>42005.092361111114</v>
      </c>
      <c r="BR978" s="2">
        <v>11.07</v>
      </c>
      <c r="BS978" s="2">
        <v>42005.092361111114</v>
      </c>
      <c r="BT978">
        <v>0</v>
      </c>
      <c r="BU978">
        <v>0</v>
      </c>
      <c r="BV978" t="s">
        <v>135</v>
      </c>
      <c r="BW978">
        <v>0</v>
      </c>
      <c r="BX978">
        <v>0</v>
      </c>
      <c r="BY978" t="s">
        <v>135</v>
      </c>
      <c r="BZ978">
        <v>0</v>
      </c>
      <c r="CA978">
        <v>0</v>
      </c>
      <c r="CB978" t="s">
        <v>135</v>
      </c>
      <c r="CH978" s="2"/>
      <c r="CJ978" s="2"/>
      <c r="CL978" s="2"/>
      <c r="CN978" s="2"/>
      <c r="CQ978" s="2"/>
      <c r="CT978" s="2"/>
      <c r="CW978" s="2"/>
    </row>
    <row r="979" spans="1:101" x14ac:dyDescent="0.25">
      <c r="A979" s="1" t="s">
        <v>163</v>
      </c>
      <c r="B979" s="75" t="s">
        <v>164</v>
      </c>
      <c r="C979">
        <v>0</v>
      </c>
      <c r="D979">
        <v>0</v>
      </c>
      <c r="E979">
        <v>0</v>
      </c>
      <c r="F979">
        <v>604324.56000000006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3.91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7490</v>
      </c>
      <c r="AW979">
        <v>3350</v>
      </c>
      <c r="AX979">
        <v>1219</v>
      </c>
      <c r="AY979">
        <v>12059</v>
      </c>
      <c r="AZ979">
        <v>4202</v>
      </c>
      <c r="BA979">
        <v>7438</v>
      </c>
      <c r="BB979">
        <v>1432</v>
      </c>
      <c r="BC979">
        <v>13072</v>
      </c>
      <c r="BD979">
        <v>9486</v>
      </c>
      <c r="BE979">
        <v>9222</v>
      </c>
      <c r="BF979">
        <v>1768</v>
      </c>
      <c r="BG979">
        <v>20476</v>
      </c>
      <c r="BH979">
        <v>0</v>
      </c>
      <c r="BI979">
        <v>0</v>
      </c>
      <c r="BJ979">
        <v>0</v>
      </c>
      <c r="BK979">
        <v>0</v>
      </c>
      <c r="BL979" s="2">
        <v>24.82</v>
      </c>
      <c r="BM979" s="2">
        <v>42005.095138888886</v>
      </c>
      <c r="BN979" s="2">
        <v>5.4</v>
      </c>
      <c r="BO979" s="2">
        <v>42005.092361111114</v>
      </c>
      <c r="BP979" s="2">
        <v>6.92</v>
      </c>
      <c r="BQ979" s="2">
        <v>42005.092361111114</v>
      </c>
      <c r="BR979" s="2">
        <v>11.07</v>
      </c>
      <c r="BS979" s="2">
        <v>42005.092361111114</v>
      </c>
      <c r="BT979">
        <v>0</v>
      </c>
      <c r="BU979">
        <v>0</v>
      </c>
      <c r="BV979" t="s">
        <v>135</v>
      </c>
      <c r="BW979">
        <v>0</v>
      </c>
      <c r="BX979">
        <v>0</v>
      </c>
      <c r="BY979" t="s">
        <v>135</v>
      </c>
      <c r="BZ979">
        <v>0</v>
      </c>
      <c r="CA979">
        <v>0</v>
      </c>
      <c r="CB979" t="s">
        <v>135</v>
      </c>
      <c r="CH979" s="2"/>
      <c r="CJ979" s="2"/>
      <c r="CL979" s="2"/>
      <c r="CN979" s="2"/>
      <c r="CQ979" s="2"/>
      <c r="CT979" s="2"/>
      <c r="CW979" s="2"/>
    </row>
    <row r="980" spans="1:101" x14ac:dyDescent="0.25">
      <c r="A980" s="1" t="s">
        <v>163</v>
      </c>
      <c r="B980" s="75" t="s">
        <v>164</v>
      </c>
      <c r="C980">
        <v>0</v>
      </c>
      <c r="D980">
        <v>0</v>
      </c>
      <c r="E980">
        <v>0</v>
      </c>
      <c r="F980">
        <v>604324.56000000006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3.91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7490</v>
      </c>
      <c r="AW980">
        <v>3350</v>
      </c>
      <c r="AX980">
        <v>1219</v>
      </c>
      <c r="AY980">
        <v>12059</v>
      </c>
      <c r="AZ980">
        <v>4202</v>
      </c>
      <c r="BA980">
        <v>7438</v>
      </c>
      <c r="BB980">
        <v>1432</v>
      </c>
      <c r="BC980">
        <v>13072</v>
      </c>
      <c r="BD980">
        <v>9486</v>
      </c>
      <c r="BE980">
        <v>9222</v>
      </c>
      <c r="BF980">
        <v>1768</v>
      </c>
      <c r="BG980">
        <v>20476</v>
      </c>
      <c r="BH980">
        <v>0</v>
      </c>
      <c r="BI980">
        <v>0</v>
      </c>
      <c r="BJ980">
        <v>0</v>
      </c>
      <c r="BK980">
        <v>0</v>
      </c>
      <c r="BL980" s="2">
        <v>24.82</v>
      </c>
      <c r="BM980" s="2">
        <v>42005.095138888886</v>
      </c>
      <c r="BN980" s="2">
        <v>5.4</v>
      </c>
      <c r="BO980" s="2">
        <v>42005.092361111114</v>
      </c>
      <c r="BP980" s="2">
        <v>6.92</v>
      </c>
      <c r="BQ980" s="2">
        <v>42005.092361111114</v>
      </c>
      <c r="BR980" s="2">
        <v>11.07</v>
      </c>
      <c r="BS980" s="2">
        <v>42005.092361111114</v>
      </c>
      <c r="BT980">
        <v>0</v>
      </c>
      <c r="BU980">
        <v>0</v>
      </c>
      <c r="BV980" t="s">
        <v>135</v>
      </c>
      <c r="BW980">
        <v>0</v>
      </c>
      <c r="BX980">
        <v>0</v>
      </c>
      <c r="BY980" t="s">
        <v>135</v>
      </c>
      <c r="BZ980">
        <v>0</v>
      </c>
      <c r="CA980">
        <v>0</v>
      </c>
      <c r="CB980" t="s">
        <v>135</v>
      </c>
      <c r="CH980" s="2"/>
      <c r="CJ980" s="2"/>
      <c r="CL980" s="2"/>
      <c r="CN980" s="2"/>
      <c r="CQ980" s="2"/>
      <c r="CT980" s="2"/>
      <c r="CW980" s="2"/>
    </row>
    <row r="981" spans="1:101" x14ac:dyDescent="0.25">
      <c r="A981" s="1" t="s">
        <v>163</v>
      </c>
      <c r="B981" s="75" t="s">
        <v>164</v>
      </c>
      <c r="C981">
        <v>0</v>
      </c>
      <c r="D981">
        <v>0</v>
      </c>
      <c r="E981">
        <v>0</v>
      </c>
      <c r="F981">
        <v>604324.56000000006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3.91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7490</v>
      </c>
      <c r="AW981">
        <v>3350</v>
      </c>
      <c r="AX981">
        <v>1219</v>
      </c>
      <c r="AY981">
        <v>12059</v>
      </c>
      <c r="AZ981">
        <v>4202</v>
      </c>
      <c r="BA981">
        <v>7438</v>
      </c>
      <c r="BB981">
        <v>1432</v>
      </c>
      <c r="BC981">
        <v>13072</v>
      </c>
      <c r="BD981">
        <v>9486</v>
      </c>
      <c r="BE981">
        <v>9222</v>
      </c>
      <c r="BF981">
        <v>1768</v>
      </c>
      <c r="BG981">
        <v>20476</v>
      </c>
      <c r="BH981">
        <v>0</v>
      </c>
      <c r="BI981">
        <v>0</v>
      </c>
      <c r="BJ981">
        <v>0</v>
      </c>
      <c r="BK981">
        <v>0</v>
      </c>
      <c r="BL981" s="2">
        <v>24.82</v>
      </c>
      <c r="BM981" s="2">
        <v>42005.095138888886</v>
      </c>
      <c r="BN981" s="2">
        <v>5.4</v>
      </c>
      <c r="BO981" s="2">
        <v>42005.092361111114</v>
      </c>
      <c r="BP981" s="2">
        <v>6.92</v>
      </c>
      <c r="BQ981" s="2">
        <v>42005.092361111114</v>
      </c>
      <c r="BR981" s="2">
        <v>11.07</v>
      </c>
      <c r="BS981" s="2">
        <v>42005.092361111114</v>
      </c>
      <c r="BT981">
        <v>0</v>
      </c>
      <c r="BU981">
        <v>0</v>
      </c>
      <c r="BV981" t="s">
        <v>135</v>
      </c>
      <c r="BW981">
        <v>0</v>
      </c>
      <c r="BX981">
        <v>0</v>
      </c>
      <c r="BY981" t="s">
        <v>135</v>
      </c>
      <c r="BZ981">
        <v>0</v>
      </c>
      <c r="CA981">
        <v>0</v>
      </c>
      <c r="CB981" t="s">
        <v>135</v>
      </c>
      <c r="CH981" s="2"/>
      <c r="CJ981" s="2"/>
      <c r="CL981" s="2"/>
      <c r="CN981" s="2"/>
      <c r="CQ981" s="2"/>
      <c r="CT981" s="2"/>
      <c r="CW981" s="2"/>
    </row>
    <row r="982" spans="1:101" x14ac:dyDescent="0.25">
      <c r="A982" s="1" t="s">
        <v>163</v>
      </c>
      <c r="B982" s="75" t="s">
        <v>164</v>
      </c>
      <c r="C982">
        <v>0</v>
      </c>
      <c r="D982">
        <v>0</v>
      </c>
      <c r="E982">
        <v>0</v>
      </c>
      <c r="F982">
        <v>604324.56000000006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3.91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7490</v>
      </c>
      <c r="AW982">
        <v>3350</v>
      </c>
      <c r="AX982">
        <v>1219</v>
      </c>
      <c r="AY982">
        <v>12059</v>
      </c>
      <c r="AZ982">
        <v>4202</v>
      </c>
      <c r="BA982">
        <v>7438</v>
      </c>
      <c r="BB982">
        <v>1432</v>
      </c>
      <c r="BC982">
        <v>13072</v>
      </c>
      <c r="BD982">
        <v>9486</v>
      </c>
      <c r="BE982">
        <v>9222</v>
      </c>
      <c r="BF982">
        <v>1768</v>
      </c>
      <c r="BG982">
        <v>20476</v>
      </c>
      <c r="BH982">
        <v>0</v>
      </c>
      <c r="BI982">
        <v>0</v>
      </c>
      <c r="BJ982">
        <v>0</v>
      </c>
      <c r="BK982">
        <v>0</v>
      </c>
      <c r="BL982" s="2">
        <v>24.82</v>
      </c>
      <c r="BM982" s="2">
        <v>42005.095138888886</v>
      </c>
      <c r="BN982" s="2">
        <v>5.4</v>
      </c>
      <c r="BO982" s="2">
        <v>42005.092361111114</v>
      </c>
      <c r="BP982" s="2">
        <v>6.92</v>
      </c>
      <c r="BQ982" s="2">
        <v>42005.092361111114</v>
      </c>
      <c r="BR982" s="2">
        <v>11.07</v>
      </c>
      <c r="BS982" s="2">
        <v>42005.092361111114</v>
      </c>
      <c r="BT982">
        <v>0</v>
      </c>
      <c r="BU982">
        <v>0</v>
      </c>
      <c r="BV982" t="s">
        <v>135</v>
      </c>
      <c r="BW982">
        <v>0</v>
      </c>
      <c r="BX982">
        <v>0</v>
      </c>
      <c r="BY982" t="s">
        <v>135</v>
      </c>
      <c r="BZ982">
        <v>0</v>
      </c>
      <c r="CA982">
        <v>0</v>
      </c>
      <c r="CB982" t="s">
        <v>135</v>
      </c>
      <c r="CH982" s="2"/>
      <c r="CJ982" s="2"/>
      <c r="CL982" s="2"/>
      <c r="CN982" s="2"/>
      <c r="CQ982" s="2"/>
      <c r="CT982" s="2"/>
      <c r="CW982" s="2"/>
    </row>
    <row r="983" spans="1:101" x14ac:dyDescent="0.25">
      <c r="A983" s="1" t="s">
        <v>163</v>
      </c>
      <c r="B983" s="75" t="s">
        <v>164</v>
      </c>
      <c r="C983">
        <v>0</v>
      </c>
      <c r="D983">
        <v>0</v>
      </c>
      <c r="E983">
        <v>0</v>
      </c>
      <c r="F983">
        <v>604324.56000000006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3.91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7490</v>
      </c>
      <c r="AW983">
        <v>3350</v>
      </c>
      <c r="AX983">
        <v>1219</v>
      </c>
      <c r="AY983">
        <v>12059</v>
      </c>
      <c r="AZ983">
        <v>4202</v>
      </c>
      <c r="BA983">
        <v>7438</v>
      </c>
      <c r="BB983">
        <v>1432</v>
      </c>
      <c r="BC983">
        <v>13072</v>
      </c>
      <c r="BD983">
        <v>9486</v>
      </c>
      <c r="BE983">
        <v>9222</v>
      </c>
      <c r="BF983">
        <v>1768</v>
      </c>
      <c r="BG983">
        <v>20476</v>
      </c>
      <c r="BH983">
        <v>0</v>
      </c>
      <c r="BI983">
        <v>0</v>
      </c>
      <c r="BJ983">
        <v>0</v>
      </c>
      <c r="BK983">
        <v>0</v>
      </c>
      <c r="BL983" s="2">
        <v>24.82</v>
      </c>
      <c r="BM983" s="2">
        <v>42005.095138888886</v>
      </c>
      <c r="BN983" s="2">
        <v>5.4</v>
      </c>
      <c r="BO983" s="2">
        <v>42005.092361111114</v>
      </c>
      <c r="BP983" s="2">
        <v>6.92</v>
      </c>
      <c r="BQ983" s="2">
        <v>42005.092361111114</v>
      </c>
      <c r="BR983" s="2">
        <v>11.07</v>
      </c>
      <c r="BS983" s="2">
        <v>42005.092361111114</v>
      </c>
      <c r="BT983">
        <v>0</v>
      </c>
      <c r="BU983">
        <v>0</v>
      </c>
      <c r="BV983" t="s">
        <v>135</v>
      </c>
      <c r="BW983">
        <v>0</v>
      </c>
      <c r="BX983">
        <v>0</v>
      </c>
      <c r="BY983" t="s">
        <v>135</v>
      </c>
      <c r="BZ983">
        <v>0</v>
      </c>
      <c r="CA983">
        <v>0</v>
      </c>
      <c r="CB983" t="s">
        <v>135</v>
      </c>
      <c r="CH983" s="2"/>
      <c r="CJ983" s="2"/>
      <c r="CL983" s="2"/>
      <c r="CN983" s="2"/>
      <c r="CQ983" s="2"/>
      <c r="CT983" s="2"/>
      <c r="CW983" s="2"/>
    </row>
    <row r="984" spans="1:101" x14ac:dyDescent="0.25">
      <c r="A984" s="1" t="s">
        <v>163</v>
      </c>
      <c r="B984" s="75" t="s">
        <v>164</v>
      </c>
      <c r="C984">
        <v>0</v>
      </c>
      <c r="D984">
        <v>0</v>
      </c>
      <c r="E984">
        <v>0</v>
      </c>
      <c r="F984">
        <v>604324.56000000006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3.91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7490</v>
      </c>
      <c r="AW984">
        <v>3350</v>
      </c>
      <c r="AX984">
        <v>1219</v>
      </c>
      <c r="AY984">
        <v>12059</v>
      </c>
      <c r="AZ984">
        <v>4202</v>
      </c>
      <c r="BA984">
        <v>7438</v>
      </c>
      <c r="BB984">
        <v>1432</v>
      </c>
      <c r="BC984">
        <v>13072</v>
      </c>
      <c r="BD984">
        <v>9486</v>
      </c>
      <c r="BE984">
        <v>9222</v>
      </c>
      <c r="BF984">
        <v>1768</v>
      </c>
      <c r="BG984">
        <v>20476</v>
      </c>
      <c r="BH984">
        <v>0</v>
      </c>
      <c r="BI984">
        <v>0</v>
      </c>
      <c r="BJ984">
        <v>0</v>
      </c>
      <c r="BK984">
        <v>0</v>
      </c>
      <c r="BL984" s="2">
        <v>24.82</v>
      </c>
      <c r="BM984" s="2">
        <v>42005.095138888886</v>
      </c>
      <c r="BN984" s="2">
        <v>5.4</v>
      </c>
      <c r="BO984" s="2">
        <v>42005.092361111114</v>
      </c>
      <c r="BP984" s="2">
        <v>6.92</v>
      </c>
      <c r="BQ984" s="2">
        <v>42005.092361111114</v>
      </c>
      <c r="BR984" s="2">
        <v>11.07</v>
      </c>
      <c r="BS984" s="2">
        <v>42005.092361111114</v>
      </c>
      <c r="BT984">
        <v>0</v>
      </c>
      <c r="BU984">
        <v>0</v>
      </c>
      <c r="BV984" t="s">
        <v>135</v>
      </c>
      <c r="BW984">
        <v>0</v>
      </c>
      <c r="BX984">
        <v>0</v>
      </c>
      <c r="BY984" t="s">
        <v>135</v>
      </c>
      <c r="BZ984">
        <v>0</v>
      </c>
      <c r="CA984">
        <v>0</v>
      </c>
      <c r="CB984" t="s">
        <v>135</v>
      </c>
      <c r="CH984" s="2"/>
      <c r="CJ984" s="2"/>
      <c r="CL984" s="2"/>
      <c r="CN984" s="2"/>
      <c r="CQ984" s="2"/>
      <c r="CT984" s="2"/>
      <c r="CW984" s="2"/>
    </row>
    <row r="985" spans="1:101" x14ac:dyDescent="0.25">
      <c r="A985" s="1" t="s">
        <v>163</v>
      </c>
      <c r="B985" s="75" t="s">
        <v>164</v>
      </c>
      <c r="C985">
        <v>0</v>
      </c>
      <c r="D985">
        <v>0</v>
      </c>
      <c r="E985">
        <v>0</v>
      </c>
      <c r="F985">
        <v>604324.56000000006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3.91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7490</v>
      </c>
      <c r="AW985">
        <v>3350</v>
      </c>
      <c r="AX985">
        <v>1219</v>
      </c>
      <c r="AY985">
        <v>12059</v>
      </c>
      <c r="AZ985">
        <v>4202</v>
      </c>
      <c r="BA985">
        <v>7438</v>
      </c>
      <c r="BB985">
        <v>1432</v>
      </c>
      <c r="BC985">
        <v>13072</v>
      </c>
      <c r="BD985">
        <v>9486</v>
      </c>
      <c r="BE985">
        <v>9222</v>
      </c>
      <c r="BF985">
        <v>1768</v>
      </c>
      <c r="BG985">
        <v>20476</v>
      </c>
      <c r="BH985">
        <v>0</v>
      </c>
      <c r="BI985">
        <v>0</v>
      </c>
      <c r="BJ985">
        <v>0</v>
      </c>
      <c r="BK985">
        <v>0</v>
      </c>
      <c r="BL985" s="2">
        <v>24.82</v>
      </c>
      <c r="BM985" s="2">
        <v>42005.095138888886</v>
      </c>
      <c r="BN985" s="2">
        <v>5.4</v>
      </c>
      <c r="BO985" s="2">
        <v>42005.092361111114</v>
      </c>
      <c r="BP985" s="2">
        <v>6.92</v>
      </c>
      <c r="BQ985" s="2">
        <v>42005.092361111114</v>
      </c>
      <c r="BR985" s="2">
        <v>11.07</v>
      </c>
      <c r="BS985" s="2">
        <v>42005.092361111114</v>
      </c>
      <c r="BT985">
        <v>0</v>
      </c>
      <c r="BU985">
        <v>0</v>
      </c>
      <c r="BV985" t="s">
        <v>135</v>
      </c>
      <c r="BW985">
        <v>0</v>
      </c>
      <c r="BX985">
        <v>0</v>
      </c>
      <c r="BY985" t="s">
        <v>135</v>
      </c>
      <c r="BZ985">
        <v>0</v>
      </c>
      <c r="CA985">
        <v>0</v>
      </c>
      <c r="CB985" t="s">
        <v>135</v>
      </c>
      <c r="CH985" s="2"/>
      <c r="CJ985" s="2"/>
      <c r="CL985" s="2"/>
      <c r="CN985" s="2"/>
      <c r="CQ985" s="2"/>
      <c r="CT985" s="2"/>
      <c r="CW985" s="2"/>
    </row>
    <row r="986" spans="1:101" x14ac:dyDescent="0.25">
      <c r="A986" s="1" t="s">
        <v>163</v>
      </c>
      <c r="B986" s="75" t="s">
        <v>164</v>
      </c>
      <c r="C986">
        <v>0</v>
      </c>
      <c r="D986">
        <v>0</v>
      </c>
      <c r="E986">
        <v>0</v>
      </c>
      <c r="F986">
        <v>604324.56000000006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3.91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7490</v>
      </c>
      <c r="AW986">
        <v>3350</v>
      </c>
      <c r="AX986">
        <v>1219</v>
      </c>
      <c r="AY986">
        <v>12059</v>
      </c>
      <c r="AZ986">
        <v>4202</v>
      </c>
      <c r="BA986">
        <v>7438</v>
      </c>
      <c r="BB986">
        <v>1432</v>
      </c>
      <c r="BC986">
        <v>13072</v>
      </c>
      <c r="BD986">
        <v>9486</v>
      </c>
      <c r="BE986">
        <v>9222</v>
      </c>
      <c r="BF986">
        <v>1768</v>
      </c>
      <c r="BG986">
        <v>20476</v>
      </c>
      <c r="BH986">
        <v>0</v>
      </c>
      <c r="BI986">
        <v>0</v>
      </c>
      <c r="BJ986">
        <v>0</v>
      </c>
      <c r="BK986">
        <v>0</v>
      </c>
      <c r="BL986" s="2">
        <v>24.82</v>
      </c>
      <c r="BM986" s="2">
        <v>42005.095138888886</v>
      </c>
      <c r="BN986" s="2">
        <v>5.4</v>
      </c>
      <c r="BO986" s="2">
        <v>42005.092361111114</v>
      </c>
      <c r="BP986" s="2">
        <v>6.92</v>
      </c>
      <c r="BQ986" s="2">
        <v>42005.092361111114</v>
      </c>
      <c r="BR986" s="2">
        <v>11.07</v>
      </c>
      <c r="BS986" s="2">
        <v>42005.092361111114</v>
      </c>
      <c r="BT986">
        <v>0</v>
      </c>
      <c r="BU986">
        <v>0</v>
      </c>
      <c r="BV986" t="s">
        <v>135</v>
      </c>
      <c r="BW986">
        <v>0</v>
      </c>
      <c r="BX986">
        <v>0</v>
      </c>
      <c r="BY986" t="s">
        <v>135</v>
      </c>
      <c r="BZ986">
        <v>0</v>
      </c>
      <c r="CA986">
        <v>0</v>
      </c>
      <c r="CB986" t="s">
        <v>135</v>
      </c>
      <c r="CH986" s="2"/>
      <c r="CJ986" s="2"/>
      <c r="CL986" s="2"/>
      <c r="CN986" s="2"/>
      <c r="CQ986" s="2"/>
      <c r="CT986" s="2"/>
      <c r="CW986" s="2"/>
    </row>
    <row r="987" spans="1:101" x14ac:dyDescent="0.25">
      <c r="A987" s="1" t="s">
        <v>163</v>
      </c>
      <c r="B987" s="75" t="s">
        <v>164</v>
      </c>
      <c r="C987">
        <v>0</v>
      </c>
      <c r="D987">
        <v>0</v>
      </c>
      <c r="E987">
        <v>0</v>
      </c>
      <c r="F987">
        <v>604324.56000000006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3.91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7490</v>
      </c>
      <c r="AW987">
        <v>3350</v>
      </c>
      <c r="AX987">
        <v>1219</v>
      </c>
      <c r="AY987">
        <v>12059</v>
      </c>
      <c r="AZ987">
        <v>4202</v>
      </c>
      <c r="BA987">
        <v>7438</v>
      </c>
      <c r="BB987">
        <v>1432</v>
      </c>
      <c r="BC987">
        <v>13072</v>
      </c>
      <c r="BD987">
        <v>9486</v>
      </c>
      <c r="BE987">
        <v>9222</v>
      </c>
      <c r="BF987">
        <v>1768</v>
      </c>
      <c r="BG987">
        <v>20476</v>
      </c>
      <c r="BH987">
        <v>0</v>
      </c>
      <c r="BI987">
        <v>0</v>
      </c>
      <c r="BJ987">
        <v>0</v>
      </c>
      <c r="BK987">
        <v>0</v>
      </c>
      <c r="BL987" s="2">
        <v>24.82</v>
      </c>
      <c r="BM987" s="2">
        <v>42005.095138888886</v>
      </c>
      <c r="BN987" s="2">
        <v>5.4</v>
      </c>
      <c r="BO987" s="2">
        <v>42005.092361111114</v>
      </c>
      <c r="BP987" s="2">
        <v>6.92</v>
      </c>
      <c r="BQ987" s="2">
        <v>42005.092361111114</v>
      </c>
      <c r="BR987" s="2">
        <v>11.07</v>
      </c>
      <c r="BS987" s="2">
        <v>42005.092361111114</v>
      </c>
      <c r="BT987">
        <v>0</v>
      </c>
      <c r="BU987">
        <v>0</v>
      </c>
      <c r="BV987" t="s">
        <v>135</v>
      </c>
      <c r="BW987">
        <v>0</v>
      </c>
      <c r="BX987">
        <v>0</v>
      </c>
      <c r="BY987" t="s">
        <v>135</v>
      </c>
      <c r="BZ987">
        <v>0</v>
      </c>
      <c r="CA987">
        <v>0</v>
      </c>
      <c r="CB987" t="s">
        <v>135</v>
      </c>
      <c r="CH987" s="2"/>
      <c r="CJ987" s="2"/>
      <c r="CL987" s="2"/>
      <c r="CN987" s="2"/>
      <c r="CQ987" s="2"/>
      <c r="CT987" s="2"/>
      <c r="CW987" s="2"/>
    </row>
    <row r="988" spans="1:101" x14ac:dyDescent="0.25">
      <c r="A988" s="1" t="s">
        <v>163</v>
      </c>
      <c r="B988" s="75" t="s">
        <v>164</v>
      </c>
      <c r="C988">
        <v>0</v>
      </c>
      <c r="D988">
        <v>0</v>
      </c>
      <c r="E988">
        <v>0</v>
      </c>
      <c r="F988">
        <v>604324.56000000006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3.91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7490</v>
      </c>
      <c r="AW988">
        <v>3350</v>
      </c>
      <c r="AX988">
        <v>1219</v>
      </c>
      <c r="AY988">
        <v>12059</v>
      </c>
      <c r="AZ988">
        <v>4202</v>
      </c>
      <c r="BA988">
        <v>7438</v>
      </c>
      <c r="BB988">
        <v>1432</v>
      </c>
      <c r="BC988">
        <v>13072</v>
      </c>
      <c r="BD988">
        <v>9486</v>
      </c>
      <c r="BE988">
        <v>9222</v>
      </c>
      <c r="BF988">
        <v>1768</v>
      </c>
      <c r="BG988">
        <v>20476</v>
      </c>
      <c r="BH988">
        <v>0</v>
      </c>
      <c r="BI988">
        <v>0</v>
      </c>
      <c r="BJ988">
        <v>0</v>
      </c>
      <c r="BK988">
        <v>0</v>
      </c>
      <c r="BL988" s="2">
        <v>24.82</v>
      </c>
      <c r="BM988" s="2">
        <v>42005.095138888886</v>
      </c>
      <c r="BN988" s="2">
        <v>5.4</v>
      </c>
      <c r="BO988" s="2">
        <v>42005.092361111114</v>
      </c>
      <c r="BP988" s="2">
        <v>6.92</v>
      </c>
      <c r="BQ988" s="2">
        <v>42005.092361111114</v>
      </c>
      <c r="BR988" s="2">
        <v>11.07</v>
      </c>
      <c r="BS988" s="2">
        <v>42005.092361111114</v>
      </c>
      <c r="BT988">
        <v>0</v>
      </c>
      <c r="BU988">
        <v>0</v>
      </c>
      <c r="BV988" t="s">
        <v>135</v>
      </c>
      <c r="BW988">
        <v>0</v>
      </c>
      <c r="BX988">
        <v>0</v>
      </c>
      <c r="BY988" t="s">
        <v>135</v>
      </c>
      <c r="BZ988">
        <v>0</v>
      </c>
      <c r="CA988">
        <v>0</v>
      </c>
      <c r="CB988" t="s">
        <v>135</v>
      </c>
      <c r="CH988" s="2"/>
      <c r="CJ988" s="2"/>
      <c r="CL988" s="2"/>
      <c r="CN988" s="2"/>
      <c r="CQ988" s="2"/>
      <c r="CT988" s="2"/>
      <c r="CW988" s="2"/>
    </row>
    <row r="989" spans="1:101" x14ac:dyDescent="0.25">
      <c r="A989" s="1" t="s">
        <v>163</v>
      </c>
      <c r="B989" s="75" t="s">
        <v>164</v>
      </c>
      <c r="C989">
        <v>0</v>
      </c>
      <c r="D989">
        <v>0</v>
      </c>
      <c r="E989">
        <v>0</v>
      </c>
      <c r="F989">
        <v>604324.56000000006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3.91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7490</v>
      </c>
      <c r="AW989">
        <v>3350</v>
      </c>
      <c r="AX989">
        <v>1219</v>
      </c>
      <c r="AY989">
        <v>12059</v>
      </c>
      <c r="AZ989">
        <v>4202</v>
      </c>
      <c r="BA989">
        <v>7438</v>
      </c>
      <c r="BB989">
        <v>1432</v>
      </c>
      <c r="BC989">
        <v>13072</v>
      </c>
      <c r="BD989">
        <v>9486</v>
      </c>
      <c r="BE989">
        <v>9222</v>
      </c>
      <c r="BF989">
        <v>1768</v>
      </c>
      <c r="BG989">
        <v>20476</v>
      </c>
      <c r="BH989">
        <v>0</v>
      </c>
      <c r="BI989">
        <v>0</v>
      </c>
      <c r="BJ989">
        <v>0</v>
      </c>
      <c r="BK989">
        <v>0</v>
      </c>
      <c r="BL989" s="2">
        <v>24.82</v>
      </c>
      <c r="BM989" s="2">
        <v>42005.095138888886</v>
      </c>
      <c r="BN989" s="2">
        <v>5.4</v>
      </c>
      <c r="BO989" s="2">
        <v>42005.092361111114</v>
      </c>
      <c r="BP989" s="2">
        <v>6.92</v>
      </c>
      <c r="BQ989" s="2">
        <v>42005.092361111114</v>
      </c>
      <c r="BR989" s="2">
        <v>11.07</v>
      </c>
      <c r="BS989" s="2">
        <v>42005.092361111114</v>
      </c>
      <c r="BT989">
        <v>0</v>
      </c>
      <c r="BU989">
        <v>0</v>
      </c>
      <c r="BV989" t="s">
        <v>135</v>
      </c>
      <c r="BW989">
        <v>0</v>
      </c>
      <c r="BX989">
        <v>0</v>
      </c>
      <c r="BY989" t="s">
        <v>135</v>
      </c>
      <c r="BZ989">
        <v>0</v>
      </c>
      <c r="CA989">
        <v>0</v>
      </c>
      <c r="CB989" t="s">
        <v>135</v>
      </c>
      <c r="CH989" s="2"/>
      <c r="CJ989" s="2"/>
      <c r="CL989" s="2"/>
      <c r="CN989" s="2"/>
      <c r="CQ989" s="2"/>
      <c r="CT989" s="2"/>
      <c r="CW989" s="2"/>
    </row>
    <row r="990" spans="1:101" x14ac:dyDescent="0.25">
      <c r="A990" s="1" t="s">
        <v>163</v>
      </c>
      <c r="B990" s="75" t="s">
        <v>164</v>
      </c>
      <c r="C990">
        <v>0</v>
      </c>
      <c r="D990">
        <v>0</v>
      </c>
      <c r="E990">
        <v>0</v>
      </c>
      <c r="F990">
        <v>604324.56000000006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3.91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7490</v>
      </c>
      <c r="AW990">
        <v>3350</v>
      </c>
      <c r="AX990">
        <v>1219</v>
      </c>
      <c r="AY990">
        <v>12059</v>
      </c>
      <c r="AZ990">
        <v>4202</v>
      </c>
      <c r="BA990">
        <v>7438</v>
      </c>
      <c r="BB990">
        <v>1432</v>
      </c>
      <c r="BC990">
        <v>13072</v>
      </c>
      <c r="BD990">
        <v>9486</v>
      </c>
      <c r="BE990">
        <v>9222</v>
      </c>
      <c r="BF990">
        <v>1768</v>
      </c>
      <c r="BG990">
        <v>20476</v>
      </c>
      <c r="BH990">
        <v>0</v>
      </c>
      <c r="BI990">
        <v>0</v>
      </c>
      <c r="BJ990">
        <v>0</v>
      </c>
      <c r="BK990">
        <v>0</v>
      </c>
      <c r="BL990" s="2">
        <v>24.82</v>
      </c>
      <c r="BM990" s="2">
        <v>42005.095138888886</v>
      </c>
      <c r="BN990" s="2">
        <v>5.4</v>
      </c>
      <c r="BO990" s="2">
        <v>42005.092361111114</v>
      </c>
      <c r="BP990" s="2">
        <v>6.92</v>
      </c>
      <c r="BQ990" s="2">
        <v>42005.092361111114</v>
      </c>
      <c r="BR990" s="2">
        <v>11.07</v>
      </c>
      <c r="BS990" s="2">
        <v>42005.092361111114</v>
      </c>
      <c r="BT990">
        <v>0</v>
      </c>
      <c r="BU990">
        <v>0</v>
      </c>
      <c r="BV990" t="s">
        <v>135</v>
      </c>
      <c r="BW990">
        <v>0</v>
      </c>
      <c r="BX990">
        <v>0</v>
      </c>
      <c r="BY990" t="s">
        <v>135</v>
      </c>
      <c r="BZ990">
        <v>0</v>
      </c>
      <c r="CA990">
        <v>0</v>
      </c>
      <c r="CB990" t="s">
        <v>135</v>
      </c>
      <c r="CH990" s="2"/>
      <c r="CJ990" s="2"/>
      <c r="CL990" s="2"/>
      <c r="CN990" s="2"/>
      <c r="CQ990" s="2"/>
      <c r="CT990" s="2"/>
      <c r="CW990" s="2"/>
    </row>
    <row r="991" spans="1:101" x14ac:dyDescent="0.25">
      <c r="A991" s="1" t="s">
        <v>163</v>
      </c>
      <c r="B991" s="75" t="s">
        <v>164</v>
      </c>
      <c r="C991">
        <v>0</v>
      </c>
      <c r="D991">
        <v>0</v>
      </c>
      <c r="E991">
        <v>0</v>
      </c>
      <c r="F991">
        <v>604324.56000000006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3.91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7490</v>
      </c>
      <c r="AW991">
        <v>3350</v>
      </c>
      <c r="AX991">
        <v>1219</v>
      </c>
      <c r="AY991">
        <v>12059</v>
      </c>
      <c r="AZ991">
        <v>4202</v>
      </c>
      <c r="BA991">
        <v>7438</v>
      </c>
      <c r="BB991">
        <v>1432</v>
      </c>
      <c r="BC991">
        <v>13072</v>
      </c>
      <c r="BD991">
        <v>9486</v>
      </c>
      <c r="BE991">
        <v>9222</v>
      </c>
      <c r="BF991">
        <v>1768</v>
      </c>
      <c r="BG991">
        <v>20476</v>
      </c>
      <c r="BH991">
        <v>0</v>
      </c>
      <c r="BI991">
        <v>0</v>
      </c>
      <c r="BJ991">
        <v>0</v>
      </c>
      <c r="BK991">
        <v>0</v>
      </c>
      <c r="BL991" s="2">
        <v>24.82</v>
      </c>
      <c r="BM991" s="2">
        <v>42005.095138888886</v>
      </c>
      <c r="BN991" s="2">
        <v>5.4</v>
      </c>
      <c r="BO991" s="2">
        <v>42005.092361111114</v>
      </c>
      <c r="BP991" s="2">
        <v>6.92</v>
      </c>
      <c r="BQ991" s="2">
        <v>42005.092361111114</v>
      </c>
      <c r="BR991" s="2">
        <v>11.07</v>
      </c>
      <c r="BS991" s="2">
        <v>42005.092361111114</v>
      </c>
      <c r="BT991">
        <v>0</v>
      </c>
      <c r="BU991">
        <v>0</v>
      </c>
      <c r="BV991" t="s">
        <v>135</v>
      </c>
      <c r="BW991">
        <v>0</v>
      </c>
      <c r="BX991">
        <v>0</v>
      </c>
      <c r="BY991" t="s">
        <v>135</v>
      </c>
      <c r="BZ991">
        <v>0</v>
      </c>
      <c r="CA991">
        <v>0</v>
      </c>
      <c r="CB991" t="s">
        <v>135</v>
      </c>
      <c r="CH991" s="2"/>
      <c r="CJ991" s="2"/>
      <c r="CL991" s="2"/>
      <c r="CN991" s="2"/>
      <c r="CQ991" s="2"/>
      <c r="CT991" s="2"/>
      <c r="CW991" s="2"/>
    </row>
    <row r="992" spans="1:101" x14ac:dyDescent="0.25">
      <c r="A992" s="1" t="s">
        <v>163</v>
      </c>
      <c r="B992" s="75" t="s">
        <v>164</v>
      </c>
      <c r="C992">
        <v>0</v>
      </c>
      <c r="D992">
        <v>0</v>
      </c>
      <c r="E992">
        <v>0</v>
      </c>
      <c r="F992">
        <v>604324.56000000006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3.91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7490</v>
      </c>
      <c r="AW992">
        <v>3350</v>
      </c>
      <c r="AX992">
        <v>1219</v>
      </c>
      <c r="AY992">
        <v>12059</v>
      </c>
      <c r="AZ992">
        <v>4202</v>
      </c>
      <c r="BA992">
        <v>7438</v>
      </c>
      <c r="BB992">
        <v>1432</v>
      </c>
      <c r="BC992">
        <v>13072</v>
      </c>
      <c r="BD992">
        <v>9486</v>
      </c>
      <c r="BE992">
        <v>9222</v>
      </c>
      <c r="BF992">
        <v>1768</v>
      </c>
      <c r="BG992">
        <v>20476</v>
      </c>
      <c r="BH992">
        <v>0</v>
      </c>
      <c r="BI992">
        <v>0</v>
      </c>
      <c r="BJ992">
        <v>0</v>
      </c>
      <c r="BK992">
        <v>0</v>
      </c>
      <c r="BL992" s="2">
        <v>24.82</v>
      </c>
      <c r="BM992" s="2">
        <v>42005.095138888886</v>
      </c>
      <c r="BN992" s="2">
        <v>5.4</v>
      </c>
      <c r="BO992" s="2">
        <v>42005.092361111114</v>
      </c>
      <c r="BP992" s="2">
        <v>6.92</v>
      </c>
      <c r="BQ992" s="2">
        <v>42005.092361111114</v>
      </c>
      <c r="BR992" s="2">
        <v>11.07</v>
      </c>
      <c r="BS992" s="2">
        <v>42005.092361111114</v>
      </c>
      <c r="BT992">
        <v>0</v>
      </c>
      <c r="BU992">
        <v>0</v>
      </c>
      <c r="BV992" t="s">
        <v>135</v>
      </c>
      <c r="BW992">
        <v>0</v>
      </c>
      <c r="BX992">
        <v>0</v>
      </c>
      <c r="BY992" t="s">
        <v>135</v>
      </c>
      <c r="BZ992">
        <v>0</v>
      </c>
      <c r="CA992">
        <v>0</v>
      </c>
      <c r="CB992" t="s">
        <v>135</v>
      </c>
      <c r="CH992" s="2"/>
      <c r="CJ992" s="2"/>
      <c r="CL992" s="2"/>
      <c r="CN992" s="2"/>
      <c r="CQ992" s="2"/>
      <c r="CT992" s="2"/>
      <c r="CW992" s="2"/>
    </row>
    <row r="993" spans="1:101" x14ac:dyDescent="0.25">
      <c r="A993" s="1" t="s">
        <v>163</v>
      </c>
      <c r="B993" s="75" t="s">
        <v>164</v>
      </c>
      <c r="C993">
        <v>0</v>
      </c>
      <c r="D993">
        <v>0</v>
      </c>
      <c r="E993">
        <v>0</v>
      </c>
      <c r="F993">
        <v>604324.56000000006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3.91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7490</v>
      </c>
      <c r="AW993">
        <v>3350</v>
      </c>
      <c r="AX993">
        <v>1219</v>
      </c>
      <c r="AY993">
        <v>12059</v>
      </c>
      <c r="AZ993">
        <v>4202</v>
      </c>
      <c r="BA993">
        <v>7438</v>
      </c>
      <c r="BB993">
        <v>1432</v>
      </c>
      <c r="BC993">
        <v>13072</v>
      </c>
      <c r="BD993">
        <v>9486</v>
      </c>
      <c r="BE993">
        <v>9222</v>
      </c>
      <c r="BF993">
        <v>1768</v>
      </c>
      <c r="BG993">
        <v>20476</v>
      </c>
      <c r="BH993">
        <v>0</v>
      </c>
      <c r="BI993">
        <v>0</v>
      </c>
      <c r="BJ993">
        <v>0</v>
      </c>
      <c r="BK993">
        <v>0</v>
      </c>
      <c r="BL993" s="2">
        <v>24.82</v>
      </c>
      <c r="BM993" s="2">
        <v>42005.095138888886</v>
      </c>
      <c r="BN993" s="2">
        <v>5.4</v>
      </c>
      <c r="BO993" s="2">
        <v>42005.092361111114</v>
      </c>
      <c r="BP993" s="2">
        <v>6.92</v>
      </c>
      <c r="BQ993" s="2">
        <v>42005.092361111114</v>
      </c>
      <c r="BR993" s="2">
        <v>11.07</v>
      </c>
      <c r="BS993" s="2">
        <v>42005.092361111114</v>
      </c>
      <c r="BT993">
        <v>0</v>
      </c>
      <c r="BU993">
        <v>0</v>
      </c>
      <c r="BV993" t="s">
        <v>135</v>
      </c>
      <c r="BW993">
        <v>0</v>
      </c>
      <c r="BX993">
        <v>0</v>
      </c>
      <c r="BY993" t="s">
        <v>135</v>
      </c>
      <c r="BZ993">
        <v>0</v>
      </c>
      <c r="CA993">
        <v>0</v>
      </c>
      <c r="CB993" t="s">
        <v>135</v>
      </c>
      <c r="CH993" s="2"/>
      <c r="CJ993" s="2"/>
      <c r="CL993" s="2"/>
      <c r="CN993" s="2"/>
      <c r="CQ993" s="2"/>
      <c r="CT993" s="2"/>
      <c r="CW993" s="2"/>
    </row>
    <row r="994" spans="1:101" x14ac:dyDescent="0.25">
      <c r="A994" s="1" t="s">
        <v>163</v>
      </c>
      <c r="B994" s="75" t="s">
        <v>164</v>
      </c>
      <c r="C994">
        <v>0</v>
      </c>
      <c r="D994">
        <v>0</v>
      </c>
      <c r="E994">
        <v>0</v>
      </c>
      <c r="F994">
        <v>604324.56000000006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3.91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7490</v>
      </c>
      <c r="AW994">
        <v>3350</v>
      </c>
      <c r="AX994">
        <v>1219</v>
      </c>
      <c r="AY994">
        <v>12059</v>
      </c>
      <c r="AZ994">
        <v>4202</v>
      </c>
      <c r="BA994">
        <v>7438</v>
      </c>
      <c r="BB994">
        <v>1432</v>
      </c>
      <c r="BC994">
        <v>13072</v>
      </c>
      <c r="BD994">
        <v>9486</v>
      </c>
      <c r="BE994">
        <v>9222</v>
      </c>
      <c r="BF994">
        <v>1768</v>
      </c>
      <c r="BG994">
        <v>20476</v>
      </c>
      <c r="BH994">
        <v>0</v>
      </c>
      <c r="BI994">
        <v>0</v>
      </c>
      <c r="BJ994">
        <v>0</v>
      </c>
      <c r="BK994">
        <v>0</v>
      </c>
      <c r="BL994" s="2">
        <v>24.82</v>
      </c>
      <c r="BM994" s="2">
        <v>42005.095138888886</v>
      </c>
      <c r="BN994" s="2">
        <v>5.4</v>
      </c>
      <c r="BO994" s="2">
        <v>42005.092361111114</v>
      </c>
      <c r="BP994" s="2">
        <v>6.92</v>
      </c>
      <c r="BQ994" s="2">
        <v>42005.092361111114</v>
      </c>
      <c r="BR994" s="2">
        <v>11.07</v>
      </c>
      <c r="BS994" s="2">
        <v>42005.092361111114</v>
      </c>
      <c r="BT994">
        <v>0</v>
      </c>
      <c r="BU994">
        <v>0</v>
      </c>
      <c r="BV994" t="s">
        <v>135</v>
      </c>
      <c r="BW994">
        <v>0</v>
      </c>
      <c r="BX994">
        <v>0</v>
      </c>
      <c r="BY994" t="s">
        <v>135</v>
      </c>
      <c r="BZ994">
        <v>0</v>
      </c>
      <c r="CA994">
        <v>0</v>
      </c>
      <c r="CB994" t="s">
        <v>135</v>
      </c>
      <c r="CH994" s="2"/>
      <c r="CJ994" s="2"/>
      <c r="CL994" s="2"/>
      <c r="CN994" s="2"/>
      <c r="CQ994" s="2"/>
      <c r="CT994" s="2"/>
      <c r="CW994" s="2"/>
    </row>
    <row r="995" spans="1:101" x14ac:dyDescent="0.25">
      <c r="A995" s="1" t="s">
        <v>163</v>
      </c>
      <c r="B995" s="75" t="s">
        <v>164</v>
      </c>
      <c r="C995">
        <v>0</v>
      </c>
      <c r="D995">
        <v>0</v>
      </c>
      <c r="E995">
        <v>0</v>
      </c>
      <c r="F995">
        <v>604324.56000000006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3.91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7490</v>
      </c>
      <c r="AW995">
        <v>3350</v>
      </c>
      <c r="AX995">
        <v>1219</v>
      </c>
      <c r="AY995">
        <v>12059</v>
      </c>
      <c r="AZ995">
        <v>4202</v>
      </c>
      <c r="BA995">
        <v>7438</v>
      </c>
      <c r="BB995">
        <v>1432</v>
      </c>
      <c r="BC995">
        <v>13072</v>
      </c>
      <c r="BD995">
        <v>9486</v>
      </c>
      <c r="BE995">
        <v>9222</v>
      </c>
      <c r="BF995">
        <v>1768</v>
      </c>
      <c r="BG995">
        <v>20476</v>
      </c>
      <c r="BH995">
        <v>0</v>
      </c>
      <c r="BI995">
        <v>0</v>
      </c>
      <c r="BJ995">
        <v>0</v>
      </c>
      <c r="BK995">
        <v>0</v>
      </c>
      <c r="BL995" s="2">
        <v>24.82</v>
      </c>
      <c r="BM995" s="2">
        <v>42005.095138888886</v>
      </c>
      <c r="BN995" s="2">
        <v>5.4</v>
      </c>
      <c r="BO995" s="2">
        <v>42005.092361111114</v>
      </c>
      <c r="BP995" s="2">
        <v>6.92</v>
      </c>
      <c r="BQ995" s="2">
        <v>42005.092361111114</v>
      </c>
      <c r="BR995" s="2">
        <v>11.07</v>
      </c>
      <c r="BS995" s="2">
        <v>42005.092361111114</v>
      </c>
      <c r="BT995">
        <v>0</v>
      </c>
      <c r="BU995">
        <v>0</v>
      </c>
      <c r="BV995" t="s">
        <v>135</v>
      </c>
      <c r="BW995">
        <v>0</v>
      </c>
      <c r="BX995">
        <v>0</v>
      </c>
      <c r="BY995" t="s">
        <v>135</v>
      </c>
      <c r="BZ995">
        <v>0</v>
      </c>
      <c r="CA995">
        <v>0</v>
      </c>
      <c r="CB995" t="s">
        <v>135</v>
      </c>
      <c r="CH995" s="2"/>
      <c r="CJ995" s="2"/>
      <c r="CL995" s="2"/>
      <c r="CN995" s="2"/>
      <c r="CQ995" s="2"/>
      <c r="CT995" s="2"/>
      <c r="CW995" s="2"/>
    </row>
    <row r="996" spans="1:101" x14ac:dyDescent="0.25">
      <c r="A996" s="1" t="s">
        <v>163</v>
      </c>
      <c r="B996" s="75" t="s">
        <v>164</v>
      </c>
      <c r="C996">
        <v>0</v>
      </c>
      <c r="D996">
        <v>0</v>
      </c>
      <c r="E996">
        <v>0</v>
      </c>
      <c r="F996">
        <v>604324.56000000006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3.91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7490</v>
      </c>
      <c r="AW996">
        <v>3350</v>
      </c>
      <c r="AX996">
        <v>1219</v>
      </c>
      <c r="AY996">
        <v>12059</v>
      </c>
      <c r="AZ996">
        <v>4202</v>
      </c>
      <c r="BA996">
        <v>7438</v>
      </c>
      <c r="BB996">
        <v>1432</v>
      </c>
      <c r="BC996">
        <v>13072</v>
      </c>
      <c r="BD996">
        <v>9486</v>
      </c>
      <c r="BE996">
        <v>9222</v>
      </c>
      <c r="BF996">
        <v>1768</v>
      </c>
      <c r="BG996">
        <v>20476</v>
      </c>
      <c r="BH996">
        <v>0</v>
      </c>
      <c r="BI996">
        <v>0</v>
      </c>
      <c r="BJ996">
        <v>0</v>
      </c>
      <c r="BK996">
        <v>0</v>
      </c>
      <c r="BL996" s="2">
        <v>24.82</v>
      </c>
      <c r="BM996" s="2">
        <v>42005.095138888886</v>
      </c>
      <c r="BN996" s="2">
        <v>5.4</v>
      </c>
      <c r="BO996" s="2">
        <v>42005.092361111114</v>
      </c>
      <c r="BP996" s="2">
        <v>6.92</v>
      </c>
      <c r="BQ996" s="2">
        <v>42005.092361111114</v>
      </c>
      <c r="BR996" s="2">
        <v>11.07</v>
      </c>
      <c r="BS996" s="2">
        <v>42005.092361111114</v>
      </c>
      <c r="BT996">
        <v>0</v>
      </c>
      <c r="BU996">
        <v>0</v>
      </c>
      <c r="BV996" t="s">
        <v>135</v>
      </c>
      <c r="BW996">
        <v>0</v>
      </c>
      <c r="BX996">
        <v>0</v>
      </c>
      <c r="BY996" t="s">
        <v>135</v>
      </c>
      <c r="BZ996">
        <v>0</v>
      </c>
      <c r="CA996">
        <v>0</v>
      </c>
      <c r="CB996" t="s">
        <v>135</v>
      </c>
      <c r="CH996" s="2"/>
      <c r="CJ996" s="2"/>
      <c r="CL996" s="2"/>
      <c r="CN996" s="2"/>
      <c r="CQ996" s="2"/>
      <c r="CT996" s="2"/>
      <c r="CW996" s="2"/>
    </row>
    <row r="997" spans="1:101" x14ac:dyDescent="0.25">
      <c r="A997" s="1" t="s">
        <v>163</v>
      </c>
      <c r="B997" s="75" t="s">
        <v>164</v>
      </c>
      <c r="C997">
        <v>0</v>
      </c>
      <c r="D997">
        <v>0</v>
      </c>
      <c r="E997">
        <v>0</v>
      </c>
      <c r="F997">
        <v>604324.56000000006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3.91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7490</v>
      </c>
      <c r="AW997">
        <v>3350</v>
      </c>
      <c r="AX997">
        <v>1219</v>
      </c>
      <c r="AY997">
        <v>12059</v>
      </c>
      <c r="AZ997">
        <v>4202</v>
      </c>
      <c r="BA997">
        <v>7438</v>
      </c>
      <c r="BB997">
        <v>1432</v>
      </c>
      <c r="BC997">
        <v>13072</v>
      </c>
      <c r="BD997">
        <v>9486</v>
      </c>
      <c r="BE997">
        <v>9222</v>
      </c>
      <c r="BF997">
        <v>1768</v>
      </c>
      <c r="BG997">
        <v>20476</v>
      </c>
      <c r="BH997">
        <v>0</v>
      </c>
      <c r="BI997">
        <v>0</v>
      </c>
      <c r="BJ997">
        <v>0</v>
      </c>
      <c r="BK997">
        <v>0</v>
      </c>
      <c r="BL997" s="2">
        <v>24.82</v>
      </c>
      <c r="BM997" s="2">
        <v>42005.095138888886</v>
      </c>
      <c r="BN997" s="2">
        <v>5.4</v>
      </c>
      <c r="BO997" s="2">
        <v>42005.092361111114</v>
      </c>
      <c r="BP997" s="2">
        <v>6.92</v>
      </c>
      <c r="BQ997" s="2">
        <v>42005.092361111114</v>
      </c>
      <c r="BR997" s="2">
        <v>11.07</v>
      </c>
      <c r="BS997" s="2">
        <v>42005.092361111114</v>
      </c>
      <c r="BT997">
        <v>0</v>
      </c>
      <c r="BU997">
        <v>0</v>
      </c>
      <c r="BV997" t="s">
        <v>135</v>
      </c>
      <c r="BW997">
        <v>0</v>
      </c>
      <c r="BX997">
        <v>0</v>
      </c>
      <c r="BY997" t="s">
        <v>135</v>
      </c>
      <c r="BZ997">
        <v>0</v>
      </c>
      <c r="CA997">
        <v>0</v>
      </c>
      <c r="CB997" t="s">
        <v>135</v>
      </c>
      <c r="CH997" s="2"/>
      <c r="CJ997" s="2"/>
      <c r="CL997" s="2"/>
      <c r="CN997" s="2"/>
      <c r="CQ997" s="2"/>
      <c r="CT997" s="2"/>
      <c r="CW997" s="2"/>
    </row>
    <row r="998" spans="1:101" x14ac:dyDescent="0.25">
      <c r="A998" s="1" t="s">
        <v>163</v>
      </c>
      <c r="B998" s="75" t="s">
        <v>164</v>
      </c>
      <c r="C998">
        <v>0</v>
      </c>
      <c r="D998">
        <v>0</v>
      </c>
      <c r="E998">
        <v>0</v>
      </c>
      <c r="F998">
        <v>604324.56000000006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3.91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7490</v>
      </c>
      <c r="AW998">
        <v>3350</v>
      </c>
      <c r="AX998">
        <v>1219</v>
      </c>
      <c r="AY998">
        <v>12059</v>
      </c>
      <c r="AZ998">
        <v>4202</v>
      </c>
      <c r="BA998">
        <v>7438</v>
      </c>
      <c r="BB998">
        <v>1432</v>
      </c>
      <c r="BC998">
        <v>13072</v>
      </c>
      <c r="BD998">
        <v>9486</v>
      </c>
      <c r="BE998">
        <v>9222</v>
      </c>
      <c r="BF998">
        <v>1768</v>
      </c>
      <c r="BG998">
        <v>20476</v>
      </c>
      <c r="BH998">
        <v>0</v>
      </c>
      <c r="BI998">
        <v>0</v>
      </c>
      <c r="BJ998">
        <v>0</v>
      </c>
      <c r="BK998">
        <v>0</v>
      </c>
      <c r="BL998" s="2">
        <v>24.82</v>
      </c>
      <c r="BM998" s="2">
        <v>42005.095138888886</v>
      </c>
      <c r="BN998" s="2">
        <v>5.4</v>
      </c>
      <c r="BO998" s="2">
        <v>42005.092361111114</v>
      </c>
      <c r="BP998" s="2">
        <v>6.92</v>
      </c>
      <c r="BQ998" s="2">
        <v>42005.092361111114</v>
      </c>
      <c r="BR998" s="2">
        <v>11.07</v>
      </c>
      <c r="BS998" s="2">
        <v>42005.092361111114</v>
      </c>
      <c r="BT998">
        <v>0</v>
      </c>
      <c r="BU998">
        <v>0</v>
      </c>
      <c r="BV998" t="s">
        <v>135</v>
      </c>
      <c r="BW998">
        <v>0</v>
      </c>
      <c r="BX998">
        <v>0</v>
      </c>
      <c r="BY998" t="s">
        <v>135</v>
      </c>
      <c r="BZ998">
        <v>0</v>
      </c>
      <c r="CA998">
        <v>0</v>
      </c>
      <c r="CB998" t="s">
        <v>135</v>
      </c>
      <c r="CH998" s="2"/>
      <c r="CJ998" s="2"/>
      <c r="CL998" s="2"/>
      <c r="CN998" s="2"/>
      <c r="CQ998" s="2"/>
      <c r="CT998" s="2"/>
      <c r="CW998" s="2"/>
    </row>
    <row r="999" spans="1:101" x14ac:dyDescent="0.25">
      <c r="A999" s="1" t="s">
        <v>163</v>
      </c>
      <c r="B999" s="75" t="s">
        <v>164</v>
      </c>
      <c r="C999">
        <v>0</v>
      </c>
      <c r="D999">
        <v>0</v>
      </c>
      <c r="E999">
        <v>0</v>
      </c>
      <c r="F999">
        <v>604324.56000000006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3.91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7490</v>
      </c>
      <c r="AW999">
        <v>3350</v>
      </c>
      <c r="AX999">
        <v>1219</v>
      </c>
      <c r="AY999">
        <v>12059</v>
      </c>
      <c r="AZ999">
        <v>4202</v>
      </c>
      <c r="BA999">
        <v>7438</v>
      </c>
      <c r="BB999">
        <v>1432</v>
      </c>
      <c r="BC999">
        <v>13072</v>
      </c>
      <c r="BD999">
        <v>9486</v>
      </c>
      <c r="BE999">
        <v>9222</v>
      </c>
      <c r="BF999">
        <v>1768</v>
      </c>
      <c r="BG999">
        <v>20476</v>
      </c>
      <c r="BH999">
        <v>0</v>
      </c>
      <c r="BI999">
        <v>0</v>
      </c>
      <c r="BJ999">
        <v>0</v>
      </c>
      <c r="BK999">
        <v>0</v>
      </c>
      <c r="BL999" s="2">
        <v>24.82</v>
      </c>
      <c r="BM999" s="2">
        <v>42005.095138888886</v>
      </c>
      <c r="BN999" s="2">
        <v>5.4</v>
      </c>
      <c r="BO999" s="2">
        <v>42005.092361111114</v>
      </c>
      <c r="BP999" s="2">
        <v>6.92</v>
      </c>
      <c r="BQ999" s="2">
        <v>42005.092361111114</v>
      </c>
      <c r="BR999" s="2">
        <v>11.07</v>
      </c>
      <c r="BS999" s="2">
        <v>42005.092361111114</v>
      </c>
      <c r="BT999">
        <v>0</v>
      </c>
      <c r="BU999">
        <v>0</v>
      </c>
      <c r="BV999" t="s">
        <v>135</v>
      </c>
      <c r="BW999">
        <v>0</v>
      </c>
      <c r="BX999">
        <v>0</v>
      </c>
      <c r="BY999" t="s">
        <v>135</v>
      </c>
      <c r="BZ999">
        <v>0</v>
      </c>
      <c r="CA999">
        <v>0</v>
      </c>
      <c r="CB999" t="s">
        <v>135</v>
      </c>
      <c r="CH999" s="2"/>
      <c r="CJ999" s="2"/>
      <c r="CL999" s="2"/>
      <c r="CN999" s="2"/>
      <c r="CQ999" s="2"/>
      <c r="CT999" s="2"/>
      <c r="CW999" s="2"/>
    </row>
    <row r="1000" spans="1:101" x14ac:dyDescent="0.25">
      <c r="A1000" s="1" t="s">
        <v>163</v>
      </c>
      <c r="B1000" s="75" t="s">
        <v>164</v>
      </c>
      <c r="C1000">
        <v>0</v>
      </c>
      <c r="D1000">
        <v>0</v>
      </c>
      <c r="E1000">
        <v>0</v>
      </c>
      <c r="F1000">
        <v>604324.56000000006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3.91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7490</v>
      </c>
      <c r="AW1000">
        <v>3350</v>
      </c>
      <c r="AX1000">
        <v>1219</v>
      </c>
      <c r="AY1000">
        <v>12059</v>
      </c>
      <c r="AZ1000">
        <v>4202</v>
      </c>
      <c r="BA1000">
        <v>7438</v>
      </c>
      <c r="BB1000">
        <v>1432</v>
      </c>
      <c r="BC1000">
        <v>13072</v>
      </c>
      <c r="BD1000">
        <v>9486</v>
      </c>
      <c r="BE1000">
        <v>9222</v>
      </c>
      <c r="BF1000">
        <v>1768</v>
      </c>
      <c r="BG1000">
        <v>20476</v>
      </c>
      <c r="BH1000">
        <v>0</v>
      </c>
      <c r="BI1000">
        <v>0</v>
      </c>
      <c r="BJ1000">
        <v>0</v>
      </c>
      <c r="BK1000">
        <v>0</v>
      </c>
      <c r="BL1000" s="2">
        <v>24.82</v>
      </c>
      <c r="BM1000" s="2">
        <v>42005.095138888886</v>
      </c>
      <c r="BN1000" s="2">
        <v>5.4</v>
      </c>
      <c r="BO1000" s="2">
        <v>42005.092361111114</v>
      </c>
      <c r="BP1000" s="2">
        <v>6.92</v>
      </c>
      <c r="BQ1000" s="2">
        <v>42005.092361111114</v>
      </c>
      <c r="BR1000" s="2">
        <v>11.07</v>
      </c>
      <c r="BS1000" s="2">
        <v>42005.092361111114</v>
      </c>
      <c r="BT1000">
        <v>0</v>
      </c>
      <c r="BU1000">
        <v>0</v>
      </c>
      <c r="BV1000" t="s">
        <v>135</v>
      </c>
      <c r="BW1000">
        <v>0</v>
      </c>
      <c r="BX1000">
        <v>0</v>
      </c>
      <c r="BY1000" t="s">
        <v>135</v>
      </c>
      <c r="BZ1000">
        <v>0</v>
      </c>
      <c r="CA1000">
        <v>0</v>
      </c>
      <c r="CB1000" t="s">
        <v>135</v>
      </c>
      <c r="CH1000" s="2"/>
      <c r="CJ1000" s="2"/>
      <c r="CL1000" s="2"/>
      <c r="CN1000" s="2"/>
      <c r="CQ1000" s="2"/>
      <c r="CT1000" s="2"/>
      <c r="CW1000" s="2"/>
    </row>
    <row r="1001" spans="1:101" x14ac:dyDescent="0.25">
      <c r="A1001" s="1" t="s">
        <v>163</v>
      </c>
      <c r="B1001" s="75" t="s">
        <v>164</v>
      </c>
      <c r="C1001">
        <v>0</v>
      </c>
      <c r="D1001">
        <v>0</v>
      </c>
      <c r="E1001">
        <v>0</v>
      </c>
      <c r="F1001">
        <v>604324.56000000006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3.91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7490</v>
      </c>
      <c r="AW1001">
        <v>3350</v>
      </c>
      <c r="AX1001">
        <v>1219</v>
      </c>
      <c r="AY1001">
        <v>12059</v>
      </c>
      <c r="AZ1001">
        <v>4202</v>
      </c>
      <c r="BA1001">
        <v>7438</v>
      </c>
      <c r="BB1001">
        <v>1432</v>
      </c>
      <c r="BC1001">
        <v>13072</v>
      </c>
      <c r="BD1001">
        <v>9486</v>
      </c>
      <c r="BE1001">
        <v>9222</v>
      </c>
      <c r="BF1001">
        <v>1768</v>
      </c>
      <c r="BG1001">
        <v>20476</v>
      </c>
      <c r="BH1001">
        <v>0</v>
      </c>
      <c r="BI1001">
        <v>0</v>
      </c>
      <c r="BJ1001">
        <v>0</v>
      </c>
      <c r="BK1001">
        <v>0</v>
      </c>
      <c r="BL1001" s="2">
        <v>24.82</v>
      </c>
      <c r="BM1001" s="2">
        <v>42005.095138888886</v>
      </c>
      <c r="BN1001" s="2">
        <v>5.4</v>
      </c>
      <c r="BO1001" s="2">
        <v>42005.092361111114</v>
      </c>
      <c r="BP1001" s="2">
        <v>6.92</v>
      </c>
      <c r="BQ1001" s="2">
        <v>42005.092361111114</v>
      </c>
      <c r="BR1001" s="2">
        <v>11.07</v>
      </c>
      <c r="BS1001" s="2">
        <v>42005.092361111114</v>
      </c>
      <c r="BT1001">
        <v>0</v>
      </c>
      <c r="BU1001">
        <v>0</v>
      </c>
      <c r="BV1001" t="s">
        <v>135</v>
      </c>
      <c r="BW1001">
        <v>0</v>
      </c>
      <c r="BX1001">
        <v>0</v>
      </c>
      <c r="BY1001" t="s">
        <v>135</v>
      </c>
      <c r="BZ1001">
        <v>0</v>
      </c>
      <c r="CA1001">
        <v>0</v>
      </c>
      <c r="CB1001" t="s">
        <v>135</v>
      </c>
      <c r="CH1001" s="2"/>
      <c r="CJ1001" s="2"/>
      <c r="CL1001" s="2"/>
      <c r="CN1001" s="2"/>
      <c r="CQ1001" s="2"/>
      <c r="CT1001" s="2"/>
      <c r="CW1001" s="2"/>
    </row>
    <row r="1002" spans="1:101" x14ac:dyDescent="0.25">
      <c r="A1002" s="1" t="s">
        <v>163</v>
      </c>
      <c r="B1002" s="75" t="s">
        <v>164</v>
      </c>
      <c r="C1002">
        <v>0</v>
      </c>
      <c r="D1002">
        <v>0</v>
      </c>
      <c r="E1002">
        <v>0</v>
      </c>
      <c r="F1002">
        <v>604324.56000000006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3.91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7490</v>
      </c>
      <c r="AW1002">
        <v>3350</v>
      </c>
      <c r="AX1002">
        <v>1219</v>
      </c>
      <c r="AY1002">
        <v>12059</v>
      </c>
      <c r="AZ1002">
        <v>4202</v>
      </c>
      <c r="BA1002">
        <v>7438</v>
      </c>
      <c r="BB1002">
        <v>1432</v>
      </c>
      <c r="BC1002">
        <v>13072</v>
      </c>
      <c r="BD1002">
        <v>9486</v>
      </c>
      <c r="BE1002">
        <v>9222</v>
      </c>
      <c r="BF1002">
        <v>1768</v>
      </c>
      <c r="BG1002">
        <v>20476</v>
      </c>
      <c r="BH1002">
        <v>0</v>
      </c>
      <c r="BI1002">
        <v>0</v>
      </c>
      <c r="BJ1002">
        <v>0</v>
      </c>
      <c r="BK1002">
        <v>0</v>
      </c>
      <c r="BL1002" s="2">
        <v>24.82</v>
      </c>
      <c r="BM1002" s="2">
        <v>42005.095138888886</v>
      </c>
      <c r="BN1002" s="2">
        <v>5.4</v>
      </c>
      <c r="BO1002" s="2">
        <v>42005.092361111114</v>
      </c>
      <c r="BP1002" s="2">
        <v>6.92</v>
      </c>
      <c r="BQ1002" s="2">
        <v>42005.092361111114</v>
      </c>
      <c r="BR1002" s="2">
        <v>11.07</v>
      </c>
      <c r="BS1002" s="2">
        <v>42005.092361111114</v>
      </c>
      <c r="BT1002">
        <v>0</v>
      </c>
      <c r="BU1002">
        <v>0</v>
      </c>
      <c r="BV1002" t="s">
        <v>135</v>
      </c>
      <c r="BW1002">
        <v>0</v>
      </c>
      <c r="BX1002">
        <v>0</v>
      </c>
      <c r="BY1002" t="s">
        <v>135</v>
      </c>
      <c r="BZ1002">
        <v>0</v>
      </c>
      <c r="CA1002">
        <v>0</v>
      </c>
      <c r="CB1002" t="s">
        <v>135</v>
      </c>
      <c r="CH1002" s="2"/>
      <c r="CJ1002" s="2"/>
      <c r="CL1002" s="2"/>
      <c r="CN1002" s="2"/>
      <c r="CQ1002" s="2"/>
      <c r="CT1002" s="2"/>
      <c r="CW1002" s="2"/>
    </row>
    <row r="1003" spans="1:101" x14ac:dyDescent="0.25">
      <c r="A1003" s="1" t="s">
        <v>163</v>
      </c>
      <c r="B1003" s="75" t="s">
        <v>164</v>
      </c>
      <c r="C1003">
        <v>0</v>
      </c>
      <c r="D1003">
        <v>0</v>
      </c>
      <c r="E1003">
        <v>0</v>
      </c>
      <c r="F1003">
        <v>604324.56000000006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3.91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7490</v>
      </c>
      <c r="AW1003">
        <v>3350</v>
      </c>
      <c r="AX1003">
        <v>1219</v>
      </c>
      <c r="AY1003">
        <v>12059</v>
      </c>
      <c r="AZ1003">
        <v>4202</v>
      </c>
      <c r="BA1003">
        <v>7438</v>
      </c>
      <c r="BB1003">
        <v>1432</v>
      </c>
      <c r="BC1003">
        <v>13072</v>
      </c>
      <c r="BD1003">
        <v>9486</v>
      </c>
      <c r="BE1003">
        <v>9222</v>
      </c>
      <c r="BF1003">
        <v>1768</v>
      </c>
      <c r="BG1003">
        <v>20476</v>
      </c>
      <c r="BH1003">
        <v>0</v>
      </c>
      <c r="BI1003">
        <v>0</v>
      </c>
      <c r="BJ1003">
        <v>0</v>
      </c>
      <c r="BK1003">
        <v>0</v>
      </c>
      <c r="BL1003" s="2">
        <v>24.82</v>
      </c>
      <c r="BM1003" s="2">
        <v>42005.095138888886</v>
      </c>
      <c r="BN1003" s="2">
        <v>5.4</v>
      </c>
      <c r="BO1003" s="2">
        <v>42005.092361111114</v>
      </c>
      <c r="BP1003" s="2">
        <v>6.92</v>
      </c>
      <c r="BQ1003" s="2">
        <v>42005.092361111114</v>
      </c>
      <c r="BR1003" s="2">
        <v>11.07</v>
      </c>
      <c r="BS1003" s="2">
        <v>42005.092361111114</v>
      </c>
      <c r="BT1003">
        <v>0</v>
      </c>
      <c r="BU1003">
        <v>0</v>
      </c>
      <c r="BV1003" t="s">
        <v>135</v>
      </c>
      <c r="BW1003">
        <v>0</v>
      </c>
      <c r="BX1003">
        <v>0</v>
      </c>
      <c r="BY1003" t="s">
        <v>135</v>
      </c>
      <c r="BZ1003">
        <v>0</v>
      </c>
      <c r="CA1003">
        <v>0</v>
      </c>
      <c r="CB1003" t="s">
        <v>135</v>
      </c>
      <c r="CH1003" s="2"/>
      <c r="CJ1003" s="2"/>
      <c r="CL1003" s="2"/>
      <c r="CN1003" s="2"/>
      <c r="CQ1003" s="2"/>
      <c r="CT1003" s="2"/>
      <c r="CW1003" s="2"/>
    </row>
    <row r="1004" spans="1:101" x14ac:dyDescent="0.25">
      <c r="A1004" s="1" t="s">
        <v>163</v>
      </c>
      <c r="B1004" s="75" t="s">
        <v>164</v>
      </c>
      <c r="C1004">
        <v>0</v>
      </c>
      <c r="D1004">
        <v>0</v>
      </c>
      <c r="E1004">
        <v>0</v>
      </c>
      <c r="F1004">
        <v>604324.56000000006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3.91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7490</v>
      </c>
      <c r="AW1004">
        <v>3350</v>
      </c>
      <c r="AX1004">
        <v>1219</v>
      </c>
      <c r="AY1004">
        <v>12059</v>
      </c>
      <c r="AZ1004">
        <v>4202</v>
      </c>
      <c r="BA1004">
        <v>7438</v>
      </c>
      <c r="BB1004">
        <v>1432</v>
      </c>
      <c r="BC1004">
        <v>13072</v>
      </c>
      <c r="BD1004">
        <v>9486</v>
      </c>
      <c r="BE1004">
        <v>9222</v>
      </c>
      <c r="BF1004">
        <v>1768</v>
      </c>
      <c r="BG1004">
        <v>20476</v>
      </c>
      <c r="BH1004">
        <v>0</v>
      </c>
      <c r="BI1004">
        <v>0</v>
      </c>
      <c r="BJ1004">
        <v>0</v>
      </c>
      <c r="BK1004">
        <v>0</v>
      </c>
      <c r="BL1004" s="2">
        <v>24.82</v>
      </c>
      <c r="BM1004" s="2">
        <v>42005.095138888886</v>
      </c>
      <c r="BN1004" s="2">
        <v>5.4</v>
      </c>
      <c r="BO1004" s="2">
        <v>42005.092361111114</v>
      </c>
      <c r="BP1004" s="2">
        <v>6.92</v>
      </c>
      <c r="BQ1004" s="2">
        <v>42005.092361111114</v>
      </c>
      <c r="BR1004" s="2">
        <v>11.07</v>
      </c>
      <c r="BS1004" s="2">
        <v>42005.092361111114</v>
      </c>
      <c r="BT1004">
        <v>0</v>
      </c>
      <c r="BU1004">
        <v>0</v>
      </c>
      <c r="BV1004" t="s">
        <v>135</v>
      </c>
      <c r="BW1004">
        <v>0</v>
      </c>
      <c r="BX1004">
        <v>0</v>
      </c>
      <c r="BY1004" t="s">
        <v>135</v>
      </c>
      <c r="BZ1004">
        <v>0</v>
      </c>
      <c r="CA1004">
        <v>0</v>
      </c>
      <c r="CB1004" t="s">
        <v>135</v>
      </c>
      <c r="CH1004" s="2"/>
      <c r="CJ1004" s="2"/>
      <c r="CL1004" s="2"/>
      <c r="CN1004" s="2"/>
      <c r="CQ1004" s="2"/>
      <c r="CT1004" s="2"/>
      <c r="CW1004" s="2"/>
    </row>
    <row r="1005" spans="1:101" x14ac:dyDescent="0.25">
      <c r="A1005" s="1" t="s">
        <v>163</v>
      </c>
      <c r="B1005" s="75" t="s">
        <v>164</v>
      </c>
      <c r="C1005">
        <v>0</v>
      </c>
      <c r="D1005">
        <v>0</v>
      </c>
      <c r="E1005">
        <v>0</v>
      </c>
      <c r="F1005">
        <v>604324.56000000006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3.91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7490</v>
      </c>
      <c r="AW1005">
        <v>3350</v>
      </c>
      <c r="AX1005">
        <v>1219</v>
      </c>
      <c r="AY1005">
        <v>12059</v>
      </c>
      <c r="AZ1005">
        <v>4202</v>
      </c>
      <c r="BA1005">
        <v>7438</v>
      </c>
      <c r="BB1005">
        <v>1432</v>
      </c>
      <c r="BC1005">
        <v>13072</v>
      </c>
      <c r="BD1005">
        <v>9486</v>
      </c>
      <c r="BE1005">
        <v>9222</v>
      </c>
      <c r="BF1005">
        <v>1768</v>
      </c>
      <c r="BG1005">
        <v>20476</v>
      </c>
      <c r="BH1005">
        <v>0</v>
      </c>
      <c r="BI1005">
        <v>0</v>
      </c>
      <c r="BJ1005">
        <v>0</v>
      </c>
      <c r="BK1005">
        <v>0</v>
      </c>
      <c r="BL1005" s="2">
        <v>24.82</v>
      </c>
      <c r="BM1005" s="2">
        <v>42005.095138888886</v>
      </c>
      <c r="BN1005" s="2">
        <v>5.4</v>
      </c>
      <c r="BO1005" s="2">
        <v>42005.092361111114</v>
      </c>
      <c r="BP1005" s="2">
        <v>6.92</v>
      </c>
      <c r="BQ1005" s="2">
        <v>42005.092361111114</v>
      </c>
      <c r="BR1005" s="2">
        <v>11.07</v>
      </c>
      <c r="BS1005" s="2">
        <v>42005.092361111114</v>
      </c>
      <c r="BT1005">
        <v>0</v>
      </c>
      <c r="BU1005">
        <v>0</v>
      </c>
      <c r="BV1005" t="s">
        <v>135</v>
      </c>
      <c r="BW1005">
        <v>0</v>
      </c>
      <c r="BX1005">
        <v>0</v>
      </c>
      <c r="BY1005" t="s">
        <v>135</v>
      </c>
      <c r="BZ1005">
        <v>0</v>
      </c>
      <c r="CA1005">
        <v>0</v>
      </c>
      <c r="CB1005" t="s">
        <v>135</v>
      </c>
      <c r="CH1005" s="2"/>
      <c r="CJ1005" s="2"/>
      <c r="CL1005" s="2"/>
      <c r="CN1005" s="2"/>
      <c r="CQ1005" s="2"/>
      <c r="CT1005" s="2"/>
      <c r="CW1005" s="2"/>
    </row>
    <row r="1006" spans="1:101" x14ac:dyDescent="0.25">
      <c r="A1006" s="1" t="s">
        <v>163</v>
      </c>
      <c r="B1006" s="75" t="s">
        <v>164</v>
      </c>
      <c r="C1006">
        <v>0</v>
      </c>
      <c r="D1006">
        <v>0</v>
      </c>
      <c r="E1006">
        <v>0</v>
      </c>
      <c r="F1006">
        <v>604324.56000000006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3.91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7490</v>
      </c>
      <c r="AW1006">
        <v>3350</v>
      </c>
      <c r="AX1006">
        <v>1219</v>
      </c>
      <c r="AY1006">
        <v>12059</v>
      </c>
      <c r="AZ1006">
        <v>4202</v>
      </c>
      <c r="BA1006">
        <v>7438</v>
      </c>
      <c r="BB1006">
        <v>1432</v>
      </c>
      <c r="BC1006">
        <v>13072</v>
      </c>
      <c r="BD1006">
        <v>9486</v>
      </c>
      <c r="BE1006">
        <v>9222</v>
      </c>
      <c r="BF1006">
        <v>1768</v>
      </c>
      <c r="BG1006">
        <v>20476</v>
      </c>
      <c r="BH1006">
        <v>0</v>
      </c>
      <c r="BI1006">
        <v>0</v>
      </c>
      <c r="BJ1006">
        <v>0</v>
      </c>
      <c r="BK1006">
        <v>0</v>
      </c>
      <c r="BL1006" s="2">
        <v>24.82</v>
      </c>
      <c r="BM1006" s="2">
        <v>42005.095138888886</v>
      </c>
      <c r="BN1006" s="2">
        <v>5.4</v>
      </c>
      <c r="BO1006" s="2">
        <v>42005.092361111114</v>
      </c>
      <c r="BP1006" s="2">
        <v>6.92</v>
      </c>
      <c r="BQ1006" s="2">
        <v>42005.092361111114</v>
      </c>
      <c r="BR1006" s="2">
        <v>11.07</v>
      </c>
      <c r="BS1006" s="2">
        <v>42005.092361111114</v>
      </c>
      <c r="BT1006">
        <v>0</v>
      </c>
      <c r="BU1006">
        <v>0</v>
      </c>
      <c r="BV1006" t="s">
        <v>135</v>
      </c>
      <c r="BW1006">
        <v>0</v>
      </c>
      <c r="BX1006">
        <v>0</v>
      </c>
      <c r="BY1006" t="s">
        <v>135</v>
      </c>
      <c r="BZ1006">
        <v>0</v>
      </c>
      <c r="CA1006">
        <v>0</v>
      </c>
      <c r="CB1006" t="s">
        <v>135</v>
      </c>
      <c r="CH1006" s="2"/>
      <c r="CJ1006" s="2"/>
      <c r="CL1006" s="2"/>
      <c r="CN1006" s="2"/>
      <c r="CQ1006" s="2"/>
      <c r="CT1006" s="2"/>
      <c r="CW1006" s="2"/>
    </row>
    <row r="1007" spans="1:101" x14ac:dyDescent="0.25">
      <c r="A1007" s="1" t="s">
        <v>163</v>
      </c>
      <c r="B1007" s="75" t="s">
        <v>164</v>
      </c>
      <c r="C1007">
        <v>0</v>
      </c>
      <c r="D1007">
        <v>0</v>
      </c>
      <c r="E1007">
        <v>0</v>
      </c>
      <c r="F1007">
        <v>604324.56000000006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3.91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7490</v>
      </c>
      <c r="AW1007">
        <v>3350</v>
      </c>
      <c r="AX1007">
        <v>1219</v>
      </c>
      <c r="AY1007">
        <v>12059</v>
      </c>
      <c r="AZ1007">
        <v>4202</v>
      </c>
      <c r="BA1007">
        <v>7438</v>
      </c>
      <c r="BB1007">
        <v>1432</v>
      </c>
      <c r="BC1007">
        <v>13072</v>
      </c>
      <c r="BD1007">
        <v>9486</v>
      </c>
      <c r="BE1007">
        <v>9222</v>
      </c>
      <c r="BF1007">
        <v>1768</v>
      </c>
      <c r="BG1007">
        <v>20476</v>
      </c>
      <c r="BH1007">
        <v>0</v>
      </c>
      <c r="BI1007">
        <v>0</v>
      </c>
      <c r="BJ1007">
        <v>0</v>
      </c>
      <c r="BK1007">
        <v>0</v>
      </c>
      <c r="BL1007" s="2">
        <v>24.82</v>
      </c>
      <c r="BM1007" s="2">
        <v>42005.095138888886</v>
      </c>
      <c r="BN1007" s="2">
        <v>5.4</v>
      </c>
      <c r="BO1007" s="2">
        <v>42005.092361111114</v>
      </c>
      <c r="BP1007" s="2">
        <v>6.92</v>
      </c>
      <c r="BQ1007" s="2">
        <v>42005.092361111114</v>
      </c>
      <c r="BR1007" s="2">
        <v>11.07</v>
      </c>
      <c r="BS1007" s="2">
        <v>42005.092361111114</v>
      </c>
      <c r="BT1007">
        <v>0</v>
      </c>
      <c r="BU1007">
        <v>0</v>
      </c>
      <c r="BV1007" t="s">
        <v>135</v>
      </c>
      <c r="BW1007">
        <v>0</v>
      </c>
      <c r="BX1007">
        <v>0</v>
      </c>
      <c r="BY1007" t="s">
        <v>135</v>
      </c>
      <c r="BZ1007">
        <v>0</v>
      </c>
      <c r="CA1007">
        <v>0</v>
      </c>
      <c r="CB1007" t="s">
        <v>135</v>
      </c>
      <c r="CH1007" s="2"/>
      <c r="CJ1007" s="2"/>
      <c r="CL1007" s="2"/>
      <c r="CN1007" s="2"/>
      <c r="CQ1007" s="2"/>
      <c r="CT1007" s="2"/>
      <c r="CW1007" s="2"/>
    </row>
    <row r="1008" spans="1:101" x14ac:dyDescent="0.25">
      <c r="A1008" s="1" t="s">
        <v>163</v>
      </c>
      <c r="B1008" s="75" t="s">
        <v>164</v>
      </c>
      <c r="C1008">
        <v>0</v>
      </c>
      <c r="D1008">
        <v>0</v>
      </c>
      <c r="E1008">
        <v>0</v>
      </c>
      <c r="F1008">
        <v>604324.56000000006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3.91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7490</v>
      </c>
      <c r="AW1008">
        <v>3350</v>
      </c>
      <c r="AX1008">
        <v>1219</v>
      </c>
      <c r="AY1008">
        <v>12059</v>
      </c>
      <c r="AZ1008">
        <v>4202</v>
      </c>
      <c r="BA1008">
        <v>7438</v>
      </c>
      <c r="BB1008">
        <v>1432</v>
      </c>
      <c r="BC1008">
        <v>13072</v>
      </c>
      <c r="BD1008">
        <v>9486</v>
      </c>
      <c r="BE1008">
        <v>9222</v>
      </c>
      <c r="BF1008">
        <v>1768</v>
      </c>
      <c r="BG1008">
        <v>20476</v>
      </c>
      <c r="BH1008">
        <v>0</v>
      </c>
      <c r="BI1008">
        <v>0</v>
      </c>
      <c r="BJ1008">
        <v>0</v>
      </c>
      <c r="BK1008">
        <v>0</v>
      </c>
      <c r="BL1008" s="2">
        <v>24.82</v>
      </c>
      <c r="BM1008" s="2">
        <v>42005.095138888886</v>
      </c>
      <c r="BN1008" s="2">
        <v>5.4</v>
      </c>
      <c r="BO1008" s="2">
        <v>42005.092361111114</v>
      </c>
      <c r="BP1008" s="2">
        <v>6.92</v>
      </c>
      <c r="BQ1008" s="2">
        <v>42005.092361111114</v>
      </c>
      <c r="BR1008" s="2">
        <v>11.07</v>
      </c>
      <c r="BS1008" s="2">
        <v>42005.092361111114</v>
      </c>
      <c r="BT1008">
        <v>0</v>
      </c>
      <c r="BU1008">
        <v>0</v>
      </c>
      <c r="BV1008" t="s">
        <v>135</v>
      </c>
      <c r="BW1008">
        <v>0</v>
      </c>
      <c r="BX1008">
        <v>0</v>
      </c>
      <c r="BY1008" t="s">
        <v>135</v>
      </c>
      <c r="BZ1008">
        <v>0</v>
      </c>
      <c r="CA1008">
        <v>0</v>
      </c>
      <c r="CB1008" t="s">
        <v>135</v>
      </c>
      <c r="CH1008" s="2"/>
      <c r="CJ1008" s="2"/>
      <c r="CL1008" s="2"/>
      <c r="CN1008" s="2"/>
      <c r="CQ1008" s="2"/>
      <c r="CT1008" s="2"/>
      <c r="CW1008" s="2"/>
    </row>
    <row r="1009" spans="1:101" x14ac:dyDescent="0.25">
      <c r="A1009" s="1" t="s">
        <v>163</v>
      </c>
      <c r="B1009" s="75" t="s">
        <v>164</v>
      </c>
      <c r="C1009">
        <v>0</v>
      </c>
      <c r="D1009">
        <v>0</v>
      </c>
      <c r="E1009">
        <v>0</v>
      </c>
      <c r="F1009">
        <v>604324.56000000006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3.91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7490</v>
      </c>
      <c r="AW1009">
        <v>3350</v>
      </c>
      <c r="AX1009">
        <v>1219</v>
      </c>
      <c r="AY1009">
        <v>12059</v>
      </c>
      <c r="AZ1009">
        <v>4202</v>
      </c>
      <c r="BA1009">
        <v>7438</v>
      </c>
      <c r="BB1009">
        <v>1432</v>
      </c>
      <c r="BC1009">
        <v>13072</v>
      </c>
      <c r="BD1009">
        <v>9486</v>
      </c>
      <c r="BE1009">
        <v>9222</v>
      </c>
      <c r="BF1009">
        <v>1768</v>
      </c>
      <c r="BG1009">
        <v>20476</v>
      </c>
      <c r="BH1009">
        <v>0</v>
      </c>
      <c r="BI1009">
        <v>0</v>
      </c>
      <c r="BJ1009">
        <v>0</v>
      </c>
      <c r="BK1009">
        <v>0</v>
      </c>
      <c r="BL1009" s="2">
        <v>24.82</v>
      </c>
      <c r="BM1009" s="2">
        <v>42005.095138888886</v>
      </c>
      <c r="BN1009" s="2">
        <v>5.4</v>
      </c>
      <c r="BO1009" s="2">
        <v>42005.092361111114</v>
      </c>
      <c r="BP1009" s="2">
        <v>6.92</v>
      </c>
      <c r="BQ1009" s="2">
        <v>42005.092361111114</v>
      </c>
      <c r="BR1009" s="2">
        <v>11.07</v>
      </c>
      <c r="BS1009" s="2">
        <v>42005.092361111114</v>
      </c>
      <c r="BT1009">
        <v>0</v>
      </c>
      <c r="BU1009">
        <v>0</v>
      </c>
      <c r="BV1009" t="s">
        <v>135</v>
      </c>
      <c r="BW1009">
        <v>0</v>
      </c>
      <c r="BX1009">
        <v>0</v>
      </c>
      <c r="BY1009" t="s">
        <v>135</v>
      </c>
      <c r="BZ1009">
        <v>0</v>
      </c>
      <c r="CA1009">
        <v>0</v>
      </c>
      <c r="CB1009" t="s">
        <v>135</v>
      </c>
      <c r="CH1009" s="2"/>
      <c r="CJ1009" s="2"/>
      <c r="CL1009" s="2"/>
      <c r="CN1009" s="2"/>
      <c r="CQ1009" s="2"/>
      <c r="CT1009" s="2"/>
      <c r="CW1009" s="2"/>
    </row>
    <row r="1010" spans="1:101" x14ac:dyDescent="0.25">
      <c r="A1010" s="1" t="s">
        <v>163</v>
      </c>
      <c r="B1010" s="75" t="s">
        <v>164</v>
      </c>
      <c r="C1010">
        <v>0</v>
      </c>
      <c r="D1010">
        <v>0</v>
      </c>
      <c r="E1010">
        <v>0</v>
      </c>
      <c r="F1010">
        <v>604324.56000000006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3.91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7490</v>
      </c>
      <c r="AW1010">
        <v>3350</v>
      </c>
      <c r="AX1010">
        <v>1219</v>
      </c>
      <c r="AY1010">
        <v>12059</v>
      </c>
      <c r="AZ1010">
        <v>4202</v>
      </c>
      <c r="BA1010">
        <v>7438</v>
      </c>
      <c r="BB1010">
        <v>1432</v>
      </c>
      <c r="BC1010">
        <v>13072</v>
      </c>
      <c r="BD1010">
        <v>9486</v>
      </c>
      <c r="BE1010">
        <v>9222</v>
      </c>
      <c r="BF1010">
        <v>1768</v>
      </c>
      <c r="BG1010">
        <v>20476</v>
      </c>
      <c r="BH1010">
        <v>0</v>
      </c>
      <c r="BI1010">
        <v>0</v>
      </c>
      <c r="BJ1010">
        <v>0</v>
      </c>
      <c r="BK1010">
        <v>0</v>
      </c>
      <c r="BL1010" s="2">
        <v>24.82</v>
      </c>
      <c r="BM1010" s="2">
        <v>42005.095138888886</v>
      </c>
      <c r="BN1010" s="2">
        <v>5.4</v>
      </c>
      <c r="BO1010" s="2">
        <v>42005.092361111114</v>
      </c>
      <c r="BP1010" s="2">
        <v>6.92</v>
      </c>
      <c r="BQ1010" s="2">
        <v>42005.092361111114</v>
      </c>
      <c r="BR1010" s="2">
        <v>11.07</v>
      </c>
      <c r="BS1010" s="2">
        <v>42005.092361111114</v>
      </c>
      <c r="BT1010">
        <v>0</v>
      </c>
      <c r="BU1010">
        <v>0</v>
      </c>
      <c r="BV1010" t="s">
        <v>135</v>
      </c>
      <c r="BW1010">
        <v>0</v>
      </c>
      <c r="BX1010">
        <v>0</v>
      </c>
      <c r="BY1010" t="s">
        <v>135</v>
      </c>
      <c r="BZ1010">
        <v>0</v>
      </c>
      <c r="CA1010">
        <v>0</v>
      </c>
      <c r="CB1010" t="s">
        <v>135</v>
      </c>
      <c r="CH1010" s="2"/>
      <c r="CJ1010" s="2"/>
      <c r="CL1010" s="2"/>
      <c r="CN1010" s="2"/>
      <c r="CQ1010" s="2"/>
      <c r="CT1010" s="2"/>
      <c r="CW1010" s="2"/>
    </row>
    <row r="1011" spans="1:101" x14ac:dyDescent="0.25">
      <c r="A1011" s="1" t="s">
        <v>163</v>
      </c>
      <c r="B1011" s="75" t="s">
        <v>164</v>
      </c>
      <c r="C1011">
        <v>0</v>
      </c>
      <c r="D1011">
        <v>0</v>
      </c>
      <c r="E1011">
        <v>0</v>
      </c>
      <c r="F1011">
        <v>604324.56000000006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3.91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7490</v>
      </c>
      <c r="AW1011">
        <v>3350</v>
      </c>
      <c r="AX1011">
        <v>1219</v>
      </c>
      <c r="AY1011">
        <v>12059</v>
      </c>
      <c r="AZ1011">
        <v>4202</v>
      </c>
      <c r="BA1011">
        <v>7438</v>
      </c>
      <c r="BB1011">
        <v>1432</v>
      </c>
      <c r="BC1011">
        <v>13072</v>
      </c>
      <c r="BD1011">
        <v>9486</v>
      </c>
      <c r="BE1011">
        <v>9222</v>
      </c>
      <c r="BF1011">
        <v>1768</v>
      </c>
      <c r="BG1011">
        <v>20476</v>
      </c>
      <c r="BH1011">
        <v>0</v>
      </c>
      <c r="BI1011">
        <v>0</v>
      </c>
      <c r="BJ1011">
        <v>0</v>
      </c>
      <c r="BK1011">
        <v>0</v>
      </c>
      <c r="BL1011" s="2">
        <v>24.82</v>
      </c>
      <c r="BM1011" s="2">
        <v>42005.095138888886</v>
      </c>
      <c r="BN1011" s="2">
        <v>5.4</v>
      </c>
      <c r="BO1011" s="2">
        <v>42005.092361111114</v>
      </c>
      <c r="BP1011" s="2">
        <v>6.92</v>
      </c>
      <c r="BQ1011" s="2">
        <v>42005.092361111114</v>
      </c>
      <c r="BR1011" s="2">
        <v>11.07</v>
      </c>
      <c r="BS1011" s="2">
        <v>42005.092361111114</v>
      </c>
      <c r="BT1011">
        <v>0</v>
      </c>
      <c r="BU1011">
        <v>0</v>
      </c>
      <c r="BV1011" t="s">
        <v>135</v>
      </c>
      <c r="BW1011">
        <v>0</v>
      </c>
      <c r="BX1011">
        <v>0</v>
      </c>
      <c r="BY1011" t="s">
        <v>135</v>
      </c>
      <c r="BZ1011">
        <v>0</v>
      </c>
      <c r="CA1011">
        <v>0</v>
      </c>
      <c r="CB1011" t="s">
        <v>135</v>
      </c>
      <c r="CH1011" s="2"/>
      <c r="CJ1011" s="2"/>
      <c r="CL1011" s="2"/>
      <c r="CN1011" s="2"/>
      <c r="CQ1011" s="2"/>
      <c r="CT1011" s="2"/>
      <c r="CW1011" s="2"/>
    </row>
    <row r="1012" spans="1:101" x14ac:dyDescent="0.25">
      <c r="A1012" s="1" t="s">
        <v>163</v>
      </c>
      <c r="B1012" s="75" t="s">
        <v>164</v>
      </c>
      <c r="C1012">
        <v>0</v>
      </c>
      <c r="D1012">
        <v>0</v>
      </c>
      <c r="E1012">
        <v>0</v>
      </c>
      <c r="F1012">
        <v>604324.56000000006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3.91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7490</v>
      </c>
      <c r="AW1012">
        <v>3350</v>
      </c>
      <c r="AX1012">
        <v>1219</v>
      </c>
      <c r="AY1012">
        <v>12059</v>
      </c>
      <c r="AZ1012">
        <v>4202</v>
      </c>
      <c r="BA1012">
        <v>7438</v>
      </c>
      <c r="BB1012">
        <v>1432</v>
      </c>
      <c r="BC1012">
        <v>13072</v>
      </c>
      <c r="BD1012">
        <v>9486</v>
      </c>
      <c r="BE1012">
        <v>9222</v>
      </c>
      <c r="BF1012">
        <v>1768</v>
      </c>
      <c r="BG1012">
        <v>20476</v>
      </c>
      <c r="BH1012">
        <v>0</v>
      </c>
      <c r="BI1012">
        <v>0</v>
      </c>
      <c r="BJ1012">
        <v>0</v>
      </c>
      <c r="BK1012">
        <v>0</v>
      </c>
      <c r="BL1012" s="2">
        <v>24.82</v>
      </c>
      <c r="BM1012" s="2">
        <v>42005.095138888886</v>
      </c>
      <c r="BN1012" s="2">
        <v>5.4</v>
      </c>
      <c r="BO1012" s="2">
        <v>42005.092361111114</v>
      </c>
      <c r="BP1012" s="2">
        <v>6.92</v>
      </c>
      <c r="BQ1012" s="2">
        <v>42005.092361111114</v>
      </c>
      <c r="BR1012" s="2">
        <v>11.07</v>
      </c>
      <c r="BS1012" s="2">
        <v>42005.092361111114</v>
      </c>
      <c r="BT1012">
        <v>0</v>
      </c>
      <c r="BU1012">
        <v>0</v>
      </c>
      <c r="BV1012" t="s">
        <v>135</v>
      </c>
      <c r="BW1012">
        <v>0</v>
      </c>
      <c r="BX1012">
        <v>0</v>
      </c>
      <c r="BY1012" t="s">
        <v>135</v>
      </c>
      <c r="BZ1012">
        <v>0</v>
      </c>
      <c r="CA1012">
        <v>0</v>
      </c>
      <c r="CB1012" t="s">
        <v>135</v>
      </c>
      <c r="CH1012" s="2"/>
      <c r="CJ1012" s="2"/>
      <c r="CL1012" s="2"/>
      <c r="CN1012" s="2"/>
      <c r="CQ1012" s="2"/>
      <c r="CT1012" s="2"/>
      <c r="CW1012" s="2"/>
    </row>
    <row r="1013" spans="1:101" x14ac:dyDescent="0.25">
      <c r="A1013" s="1" t="s">
        <v>163</v>
      </c>
      <c r="B1013" s="75" t="s">
        <v>164</v>
      </c>
      <c r="C1013">
        <v>0</v>
      </c>
      <c r="D1013">
        <v>0</v>
      </c>
      <c r="E1013">
        <v>0</v>
      </c>
      <c r="F1013">
        <v>604324.56000000006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3.91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7490</v>
      </c>
      <c r="AW1013">
        <v>3350</v>
      </c>
      <c r="AX1013">
        <v>1219</v>
      </c>
      <c r="AY1013">
        <v>12059</v>
      </c>
      <c r="AZ1013">
        <v>4202</v>
      </c>
      <c r="BA1013">
        <v>7438</v>
      </c>
      <c r="BB1013">
        <v>1432</v>
      </c>
      <c r="BC1013">
        <v>13072</v>
      </c>
      <c r="BD1013">
        <v>9486</v>
      </c>
      <c r="BE1013">
        <v>9222</v>
      </c>
      <c r="BF1013">
        <v>1768</v>
      </c>
      <c r="BG1013">
        <v>20476</v>
      </c>
      <c r="BH1013">
        <v>0</v>
      </c>
      <c r="BI1013">
        <v>0</v>
      </c>
      <c r="BJ1013">
        <v>0</v>
      </c>
      <c r="BK1013">
        <v>0</v>
      </c>
      <c r="BL1013" s="2">
        <v>24.82</v>
      </c>
      <c r="BM1013" s="2">
        <v>42005.095138888886</v>
      </c>
      <c r="BN1013" s="2">
        <v>5.4</v>
      </c>
      <c r="BO1013" s="2">
        <v>42005.092361111114</v>
      </c>
      <c r="BP1013" s="2">
        <v>6.92</v>
      </c>
      <c r="BQ1013" s="2">
        <v>42005.092361111114</v>
      </c>
      <c r="BR1013" s="2">
        <v>11.07</v>
      </c>
      <c r="BS1013" s="2">
        <v>42005.092361111114</v>
      </c>
      <c r="BT1013">
        <v>0</v>
      </c>
      <c r="BU1013">
        <v>0</v>
      </c>
      <c r="BV1013" t="s">
        <v>135</v>
      </c>
      <c r="BW1013">
        <v>0</v>
      </c>
      <c r="BX1013">
        <v>0</v>
      </c>
      <c r="BY1013" t="s">
        <v>135</v>
      </c>
      <c r="BZ1013">
        <v>0</v>
      </c>
      <c r="CA1013">
        <v>0</v>
      </c>
      <c r="CB1013" t="s">
        <v>135</v>
      </c>
      <c r="CH1013" s="2"/>
      <c r="CJ1013" s="2"/>
      <c r="CL1013" s="2"/>
      <c r="CN1013" s="2"/>
      <c r="CQ1013" s="2"/>
      <c r="CT1013" s="2"/>
      <c r="CW1013" s="2"/>
    </row>
    <row r="1014" spans="1:101" x14ac:dyDescent="0.25">
      <c r="A1014" s="1" t="s">
        <v>163</v>
      </c>
      <c r="B1014" s="75" t="s">
        <v>164</v>
      </c>
      <c r="C1014">
        <v>0</v>
      </c>
      <c r="D1014">
        <v>0</v>
      </c>
      <c r="E1014">
        <v>0</v>
      </c>
      <c r="F1014">
        <v>604324.56000000006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3.91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7490</v>
      </c>
      <c r="AW1014">
        <v>3350</v>
      </c>
      <c r="AX1014">
        <v>1219</v>
      </c>
      <c r="AY1014">
        <v>12059</v>
      </c>
      <c r="AZ1014">
        <v>4202</v>
      </c>
      <c r="BA1014">
        <v>7438</v>
      </c>
      <c r="BB1014">
        <v>1432</v>
      </c>
      <c r="BC1014">
        <v>13072</v>
      </c>
      <c r="BD1014">
        <v>9486</v>
      </c>
      <c r="BE1014">
        <v>9222</v>
      </c>
      <c r="BF1014">
        <v>1768</v>
      </c>
      <c r="BG1014">
        <v>20476</v>
      </c>
      <c r="BH1014">
        <v>0</v>
      </c>
      <c r="BI1014">
        <v>0</v>
      </c>
      <c r="BJ1014">
        <v>0</v>
      </c>
      <c r="BK1014">
        <v>0</v>
      </c>
      <c r="BL1014" s="2">
        <v>24.82</v>
      </c>
      <c r="BM1014" s="2">
        <v>42005.095138888886</v>
      </c>
      <c r="BN1014" s="2">
        <v>5.4</v>
      </c>
      <c r="BO1014" s="2">
        <v>42005.092361111114</v>
      </c>
      <c r="BP1014" s="2">
        <v>6.92</v>
      </c>
      <c r="BQ1014" s="2">
        <v>42005.092361111114</v>
      </c>
      <c r="BR1014" s="2">
        <v>11.07</v>
      </c>
      <c r="BS1014" s="2">
        <v>42005.092361111114</v>
      </c>
      <c r="BT1014">
        <v>0</v>
      </c>
      <c r="BU1014">
        <v>0</v>
      </c>
      <c r="BV1014" t="s">
        <v>135</v>
      </c>
      <c r="BW1014">
        <v>0</v>
      </c>
      <c r="BX1014">
        <v>0</v>
      </c>
      <c r="BY1014" t="s">
        <v>135</v>
      </c>
      <c r="BZ1014">
        <v>0</v>
      </c>
      <c r="CA1014">
        <v>0</v>
      </c>
      <c r="CB1014" t="s">
        <v>135</v>
      </c>
      <c r="CH1014" s="2"/>
      <c r="CJ1014" s="2"/>
      <c r="CL1014" s="2"/>
      <c r="CN1014" s="2"/>
      <c r="CQ1014" s="2"/>
      <c r="CT1014" s="2"/>
      <c r="CW1014" s="2"/>
    </row>
    <row r="1015" spans="1:101" x14ac:dyDescent="0.25">
      <c r="A1015" s="1" t="s">
        <v>163</v>
      </c>
      <c r="B1015" s="75" t="s">
        <v>164</v>
      </c>
      <c r="C1015">
        <v>0</v>
      </c>
      <c r="D1015">
        <v>0</v>
      </c>
      <c r="E1015">
        <v>0</v>
      </c>
      <c r="F1015">
        <v>604324.56000000006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3.91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7490</v>
      </c>
      <c r="AW1015">
        <v>3350</v>
      </c>
      <c r="AX1015">
        <v>1219</v>
      </c>
      <c r="AY1015">
        <v>12059</v>
      </c>
      <c r="AZ1015">
        <v>4202</v>
      </c>
      <c r="BA1015">
        <v>7438</v>
      </c>
      <c r="BB1015">
        <v>1432</v>
      </c>
      <c r="BC1015">
        <v>13072</v>
      </c>
      <c r="BD1015">
        <v>9486</v>
      </c>
      <c r="BE1015">
        <v>9222</v>
      </c>
      <c r="BF1015">
        <v>1768</v>
      </c>
      <c r="BG1015">
        <v>20476</v>
      </c>
      <c r="BH1015">
        <v>0</v>
      </c>
      <c r="BI1015">
        <v>0</v>
      </c>
      <c r="BJ1015">
        <v>0</v>
      </c>
      <c r="BK1015">
        <v>0</v>
      </c>
      <c r="BL1015" s="2">
        <v>24.82</v>
      </c>
      <c r="BM1015" s="2">
        <v>42005.095138888886</v>
      </c>
      <c r="BN1015" s="2">
        <v>5.4</v>
      </c>
      <c r="BO1015" s="2">
        <v>42005.092361111114</v>
      </c>
      <c r="BP1015" s="2">
        <v>6.92</v>
      </c>
      <c r="BQ1015" s="2">
        <v>42005.092361111114</v>
      </c>
      <c r="BR1015" s="2">
        <v>11.07</v>
      </c>
      <c r="BS1015" s="2">
        <v>42005.092361111114</v>
      </c>
      <c r="BT1015">
        <v>0</v>
      </c>
      <c r="BU1015">
        <v>0</v>
      </c>
      <c r="BV1015" t="s">
        <v>135</v>
      </c>
      <c r="BW1015">
        <v>0</v>
      </c>
      <c r="BX1015">
        <v>0</v>
      </c>
      <c r="BY1015" t="s">
        <v>135</v>
      </c>
      <c r="BZ1015">
        <v>0</v>
      </c>
      <c r="CA1015">
        <v>0</v>
      </c>
      <c r="CB1015" t="s">
        <v>135</v>
      </c>
      <c r="CH1015" s="2"/>
      <c r="CJ1015" s="2"/>
      <c r="CL1015" s="2"/>
      <c r="CN1015" s="2"/>
      <c r="CQ1015" s="2"/>
      <c r="CT1015" s="2"/>
      <c r="CW1015" s="2"/>
    </row>
    <row r="1016" spans="1:101" x14ac:dyDescent="0.25">
      <c r="A1016" s="1" t="s">
        <v>163</v>
      </c>
      <c r="B1016" s="75" t="s">
        <v>164</v>
      </c>
      <c r="C1016">
        <v>0</v>
      </c>
      <c r="D1016">
        <v>0</v>
      </c>
      <c r="E1016">
        <v>0</v>
      </c>
      <c r="F1016">
        <v>604324.56000000006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3.91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7490</v>
      </c>
      <c r="AW1016">
        <v>3350</v>
      </c>
      <c r="AX1016">
        <v>1219</v>
      </c>
      <c r="AY1016">
        <v>12059</v>
      </c>
      <c r="AZ1016">
        <v>4202</v>
      </c>
      <c r="BA1016">
        <v>7438</v>
      </c>
      <c r="BB1016">
        <v>1432</v>
      </c>
      <c r="BC1016">
        <v>13072</v>
      </c>
      <c r="BD1016">
        <v>9486</v>
      </c>
      <c r="BE1016">
        <v>9222</v>
      </c>
      <c r="BF1016">
        <v>1768</v>
      </c>
      <c r="BG1016">
        <v>20476</v>
      </c>
      <c r="BH1016">
        <v>0</v>
      </c>
      <c r="BI1016">
        <v>0</v>
      </c>
      <c r="BJ1016">
        <v>0</v>
      </c>
      <c r="BK1016">
        <v>0</v>
      </c>
      <c r="BL1016" s="2">
        <v>24.82</v>
      </c>
      <c r="BM1016" s="2">
        <v>42005.095138888886</v>
      </c>
      <c r="BN1016" s="2">
        <v>5.4</v>
      </c>
      <c r="BO1016" s="2">
        <v>42005.092361111114</v>
      </c>
      <c r="BP1016" s="2">
        <v>6.92</v>
      </c>
      <c r="BQ1016" s="2">
        <v>42005.092361111114</v>
      </c>
      <c r="BR1016" s="2">
        <v>11.07</v>
      </c>
      <c r="BS1016" s="2">
        <v>42005.092361111114</v>
      </c>
      <c r="BT1016">
        <v>0</v>
      </c>
      <c r="BU1016">
        <v>0</v>
      </c>
      <c r="BV1016" t="s">
        <v>135</v>
      </c>
      <c r="BW1016">
        <v>0</v>
      </c>
      <c r="BX1016">
        <v>0</v>
      </c>
      <c r="BY1016" t="s">
        <v>135</v>
      </c>
      <c r="BZ1016">
        <v>0</v>
      </c>
      <c r="CA1016">
        <v>0</v>
      </c>
      <c r="CB1016" t="s">
        <v>135</v>
      </c>
      <c r="CH1016" s="2"/>
      <c r="CJ1016" s="2"/>
      <c r="CL1016" s="2"/>
      <c r="CN1016" s="2"/>
      <c r="CQ1016" s="2"/>
      <c r="CT1016" s="2"/>
      <c r="CW1016" s="2"/>
    </row>
    <row r="1017" spans="1:101" x14ac:dyDescent="0.25">
      <c r="A1017" s="1" t="s">
        <v>163</v>
      </c>
      <c r="B1017" s="75" t="s">
        <v>164</v>
      </c>
      <c r="C1017">
        <v>0</v>
      </c>
      <c r="D1017">
        <v>0</v>
      </c>
      <c r="E1017">
        <v>0</v>
      </c>
      <c r="F1017">
        <v>604324.56000000006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3.91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7490</v>
      </c>
      <c r="AW1017">
        <v>3350</v>
      </c>
      <c r="AX1017">
        <v>1219</v>
      </c>
      <c r="AY1017">
        <v>12059</v>
      </c>
      <c r="AZ1017">
        <v>4202</v>
      </c>
      <c r="BA1017">
        <v>7438</v>
      </c>
      <c r="BB1017">
        <v>1432</v>
      </c>
      <c r="BC1017">
        <v>13072</v>
      </c>
      <c r="BD1017">
        <v>9486</v>
      </c>
      <c r="BE1017">
        <v>9222</v>
      </c>
      <c r="BF1017">
        <v>1768</v>
      </c>
      <c r="BG1017">
        <v>20476</v>
      </c>
      <c r="BH1017">
        <v>0</v>
      </c>
      <c r="BI1017">
        <v>0</v>
      </c>
      <c r="BJ1017">
        <v>0</v>
      </c>
      <c r="BK1017">
        <v>0</v>
      </c>
      <c r="BL1017" s="2">
        <v>24.82</v>
      </c>
      <c r="BM1017" s="2">
        <v>42005.095138888886</v>
      </c>
      <c r="BN1017" s="2">
        <v>5.4</v>
      </c>
      <c r="BO1017" s="2">
        <v>42005.092361111114</v>
      </c>
      <c r="BP1017" s="2">
        <v>6.92</v>
      </c>
      <c r="BQ1017" s="2">
        <v>42005.092361111114</v>
      </c>
      <c r="BR1017" s="2">
        <v>11.07</v>
      </c>
      <c r="BS1017" s="2">
        <v>42005.092361111114</v>
      </c>
      <c r="BT1017">
        <v>0</v>
      </c>
      <c r="BU1017">
        <v>0</v>
      </c>
      <c r="BV1017" t="s">
        <v>135</v>
      </c>
      <c r="BW1017">
        <v>0</v>
      </c>
      <c r="BX1017">
        <v>0</v>
      </c>
      <c r="BY1017" t="s">
        <v>135</v>
      </c>
      <c r="BZ1017">
        <v>0</v>
      </c>
      <c r="CA1017">
        <v>0</v>
      </c>
      <c r="CB1017" t="s">
        <v>135</v>
      </c>
      <c r="CH1017" s="2"/>
      <c r="CJ1017" s="2"/>
      <c r="CL1017" s="2"/>
      <c r="CN1017" s="2"/>
      <c r="CQ1017" s="2"/>
      <c r="CT1017" s="2"/>
      <c r="CW1017" s="2"/>
    </row>
    <row r="1018" spans="1:101" x14ac:dyDescent="0.25">
      <c r="A1018" s="1" t="s">
        <v>163</v>
      </c>
      <c r="B1018" s="75" t="s">
        <v>164</v>
      </c>
      <c r="C1018">
        <v>0</v>
      </c>
      <c r="D1018">
        <v>0</v>
      </c>
      <c r="E1018">
        <v>0</v>
      </c>
      <c r="F1018">
        <v>604324.56000000006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3.91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7490</v>
      </c>
      <c r="AW1018">
        <v>3350</v>
      </c>
      <c r="AX1018">
        <v>1219</v>
      </c>
      <c r="AY1018">
        <v>12059</v>
      </c>
      <c r="AZ1018">
        <v>4202</v>
      </c>
      <c r="BA1018">
        <v>7438</v>
      </c>
      <c r="BB1018">
        <v>1432</v>
      </c>
      <c r="BC1018">
        <v>13072</v>
      </c>
      <c r="BD1018">
        <v>9486</v>
      </c>
      <c r="BE1018">
        <v>9222</v>
      </c>
      <c r="BF1018">
        <v>1768</v>
      </c>
      <c r="BG1018">
        <v>20476</v>
      </c>
      <c r="BH1018">
        <v>0</v>
      </c>
      <c r="BI1018">
        <v>0</v>
      </c>
      <c r="BJ1018">
        <v>0</v>
      </c>
      <c r="BK1018">
        <v>0</v>
      </c>
      <c r="BL1018" s="2">
        <v>24.82</v>
      </c>
      <c r="BM1018" s="2">
        <v>42005.095138888886</v>
      </c>
      <c r="BN1018" s="2">
        <v>5.4</v>
      </c>
      <c r="BO1018" s="2">
        <v>42005.092361111114</v>
      </c>
      <c r="BP1018" s="2">
        <v>6.92</v>
      </c>
      <c r="BQ1018" s="2">
        <v>42005.092361111114</v>
      </c>
      <c r="BR1018" s="2">
        <v>11.07</v>
      </c>
      <c r="BS1018" s="2">
        <v>42005.092361111114</v>
      </c>
      <c r="BT1018">
        <v>0</v>
      </c>
      <c r="BU1018">
        <v>0</v>
      </c>
      <c r="BV1018" t="s">
        <v>135</v>
      </c>
      <c r="BW1018">
        <v>0</v>
      </c>
      <c r="BX1018">
        <v>0</v>
      </c>
      <c r="BY1018" t="s">
        <v>135</v>
      </c>
      <c r="BZ1018">
        <v>0</v>
      </c>
      <c r="CA1018">
        <v>0</v>
      </c>
      <c r="CB1018" t="s">
        <v>135</v>
      </c>
      <c r="CH1018" s="2"/>
      <c r="CJ1018" s="2"/>
      <c r="CL1018" s="2"/>
      <c r="CN1018" s="2"/>
      <c r="CQ1018" s="2"/>
      <c r="CT1018" s="2"/>
      <c r="CW1018" s="2"/>
    </row>
    <row r="1019" spans="1:101" x14ac:dyDescent="0.25">
      <c r="A1019" s="1" t="s">
        <v>163</v>
      </c>
      <c r="B1019" s="75" t="s">
        <v>164</v>
      </c>
      <c r="C1019">
        <v>0</v>
      </c>
      <c r="D1019">
        <v>0</v>
      </c>
      <c r="E1019">
        <v>0</v>
      </c>
      <c r="F1019">
        <v>604324.56000000006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3.91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7490</v>
      </c>
      <c r="AW1019">
        <v>3350</v>
      </c>
      <c r="AX1019">
        <v>1219</v>
      </c>
      <c r="AY1019">
        <v>12059</v>
      </c>
      <c r="AZ1019">
        <v>4202</v>
      </c>
      <c r="BA1019">
        <v>7438</v>
      </c>
      <c r="BB1019">
        <v>1432</v>
      </c>
      <c r="BC1019">
        <v>13072</v>
      </c>
      <c r="BD1019">
        <v>9486</v>
      </c>
      <c r="BE1019">
        <v>9222</v>
      </c>
      <c r="BF1019">
        <v>1768</v>
      </c>
      <c r="BG1019">
        <v>20476</v>
      </c>
      <c r="BH1019">
        <v>0</v>
      </c>
      <c r="BI1019">
        <v>0</v>
      </c>
      <c r="BJ1019">
        <v>0</v>
      </c>
      <c r="BK1019">
        <v>0</v>
      </c>
      <c r="BL1019" s="2">
        <v>24.82</v>
      </c>
      <c r="BM1019" s="2">
        <v>42005.095138888886</v>
      </c>
      <c r="BN1019" s="2">
        <v>5.4</v>
      </c>
      <c r="BO1019" s="2">
        <v>42005.092361111114</v>
      </c>
      <c r="BP1019" s="2">
        <v>6.92</v>
      </c>
      <c r="BQ1019" s="2">
        <v>42005.092361111114</v>
      </c>
      <c r="BR1019" s="2">
        <v>11.07</v>
      </c>
      <c r="BS1019" s="2">
        <v>42005.092361111114</v>
      </c>
      <c r="BT1019">
        <v>0</v>
      </c>
      <c r="BU1019">
        <v>0</v>
      </c>
      <c r="BV1019" t="s">
        <v>135</v>
      </c>
      <c r="BW1019">
        <v>0</v>
      </c>
      <c r="BX1019">
        <v>0</v>
      </c>
      <c r="BY1019" t="s">
        <v>135</v>
      </c>
      <c r="BZ1019">
        <v>0</v>
      </c>
      <c r="CA1019">
        <v>0</v>
      </c>
      <c r="CB1019" t="s">
        <v>135</v>
      </c>
      <c r="CH1019" s="2"/>
      <c r="CJ1019" s="2"/>
      <c r="CL1019" s="2"/>
      <c r="CN1019" s="2"/>
      <c r="CQ1019" s="2"/>
      <c r="CT1019" s="2"/>
      <c r="CW1019" s="2"/>
    </row>
    <row r="1020" spans="1:101" x14ac:dyDescent="0.25">
      <c r="A1020" s="1" t="s">
        <v>163</v>
      </c>
      <c r="B1020" s="75" t="s">
        <v>164</v>
      </c>
      <c r="C1020">
        <v>0</v>
      </c>
      <c r="D1020">
        <v>0</v>
      </c>
      <c r="E1020">
        <v>0</v>
      </c>
      <c r="F1020">
        <v>604324.56000000006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3.91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7490</v>
      </c>
      <c r="AW1020">
        <v>3350</v>
      </c>
      <c r="AX1020">
        <v>1219</v>
      </c>
      <c r="AY1020">
        <v>12059</v>
      </c>
      <c r="AZ1020">
        <v>4202</v>
      </c>
      <c r="BA1020">
        <v>7438</v>
      </c>
      <c r="BB1020">
        <v>1432</v>
      </c>
      <c r="BC1020">
        <v>13072</v>
      </c>
      <c r="BD1020">
        <v>9486</v>
      </c>
      <c r="BE1020">
        <v>9222</v>
      </c>
      <c r="BF1020">
        <v>1768</v>
      </c>
      <c r="BG1020">
        <v>20476</v>
      </c>
      <c r="BH1020">
        <v>0</v>
      </c>
      <c r="BI1020">
        <v>0</v>
      </c>
      <c r="BJ1020">
        <v>0</v>
      </c>
      <c r="BK1020">
        <v>0</v>
      </c>
      <c r="BL1020" s="2">
        <v>24.82</v>
      </c>
      <c r="BM1020" s="2">
        <v>42005.095138888886</v>
      </c>
      <c r="BN1020" s="2">
        <v>5.4</v>
      </c>
      <c r="BO1020" s="2">
        <v>42005.092361111114</v>
      </c>
      <c r="BP1020" s="2">
        <v>6.92</v>
      </c>
      <c r="BQ1020" s="2">
        <v>42005.092361111114</v>
      </c>
      <c r="BR1020" s="2">
        <v>11.07</v>
      </c>
      <c r="BS1020" s="2">
        <v>42005.092361111114</v>
      </c>
      <c r="BT1020">
        <v>0</v>
      </c>
      <c r="BU1020">
        <v>0</v>
      </c>
      <c r="BV1020" t="s">
        <v>135</v>
      </c>
      <c r="BW1020">
        <v>0</v>
      </c>
      <c r="BX1020">
        <v>0</v>
      </c>
      <c r="BY1020" t="s">
        <v>135</v>
      </c>
      <c r="BZ1020">
        <v>0</v>
      </c>
      <c r="CA1020">
        <v>0</v>
      </c>
      <c r="CB1020" t="s">
        <v>135</v>
      </c>
      <c r="CH1020" s="2"/>
      <c r="CJ1020" s="2"/>
      <c r="CL1020" s="2"/>
      <c r="CN1020" s="2"/>
      <c r="CQ1020" s="2"/>
      <c r="CT1020" s="2"/>
      <c r="CW1020" s="2"/>
    </row>
    <row r="1021" spans="1:101" x14ac:dyDescent="0.25">
      <c r="A1021" s="1" t="s">
        <v>163</v>
      </c>
      <c r="B1021" s="75" t="s">
        <v>164</v>
      </c>
      <c r="C1021">
        <v>0</v>
      </c>
      <c r="D1021">
        <v>0</v>
      </c>
      <c r="E1021">
        <v>0</v>
      </c>
      <c r="F1021">
        <v>604324.56000000006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3.91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7490</v>
      </c>
      <c r="AW1021">
        <v>3350</v>
      </c>
      <c r="AX1021">
        <v>1219</v>
      </c>
      <c r="AY1021">
        <v>12059</v>
      </c>
      <c r="AZ1021">
        <v>4202</v>
      </c>
      <c r="BA1021">
        <v>7438</v>
      </c>
      <c r="BB1021">
        <v>1432</v>
      </c>
      <c r="BC1021">
        <v>13072</v>
      </c>
      <c r="BD1021">
        <v>9486</v>
      </c>
      <c r="BE1021">
        <v>9222</v>
      </c>
      <c r="BF1021">
        <v>1768</v>
      </c>
      <c r="BG1021">
        <v>20476</v>
      </c>
      <c r="BH1021">
        <v>0</v>
      </c>
      <c r="BI1021">
        <v>0</v>
      </c>
      <c r="BJ1021">
        <v>0</v>
      </c>
      <c r="BK1021">
        <v>0</v>
      </c>
      <c r="BL1021" s="2">
        <v>24.82</v>
      </c>
      <c r="BM1021" s="2">
        <v>42005.095138888886</v>
      </c>
      <c r="BN1021" s="2">
        <v>5.4</v>
      </c>
      <c r="BO1021" s="2">
        <v>42005.092361111114</v>
      </c>
      <c r="BP1021" s="2">
        <v>6.92</v>
      </c>
      <c r="BQ1021" s="2">
        <v>42005.092361111114</v>
      </c>
      <c r="BR1021" s="2">
        <v>11.07</v>
      </c>
      <c r="BS1021" s="2">
        <v>42005.092361111114</v>
      </c>
      <c r="BT1021">
        <v>0</v>
      </c>
      <c r="BU1021">
        <v>0</v>
      </c>
      <c r="BV1021" t="s">
        <v>135</v>
      </c>
      <c r="BW1021">
        <v>0</v>
      </c>
      <c r="BX1021">
        <v>0</v>
      </c>
      <c r="BY1021" t="s">
        <v>135</v>
      </c>
      <c r="BZ1021">
        <v>0</v>
      </c>
      <c r="CA1021">
        <v>0</v>
      </c>
      <c r="CB1021" t="s">
        <v>135</v>
      </c>
      <c r="CH1021" s="2"/>
      <c r="CJ1021" s="2"/>
      <c r="CL1021" s="2"/>
      <c r="CN1021" s="2"/>
      <c r="CQ1021" s="2"/>
      <c r="CT1021" s="2"/>
      <c r="CW1021" s="2"/>
    </row>
    <row r="1022" spans="1:101" x14ac:dyDescent="0.25">
      <c r="A1022" s="1" t="s">
        <v>163</v>
      </c>
      <c r="B1022" s="75" t="s">
        <v>164</v>
      </c>
      <c r="C1022">
        <v>0</v>
      </c>
      <c r="D1022">
        <v>0</v>
      </c>
      <c r="E1022">
        <v>0</v>
      </c>
      <c r="F1022">
        <v>604324.56000000006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3.91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7490</v>
      </c>
      <c r="AW1022">
        <v>3350</v>
      </c>
      <c r="AX1022">
        <v>1219</v>
      </c>
      <c r="AY1022">
        <v>12059</v>
      </c>
      <c r="AZ1022">
        <v>4202</v>
      </c>
      <c r="BA1022">
        <v>7438</v>
      </c>
      <c r="BB1022">
        <v>1432</v>
      </c>
      <c r="BC1022">
        <v>13072</v>
      </c>
      <c r="BD1022">
        <v>9486</v>
      </c>
      <c r="BE1022">
        <v>9222</v>
      </c>
      <c r="BF1022">
        <v>1768</v>
      </c>
      <c r="BG1022">
        <v>20476</v>
      </c>
      <c r="BH1022">
        <v>0</v>
      </c>
      <c r="BI1022">
        <v>0</v>
      </c>
      <c r="BJ1022">
        <v>0</v>
      </c>
      <c r="BK1022">
        <v>0</v>
      </c>
      <c r="BL1022" s="2">
        <v>24.82</v>
      </c>
      <c r="BM1022" s="2">
        <v>42005.095138888886</v>
      </c>
      <c r="BN1022" s="2">
        <v>5.4</v>
      </c>
      <c r="BO1022" s="2">
        <v>42005.092361111114</v>
      </c>
      <c r="BP1022" s="2">
        <v>6.92</v>
      </c>
      <c r="BQ1022" s="2">
        <v>42005.092361111114</v>
      </c>
      <c r="BR1022" s="2">
        <v>11.07</v>
      </c>
      <c r="BS1022" s="2">
        <v>42005.092361111114</v>
      </c>
      <c r="BT1022">
        <v>0</v>
      </c>
      <c r="BU1022">
        <v>0</v>
      </c>
      <c r="BV1022" t="s">
        <v>135</v>
      </c>
      <c r="BW1022">
        <v>0</v>
      </c>
      <c r="BX1022">
        <v>0</v>
      </c>
      <c r="BY1022" t="s">
        <v>135</v>
      </c>
      <c r="BZ1022">
        <v>0</v>
      </c>
      <c r="CA1022">
        <v>0</v>
      </c>
      <c r="CB1022" t="s">
        <v>135</v>
      </c>
      <c r="CH1022" s="2"/>
      <c r="CJ1022" s="2"/>
      <c r="CL1022" s="2"/>
      <c r="CN1022" s="2"/>
      <c r="CQ1022" s="2"/>
      <c r="CT1022" s="2"/>
      <c r="CW1022" s="2"/>
    </row>
    <row r="1023" spans="1:101" x14ac:dyDescent="0.25">
      <c r="A1023" s="1" t="s">
        <v>163</v>
      </c>
      <c r="B1023" s="75" t="s">
        <v>164</v>
      </c>
      <c r="C1023">
        <v>0</v>
      </c>
      <c r="D1023">
        <v>0</v>
      </c>
      <c r="E1023">
        <v>0</v>
      </c>
      <c r="F1023">
        <v>604324.56000000006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3.91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7490</v>
      </c>
      <c r="AW1023">
        <v>3350</v>
      </c>
      <c r="AX1023">
        <v>1219</v>
      </c>
      <c r="AY1023">
        <v>12059</v>
      </c>
      <c r="AZ1023">
        <v>4202</v>
      </c>
      <c r="BA1023">
        <v>7438</v>
      </c>
      <c r="BB1023">
        <v>1432</v>
      </c>
      <c r="BC1023">
        <v>13072</v>
      </c>
      <c r="BD1023">
        <v>9486</v>
      </c>
      <c r="BE1023">
        <v>9222</v>
      </c>
      <c r="BF1023">
        <v>1768</v>
      </c>
      <c r="BG1023">
        <v>20476</v>
      </c>
      <c r="BH1023">
        <v>0</v>
      </c>
      <c r="BI1023">
        <v>0</v>
      </c>
      <c r="BJ1023">
        <v>0</v>
      </c>
      <c r="BK1023">
        <v>0</v>
      </c>
      <c r="BL1023" s="2">
        <v>24.82</v>
      </c>
      <c r="BM1023" s="2">
        <v>42005.095138888886</v>
      </c>
      <c r="BN1023" s="2">
        <v>5.4</v>
      </c>
      <c r="BO1023" s="2">
        <v>42005.092361111114</v>
      </c>
      <c r="BP1023" s="2">
        <v>6.92</v>
      </c>
      <c r="BQ1023" s="2">
        <v>42005.092361111114</v>
      </c>
      <c r="BR1023" s="2">
        <v>11.07</v>
      </c>
      <c r="BS1023" s="2">
        <v>42005.092361111114</v>
      </c>
      <c r="BT1023">
        <v>0</v>
      </c>
      <c r="BU1023">
        <v>0</v>
      </c>
      <c r="BV1023" t="s">
        <v>135</v>
      </c>
      <c r="BW1023">
        <v>0</v>
      </c>
      <c r="BX1023">
        <v>0</v>
      </c>
      <c r="BY1023" t="s">
        <v>135</v>
      </c>
      <c r="BZ1023">
        <v>0</v>
      </c>
      <c r="CA1023">
        <v>0</v>
      </c>
      <c r="CB1023" t="s">
        <v>135</v>
      </c>
      <c r="CH1023" s="2"/>
      <c r="CJ1023" s="2"/>
      <c r="CL1023" s="2"/>
      <c r="CN1023" s="2"/>
      <c r="CQ1023" s="2"/>
      <c r="CT1023" s="2"/>
      <c r="CW1023" s="2"/>
    </row>
    <row r="1024" spans="1:101" x14ac:dyDescent="0.25">
      <c r="A1024" s="1" t="s">
        <v>163</v>
      </c>
      <c r="B1024" s="75" t="s">
        <v>164</v>
      </c>
      <c r="C1024">
        <v>0</v>
      </c>
      <c r="D1024">
        <v>0</v>
      </c>
      <c r="E1024">
        <v>0</v>
      </c>
      <c r="F1024">
        <v>604324.56000000006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3.91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7490</v>
      </c>
      <c r="AW1024">
        <v>3350</v>
      </c>
      <c r="AX1024">
        <v>1219</v>
      </c>
      <c r="AY1024">
        <v>12059</v>
      </c>
      <c r="AZ1024">
        <v>4202</v>
      </c>
      <c r="BA1024">
        <v>7438</v>
      </c>
      <c r="BB1024">
        <v>1432</v>
      </c>
      <c r="BC1024">
        <v>13072</v>
      </c>
      <c r="BD1024">
        <v>9486</v>
      </c>
      <c r="BE1024">
        <v>9222</v>
      </c>
      <c r="BF1024">
        <v>1768</v>
      </c>
      <c r="BG1024">
        <v>20476</v>
      </c>
      <c r="BH1024">
        <v>0</v>
      </c>
      <c r="BI1024">
        <v>0</v>
      </c>
      <c r="BJ1024">
        <v>0</v>
      </c>
      <c r="BK1024">
        <v>0</v>
      </c>
      <c r="BL1024" s="2">
        <v>24.82</v>
      </c>
      <c r="BM1024" s="2">
        <v>42005.095138888886</v>
      </c>
      <c r="BN1024" s="2">
        <v>5.4</v>
      </c>
      <c r="BO1024" s="2">
        <v>42005.092361111114</v>
      </c>
      <c r="BP1024" s="2">
        <v>6.92</v>
      </c>
      <c r="BQ1024" s="2">
        <v>42005.092361111114</v>
      </c>
      <c r="BR1024" s="2">
        <v>11.07</v>
      </c>
      <c r="BS1024" s="2">
        <v>42005.092361111114</v>
      </c>
      <c r="BT1024">
        <v>0</v>
      </c>
      <c r="BU1024">
        <v>0</v>
      </c>
      <c r="BV1024" t="s">
        <v>135</v>
      </c>
      <c r="BW1024">
        <v>0</v>
      </c>
      <c r="BX1024">
        <v>0</v>
      </c>
      <c r="BY1024" t="s">
        <v>135</v>
      </c>
      <c r="BZ1024">
        <v>0</v>
      </c>
      <c r="CA1024">
        <v>0</v>
      </c>
      <c r="CB1024" t="s">
        <v>135</v>
      </c>
      <c r="CH1024" s="2"/>
      <c r="CJ1024" s="2"/>
      <c r="CL1024" s="2"/>
      <c r="CN1024" s="2"/>
      <c r="CQ1024" s="2"/>
      <c r="CT1024" s="2"/>
      <c r="CW1024" s="2"/>
    </row>
    <row r="1025" spans="1:101" x14ac:dyDescent="0.25">
      <c r="A1025" s="1" t="s">
        <v>163</v>
      </c>
      <c r="B1025" s="75" t="s">
        <v>164</v>
      </c>
      <c r="C1025">
        <v>0</v>
      </c>
      <c r="D1025">
        <v>0</v>
      </c>
      <c r="E1025">
        <v>0</v>
      </c>
      <c r="F1025">
        <v>604324.56000000006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3.91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7490</v>
      </c>
      <c r="AW1025">
        <v>3350</v>
      </c>
      <c r="AX1025">
        <v>1219</v>
      </c>
      <c r="AY1025">
        <v>12059</v>
      </c>
      <c r="AZ1025">
        <v>4202</v>
      </c>
      <c r="BA1025">
        <v>7438</v>
      </c>
      <c r="BB1025">
        <v>1432</v>
      </c>
      <c r="BC1025">
        <v>13072</v>
      </c>
      <c r="BD1025">
        <v>9486</v>
      </c>
      <c r="BE1025">
        <v>9222</v>
      </c>
      <c r="BF1025">
        <v>1768</v>
      </c>
      <c r="BG1025">
        <v>20476</v>
      </c>
      <c r="BH1025">
        <v>0</v>
      </c>
      <c r="BI1025">
        <v>0</v>
      </c>
      <c r="BJ1025">
        <v>0</v>
      </c>
      <c r="BK1025">
        <v>0</v>
      </c>
      <c r="BL1025" s="2">
        <v>24.82</v>
      </c>
      <c r="BM1025" s="2">
        <v>42005.095138888886</v>
      </c>
      <c r="BN1025" s="2">
        <v>5.4</v>
      </c>
      <c r="BO1025" s="2">
        <v>42005.092361111114</v>
      </c>
      <c r="BP1025" s="2">
        <v>6.92</v>
      </c>
      <c r="BQ1025" s="2">
        <v>42005.092361111114</v>
      </c>
      <c r="BR1025" s="2">
        <v>11.07</v>
      </c>
      <c r="BS1025" s="2">
        <v>42005.092361111114</v>
      </c>
      <c r="BT1025">
        <v>0</v>
      </c>
      <c r="BU1025">
        <v>0</v>
      </c>
      <c r="BV1025" t="s">
        <v>135</v>
      </c>
      <c r="BW1025">
        <v>0</v>
      </c>
      <c r="BX1025">
        <v>0</v>
      </c>
      <c r="BY1025" t="s">
        <v>135</v>
      </c>
      <c r="BZ1025">
        <v>0</v>
      </c>
      <c r="CA1025">
        <v>0</v>
      </c>
      <c r="CB1025" t="s">
        <v>135</v>
      </c>
      <c r="CH1025" s="2"/>
      <c r="CJ1025" s="2"/>
      <c r="CL1025" s="2"/>
      <c r="CN1025" s="2"/>
      <c r="CQ1025" s="2"/>
      <c r="CT1025" s="2"/>
      <c r="CW1025" s="2"/>
    </row>
    <row r="1026" spans="1:101" x14ac:dyDescent="0.25">
      <c r="A1026" s="1" t="s">
        <v>163</v>
      </c>
      <c r="B1026" s="75" t="s">
        <v>164</v>
      </c>
      <c r="C1026">
        <v>0</v>
      </c>
      <c r="D1026">
        <v>0</v>
      </c>
      <c r="E1026">
        <v>0</v>
      </c>
      <c r="F1026">
        <v>604324.56000000006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3.91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7490</v>
      </c>
      <c r="AW1026">
        <v>3350</v>
      </c>
      <c r="AX1026">
        <v>1219</v>
      </c>
      <c r="AY1026">
        <v>12059</v>
      </c>
      <c r="AZ1026">
        <v>4202</v>
      </c>
      <c r="BA1026">
        <v>7438</v>
      </c>
      <c r="BB1026">
        <v>1432</v>
      </c>
      <c r="BC1026">
        <v>13072</v>
      </c>
      <c r="BD1026">
        <v>9486</v>
      </c>
      <c r="BE1026">
        <v>9222</v>
      </c>
      <c r="BF1026">
        <v>1768</v>
      </c>
      <c r="BG1026">
        <v>20476</v>
      </c>
      <c r="BH1026">
        <v>0</v>
      </c>
      <c r="BI1026">
        <v>0</v>
      </c>
      <c r="BJ1026">
        <v>0</v>
      </c>
      <c r="BK1026">
        <v>0</v>
      </c>
      <c r="BL1026" s="2">
        <v>24.82</v>
      </c>
      <c r="BM1026" s="2">
        <v>42005.095138888886</v>
      </c>
      <c r="BN1026" s="2">
        <v>5.4</v>
      </c>
      <c r="BO1026" s="2">
        <v>42005.092361111114</v>
      </c>
      <c r="BP1026" s="2">
        <v>6.92</v>
      </c>
      <c r="BQ1026" s="2">
        <v>42005.092361111114</v>
      </c>
      <c r="BR1026" s="2">
        <v>11.07</v>
      </c>
      <c r="BS1026" s="2">
        <v>42005.092361111114</v>
      </c>
      <c r="BT1026">
        <v>0</v>
      </c>
      <c r="BU1026">
        <v>0</v>
      </c>
      <c r="BV1026" t="s">
        <v>135</v>
      </c>
      <c r="BW1026">
        <v>0</v>
      </c>
      <c r="BX1026">
        <v>0</v>
      </c>
      <c r="BY1026" t="s">
        <v>135</v>
      </c>
      <c r="BZ1026">
        <v>0</v>
      </c>
      <c r="CA1026">
        <v>0</v>
      </c>
      <c r="CB1026" t="s">
        <v>135</v>
      </c>
      <c r="CH1026" s="2"/>
      <c r="CJ1026" s="2"/>
      <c r="CL1026" s="2"/>
      <c r="CN1026" s="2"/>
      <c r="CQ1026" s="2"/>
      <c r="CT1026" s="2"/>
      <c r="CW1026" s="2"/>
    </row>
    <row r="1027" spans="1:101" x14ac:dyDescent="0.25">
      <c r="A1027" s="1" t="s">
        <v>163</v>
      </c>
      <c r="B1027" s="75" t="s">
        <v>164</v>
      </c>
      <c r="C1027">
        <v>0</v>
      </c>
      <c r="D1027">
        <v>0</v>
      </c>
      <c r="E1027">
        <v>0</v>
      </c>
      <c r="F1027">
        <v>604324.56000000006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3.91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7490</v>
      </c>
      <c r="AW1027">
        <v>3350</v>
      </c>
      <c r="AX1027">
        <v>1219</v>
      </c>
      <c r="AY1027">
        <v>12059</v>
      </c>
      <c r="AZ1027">
        <v>4202</v>
      </c>
      <c r="BA1027">
        <v>7438</v>
      </c>
      <c r="BB1027">
        <v>1432</v>
      </c>
      <c r="BC1027">
        <v>13072</v>
      </c>
      <c r="BD1027">
        <v>9486</v>
      </c>
      <c r="BE1027">
        <v>9222</v>
      </c>
      <c r="BF1027">
        <v>1768</v>
      </c>
      <c r="BG1027">
        <v>20476</v>
      </c>
      <c r="BH1027">
        <v>0</v>
      </c>
      <c r="BI1027">
        <v>0</v>
      </c>
      <c r="BJ1027">
        <v>0</v>
      </c>
      <c r="BK1027">
        <v>0</v>
      </c>
      <c r="BL1027" s="2">
        <v>24.82</v>
      </c>
      <c r="BM1027" s="2">
        <v>42005.095138888886</v>
      </c>
      <c r="BN1027" s="2">
        <v>5.4</v>
      </c>
      <c r="BO1027" s="2">
        <v>42005.092361111114</v>
      </c>
      <c r="BP1027" s="2">
        <v>6.92</v>
      </c>
      <c r="BQ1027" s="2">
        <v>42005.092361111114</v>
      </c>
      <c r="BR1027" s="2">
        <v>11.07</v>
      </c>
      <c r="BS1027" s="2">
        <v>42005.092361111114</v>
      </c>
      <c r="BT1027">
        <v>0</v>
      </c>
      <c r="BU1027">
        <v>0</v>
      </c>
      <c r="BV1027" t="s">
        <v>135</v>
      </c>
      <c r="BW1027">
        <v>0</v>
      </c>
      <c r="BX1027">
        <v>0</v>
      </c>
      <c r="BY1027" t="s">
        <v>135</v>
      </c>
      <c r="BZ1027">
        <v>0</v>
      </c>
      <c r="CA1027">
        <v>0</v>
      </c>
      <c r="CB1027" t="s">
        <v>135</v>
      </c>
      <c r="CH1027" s="2"/>
      <c r="CJ1027" s="2"/>
      <c r="CL1027" s="2"/>
      <c r="CN1027" s="2"/>
      <c r="CQ1027" s="2"/>
      <c r="CT1027" s="2"/>
      <c r="CW1027" s="2"/>
    </row>
    <row r="1028" spans="1:101" x14ac:dyDescent="0.25">
      <c r="A1028" s="1" t="s">
        <v>163</v>
      </c>
      <c r="B1028" s="75" t="s">
        <v>164</v>
      </c>
      <c r="C1028">
        <v>0</v>
      </c>
      <c r="D1028">
        <v>0</v>
      </c>
      <c r="E1028">
        <v>0</v>
      </c>
      <c r="F1028">
        <v>604324.56000000006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3.91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7490</v>
      </c>
      <c r="AW1028">
        <v>3350</v>
      </c>
      <c r="AX1028">
        <v>1219</v>
      </c>
      <c r="AY1028">
        <v>12059</v>
      </c>
      <c r="AZ1028">
        <v>4202</v>
      </c>
      <c r="BA1028">
        <v>7438</v>
      </c>
      <c r="BB1028">
        <v>1432</v>
      </c>
      <c r="BC1028">
        <v>13072</v>
      </c>
      <c r="BD1028">
        <v>9486</v>
      </c>
      <c r="BE1028">
        <v>9222</v>
      </c>
      <c r="BF1028">
        <v>1768</v>
      </c>
      <c r="BG1028">
        <v>20476</v>
      </c>
      <c r="BH1028">
        <v>0</v>
      </c>
      <c r="BI1028">
        <v>0</v>
      </c>
      <c r="BJ1028">
        <v>0</v>
      </c>
      <c r="BK1028">
        <v>0</v>
      </c>
      <c r="BL1028" s="2">
        <v>24.82</v>
      </c>
      <c r="BM1028" s="2">
        <v>42005.095138888886</v>
      </c>
      <c r="BN1028" s="2">
        <v>5.4</v>
      </c>
      <c r="BO1028" s="2">
        <v>42005.092361111114</v>
      </c>
      <c r="BP1028" s="2">
        <v>6.92</v>
      </c>
      <c r="BQ1028" s="2">
        <v>42005.092361111114</v>
      </c>
      <c r="BR1028" s="2">
        <v>11.07</v>
      </c>
      <c r="BS1028" s="2">
        <v>42005.092361111114</v>
      </c>
      <c r="BT1028">
        <v>0</v>
      </c>
      <c r="BU1028">
        <v>0</v>
      </c>
      <c r="BV1028" t="s">
        <v>135</v>
      </c>
      <c r="BW1028">
        <v>0</v>
      </c>
      <c r="BX1028">
        <v>0</v>
      </c>
      <c r="BY1028" t="s">
        <v>135</v>
      </c>
      <c r="BZ1028">
        <v>0</v>
      </c>
      <c r="CA1028">
        <v>0</v>
      </c>
      <c r="CB1028" t="s">
        <v>135</v>
      </c>
      <c r="CH1028" s="2"/>
      <c r="CJ1028" s="2"/>
      <c r="CL1028" s="2"/>
      <c r="CN1028" s="2"/>
      <c r="CQ1028" s="2"/>
      <c r="CT1028" s="2"/>
      <c r="CW1028" s="2"/>
    </row>
    <row r="1029" spans="1:101" x14ac:dyDescent="0.25">
      <c r="A1029" s="1" t="s">
        <v>163</v>
      </c>
      <c r="B1029" s="75" t="s">
        <v>164</v>
      </c>
      <c r="C1029">
        <v>0</v>
      </c>
      <c r="D1029">
        <v>0</v>
      </c>
      <c r="E1029">
        <v>0</v>
      </c>
      <c r="F1029">
        <v>604324.56000000006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3.91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7490</v>
      </c>
      <c r="AW1029">
        <v>3350</v>
      </c>
      <c r="AX1029">
        <v>1219</v>
      </c>
      <c r="AY1029">
        <v>12059</v>
      </c>
      <c r="AZ1029">
        <v>4202</v>
      </c>
      <c r="BA1029">
        <v>7438</v>
      </c>
      <c r="BB1029">
        <v>1432</v>
      </c>
      <c r="BC1029">
        <v>13072</v>
      </c>
      <c r="BD1029">
        <v>9486</v>
      </c>
      <c r="BE1029">
        <v>9222</v>
      </c>
      <c r="BF1029">
        <v>1768</v>
      </c>
      <c r="BG1029">
        <v>20476</v>
      </c>
      <c r="BH1029">
        <v>0</v>
      </c>
      <c r="BI1029">
        <v>0</v>
      </c>
      <c r="BJ1029">
        <v>0</v>
      </c>
      <c r="BK1029">
        <v>0</v>
      </c>
      <c r="BL1029" s="2">
        <v>24.82</v>
      </c>
      <c r="BM1029" s="2">
        <v>42005.095138888886</v>
      </c>
      <c r="BN1029" s="2">
        <v>5.4</v>
      </c>
      <c r="BO1029" s="2">
        <v>42005.092361111114</v>
      </c>
      <c r="BP1029" s="2">
        <v>6.92</v>
      </c>
      <c r="BQ1029" s="2">
        <v>42005.092361111114</v>
      </c>
      <c r="BR1029" s="2">
        <v>11.07</v>
      </c>
      <c r="BS1029" s="2">
        <v>42005.092361111114</v>
      </c>
      <c r="BT1029">
        <v>0</v>
      </c>
      <c r="BU1029">
        <v>0</v>
      </c>
      <c r="BV1029" t="s">
        <v>135</v>
      </c>
      <c r="BW1029">
        <v>0</v>
      </c>
      <c r="BX1029">
        <v>0</v>
      </c>
      <c r="BY1029" t="s">
        <v>135</v>
      </c>
      <c r="BZ1029">
        <v>0</v>
      </c>
      <c r="CA1029">
        <v>0</v>
      </c>
      <c r="CB1029" t="s">
        <v>135</v>
      </c>
      <c r="CH1029" s="2"/>
      <c r="CJ1029" s="2"/>
      <c r="CL1029" s="2"/>
      <c r="CN1029" s="2"/>
      <c r="CQ1029" s="2"/>
      <c r="CT1029" s="2"/>
      <c r="CW1029" s="2"/>
    </row>
    <row r="1030" spans="1:101" x14ac:dyDescent="0.25">
      <c r="A1030" s="1" t="s">
        <v>163</v>
      </c>
      <c r="B1030" s="75" t="s">
        <v>164</v>
      </c>
      <c r="C1030">
        <v>0</v>
      </c>
      <c r="D1030">
        <v>0</v>
      </c>
      <c r="E1030">
        <v>0</v>
      </c>
      <c r="F1030">
        <v>604324.56000000006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3.91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7490</v>
      </c>
      <c r="AW1030">
        <v>3350</v>
      </c>
      <c r="AX1030">
        <v>1219</v>
      </c>
      <c r="AY1030">
        <v>12059</v>
      </c>
      <c r="AZ1030">
        <v>4202</v>
      </c>
      <c r="BA1030">
        <v>7438</v>
      </c>
      <c r="BB1030">
        <v>1432</v>
      </c>
      <c r="BC1030">
        <v>13072</v>
      </c>
      <c r="BD1030">
        <v>9486</v>
      </c>
      <c r="BE1030">
        <v>9222</v>
      </c>
      <c r="BF1030">
        <v>1768</v>
      </c>
      <c r="BG1030">
        <v>20476</v>
      </c>
      <c r="BH1030">
        <v>0</v>
      </c>
      <c r="BI1030">
        <v>0</v>
      </c>
      <c r="BJ1030">
        <v>0</v>
      </c>
      <c r="BK1030">
        <v>0</v>
      </c>
      <c r="BL1030" s="2">
        <v>24.82</v>
      </c>
      <c r="BM1030" s="2">
        <v>42005.095138888886</v>
      </c>
      <c r="BN1030" s="2">
        <v>5.4</v>
      </c>
      <c r="BO1030" s="2">
        <v>42005.092361111114</v>
      </c>
      <c r="BP1030" s="2">
        <v>6.92</v>
      </c>
      <c r="BQ1030" s="2">
        <v>42005.092361111114</v>
      </c>
      <c r="BR1030" s="2">
        <v>11.07</v>
      </c>
      <c r="BS1030" s="2">
        <v>42005.092361111114</v>
      </c>
      <c r="BT1030">
        <v>0</v>
      </c>
      <c r="BU1030">
        <v>0</v>
      </c>
      <c r="BV1030" t="s">
        <v>135</v>
      </c>
      <c r="BW1030">
        <v>0</v>
      </c>
      <c r="BX1030">
        <v>0</v>
      </c>
      <c r="BY1030" t="s">
        <v>135</v>
      </c>
      <c r="BZ1030">
        <v>0</v>
      </c>
      <c r="CA1030">
        <v>0</v>
      </c>
      <c r="CB1030" t="s">
        <v>135</v>
      </c>
      <c r="CH1030" s="2"/>
      <c r="CJ1030" s="2"/>
      <c r="CL1030" s="2"/>
      <c r="CN1030" s="2"/>
      <c r="CQ1030" s="2"/>
      <c r="CT1030" s="2"/>
      <c r="CW1030" s="2"/>
    </row>
    <row r="1031" spans="1:101" x14ac:dyDescent="0.25">
      <c r="A1031" s="1" t="s">
        <v>163</v>
      </c>
      <c r="B1031" s="75" t="s">
        <v>164</v>
      </c>
      <c r="C1031">
        <v>0</v>
      </c>
      <c r="D1031">
        <v>0</v>
      </c>
      <c r="E1031">
        <v>0</v>
      </c>
      <c r="F1031">
        <v>604324.56000000006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3.91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7490</v>
      </c>
      <c r="AW1031">
        <v>3350</v>
      </c>
      <c r="AX1031">
        <v>1219</v>
      </c>
      <c r="AY1031">
        <v>12059</v>
      </c>
      <c r="AZ1031">
        <v>4202</v>
      </c>
      <c r="BA1031">
        <v>7438</v>
      </c>
      <c r="BB1031">
        <v>1432</v>
      </c>
      <c r="BC1031">
        <v>13072</v>
      </c>
      <c r="BD1031">
        <v>9486</v>
      </c>
      <c r="BE1031">
        <v>9222</v>
      </c>
      <c r="BF1031">
        <v>1768</v>
      </c>
      <c r="BG1031">
        <v>20476</v>
      </c>
      <c r="BH1031">
        <v>0</v>
      </c>
      <c r="BI1031">
        <v>0</v>
      </c>
      <c r="BJ1031">
        <v>0</v>
      </c>
      <c r="BK1031">
        <v>0</v>
      </c>
      <c r="BL1031" s="2">
        <v>24.82</v>
      </c>
      <c r="BM1031" s="2">
        <v>42005.095138888886</v>
      </c>
      <c r="BN1031" s="2">
        <v>5.4</v>
      </c>
      <c r="BO1031" s="2">
        <v>42005.092361111114</v>
      </c>
      <c r="BP1031" s="2">
        <v>6.92</v>
      </c>
      <c r="BQ1031" s="2">
        <v>42005.092361111114</v>
      </c>
      <c r="BR1031" s="2">
        <v>11.07</v>
      </c>
      <c r="BS1031" s="2">
        <v>42005.092361111114</v>
      </c>
      <c r="BT1031">
        <v>0</v>
      </c>
      <c r="BU1031">
        <v>0</v>
      </c>
      <c r="BV1031" t="s">
        <v>135</v>
      </c>
      <c r="BW1031">
        <v>0</v>
      </c>
      <c r="BX1031">
        <v>0</v>
      </c>
      <c r="BY1031" t="s">
        <v>135</v>
      </c>
      <c r="BZ1031">
        <v>0</v>
      </c>
      <c r="CA1031">
        <v>0</v>
      </c>
      <c r="CB1031" t="s">
        <v>135</v>
      </c>
      <c r="CH1031" s="2"/>
      <c r="CJ1031" s="2"/>
      <c r="CL1031" s="2"/>
      <c r="CN1031" s="2"/>
      <c r="CQ1031" s="2"/>
      <c r="CT1031" s="2"/>
      <c r="CW1031" s="2"/>
    </row>
    <row r="1032" spans="1:101" x14ac:dyDescent="0.25">
      <c r="A1032" s="1" t="s">
        <v>163</v>
      </c>
      <c r="B1032" s="75" t="s">
        <v>164</v>
      </c>
      <c r="C1032">
        <v>0</v>
      </c>
      <c r="D1032">
        <v>0</v>
      </c>
      <c r="E1032">
        <v>0</v>
      </c>
      <c r="F1032">
        <v>604324.56000000006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3.91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7490</v>
      </c>
      <c r="AW1032">
        <v>3350</v>
      </c>
      <c r="AX1032">
        <v>1219</v>
      </c>
      <c r="AY1032">
        <v>12059</v>
      </c>
      <c r="AZ1032">
        <v>4202</v>
      </c>
      <c r="BA1032">
        <v>7438</v>
      </c>
      <c r="BB1032">
        <v>1432</v>
      </c>
      <c r="BC1032">
        <v>13072</v>
      </c>
      <c r="BD1032">
        <v>9486</v>
      </c>
      <c r="BE1032">
        <v>9222</v>
      </c>
      <c r="BF1032">
        <v>1768</v>
      </c>
      <c r="BG1032">
        <v>20476</v>
      </c>
      <c r="BH1032">
        <v>0</v>
      </c>
      <c r="BI1032">
        <v>0</v>
      </c>
      <c r="BJ1032">
        <v>0</v>
      </c>
      <c r="BK1032">
        <v>0</v>
      </c>
      <c r="BL1032" s="2">
        <v>24.82</v>
      </c>
      <c r="BM1032" s="2">
        <v>42005.095138888886</v>
      </c>
      <c r="BN1032" s="2">
        <v>5.4</v>
      </c>
      <c r="BO1032" s="2">
        <v>42005.092361111114</v>
      </c>
      <c r="BP1032" s="2">
        <v>6.92</v>
      </c>
      <c r="BQ1032" s="2">
        <v>42005.092361111114</v>
      </c>
      <c r="BR1032" s="2">
        <v>11.07</v>
      </c>
      <c r="BS1032" s="2">
        <v>42005.092361111114</v>
      </c>
      <c r="BT1032">
        <v>0</v>
      </c>
      <c r="BU1032">
        <v>0</v>
      </c>
      <c r="BV1032" t="s">
        <v>135</v>
      </c>
      <c r="BW1032">
        <v>0</v>
      </c>
      <c r="BX1032">
        <v>0</v>
      </c>
      <c r="BY1032" t="s">
        <v>135</v>
      </c>
      <c r="BZ1032">
        <v>0</v>
      </c>
      <c r="CA1032">
        <v>0</v>
      </c>
      <c r="CB1032" t="s">
        <v>135</v>
      </c>
      <c r="CH1032" s="2"/>
      <c r="CJ1032" s="2"/>
      <c r="CL1032" s="2"/>
      <c r="CN1032" s="2"/>
      <c r="CQ1032" s="2"/>
      <c r="CT1032" s="2"/>
      <c r="CW1032" s="2"/>
    </row>
    <row r="1033" spans="1:101" x14ac:dyDescent="0.25">
      <c r="A1033" s="1" t="s">
        <v>163</v>
      </c>
      <c r="B1033" s="75" t="s">
        <v>164</v>
      </c>
      <c r="C1033">
        <v>0</v>
      </c>
      <c r="D1033">
        <v>0</v>
      </c>
      <c r="E1033">
        <v>0</v>
      </c>
      <c r="F1033">
        <v>604324.56000000006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3.91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7490</v>
      </c>
      <c r="AW1033">
        <v>3350</v>
      </c>
      <c r="AX1033">
        <v>1219</v>
      </c>
      <c r="AY1033">
        <v>12059</v>
      </c>
      <c r="AZ1033">
        <v>4202</v>
      </c>
      <c r="BA1033">
        <v>7438</v>
      </c>
      <c r="BB1033">
        <v>1432</v>
      </c>
      <c r="BC1033">
        <v>13072</v>
      </c>
      <c r="BD1033">
        <v>9486</v>
      </c>
      <c r="BE1033">
        <v>9222</v>
      </c>
      <c r="BF1033">
        <v>1768</v>
      </c>
      <c r="BG1033">
        <v>20476</v>
      </c>
      <c r="BH1033">
        <v>0</v>
      </c>
      <c r="BI1033">
        <v>0</v>
      </c>
      <c r="BJ1033">
        <v>0</v>
      </c>
      <c r="BK1033">
        <v>0</v>
      </c>
      <c r="BL1033" s="2">
        <v>24.82</v>
      </c>
      <c r="BM1033" s="2">
        <v>42005.095138888886</v>
      </c>
      <c r="BN1033" s="2">
        <v>5.4</v>
      </c>
      <c r="BO1033" s="2">
        <v>42005.092361111114</v>
      </c>
      <c r="BP1033" s="2">
        <v>6.92</v>
      </c>
      <c r="BQ1033" s="2">
        <v>42005.092361111114</v>
      </c>
      <c r="BR1033" s="2">
        <v>11.07</v>
      </c>
      <c r="BS1033" s="2">
        <v>42005.092361111114</v>
      </c>
      <c r="BT1033">
        <v>0</v>
      </c>
      <c r="BU1033">
        <v>0</v>
      </c>
      <c r="BV1033" t="s">
        <v>135</v>
      </c>
      <c r="BW1033">
        <v>0</v>
      </c>
      <c r="BX1033">
        <v>0</v>
      </c>
      <c r="BY1033" t="s">
        <v>135</v>
      </c>
      <c r="BZ1033">
        <v>0</v>
      </c>
      <c r="CA1033">
        <v>0</v>
      </c>
      <c r="CB1033" t="s">
        <v>135</v>
      </c>
      <c r="CH1033" s="2"/>
      <c r="CJ1033" s="2"/>
      <c r="CL1033" s="2"/>
      <c r="CN1033" s="2"/>
      <c r="CQ1033" s="2"/>
      <c r="CT1033" s="2"/>
      <c r="CW1033" s="2"/>
    </row>
    <row r="1034" spans="1:101" x14ac:dyDescent="0.25">
      <c r="A1034" s="1" t="s">
        <v>163</v>
      </c>
      <c r="B1034" s="75" t="s">
        <v>164</v>
      </c>
      <c r="C1034">
        <v>0</v>
      </c>
      <c r="D1034">
        <v>0</v>
      </c>
      <c r="E1034">
        <v>0</v>
      </c>
      <c r="F1034">
        <v>604324.56000000006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3.91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7490</v>
      </c>
      <c r="AW1034">
        <v>3350</v>
      </c>
      <c r="AX1034">
        <v>1219</v>
      </c>
      <c r="AY1034">
        <v>12059</v>
      </c>
      <c r="AZ1034">
        <v>4202</v>
      </c>
      <c r="BA1034">
        <v>7438</v>
      </c>
      <c r="BB1034">
        <v>1432</v>
      </c>
      <c r="BC1034">
        <v>13072</v>
      </c>
      <c r="BD1034">
        <v>9486</v>
      </c>
      <c r="BE1034">
        <v>9222</v>
      </c>
      <c r="BF1034">
        <v>1768</v>
      </c>
      <c r="BG1034">
        <v>20476</v>
      </c>
      <c r="BH1034">
        <v>0</v>
      </c>
      <c r="BI1034">
        <v>0</v>
      </c>
      <c r="BJ1034">
        <v>0</v>
      </c>
      <c r="BK1034">
        <v>0</v>
      </c>
      <c r="BL1034" s="2">
        <v>24.82</v>
      </c>
      <c r="BM1034" s="2">
        <v>42005.095138888886</v>
      </c>
      <c r="BN1034" s="2">
        <v>5.4</v>
      </c>
      <c r="BO1034" s="2">
        <v>42005.092361111114</v>
      </c>
      <c r="BP1034" s="2">
        <v>6.92</v>
      </c>
      <c r="BQ1034" s="2">
        <v>42005.092361111114</v>
      </c>
      <c r="BR1034" s="2">
        <v>11.07</v>
      </c>
      <c r="BS1034" s="2">
        <v>42005.092361111114</v>
      </c>
      <c r="BT1034">
        <v>0</v>
      </c>
      <c r="BU1034">
        <v>0</v>
      </c>
      <c r="BV1034" t="s">
        <v>135</v>
      </c>
      <c r="BW1034">
        <v>0</v>
      </c>
      <c r="BX1034">
        <v>0</v>
      </c>
      <c r="BY1034" t="s">
        <v>135</v>
      </c>
      <c r="BZ1034">
        <v>0</v>
      </c>
      <c r="CA1034">
        <v>0</v>
      </c>
      <c r="CB1034" t="s">
        <v>135</v>
      </c>
      <c r="CH1034" s="2"/>
      <c r="CJ1034" s="2"/>
      <c r="CL1034" s="2"/>
      <c r="CN1034" s="2"/>
      <c r="CQ1034" s="2"/>
      <c r="CT1034" s="2"/>
      <c r="CW1034" s="2"/>
    </row>
    <row r="1035" spans="1:101" x14ac:dyDescent="0.25">
      <c r="A1035" s="1" t="s">
        <v>163</v>
      </c>
      <c r="B1035" s="75" t="s">
        <v>164</v>
      </c>
      <c r="C1035">
        <v>0</v>
      </c>
      <c r="D1035">
        <v>0</v>
      </c>
      <c r="E1035">
        <v>0</v>
      </c>
      <c r="F1035">
        <v>604324.56000000006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3.91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7490</v>
      </c>
      <c r="AW1035">
        <v>3350</v>
      </c>
      <c r="AX1035">
        <v>1219</v>
      </c>
      <c r="AY1035">
        <v>12059</v>
      </c>
      <c r="AZ1035">
        <v>4202</v>
      </c>
      <c r="BA1035">
        <v>7438</v>
      </c>
      <c r="BB1035">
        <v>1432</v>
      </c>
      <c r="BC1035">
        <v>13072</v>
      </c>
      <c r="BD1035">
        <v>9486</v>
      </c>
      <c r="BE1035">
        <v>9222</v>
      </c>
      <c r="BF1035">
        <v>1768</v>
      </c>
      <c r="BG1035">
        <v>20476</v>
      </c>
      <c r="BH1035">
        <v>0</v>
      </c>
      <c r="BI1035">
        <v>0</v>
      </c>
      <c r="BJ1035">
        <v>0</v>
      </c>
      <c r="BK1035">
        <v>0</v>
      </c>
      <c r="BL1035" s="2">
        <v>24.82</v>
      </c>
      <c r="BM1035" s="2">
        <v>42005.095138888886</v>
      </c>
      <c r="BN1035" s="2">
        <v>5.4</v>
      </c>
      <c r="BO1035" s="2">
        <v>42005.092361111114</v>
      </c>
      <c r="BP1035" s="2">
        <v>6.92</v>
      </c>
      <c r="BQ1035" s="2">
        <v>42005.092361111114</v>
      </c>
      <c r="BR1035" s="2">
        <v>11.07</v>
      </c>
      <c r="BS1035" s="2">
        <v>42005.092361111114</v>
      </c>
      <c r="BT1035">
        <v>0</v>
      </c>
      <c r="BU1035">
        <v>0</v>
      </c>
      <c r="BV1035" t="s">
        <v>135</v>
      </c>
      <c r="BW1035">
        <v>0</v>
      </c>
      <c r="BX1035">
        <v>0</v>
      </c>
      <c r="BY1035" t="s">
        <v>135</v>
      </c>
      <c r="BZ1035">
        <v>0</v>
      </c>
      <c r="CA1035">
        <v>0</v>
      </c>
      <c r="CB1035" t="s">
        <v>135</v>
      </c>
      <c r="CH1035" s="2"/>
      <c r="CJ1035" s="2"/>
      <c r="CL1035" s="2"/>
      <c r="CN1035" s="2"/>
      <c r="CQ1035" s="2"/>
      <c r="CT1035" s="2"/>
      <c r="CW1035" s="2"/>
    </row>
    <row r="1036" spans="1:101" x14ac:dyDescent="0.25">
      <c r="A1036" s="1" t="s">
        <v>163</v>
      </c>
      <c r="B1036" s="75" t="s">
        <v>164</v>
      </c>
      <c r="C1036">
        <v>0</v>
      </c>
      <c r="D1036">
        <v>0</v>
      </c>
      <c r="E1036">
        <v>0</v>
      </c>
      <c r="F1036">
        <v>604324.56000000006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3.91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7490</v>
      </c>
      <c r="AW1036">
        <v>3350</v>
      </c>
      <c r="AX1036">
        <v>1219</v>
      </c>
      <c r="AY1036">
        <v>12059</v>
      </c>
      <c r="AZ1036">
        <v>4202</v>
      </c>
      <c r="BA1036">
        <v>7438</v>
      </c>
      <c r="BB1036">
        <v>1432</v>
      </c>
      <c r="BC1036">
        <v>13072</v>
      </c>
      <c r="BD1036">
        <v>9486</v>
      </c>
      <c r="BE1036">
        <v>9222</v>
      </c>
      <c r="BF1036">
        <v>1768</v>
      </c>
      <c r="BG1036">
        <v>20476</v>
      </c>
      <c r="BH1036">
        <v>0</v>
      </c>
      <c r="BI1036">
        <v>0</v>
      </c>
      <c r="BJ1036">
        <v>0</v>
      </c>
      <c r="BK1036">
        <v>0</v>
      </c>
      <c r="BL1036" s="2">
        <v>24.82</v>
      </c>
      <c r="BM1036" s="2">
        <v>42005.095138888886</v>
      </c>
      <c r="BN1036" s="2">
        <v>5.4</v>
      </c>
      <c r="BO1036" s="2">
        <v>42005.092361111114</v>
      </c>
      <c r="BP1036" s="2">
        <v>6.92</v>
      </c>
      <c r="BQ1036" s="2">
        <v>42005.092361111114</v>
      </c>
      <c r="BR1036" s="2">
        <v>11.07</v>
      </c>
      <c r="BS1036" s="2">
        <v>42005.092361111114</v>
      </c>
      <c r="BT1036">
        <v>0</v>
      </c>
      <c r="BU1036">
        <v>0</v>
      </c>
      <c r="BV1036" t="s">
        <v>135</v>
      </c>
      <c r="BW1036">
        <v>0</v>
      </c>
      <c r="BX1036">
        <v>0</v>
      </c>
      <c r="BY1036" t="s">
        <v>135</v>
      </c>
      <c r="BZ1036">
        <v>0</v>
      </c>
      <c r="CA1036">
        <v>0</v>
      </c>
      <c r="CB1036" t="s">
        <v>135</v>
      </c>
      <c r="CH1036" s="2"/>
      <c r="CJ1036" s="2"/>
      <c r="CL1036" s="2"/>
      <c r="CN1036" s="2"/>
      <c r="CQ1036" s="2"/>
      <c r="CT1036" s="2"/>
      <c r="CW1036" s="2"/>
    </row>
    <row r="1037" spans="1:101" x14ac:dyDescent="0.25">
      <c r="A1037" s="1" t="s">
        <v>163</v>
      </c>
      <c r="B1037" s="75" t="s">
        <v>164</v>
      </c>
      <c r="C1037">
        <v>0</v>
      </c>
      <c r="D1037">
        <v>0</v>
      </c>
      <c r="E1037">
        <v>0</v>
      </c>
      <c r="F1037">
        <v>604324.56000000006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3.91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7490</v>
      </c>
      <c r="AW1037">
        <v>3350</v>
      </c>
      <c r="AX1037">
        <v>1219</v>
      </c>
      <c r="AY1037">
        <v>12059</v>
      </c>
      <c r="AZ1037">
        <v>4202</v>
      </c>
      <c r="BA1037">
        <v>7438</v>
      </c>
      <c r="BB1037">
        <v>1432</v>
      </c>
      <c r="BC1037">
        <v>13072</v>
      </c>
      <c r="BD1037">
        <v>9486</v>
      </c>
      <c r="BE1037">
        <v>9222</v>
      </c>
      <c r="BF1037">
        <v>1768</v>
      </c>
      <c r="BG1037">
        <v>20476</v>
      </c>
      <c r="BH1037">
        <v>0</v>
      </c>
      <c r="BI1037">
        <v>0</v>
      </c>
      <c r="BJ1037">
        <v>0</v>
      </c>
      <c r="BK1037">
        <v>0</v>
      </c>
      <c r="BL1037" s="2">
        <v>24.82</v>
      </c>
      <c r="BM1037" s="2">
        <v>42005.095138888886</v>
      </c>
      <c r="BN1037" s="2">
        <v>5.4</v>
      </c>
      <c r="BO1037" s="2">
        <v>42005.092361111114</v>
      </c>
      <c r="BP1037" s="2">
        <v>6.92</v>
      </c>
      <c r="BQ1037" s="2">
        <v>42005.092361111114</v>
      </c>
      <c r="BR1037" s="2">
        <v>11.07</v>
      </c>
      <c r="BS1037" s="2">
        <v>42005.092361111114</v>
      </c>
      <c r="BT1037">
        <v>0</v>
      </c>
      <c r="BU1037">
        <v>0</v>
      </c>
      <c r="BV1037" t="s">
        <v>135</v>
      </c>
      <c r="BW1037">
        <v>0</v>
      </c>
      <c r="BX1037">
        <v>0</v>
      </c>
      <c r="BY1037" t="s">
        <v>135</v>
      </c>
      <c r="BZ1037">
        <v>0</v>
      </c>
      <c r="CA1037">
        <v>0</v>
      </c>
      <c r="CB1037" t="s">
        <v>135</v>
      </c>
      <c r="CH1037" s="2"/>
      <c r="CJ1037" s="2"/>
      <c r="CL1037" s="2"/>
      <c r="CN1037" s="2"/>
      <c r="CQ1037" s="2"/>
      <c r="CT1037" s="2"/>
      <c r="CW1037" s="2"/>
    </row>
    <row r="1038" spans="1:101" x14ac:dyDescent="0.25">
      <c r="A1038" s="1" t="s">
        <v>163</v>
      </c>
      <c r="B1038" s="75" t="s">
        <v>164</v>
      </c>
      <c r="C1038">
        <v>0</v>
      </c>
      <c r="D1038">
        <v>0</v>
      </c>
      <c r="E1038">
        <v>0</v>
      </c>
      <c r="F1038">
        <v>604324.56000000006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3.91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7490</v>
      </c>
      <c r="AW1038">
        <v>3350</v>
      </c>
      <c r="AX1038">
        <v>1219</v>
      </c>
      <c r="AY1038">
        <v>12059</v>
      </c>
      <c r="AZ1038">
        <v>4202</v>
      </c>
      <c r="BA1038">
        <v>7438</v>
      </c>
      <c r="BB1038">
        <v>1432</v>
      </c>
      <c r="BC1038">
        <v>13072</v>
      </c>
      <c r="BD1038">
        <v>9486</v>
      </c>
      <c r="BE1038">
        <v>9222</v>
      </c>
      <c r="BF1038">
        <v>1768</v>
      </c>
      <c r="BG1038">
        <v>20476</v>
      </c>
      <c r="BH1038">
        <v>0</v>
      </c>
      <c r="BI1038">
        <v>0</v>
      </c>
      <c r="BJ1038">
        <v>0</v>
      </c>
      <c r="BK1038">
        <v>0</v>
      </c>
      <c r="BL1038" s="2">
        <v>24.82</v>
      </c>
      <c r="BM1038" s="2">
        <v>42005.095138888886</v>
      </c>
      <c r="BN1038" s="2">
        <v>5.4</v>
      </c>
      <c r="BO1038" s="2">
        <v>42005.092361111114</v>
      </c>
      <c r="BP1038" s="2">
        <v>6.92</v>
      </c>
      <c r="BQ1038" s="2">
        <v>42005.092361111114</v>
      </c>
      <c r="BR1038" s="2">
        <v>11.07</v>
      </c>
      <c r="BS1038" s="2">
        <v>42005.092361111114</v>
      </c>
      <c r="BT1038">
        <v>0</v>
      </c>
      <c r="BU1038">
        <v>0</v>
      </c>
      <c r="BV1038" t="s">
        <v>135</v>
      </c>
      <c r="BW1038">
        <v>0</v>
      </c>
      <c r="BX1038">
        <v>0</v>
      </c>
      <c r="BY1038" t="s">
        <v>135</v>
      </c>
      <c r="BZ1038">
        <v>0</v>
      </c>
      <c r="CA1038">
        <v>0</v>
      </c>
      <c r="CB1038" t="s">
        <v>135</v>
      </c>
      <c r="CH1038" s="2"/>
      <c r="CJ1038" s="2"/>
      <c r="CL1038" s="2"/>
      <c r="CN1038" s="2"/>
      <c r="CQ1038" s="2"/>
      <c r="CT1038" s="2"/>
      <c r="CW1038" s="2"/>
    </row>
    <row r="1039" spans="1:101" x14ac:dyDescent="0.25">
      <c r="A1039" s="1" t="s">
        <v>163</v>
      </c>
      <c r="B1039" s="75" t="s">
        <v>164</v>
      </c>
      <c r="C1039">
        <v>0</v>
      </c>
      <c r="D1039">
        <v>0</v>
      </c>
      <c r="E1039">
        <v>0</v>
      </c>
      <c r="F1039">
        <v>604324.56000000006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3.91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7490</v>
      </c>
      <c r="AW1039">
        <v>3350</v>
      </c>
      <c r="AX1039">
        <v>1219</v>
      </c>
      <c r="AY1039">
        <v>12059</v>
      </c>
      <c r="AZ1039">
        <v>4202</v>
      </c>
      <c r="BA1039">
        <v>7438</v>
      </c>
      <c r="BB1039">
        <v>1432</v>
      </c>
      <c r="BC1039">
        <v>13072</v>
      </c>
      <c r="BD1039">
        <v>9486</v>
      </c>
      <c r="BE1039">
        <v>9222</v>
      </c>
      <c r="BF1039">
        <v>1768</v>
      </c>
      <c r="BG1039">
        <v>20476</v>
      </c>
      <c r="BH1039">
        <v>0</v>
      </c>
      <c r="BI1039">
        <v>0</v>
      </c>
      <c r="BJ1039">
        <v>0</v>
      </c>
      <c r="BK1039">
        <v>0</v>
      </c>
      <c r="BL1039" s="2">
        <v>24.82</v>
      </c>
      <c r="BM1039" s="2">
        <v>42005.095138888886</v>
      </c>
      <c r="BN1039" s="2">
        <v>5.4</v>
      </c>
      <c r="BO1039" s="2">
        <v>42005.092361111114</v>
      </c>
      <c r="BP1039" s="2">
        <v>6.92</v>
      </c>
      <c r="BQ1039" s="2">
        <v>42005.092361111114</v>
      </c>
      <c r="BR1039" s="2">
        <v>11.07</v>
      </c>
      <c r="BS1039" s="2">
        <v>42005.092361111114</v>
      </c>
      <c r="BT1039">
        <v>0</v>
      </c>
      <c r="BU1039">
        <v>0</v>
      </c>
      <c r="BV1039" t="s">
        <v>135</v>
      </c>
      <c r="BW1039">
        <v>0</v>
      </c>
      <c r="BX1039">
        <v>0</v>
      </c>
      <c r="BY1039" t="s">
        <v>135</v>
      </c>
      <c r="BZ1039">
        <v>0</v>
      </c>
      <c r="CA1039">
        <v>0</v>
      </c>
      <c r="CB1039" t="s">
        <v>135</v>
      </c>
      <c r="CH1039" s="2"/>
      <c r="CJ1039" s="2"/>
      <c r="CL1039" s="2"/>
      <c r="CN1039" s="2"/>
      <c r="CQ1039" s="2"/>
      <c r="CT1039" s="2"/>
      <c r="CW1039" s="2"/>
    </row>
    <row r="1040" spans="1:101" x14ac:dyDescent="0.25">
      <c r="A1040" s="1" t="s">
        <v>163</v>
      </c>
      <c r="B1040" s="75" t="s">
        <v>164</v>
      </c>
      <c r="C1040">
        <v>0</v>
      </c>
      <c r="D1040">
        <v>0</v>
      </c>
      <c r="E1040">
        <v>0</v>
      </c>
      <c r="F1040">
        <v>604324.56000000006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3.91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7490</v>
      </c>
      <c r="AW1040">
        <v>3350</v>
      </c>
      <c r="AX1040">
        <v>1219</v>
      </c>
      <c r="AY1040">
        <v>12059</v>
      </c>
      <c r="AZ1040">
        <v>4202</v>
      </c>
      <c r="BA1040">
        <v>7438</v>
      </c>
      <c r="BB1040">
        <v>1432</v>
      </c>
      <c r="BC1040">
        <v>13072</v>
      </c>
      <c r="BD1040">
        <v>9486</v>
      </c>
      <c r="BE1040">
        <v>9222</v>
      </c>
      <c r="BF1040">
        <v>1768</v>
      </c>
      <c r="BG1040">
        <v>20476</v>
      </c>
      <c r="BH1040">
        <v>0</v>
      </c>
      <c r="BI1040">
        <v>0</v>
      </c>
      <c r="BJ1040">
        <v>0</v>
      </c>
      <c r="BK1040">
        <v>0</v>
      </c>
      <c r="BL1040" s="2">
        <v>24.82</v>
      </c>
      <c r="BM1040" s="2">
        <v>42005.095138888886</v>
      </c>
      <c r="BN1040" s="2">
        <v>5.4</v>
      </c>
      <c r="BO1040" s="2">
        <v>42005.092361111114</v>
      </c>
      <c r="BP1040" s="2">
        <v>6.92</v>
      </c>
      <c r="BQ1040" s="2">
        <v>42005.092361111114</v>
      </c>
      <c r="BR1040" s="2">
        <v>11.07</v>
      </c>
      <c r="BS1040" s="2">
        <v>42005.092361111114</v>
      </c>
      <c r="BT1040">
        <v>0</v>
      </c>
      <c r="BU1040">
        <v>0</v>
      </c>
      <c r="BV1040" t="s">
        <v>135</v>
      </c>
      <c r="BW1040">
        <v>0</v>
      </c>
      <c r="BX1040">
        <v>0</v>
      </c>
      <c r="BY1040" t="s">
        <v>135</v>
      </c>
      <c r="BZ1040">
        <v>0</v>
      </c>
      <c r="CA1040">
        <v>0</v>
      </c>
      <c r="CB1040" t="s">
        <v>135</v>
      </c>
      <c r="CH1040" s="2"/>
      <c r="CJ1040" s="2"/>
      <c r="CL1040" s="2"/>
      <c r="CN1040" s="2"/>
      <c r="CQ1040" s="2"/>
      <c r="CT1040" s="2"/>
      <c r="CW1040" s="2"/>
    </row>
    <row r="1041" spans="1:101" x14ac:dyDescent="0.25">
      <c r="A1041" s="1" t="s">
        <v>163</v>
      </c>
      <c r="B1041" s="75" t="s">
        <v>164</v>
      </c>
      <c r="C1041">
        <v>0</v>
      </c>
      <c r="D1041">
        <v>0</v>
      </c>
      <c r="E1041">
        <v>0</v>
      </c>
      <c r="F1041">
        <v>604324.56000000006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3.91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7490</v>
      </c>
      <c r="AW1041">
        <v>3350</v>
      </c>
      <c r="AX1041">
        <v>1219</v>
      </c>
      <c r="AY1041">
        <v>12059</v>
      </c>
      <c r="AZ1041">
        <v>4202</v>
      </c>
      <c r="BA1041">
        <v>7438</v>
      </c>
      <c r="BB1041">
        <v>1432</v>
      </c>
      <c r="BC1041">
        <v>13072</v>
      </c>
      <c r="BD1041">
        <v>9486</v>
      </c>
      <c r="BE1041">
        <v>9222</v>
      </c>
      <c r="BF1041">
        <v>1768</v>
      </c>
      <c r="BG1041">
        <v>20476</v>
      </c>
      <c r="BH1041">
        <v>0</v>
      </c>
      <c r="BI1041">
        <v>0</v>
      </c>
      <c r="BJ1041">
        <v>0</v>
      </c>
      <c r="BK1041">
        <v>0</v>
      </c>
      <c r="BL1041" s="2">
        <v>24.82</v>
      </c>
      <c r="BM1041" s="2">
        <v>42005.095138888886</v>
      </c>
      <c r="BN1041" s="2">
        <v>5.4</v>
      </c>
      <c r="BO1041" s="2">
        <v>42005.092361111114</v>
      </c>
      <c r="BP1041" s="2">
        <v>6.92</v>
      </c>
      <c r="BQ1041" s="2">
        <v>42005.092361111114</v>
      </c>
      <c r="BR1041" s="2">
        <v>11.07</v>
      </c>
      <c r="BS1041" s="2">
        <v>42005.092361111114</v>
      </c>
      <c r="BT1041">
        <v>0</v>
      </c>
      <c r="BU1041">
        <v>0</v>
      </c>
      <c r="BV1041" t="s">
        <v>135</v>
      </c>
      <c r="BW1041">
        <v>0</v>
      </c>
      <c r="BX1041">
        <v>0</v>
      </c>
      <c r="BY1041" t="s">
        <v>135</v>
      </c>
      <c r="BZ1041">
        <v>0</v>
      </c>
      <c r="CA1041">
        <v>0</v>
      </c>
      <c r="CB1041" t="s">
        <v>135</v>
      </c>
      <c r="CH1041" s="2"/>
      <c r="CJ1041" s="2"/>
      <c r="CL1041" s="2"/>
      <c r="CN1041" s="2"/>
      <c r="CQ1041" s="2"/>
      <c r="CT1041" s="2"/>
      <c r="CW1041" s="2"/>
    </row>
    <row r="1042" spans="1:101" x14ac:dyDescent="0.25">
      <c r="A1042" s="1" t="s">
        <v>163</v>
      </c>
      <c r="B1042" s="75" t="s">
        <v>164</v>
      </c>
      <c r="C1042">
        <v>0</v>
      </c>
      <c r="D1042">
        <v>0</v>
      </c>
      <c r="E1042">
        <v>0</v>
      </c>
      <c r="F1042">
        <v>604324.56000000006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3.91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7490</v>
      </c>
      <c r="AW1042">
        <v>3350</v>
      </c>
      <c r="AX1042">
        <v>1219</v>
      </c>
      <c r="AY1042">
        <v>12059</v>
      </c>
      <c r="AZ1042">
        <v>4202</v>
      </c>
      <c r="BA1042">
        <v>7438</v>
      </c>
      <c r="BB1042">
        <v>1432</v>
      </c>
      <c r="BC1042">
        <v>13072</v>
      </c>
      <c r="BD1042">
        <v>9486</v>
      </c>
      <c r="BE1042">
        <v>9222</v>
      </c>
      <c r="BF1042">
        <v>1768</v>
      </c>
      <c r="BG1042">
        <v>20476</v>
      </c>
      <c r="BH1042">
        <v>0</v>
      </c>
      <c r="BI1042">
        <v>0</v>
      </c>
      <c r="BJ1042">
        <v>0</v>
      </c>
      <c r="BK1042">
        <v>0</v>
      </c>
      <c r="BL1042" s="2">
        <v>24.82</v>
      </c>
      <c r="BM1042" s="2">
        <v>42005.095138888886</v>
      </c>
      <c r="BN1042" s="2">
        <v>5.4</v>
      </c>
      <c r="BO1042" s="2">
        <v>42005.092361111114</v>
      </c>
      <c r="BP1042" s="2">
        <v>6.92</v>
      </c>
      <c r="BQ1042" s="2">
        <v>42005.092361111114</v>
      </c>
      <c r="BR1042" s="2">
        <v>11.07</v>
      </c>
      <c r="BS1042" s="2">
        <v>42005.092361111114</v>
      </c>
      <c r="BT1042">
        <v>0</v>
      </c>
      <c r="BU1042">
        <v>0</v>
      </c>
      <c r="BV1042" t="s">
        <v>135</v>
      </c>
      <c r="BW1042">
        <v>0</v>
      </c>
      <c r="BX1042">
        <v>0</v>
      </c>
      <c r="BY1042" t="s">
        <v>135</v>
      </c>
      <c r="BZ1042">
        <v>0</v>
      </c>
      <c r="CA1042">
        <v>0</v>
      </c>
      <c r="CB1042" t="s">
        <v>135</v>
      </c>
      <c r="CH1042" s="2"/>
      <c r="CJ1042" s="2"/>
      <c r="CL1042" s="2"/>
      <c r="CN1042" s="2"/>
      <c r="CQ1042" s="2"/>
      <c r="CT1042" s="2"/>
      <c r="CW1042" s="2"/>
    </row>
    <row r="1043" spans="1:101" x14ac:dyDescent="0.25">
      <c r="A1043" s="1" t="s">
        <v>163</v>
      </c>
      <c r="B1043" s="75" t="s">
        <v>164</v>
      </c>
      <c r="C1043">
        <v>0</v>
      </c>
      <c r="D1043">
        <v>0</v>
      </c>
      <c r="E1043">
        <v>0</v>
      </c>
      <c r="F1043">
        <v>604324.56000000006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3.91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7490</v>
      </c>
      <c r="AW1043">
        <v>3350</v>
      </c>
      <c r="AX1043">
        <v>1219</v>
      </c>
      <c r="AY1043">
        <v>12059</v>
      </c>
      <c r="AZ1043">
        <v>4202</v>
      </c>
      <c r="BA1043">
        <v>7438</v>
      </c>
      <c r="BB1043">
        <v>1432</v>
      </c>
      <c r="BC1043">
        <v>13072</v>
      </c>
      <c r="BD1043">
        <v>9486</v>
      </c>
      <c r="BE1043">
        <v>9222</v>
      </c>
      <c r="BF1043">
        <v>1768</v>
      </c>
      <c r="BG1043">
        <v>20476</v>
      </c>
      <c r="BH1043">
        <v>0</v>
      </c>
      <c r="BI1043">
        <v>0</v>
      </c>
      <c r="BJ1043">
        <v>0</v>
      </c>
      <c r="BK1043">
        <v>0</v>
      </c>
      <c r="BL1043" s="2">
        <v>24.82</v>
      </c>
      <c r="BM1043" s="2">
        <v>42005.095138888886</v>
      </c>
      <c r="BN1043" s="2">
        <v>5.4</v>
      </c>
      <c r="BO1043" s="2">
        <v>42005.092361111114</v>
      </c>
      <c r="BP1043" s="2">
        <v>6.92</v>
      </c>
      <c r="BQ1043" s="2">
        <v>42005.092361111114</v>
      </c>
      <c r="BR1043" s="2">
        <v>11.07</v>
      </c>
      <c r="BS1043" s="2">
        <v>42005.092361111114</v>
      </c>
      <c r="BT1043">
        <v>0</v>
      </c>
      <c r="BU1043">
        <v>0</v>
      </c>
      <c r="BV1043" t="s">
        <v>135</v>
      </c>
      <c r="BW1043">
        <v>0</v>
      </c>
      <c r="BX1043">
        <v>0</v>
      </c>
      <c r="BY1043" t="s">
        <v>135</v>
      </c>
      <c r="BZ1043">
        <v>0</v>
      </c>
      <c r="CA1043">
        <v>0</v>
      </c>
      <c r="CB1043" t="s">
        <v>135</v>
      </c>
      <c r="CH1043" s="2"/>
      <c r="CJ1043" s="2"/>
      <c r="CL1043" s="2"/>
      <c r="CN1043" s="2"/>
      <c r="CQ1043" s="2"/>
      <c r="CT1043" s="2"/>
      <c r="CW1043" s="2"/>
    </row>
    <row r="1044" spans="1:101" x14ac:dyDescent="0.25">
      <c r="A1044" s="1" t="s">
        <v>163</v>
      </c>
      <c r="B1044" s="75" t="s">
        <v>164</v>
      </c>
      <c r="C1044">
        <v>0</v>
      </c>
      <c r="D1044">
        <v>0</v>
      </c>
      <c r="E1044">
        <v>0</v>
      </c>
      <c r="F1044">
        <v>604324.56000000006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3.91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7490</v>
      </c>
      <c r="AW1044">
        <v>3350</v>
      </c>
      <c r="AX1044">
        <v>1219</v>
      </c>
      <c r="AY1044">
        <v>12059</v>
      </c>
      <c r="AZ1044">
        <v>4202</v>
      </c>
      <c r="BA1044">
        <v>7438</v>
      </c>
      <c r="BB1044">
        <v>1432</v>
      </c>
      <c r="BC1044">
        <v>13072</v>
      </c>
      <c r="BD1044">
        <v>9486</v>
      </c>
      <c r="BE1044">
        <v>9222</v>
      </c>
      <c r="BF1044">
        <v>1768</v>
      </c>
      <c r="BG1044">
        <v>20476</v>
      </c>
      <c r="BH1044">
        <v>0</v>
      </c>
      <c r="BI1044">
        <v>0</v>
      </c>
      <c r="BJ1044">
        <v>0</v>
      </c>
      <c r="BK1044">
        <v>0</v>
      </c>
      <c r="BL1044" s="2">
        <v>24.82</v>
      </c>
      <c r="BM1044" s="2">
        <v>42005.095138888886</v>
      </c>
      <c r="BN1044" s="2">
        <v>5.4</v>
      </c>
      <c r="BO1044" s="2">
        <v>42005.092361111114</v>
      </c>
      <c r="BP1044" s="2">
        <v>6.92</v>
      </c>
      <c r="BQ1044" s="2">
        <v>42005.092361111114</v>
      </c>
      <c r="BR1044" s="2">
        <v>11.07</v>
      </c>
      <c r="BS1044" s="2">
        <v>42005.092361111114</v>
      </c>
      <c r="BT1044">
        <v>0</v>
      </c>
      <c r="BU1044">
        <v>0</v>
      </c>
      <c r="BV1044" t="s">
        <v>135</v>
      </c>
      <c r="BW1044">
        <v>0</v>
      </c>
      <c r="BX1044">
        <v>0</v>
      </c>
      <c r="BY1044" t="s">
        <v>135</v>
      </c>
      <c r="BZ1044">
        <v>0</v>
      </c>
      <c r="CA1044">
        <v>0</v>
      </c>
      <c r="CB1044" t="s">
        <v>135</v>
      </c>
      <c r="CH1044" s="2"/>
      <c r="CJ1044" s="2"/>
      <c r="CL1044" s="2"/>
      <c r="CN1044" s="2"/>
      <c r="CQ1044" s="2"/>
      <c r="CT1044" s="2"/>
      <c r="CW1044" s="2"/>
    </row>
    <row r="1045" spans="1:101" x14ac:dyDescent="0.25">
      <c r="A1045" s="1" t="s">
        <v>163</v>
      </c>
      <c r="B1045" s="75" t="s">
        <v>164</v>
      </c>
      <c r="C1045">
        <v>0</v>
      </c>
      <c r="D1045">
        <v>0</v>
      </c>
      <c r="E1045">
        <v>0</v>
      </c>
      <c r="F1045">
        <v>604324.56000000006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3.91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7490</v>
      </c>
      <c r="AW1045">
        <v>3350</v>
      </c>
      <c r="AX1045">
        <v>1219</v>
      </c>
      <c r="AY1045">
        <v>12059</v>
      </c>
      <c r="AZ1045">
        <v>4202</v>
      </c>
      <c r="BA1045">
        <v>7438</v>
      </c>
      <c r="BB1045">
        <v>1432</v>
      </c>
      <c r="BC1045">
        <v>13072</v>
      </c>
      <c r="BD1045">
        <v>9486</v>
      </c>
      <c r="BE1045">
        <v>9222</v>
      </c>
      <c r="BF1045">
        <v>1768</v>
      </c>
      <c r="BG1045">
        <v>20476</v>
      </c>
      <c r="BH1045">
        <v>0</v>
      </c>
      <c r="BI1045">
        <v>0</v>
      </c>
      <c r="BJ1045">
        <v>0</v>
      </c>
      <c r="BK1045">
        <v>0</v>
      </c>
      <c r="BL1045" s="2">
        <v>24.82</v>
      </c>
      <c r="BM1045" s="2">
        <v>42005.095138888886</v>
      </c>
      <c r="BN1045" s="2">
        <v>5.4</v>
      </c>
      <c r="BO1045" s="2">
        <v>42005.092361111114</v>
      </c>
      <c r="BP1045" s="2">
        <v>6.92</v>
      </c>
      <c r="BQ1045" s="2">
        <v>42005.092361111114</v>
      </c>
      <c r="BR1045" s="2">
        <v>11.07</v>
      </c>
      <c r="BS1045" s="2">
        <v>42005.092361111114</v>
      </c>
      <c r="BT1045">
        <v>0</v>
      </c>
      <c r="BU1045">
        <v>0</v>
      </c>
      <c r="BV1045" t="s">
        <v>135</v>
      </c>
      <c r="BW1045">
        <v>0</v>
      </c>
      <c r="BX1045">
        <v>0</v>
      </c>
      <c r="BY1045" t="s">
        <v>135</v>
      </c>
      <c r="BZ1045">
        <v>0</v>
      </c>
      <c r="CA1045">
        <v>0</v>
      </c>
      <c r="CB1045" t="s">
        <v>135</v>
      </c>
      <c r="CH1045" s="2"/>
      <c r="CJ1045" s="2"/>
      <c r="CL1045" s="2"/>
      <c r="CN1045" s="2"/>
      <c r="CQ1045" s="2"/>
      <c r="CT1045" s="2"/>
      <c r="CW1045" s="2"/>
    </row>
    <row r="1046" spans="1:101" x14ac:dyDescent="0.25">
      <c r="A1046" s="1" t="s">
        <v>163</v>
      </c>
      <c r="B1046" s="75" t="s">
        <v>164</v>
      </c>
      <c r="C1046">
        <v>0</v>
      </c>
      <c r="D1046">
        <v>0</v>
      </c>
      <c r="E1046">
        <v>0</v>
      </c>
      <c r="F1046">
        <v>604324.56000000006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3.91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7490</v>
      </c>
      <c r="AW1046">
        <v>3350</v>
      </c>
      <c r="AX1046">
        <v>1219</v>
      </c>
      <c r="AY1046">
        <v>12059</v>
      </c>
      <c r="AZ1046">
        <v>4202</v>
      </c>
      <c r="BA1046">
        <v>7438</v>
      </c>
      <c r="BB1046">
        <v>1432</v>
      </c>
      <c r="BC1046">
        <v>13072</v>
      </c>
      <c r="BD1046">
        <v>9486</v>
      </c>
      <c r="BE1046">
        <v>9222</v>
      </c>
      <c r="BF1046">
        <v>1768</v>
      </c>
      <c r="BG1046">
        <v>20476</v>
      </c>
      <c r="BH1046">
        <v>0</v>
      </c>
      <c r="BI1046">
        <v>0</v>
      </c>
      <c r="BJ1046">
        <v>0</v>
      </c>
      <c r="BK1046">
        <v>0</v>
      </c>
      <c r="BL1046" s="2">
        <v>24.82</v>
      </c>
      <c r="BM1046" s="2">
        <v>42005.095138888886</v>
      </c>
      <c r="BN1046" s="2">
        <v>5.4</v>
      </c>
      <c r="BO1046" s="2">
        <v>42005.092361111114</v>
      </c>
      <c r="BP1046" s="2">
        <v>6.92</v>
      </c>
      <c r="BQ1046" s="2">
        <v>42005.092361111114</v>
      </c>
      <c r="BR1046" s="2">
        <v>11.07</v>
      </c>
      <c r="BS1046" s="2">
        <v>42005.092361111114</v>
      </c>
      <c r="BT1046">
        <v>0</v>
      </c>
      <c r="BU1046">
        <v>0</v>
      </c>
      <c r="BV1046" t="s">
        <v>135</v>
      </c>
      <c r="BW1046">
        <v>0</v>
      </c>
      <c r="BX1046">
        <v>0</v>
      </c>
      <c r="BY1046" t="s">
        <v>135</v>
      </c>
      <c r="BZ1046">
        <v>0</v>
      </c>
      <c r="CA1046">
        <v>0</v>
      </c>
      <c r="CB1046" t="s">
        <v>135</v>
      </c>
      <c r="CH1046" s="2"/>
      <c r="CJ1046" s="2"/>
      <c r="CL1046" s="2"/>
      <c r="CN1046" s="2"/>
      <c r="CQ1046" s="2"/>
      <c r="CT1046" s="2"/>
      <c r="CW1046" s="2"/>
    </row>
    <row r="1047" spans="1:101" x14ac:dyDescent="0.25">
      <c r="A1047" s="1" t="s">
        <v>163</v>
      </c>
      <c r="B1047" s="75" t="s">
        <v>164</v>
      </c>
      <c r="C1047">
        <v>0</v>
      </c>
      <c r="D1047">
        <v>0</v>
      </c>
      <c r="E1047">
        <v>0</v>
      </c>
      <c r="F1047">
        <v>604324.56000000006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3.91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7490</v>
      </c>
      <c r="AW1047">
        <v>3350</v>
      </c>
      <c r="AX1047">
        <v>1219</v>
      </c>
      <c r="AY1047">
        <v>12059</v>
      </c>
      <c r="AZ1047">
        <v>4202</v>
      </c>
      <c r="BA1047">
        <v>7438</v>
      </c>
      <c r="BB1047">
        <v>1432</v>
      </c>
      <c r="BC1047">
        <v>13072</v>
      </c>
      <c r="BD1047">
        <v>9486</v>
      </c>
      <c r="BE1047">
        <v>9222</v>
      </c>
      <c r="BF1047">
        <v>1768</v>
      </c>
      <c r="BG1047">
        <v>20476</v>
      </c>
      <c r="BH1047">
        <v>0</v>
      </c>
      <c r="BI1047">
        <v>0</v>
      </c>
      <c r="BJ1047">
        <v>0</v>
      </c>
      <c r="BK1047">
        <v>0</v>
      </c>
      <c r="BL1047" s="2">
        <v>24.82</v>
      </c>
      <c r="BM1047" s="2">
        <v>42005.095138888886</v>
      </c>
      <c r="BN1047" s="2">
        <v>5.4</v>
      </c>
      <c r="BO1047" s="2">
        <v>42005.092361111114</v>
      </c>
      <c r="BP1047" s="2">
        <v>6.92</v>
      </c>
      <c r="BQ1047" s="2">
        <v>42005.092361111114</v>
      </c>
      <c r="BR1047" s="2">
        <v>11.07</v>
      </c>
      <c r="BS1047" s="2">
        <v>42005.092361111114</v>
      </c>
      <c r="BT1047">
        <v>0</v>
      </c>
      <c r="BU1047">
        <v>0</v>
      </c>
      <c r="BV1047" t="s">
        <v>135</v>
      </c>
      <c r="BW1047">
        <v>0</v>
      </c>
      <c r="BX1047">
        <v>0</v>
      </c>
      <c r="BY1047" t="s">
        <v>135</v>
      </c>
      <c r="BZ1047">
        <v>0</v>
      </c>
      <c r="CA1047">
        <v>0</v>
      </c>
      <c r="CB1047" t="s">
        <v>135</v>
      </c>
      <c r="CH1047" s="2"/>
      <c r="CJ1047" s="2"/>
      <c r="CL1047" s="2"/>
      <c r="CN1047" s="2"/>
      <c r="CQ1047" s="2"/>
      <c r="CT1047" s="2"/>
      <c r="CW1047" s="2"/>
    </row>
    <row r="1048" spans="1:101" x14ac:dyDescent="0.25">
      <c r="A1048" s="1" t="s">
        <v>163</v>
      </c>
      <c r="B1048" s="75" t="s">
        <v>164</v>
      </c>
      <c r="C1048">
        <v>0</v>
      </c>
      <c r="D1048">
        <v>0</v>
      </c>
      <c r="E1048">
        <v>0</v>
      </c>
      <c r="F1048">
        <v>604324.56000000006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3.91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7490</v>
      </c>
      <c r="AW1048">
        <v>3350</v>
      </c>
      <c r="AX1048">
        <v>1219</v>
      </c>
      <c r="AY1048">
        <v>12059</v>
      </c>
      <c r="AZ1048">
        <v>4202</v>
      </c>
      <c r="BA1048">
        <v>7438</v>
      </c>
      <c r="BB1048">
        <v>1432</v>
      </c>
      <c r="BC1048">
        <v>13072</v>
      </c>
      <c r="BD1048">
        <v>9486</v>
      </c>
      <c r="BE1048">
        <v>9222</v>
      </c>
      <c r="BF1048">
        <v>1768</v>
      </c>
      <c r="BG1048">
        <v>20476</v>
      </c>
      <c r="BH1048">
        <v>0</v>
      </c>
      <c r="BI1048">
        <v>0</v>
      </c>
      <c r="BJ1048">
        <v>0</v>
      </c>
      <c r="BK1048">
        <v>0</v>
      </c>
      <c r="BL1048" s="2">
        <v>24.82</v>
      </c>
      <c r="BM1048" s="2">
        <v>42005.095138888886</v>
      </c>
      <c r="BN1048" s="2">
        <v>5.4</v>
      </c>
      <c r="BO1048" s="2">
        <v>42005.092361111114</v>
      </c>
      <c r="BP1048" s="2">
        <v>6.92</v>
      </c>
      <c r="BQ1048" s="2">
        <v>42005.092361111114</v>
      </c>
      <c r="BR1048" s="2">
        <v>11.07</v>
      </c>
      <c r="BS1048" s="2">
        <v>42005.092361111114</v>
      </c>
      <c r="BT1048">
        <v>0</v>
      </c>
      <c r="BU1048">
        <v>0</v>
      </c>
      <c r="BV1048" t="s">
        <v>135</v>
      </c>
      <c r="BW1048">
        <v>0</v>
      </c>
      <c r="BX1048">
        <v>0</v>
      </c>
      <c r="BY1048" t="s">
        <v>135</v>
      </c>
      <c r="BZ1048">
        <v>0</v>
      </c>
      <c r="CA1048">
        <v>0</v>
      </c>
      <c r="CB1048" t="s">
        <v>135</v>
      </c>
      <c r="CH1048" s="2"/>
      <c r="CJ1048" s="2"/>
      <c r="CL1048" s="2"/>
      <c r="CN1048" s="2"/>
      <c r="CQ1048" s="2"/>
      <c r="CT1048" s="2"/>
      <c r="CW1048" s="2"/>
    </row>
    <row r="1049" spans="1:101" x14ac:dyDescent="0.25">
      <c r="A1049" s="1" t="s">
        <v>163</v>
      </c>
      <c r="B1049" s="75" t="s">
        <v>164</v>
      </c>
      <c r="C1049">
        <v>0</v>
      </c>
      <c r="D1049">
        <v>0</v>
      </c>
      <c r="E1049">
        <v>0</v>
      </c>
      <c r="F1049">
        <v>604324.56000000006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3.91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7490</v>
      </c>
      <c r="AW1049">
        <v>3350</v>
      </c>
      <c r="AX1049">
        <v>1219</v>
      </c>
      <c r="AY1049">
        <v>12059</v>
      </c>
      <c r="AZ1049">
        <v>4202</v>
      </c>
      <c r="BA1049">
        <v>7438</v>
      </c>
      <c r="BB1049">
        <v>1432</v>
      </c>
      <c r="BC1049">
        <v>13072</v>
      </c>
      <c r="BD1049">
        <v>9486</v>
      </c>
      <c r="BE1049">
        <v>9222</v>
      </c>
      <c r="BF1049">
        <v>1768</v>
      </c>
      <c r="BG1049">
        <v>20476</v>
      </c>
      <c r="BH1049">
        <v>0</v>
      </c>
      <c r="BI1049">
        <v>0</v>
      </c>
      <c r="BJ1049">
        <v>0</v>
      </c>
      <c r="BK1049">
        <v>0</v>
      </c>
      <c r="BL1049" s="2">
        <v>24.82</v>
      </c>
      <c r="BM1049" s="2">
        <v>42005.095138888886</v>
      </c>
      <c r="BN1049" s="2">
        <v>5.4</v>
      </c>
      <c r="BO1049" s="2">
        <v>42005.092361111114</v>
      </c>
      <c r="BP1049" s="2">
        <v>6.92</v>
      </c>
      <c r="BQ1049" s="2">
        <v>42005.092361111114</v>
      </c>
      <c r="BR1049" s="2">
        <v>11.07</v>
      </c>
      <c r="BS1049" s="2">
        <v>42005.092361111114</v>
      </c>
      <c r="BT1049">
        <v>0</v>
      </c>
      <c r="BU1049">
        <v>0</v>
      </c>
      <c r="BV1049" t="s">
        <v>135</v>
      </c>
      <c r="BW1049">
        <v>0</v>
      </c>
      <c r="BX1049">
        <v>0</v>
      </c>
      <c r="BY1049" t="s">
        <v>135</v>
      </c>
      <c r="BZ1049">
        <v>0</v>
      </c>
      <c r="CA1049">
        <v>0</v>
      </c>
      <c r="CB1049" t="s">
        <v>135</v>
      </c>
      <c r="CH1049" s="2"/>
      <c r="CJ1049" s="2"/>
      <c r="CL1049" s="2"/>
      <c r="CN1049" s="2"/>
      <c r="CQ1049" s="2"/>
      <c r="CT1049" s="2"/>
      <c r="CW1049" s="2"/>
    </row>
    <row r="1050" spans="1:101" x14ac:dyDescent="0.25">
      <c r="A1050" s="1" t="s">
        <v>163</v>
      </c>
      <c r="B1050" s="75" t="s">
        <v>164</v>
      </c>
      <c r="C1050">
        <v>0</v>
      </c>
      <c r="D1050">
        <v>0</v>
      </c>
      <c r="E1050">
        <v>0</v>
      </c>
      <c r="F1050">
        <v>604324.56000000006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3.91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7490</v>
      </c>
      <c r="AW1050">
        <v>3350</v>
      </c>
      <c r="AX1050">
        <v>1219</v>
      </c>
      <c r="AY1050">
        <v>12059</v>
      </c>
      <c r="AZ1050">
        <v>4202</v>
      </c>
      <c r="BA1050">
        <v>7438</v>
      </c>
      <c r="BB1050">
        <v>1432</v>
      </c>
      <c r="BC1050">
        <v>13072</v>
      </c>
      <c r="BD1050">
        <v>9486</v>
      </c>
      <c r="BE1050">
        <v>9222</v>
      </c>
      <c r="BF1050">
        <v>1768</v>
      </c>
      <c r="BG1050">
        <v>20476</v>
      </c>
      <c r="BH1050">
        <v>0</v>
      </c>
      <c r="BI1050">
        <v>0</v>
      </c>
      <c r="BJ1050">
        <v>0</v>
      </c>
      <c r="BK1050">
        <v>0</v>
      </c>
      <c r="BL1050" s="2">
        <v>24.82</v>
      </c>
      <c r="BM1050" s="2">
        <v>42005.095138888886</v>
      </c>
      <c r="BN1050" s="2">
        <v>5.4</v>
      </c>
      <c r="BO1050" s="2">
        <v>42005.092361111114</v>
      </c>
      <c r="BP1050" s="2">
        <v>6.92</v>
      </c>
      <c r="BQ1050" s="2">
        <v>42005.092361111114</v>
      </c>
      <c r="BR1050" s="2">
        <v>11.07</v>
      </c>
      <c r="BS1050" s="2">
        <v>42005.092361111114</v>
      </c>
      <c r="BT1050">
        <v>0</v>
      </c>
      <c r="BU1050">
        <v>0</v>
      </c>
      <c r="BV1050" t="s">
        <v>135</v>
      </c>
      <c r="BW1050">
        <v>0</v>
      </c>
      <c r="BX1050">
        <v>0</v>
      </c>
      <c r="BY1050" t="s">
        <v>135</v>
      </c>
      <c r="BZ1050">
        <v>0</v>
      </c>
      <c r="CA1050">
        <v>0</v>
      </c>
      <c r="CB1050" t="s">
        <v>135</v>
      </c>
      <c r="CH1050" s="2"/>
      <c r="CJ1050" s="2"/>
      <c r="CL1050" s="2"/>
      <c r="CN1050" s="2"/>
      <c r="CQ1050" s="2"/>
      <c r="CT1050" s="2"/>
      <c r="CW1050" s="2"/>
    </row>
    <row r="1051" spans="1:101" x14ac:dyDescent="0.25">
      <c r="A1051" s="1" t="s">
        <v>163</v>
      </c>
      <c r="B1051" s="75" t="s">
        <v>164</v>
      </c>
      <c r="C1051">
        <v>0</v>
      </c>
      <c r="D1051">
        <v>0</v>
      </c>
      <c r="E1051">
        <v>0</v>
      </c>
      <c r="F1051">
        <v>604324.56000000006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3.91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7490</v>
      </c>
      <c r="AW1051">
        <v>3350</v>
      </c>
      <c r="AX1051">
        <v>1219</v>
      </c>
      <c r="AY1051">
        <v>12059</v>
      </c>
      <c r="AZ1051">
        <v>4202</v>
      </c>
      <c r="BA1051">
        <v>7438</v>
      </c>
      <c r="BB1051">
        <v>1432</v>
      </c>
      <c r="BC1051">
        <v>13072</v>
      </c>
      <c r="BD1051">
        <v>9486</v>
      </c>
      <c r="BE1051">
        <v>9222</v>
      </c>
      <c r="BF1051">
        <v>1768</v>
      </c>
      <c r="BG1051">
        <v>20476</v>
      </c>
      <c r="BH1051">
        <v>0</v>
      </c>
      <c r="BI1051">
        <v>0</v>
      </c>
      <c r="BJ1051">
        <v>0</v>
      </c>
      <c r="BK1051">
        <v>0</v>
      </c>
      <c r="BL1051" s="2">
        <v>24.82</v>
      </c>
      <c r="BM1051" s="2">
        <v>42005.095138888886</v>
      </c>
      <c r="BN1051" s="2">
        <v>5.4</v>
      </c>
      <c r="BO1051" s="2">
        <v>42005.092361111114</v>
      </c>
      <c r="BP1051" s="2">
        <v>6.92</v>
      </c>
      <c r="BQ1051" s="2">
        <v>42005.092361111114</v>
      </c>
      <c r="BR1051" s="2">
        <v>11.07</v>
      </c>
      <c r="BS1051" s="2">
        <v>42005.092361111114</v>
      </c>
      <c r="BT1051">
        <v>0</v>
      </c>
      <c r="BU1051">
        <v>0</v>
      </c>
      <c r="BV1051" t="s">
        <v>135</v>
      </c>
      <c r="BW1051">
        <v>0</v>
      </c>
      <c r="BX1051">
        <v>0</v>
      </c>
      <c r="BY1051" t="s">
        <v>135</v>
      </c>
      <c r="BZ1051">
        <v>0</v>
      </c>
      <c r="CA1051">
        <v>0</v>
      </c>
      <c r="CB1051" t="s">
        <v>135</v>
      </c>
      <c r="CH1051" s="2"/>
      <c r="CJ1051" s="2"/>
      <c r="CL1051" s="2"/>
      <c r="CN1051" s="2"/>
      <c r="CQ1051" s="2"/>
      <c r="CT1051" s="2"/>
      <c r="CW1051" s="2"/>
    </row>
    <row r="1052" spans="1:101" x14ac:dyDescent="0.25">
      <c r="A1052" s="1" t="s">
        <v>163</v>
      </c>
      <c r="B1052" s="75" t="s">
        <v>164</v>
      </c>
      <c r="C1052">
        <v>0</v>
      </c>
      <c r="D1052">
        <v>0</v>
      </c>
      <c r="E1052">
        <v>0</v>
      </c>
      <c r="F1052">
        <v>604324.56000000006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3.91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7490</v>
      </c>
      <c r="AW1052">
        <v>3350</v>
      </c>
      <c r="AX1052">
        <v>1219</v>
      </c>
      <c r="AY1052">
        <v>12059</v>
      </c>
      <c r="AZ1052">
        <v>4202</v>
      </c>
      <c r="BA1052">
        <v>7438</v>
      </c>
      <c r="BB1052">
        <v>1432</v>
      </c>
      <c r="BC1052">
        <v>13072</v>
      </c>
      <c r="BD1052">
        <v>9486</v>
      </c>
      <c r="BE1052">
        <v>9222</v>
      </c>
      <c r="BF1052">
        <v>1768</v>
      </c>
      <c r="BG1052">
        <v>20476</v>
      </c>
      <c r="BH1052">
        <v>0</v>
      </c>
      <c r="BI1052">
        <v>0</v>
      </c>
      <c r="BJ1052">
        <v>0</v>
      </c>
      <c r="BK1052">
        <v>0</v>
      </c>
      <c r="BL1052" s="2">
        <v>24.82</v>
      </c>
      <c r="BM1052" s="2">
        <v>42005.095138888886</v>
      </c>
      <c r="BN1052" s="2">
        <v>5.4</v>
      </c>
      <c r="BO1052" s="2">
        <v>42005.092361111114</v>
      </c>
      <c r="BP1052" s="2">
        <v>6.92</v>
      </c>
      <c r="BQ1052" s="2">
        <v>42005.092361111114</v>
      </c>
      <c r="BR1052" s="2">
        <v>11.07</v>
      </c>
      <c r="BS1052" s="2">
        <v>42005.092361111114</v>
      </c>
      <c r="BT1052">
        <v>0</v>
      </c>
      <c r="BU1052">
        <v>0</v>
      </c>
      <c r="BV1052" t="s">
        <v>135</v>
      </c>
      <c r="BW1052">
        <v>0</v>
      </c>
      <c r="BX1052">
        <v>0</v>
      </c>
      <c r="BY1052" t="s">
        <v>135</v>
      </c>
      <c r="BZ1052">
        <v>0</v>
      </c>
      <c r="CA1052">
        <v>0</v>
      </c>
      <c r="CB1052" t="s">
        <v>135</v>
      </c>
      <c r="CH1052" s="2"/>
      <c r="CJ1052" s="2"/>
      <c r="CL1052" s="2"/>
      <c r="CN1052" s="2"/>
      <c r="CQ1052" s="2"/>
      <c r="CT1052" s="2"/>
      <c r="CW1052" s="2"/>
    </row>
    <row r="1053" spans="1:101" x14ac:dyDescent="0.25">
      <c r="A1053" s="1" t="s">
        <v>163</v>
      </c>
      <c r="B1053" s="75" t="s">
        <v>164</v>
      </c>
      <c r="C1053">
        <v>0</v>
      </c>
      <c r="D1053">
        <v>0</v>
      </c>
      <c r="E1053">
        <v>0</v>
      </c>
      <c r="F1053">
        <v>604324.56000000006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3.91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7490</v>
      </c>
      <c r="AW1053">
        <v>3350</v>
      </c>
      <c r="AX1053">
        <v>1219</v>
      </c>
      <c r="AY1053">
        <v>12059</v>
      </c>
      <c r="AZ1053">
        <v>4202</v>
      </c>
      <c r="BA1053">
        <v>7438</v>
      </c>
      <c r="BB1053">
        <v>1432</v>
      </c>
      <c r="BC1053">
        <v>13072</v>
      </c>
      <c r="BD1053">
        <v>9486</v>
      </c>
      <c r="BE1053">
        <v>9222</v>
      </c>
      <c r="BF1053">
        <v>1768</v>
      </c>
      <c r="BG1053">
        <v>20476</v>
      </c>
      <c r="BH1053">
        <v>0</v>
      </c>
      <c r="BI1053">
        <v>0</v>
      </c>
      <c r="BJ1053">
        <v>0</v>
      </c>
      <c r="BK1053">
        <v>0</v>
      </c>
      <c r="BL1053" s="2">
        <v>24.82</v>
      </c>
      <c r="BM1053" s="2">
        <v>42005.095138888886</v>
      </c>
      <c r="BN1053" s="2">
        <v>5.4</v>
      </c>
      <c r="BO1053" s="2">
        <v>42005.092361111114</v>
      </c>
      <c r="BP1053" s="2">
        <v>6.92</v>
      </c>
      <c r="BQ1053" s="2">
        <v>42005.092361111114</v>
      </c>
      <c r="BR1053" s="2">
        <v>11.07</v>
      </c>
      <c r="BS1053" s="2">
        <v>42005.092361111114</v>
      </c>
      <c r="BT1053">
        <v>0</v>
      </c>
      <c r="BU1053">
        <v>0</v>
      </c>
      <c r="BV1053" t="s">
        <v>135</v>
      </c>
      <c r="BW1053">
        <v>0</v>
      </c>
      <c r="BX1053">
        <v>0</v>
      </c>
      <c r="BY1053" t="s">
        <v>135</v>
      </c>
      <c r="BZ1053">
        <v>0</v>
      </c>
      <c r="CA1053">
        <v>0</v>
      </c>
      <c r="CB1053" t="s">
        <v>135</v>
      </c>
      <c r="CH1053" s="2"/>
      <c r="CJ1053" s="2"/>
      <c r="CL1053" s="2"/>
      <c r="CN1053" s="2"/>
      <c r="CQ1053" s="2"/>
      <c r="CT1053" s="2"/>
      <c r="CW1053" s="2"/>
    </row>
    <row r="1054" spans="1:101" x14ac:dyDescent="0.25">
      <c r="A1054" s="1" t="s">
        <v>163</v>
      </c>
      <c r="B1054" s="75" t="s">
        <v>164</v>
      </c>
      <c r="C1054">
        <v>0</v>
      </c>
      <c r="D1054">
        <v>0</v>
      </c>
      <c r="E1054">
        <v>0</v>
      </c>
      <c r="F1054">
        <v>604324.56000000006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3.91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7490</v>
      </c>
      <c r="AW1054">
        <v>3350</v>
      </c>
      <c r="AX1054">
        <v>1219</v>
      </c>
      <c r="AY1054">
        <v>12059</v>
      </c>
      <c r="AZ1054">
        <v>4202</v>
      </c>
      <c r="BA1054">
        <v>7438</v>
      </c>
      <c r="BB1054">
        <v>1432</v>
      </c>
      <c r="BC1054">
        <v>13072</v>
      </c>
      <c r="BD1054">
        <v>9486</v>
      </c>
      <c r="BE1054">
        <v>9222</v>
      </c>
      <c r="BF1054">
        <v>1768</v>
      </c>
      <c r="BG1054">
        <v>20476</v>
      </c>
      <c r="BH1054">
        <v>0</v>
      </c>
      <c r="BI1054">
        <v>0</v>
      </c>
      <c r="BJ1054">
        <v>0</v>
      </c>
      <c r="BK1054">
        <v>0</v>
      </c>
      <c r="BL1054" s="2">
        <v>24.82</v>
      </c>
      <c r="BM1054" s="2">
        <v>42005.095138888886</v>
      </c>
      <c r="BN1054" s="2">
        <v>5.4</v>
      </c>
      <c r="BO1054" s="2">
        <v>42005.092361111114</v>
      </c>
      <c r="BP1054" s="2">
        <v>6.92</v>
      </c>
      <c r="BQ1054" s="2">
        <v>42005.092361111114</v>
      </c>
      <c r="BR1054" s="2">
        <v>11.07</v>
      </c>
      <c r="BS1054" s="2">
        <v>42005.092361111114</v>
      </c>
      <c r="BT1054">
        <v>0</v>
      </c>
      <c r="BU1054">
        <v>0</v>
      </c>
      <c r="BV1054" t="s">
        <v>135</v>
      </c>
      <c r="BW1054">
        <v>0</v>
      </c>
      <c r="BX1054">
        <v>0</v>
      </c>
      <c r="BY1054" t="s">
        <v>135</v>
      </c>
      <c r="BZ1054">
        <v>0</v>
      </c>
      <c r="CA1054">
        <v>0</v>
      </c>
      <c r="CB1054" t="s">
        <v>135</v>
      </c>
      <c r="CH1054" s="2"/>
      <c r="CJ1054" s="2"/>
      <c r="CL1054" s="2"/>
      <c r="CN1054" s="2"/>
      <c r="CQ1054" s="2"/>
      <c r="CT1054" s="2"/>
      <c r="CW1054" s="2"/>
    </row>
    <row r="1055" spans="1:101" x14ac:dyDescent="0.25">
      <c r="A1055" s="1" t="s">
        <v>163</v>
      </c>
      <c r="B1055" s="75" t="s">
        <v>164</v>
      </c>
      <c r="C1055">
        <v>0</v>
      </c>
      <c r="D1055">
        <v>0</v>
      </c>
      <c r="E1055">
        <v>0</v>
      </c>
      <c r="F1055">
        <v>604324.56000000006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3.91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7490</v>
      </c>
      <c r="AW1055">
        <v>3350</v>
      </c>
      <c r="AX1055">
        <v>1219</v>
      </c>
      <c r="AY1055">
        <v>12059</v>
      </c>
      <c r="AZ1055">
        <v>4202</v>
      </c>
      <c r="BA1055">
        <v>7438</v>
      </c>
      <c r="BB1055">
        <v>1432</v>
      </c>
      <c r="BC1055">
        <v>13072</v>
      </c>
      <c r="BD1055">
        <v>9486</v>
      </c>
      <c r="BE1055">
        <v>9222</v>
      </c>
      <c r="BF1055">
        <v>1768</v>
      </c>
      <c r="BG1055">
        <v>20476</v>
      </c>
      <c r="BH1055">
        <v>0</v>
      </c>
      <c r="BI1055">
        <v>0</v>
      </c>
      <c r="BJ1055">
        <v>0</v>
      </c>
      <c r="BK1055">
        <v>0</v>
      </c>
      <c r="BL1055" s="2">
        <v>24.82</v>
      </c>
      <c r="BM1055" s="2">
        <v>42005.095138888886</v>
      </c>
      <c r="BN1055" s="2">
        <v>5.4</v>
      </c>
      <c r="BO1055" s="2">
        <v>42005.092361111114</v>
      </c>
      <c r="BP1055" s="2">
        <v>6.92</v>
      </c>
      <c r="BQ1055" s="2">
        <v>42005.092361111114</v>
      </c>
      <c r="BR1055" s="2">
        <v>11.07</v>
      </c>
      <c r="BS1055" s="2">
        <v>42005.092361111114</v>
      </c>
      <c r="BT1055">
        <v>0</v>
      </c>
      <c r="BU1055">
        <v>0</v>
      </c>
      <c r="BV1055" t="s">
        <v>135</v>
      </c>
      <c r="BW1055">
        <v>0</v>
      </c>
      <c r="BX1055">
        <v>0</v>
      </c>
      <c r="BY1055" t="s">
        <v>135</v>
      </c>
      <c r="BZ1055">
        <v>0</v>
      </c>
      <c r="CA1055">
        <v>0</v>
      </c>
      <c r="CB1055" t="s">
        <v>135</v>
      </c>
      <c r="CH1055" s="2"/>
      <c r="CJ1055" s="2"/>
      <c r="CL1055" s="2"/>
      <c r="CN1055" s="2"/>
      <c r="CQ1055" s="2"/>
      <c r="CT1055" s="2"/>
      <c r="CW1055" s="2"/>
    </row>
    <row r="1056" spans="1:101" x14ac:dyDescent="0.25">
      <c r="A1056" s="1" t="s">
        <v>163</v>
      </c>
      <c r="B1056" s="75" t="s">
        <v>164</v>
      </c>
      <c r="C1056">
        <v>0</v>
      </c>
      <c r="D1056">
        <v>0</v>
      </c>
      <c r="E1056">
        <v>0</v>
      </c>
      <c r="F1056">
        <v>604324.56000000006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3.91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7490</v>
      </c>
      <c r="AW1056">
        <v>3350</v>
      </c>
      <c r="AX1056">
        <v>1219</v>
      </c>
      <c r="AY1056">
        <v>12059</v>
      </c>
      <c r="AZ1056">
        <v>4202</v>
      </c>
      <c r="BA1056">
        <v>7438</v>
      </c>
      <c r="BB1056">
        <v>1432</v>
      </c>
      <c r="BC1056">
        <v>13072</v>
      </c>
      <c r="BD1056">
        <v>9486</v>
      </c>
      <c r="BE1056">
        <v>9222</v>
      </c>
      <c r="BF1056">
        <v>1768</v>
      </c>
      <c r="BG1056">
        <v>20476</v>
      </c>
      <c r="BH1056">
        <v>0</v>
      </c>
      <c r="BI1056">
        <v>0</v>
      </c>
      <c r="BJ1056">
        <v>0</v>
      </c>
      <c r="BK1056">
        <v>0</v>
      </c>
      <c r="BL1056" s="2">
        <v>24.82</v>
      </c>
      <c r="BM1056" s="2">
        <v>42005.095138888886</v>
      </c>
      <c r="BN1056" s="2">
        <v>5.4</v>
      </c>
      <c r="BO1056" s="2">
        <v>42005.092361111114</v>
      </c>
      <c r="BP1056" s="2">
        <v>6.92</v>
      </c>
      <c r="BQ1056" s="2">
        <v>42005.092361111114</v>
      </c>
      <c r="BR1056" s="2">
        <v>11.07</v>
      </c>
      <c r="BS1056" s="2">
        <v>42005.092361111114</v>
      </c>
      <c r="BT1056">
        <v>0</v>
      </c>
      <c r="BU1056">
        <v>0</v>
      </c>
      <c r="BV1056" t="s">
        <v>135</v>
      </c>
      <c r="BW1056">
        <v>0</v>
      </c>
      <c r="BX1056">
        <v>0</v>
      </c>
      <c r="BY1056" t="s">
        <v>135</v>
      </c>
      <c r="BZ1056">
        <v>0</v>
      </c>
      <c r="CA1056">
        <v>0</v>
      </c>
      <c r="CB1056" t="s">
        <v>135</v>
      </c>
      <c r="CH1056" s="2"/>
      <c r="CJ1056" s="2"/>
      <c r="CL1056" s="2"/>
      <c r="CN1056" s="2"/>
      <c r="CQ1056" s="2"/>
      <c r="CT1056" s="2"/>
      <c r="CW1056" s="2"/>
    </row>
    <row r="1057" spans="1:101" x14ac:dyDescent="0.25">
      <c r="A1057" s="1" t="s">
        <v>163</v>
      </c>
      <c r="B1057" s="75" t="s">
        <v>164</v>
      </c>
      <c r="C1057">
        <v>0</v>
      </c>
      <c r="D1057">
        <v>0</v>
      </c>
      <c r="E1057">
        <v>0</v>
      </c>
      <c r="F1057">
        <v>604324.56000000006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3.91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7490</v>
      </c>
      <c r="AW1057">
        <v>3350</v>
      </c>
      <c r="AX1057">
        <v>1219</v>
      </c>
      <c r="AY1057">
        <v>12059</v>
      </c>
      <c r="AZ1057">
        <v>4202</v>
      </c>
      <c r="BA1057">
        <v>7438</v>
      </c>
      <c r="BB1057">
        <v>1432</v>
      </c>
      <c r="BC1057">
        <v>13072</v>
      </c>
      <c r="BD1057">
        <v>9486</v>
      </c>
      <c r="BE1057">
        <v>9222</v>
      </c>
      <c r="BF1057">
        <v>1768</v>
      </c>
      <c r="BG1057">
        <v>20476</v>
      </c>
      <c r="BH1057">
        <v>0</v>
      </c>
      <c r="BI1057">
        <v>0</v>
      </c>
      <c r="BJ1057">
        <v>0</v>
      </c>
      <c r="BK1057">
        <v>0</v>
      </c>
      <c r="BL1057" s="2">
        <v>24.82</v>
      </c>
      <c r="BM1057" s="2">
        <v>42005.095138888886</v>
      </c>
      <c r="BN1057" s="2">
        <v>5.4</v>
      </c>
      <c r="BO1057" s="2">
        <v>42005.092361111114</v>
      </c>
      <c r="BP1057" s="2">
        <v>6.92</v>
      </c>
      <c r="BQ1057" s="2">
        <v>42005.092361111114</v>
      </c>
      <c r="BR1057" s="2">
        <v>11.07</v>
      </c>
      <c r="BS1057" s="2">
        <v>42005.092361111114</v>
      </c>
      <c r="BT1057">
        <v>0</v>
      </c>
      <c r="BU1057">
        <v>0</v>
      </c>
      <c r="BV1057" t="s">
        <v>135</v>
      </c>
      <c r="BW1057">
        <v>0</v>
      </c>
      <c r="BX1057">
        <v>0</v>
      </c>
      <c r="BY1057" t="s">
        <v>135</v>
      </c>
      <c r="BZ1057">
        <v>0</v>
      </c>
      <c r="CA1057">
        <v>0</v>
      </c>
      <c r="CB1057" t="s">
        <v>135</v>
      </c>
      <c r="CH1057" s="2"/>
      <c r="CJ1057" s="2"/>
      <c r="CL1057" s="2"/>
      <c r="CN1057" s="2"/>
      <c r="CQ1057" s="2"/>
      <c r="CT1057" s="2"/>
      <c r="CW1057" s="2"/>
    </row>
    <row r="1058" spans="1:101" x14ac:dyDescent="0.25">
      <c r="A1058" s="1" t="s">
        <v>163</v>
      </c>
      <c r="B1058" s="75" t="s">
        <v>164</v>
      </c>
      <c r="C1058">
        <v>0</v>
      </c>
      <c r="D1058">
        <v>0</v>
      </c>
      <c r="E1058">
        <v>0</v>
      </c>
      <c r="F1058">
        <v>604324.56000000006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3.91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7490</v>
      </c>
      <c r="AW1058">
        <v>3350</v>
      </c>
      <c r="AX1058">
        <v>1219</v>
      </c>
      <c r="AY1058">
        <v>12059</v>
      </c>
      <c r="AZ1058">
        <v>4202</v>
      </c>
      <c r="BA1058">
        <v>7438</v>
      </c>
      <c r="BB1058">
        <v>1432</v>
      </c>
      <c r="BC1058">
        <v>13072</v>
      </c>
      <c r="BD1058">
        <v>9486</v>
      </c>
      <c r="BE1058">
        <v>9222</v>
      </c>
      <c r="BF1058">
        <v>1768</v>
      </c>
      <c r="BG1058">
        <v>20476</v>
      </c>
      <c r="BH1058">
        <v>0</v>
      </c>
      <c r="BI1058">
        <v>0</v>
      </c>
      <c r="BJ1058">
        <v>0</v>
      </c>
      <c r="BK1058">
        <v>0</v>
      </c>
      <c r="BL1058" s="2">
        <v>24.82</v>
      </c>
      <c r="BM1058" s="2">
        <v>42005.095138888886</v>
      </c>
      <c r="BN1058" s="2">
        <v>5.4</v>
      </c>
      <c r="BO1058" s="2">
        <v>42005.092361111114</v>
      </c>
      <c r="BP1058" s="2">
        <v>6.92</v>
      </c>
      <c r="BQ1058" s="2">
        <v>42005.092361111114</v>
      </c>
      <c r="BR1058" s="2">
        <v>11.07</v>
      </c>
      <c r="BS1058" s="2">
        <v>42005.092361111114</v>
      </c>
      <c r="BT1058">
        <v>0</v>
      </c>
      <c r="BU1058">
        <v>0</v>
      </c>
      <c r="BV1058" t="s">
        <v>135</v>
      </c>
      <c r="BW1058">
        <v>0</v>
      </c>
      <c r="BX1058">
        <v>0</v>
      </c>
      <c r="BY1058" t="s">
        <v>135</v>
      </c>
      <c r="BZ1058">
        <v>0</v>
      </c>
      <c r="CA1058">
        <v>0</v>
      </c>
      <c r="CB1058" t="s">
        <v>135</v>
      </c>
      <c r="CH1058" s="2"/>
      <c r="CJ1058" s="2"/>
      <c r="CL1058" s="2"/>
      <c r="CN1058" s="2"/>
      <c r="CQ1058" s="2"/>
      <c r="CT1058" s="2"/>
      <c r="CW1058" s="2"/>
    </row>
    <row r="1059" spans="1:101" x14ac:dyDescent="0.25">
      <c r="A1059" s="1" t="s">
        <v>163</v>
      </c>
      <c r="B1059" s="75" t="s">
        <v>164</v>
      </c>
      <c r="C1059">
        <v>0</v>
      </c>
      <c r="D1059">
        <v>0</v>
      </c>
      <c r="E1059">
        <v>0</v>
      </c>
      <c r="F1059">
        <v>604324.56000000006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3.91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7490</v>
      </c>
      <c r="AW1059">
        <v>3350</v>
      </c>
      <c r="AX1059">
        <v>1219</v>
      </c>
      <c r="AY1059">
        <v>12059</v>
      </c>
      <c r="AZ1059">
        <v>4202</v>
      </c>
      <c r="BA1059">
        <v>7438</v>
      </c>
      <c r="BB1059">
        <v>1432</v>
      </c>
      <c r="BC1059">
        <v>13072</v>
      </c>
      <c r="BD1059">
        <v>9486</v>
      </c>
      <c r="BE1059">
        <v>9222</v>
      </c>
      <c r="BF1059">
        <v>1768</v>
      </c>
      <c r="BG1059">
        <v>20476</v>
      </c>
      <c r="BH1059">
        <v>0</v>
      </c>
      <c r="BI1059">
        <v>0</v>
      </c>
      <c r="BJ1059">
        <v>0</v>
      </c>
      <c r="BK1059">
        <v>0</v>
      </c>
      <c r="BL1059" s="2">
        <v>24.82</v>
      </c>
      <c r="BM1059" s="2">
        <v>42005.095138888886</v>
      </c>
      <c r="BN1059" s="2">
        <v>5.4</v>
      </c>
      <c r="BO1059" s="2">
        <v>42005.092361111114</v>
      </c>
      <c r="BP1059" s="2">
        <v>6.92</v>
      </c>
      <c r="BQ1059" s="2">
        <v>42005.092361111114</v>
      </c>
      <c r="BR1059" s="2">
        <v>11.07</v>
      </c>
      <c r="BS1059" s="2">
        <v>42005.092361111114</v>
      </c>
      <c r="BT1059">
        <v>0</v>
      </c>
      <c r="BU1059">
        <v>0</v>
      </c>
      <c r="BV1059" t="s">
        <v>135</v>
      </c>
      <c r="BW1059">
        <v>0</v>
      </c>
      <c r="BX1059">
        <v>0</v>
      </c>
      <c r="BY1059" t="s">
        <v>135</v>
      </c>
      <c r="BZ1059">
        <v>0</v>
      </c>
      <c r="CA1059">
        <v>0</v>
      </c>
      <c r="CB1059" t="s">
        <v>135</v>
      </c>
      <c r="CH1059" s="2"/>
      <c r="CJ1059" s="2"/>
      <c r="CL1059" s="2"/>
      <c r="CN1059" s="2"/>
      <c r="CQ1059" s="2"/>
      <c r="CT1059" s="2"/>
      <c r="CW1059" s="2"/>
    </row>
    <row r="1060" spans="1:101" x14ac:dyDescent="0.25">
      <c r="A1060" s="1" t="s">
        <v>163</v>
      </c>
      <c r="B1060" s="75" t="s">
        <v>164</v>
      </c>
      <c r="C1060">
        <v>0</v>
      </c>
      <c r="D1060">
        <v>0</v>
      </c>
      <c r="E1060">
        <v>0</v>
      </c>
      <c r="F1060">
        <v>604324.56000000006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3.91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7490</v>
      </c>
      <c r="AW1060">
        <v>3350</v>
      </c>
      <c r="AX1060">
        <v>1219</v>
      </c>
      <c r="AY1060">
        <v>12059</v>
      </c>
      <c r="AZ1060">
        <v>4202</v>
      </c>
      <c r="BA1060">
        <v>7438</v>
      </c>
      <c r="BB1060">
        <v>1432</v>
      </c>
      <c r="BC1060">
        <v>13072</v>
      </c>
      <c r="BD1060">
        <v>9486</v>
      </c>
      <c r="BE1060">
        <v>9222</v>
      </c>
      <c r="BF1060">
        <v>1768</v>
      </c>
      <c r="BG1060">
        <v>20476</v>
      </c>
      <c r="BH1060">
        <v>0</v>
      </c>
      <c r="BI1060">
        <v>0</v>
      </c>
      <c r="BJ1060">
        <v>0</v>
      </c>
      <c r="BK1060">
        <v>0</v>
      </c>
      <c r="BL1060" s="2">
        <v>24.82</v>
      </c>
      <c r="BM1060" s="2">
        <v>42005.095138888886</v>
      </c>
      <c r="BN1060" s="2">
        <v>5.4</v>
      </c>
      <c r="BO1060" s="2">
        <v>42005.092361111114</v>
      </c>
      <c r="BP1060" s="2">
        <v>6.92</v>
      </c>
      <c r="BQ1060" s="2">
        <v>42005.092361111114</v>
      </c>
      <c r="BR1060" s="2">
        <v>11.07</v>
      </c>
      <c r="BS1060" s="2">
        <v>42005.092361111114</v>
      </c>
      <c r="BT1060">
        <v>0</v>
      </c>
      <c r="BU1060">
        <v>0</v>
      </c>
      <c r="BV1060" t="s">
        <v>135</v>
      </c>
      <c r="BW1060">
        <v>0</v>
      </c>
      <c r="BX1060">
        <v>0</v>
      </c>
      <c r="BY1060" t="s">
        <v>135</v>
      </c>
      <c r="BZ1060">
        <v>0</v>
      </c>
      <c r="CA1060">
        <v>0</v>
      </c>
      <c r="CB1060" t="s">
        <v>135</v>
      </c>
      <c r="CH1060" s="2"/>
      <c r="CJ1060" s="2"/>
      <c r="CL1060" s="2"/>
      <c r="CN1060" s="2"/>
      <c r="CQ1060" s="2"/>
      <c r="CT1060" s="2"/>
      <c r="CW1060" s="2"/>
    </row>
    <row r="1061" spans="1:101" x14ac:dyDescent="0.25">
      <c r="A1061" s="1" t="s">
        <v>163</v>
      </c>
      <c r="B1061" s="75" t="s">
        <v>164</v>
      </c>
      <c r="C1061">
        <v>0</v>
      </c>
      <c r="D1061">
        <v>0</v>
      </c>
      <c r="E1061">
        <v>0</v>
      </c>
      <c r="F1061">
        <v>604324.56000000006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3.91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7490</v>
      </c>
      <c r="AW1061">
        <v>3350</v>
      </c>
      <c r="AX1061">
        <v>1219</v>
      </c>
      <c r="AY1061">
        <v>12059</v>
      </c>
      <c r="AZ1061">
        <v>4202</v>
      </c>
      <c r="BA1061">
        <v>7438</v>
      </c>
      <c r="BB1061">
        <v>1432</v>
      </c>
      <c r="BC1061">
        <v>13072</v>
      </c>
      <c r="BD1061">
        <v>9486</v>
      </c>
      <c r="BE1061">
        <v>9222</v>
      </c>
      <c r="BF1061">
        <v>1768</v>
      </c>
      <c r="BG1061">
        <v>20476</v>
      </c>
      <c r="BH1061">
        <v>0</v>
      </c>
      <c r="BI1061">
        <v>0</v>
      </c>
      <c r="BJ1061">
        <v>0</v>
      </c>
      <c r="BK1061">
        <v>0</v>
      </c>
      <c r="BL1061" s="2">
        <v>24.82</v>
      </c>
      <c r="BM1061" s="2">
        <v>42005.095138888886</v>
      </c>
      <c r="BN1061" s="2">
        <v>5.4</v>
      </c>
      <c r="BO1061" s="2">
        <v>42005.092361111114</v>
      </c>
      <c r="BP1061" s="2">
        <v>6.92</v>
      </c>
      <c r="BQ1061" s="2">
        <v>42005.092361111114</v>
      </c>
      <c r="BR1061" s="2">
        <v>11.07</v>
      </c>
      <c r="BS1061" s="2">
        <v>42005.092361111114</v>
      </c>
      <c r="BT1061">
        <v>0</v>
      </c>
      <c r="BU1061">
        <v>0</v>
      </c>
      <c r="BV1061" t="s">
        <v>135</v>
      </c>
      <c r="BW1061">
        <v>0</v>
      </c>
      <c r="BX1061">
        <v>0</v>
      </c>
      <c r="BY1061" t="s">
        <v>135</v>
      </c>
      <c r="BZ1061">
        <v>0</v>
      </c>
      <c r="CA1061">
        <v>0</v>
      </c>
      <c r="CB1061" t="s">
        <v>135</v>
      </c>
      <c r="CH1061" s="2"/>
      <c r="CJ1061" s="2"/>
      <c r="CL1061" s="2"/>
      <c r="CN1061" s="2"/>
      <c r="CQ1061" s="2"/>
      <c r="CT1061" s="2"/>
      <c r="CW1061" s="2"/>
    </row>
    <row r="1062" spans="1:101" x14ac:dyDescent="0.25">
      <c r="A1062" s="1" t="s">
        <v>163</v>
      </c>
      <c r="B1062" s="75" t="s">
        <v>164</v>
      </c>
      <c r="C1062">
        <v>0</v>
      </c>
      <c r="D1062">
        <v>0</v>
      </c>
      <c r="E1062">
        <v>0</v>
      </c>
      <c r="F1062">
        <v>604324.56000000006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3.91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7490</v>
      </c>
      <c r="AW1062">
        <v>3350</v>
      </c>
      <c r="AX1062">
        <v>1219</v>
      </c>
      <c r="AY1062">
        <v>12059</v>
      </c>
      <c r="AZ1062">
        <v>4202</v>
      </c>
      <c r="BA1062">
        <v>7438</v>
      </c>
      <c r="BB1062">
        <v>1432</v>
      </c>
      <c r="BC1062">
        <v>13072</v>
      </c>
      <c r="BD1062">
        <v>9486</v>
      </c>
      <c r="BE1062">
        <v>9222</v>
      </c>
      <c r="BF1062">
        <v>1768</v>
      </c>
      <c r="BG1062">
        <v>20476</v>
      </c>
      <c r="BH1062">
        <v>0</v>
      </c>
      <c r="BI1062">
        <v>0</v>
      </c>
      <c r="BJ1062">
        <v>0</v>
      </c>
      <c r="BK1062">
        <v>0</v>
      </c>
      <c r="BL1062" s="2">
        <v>24.82</v>
      </c>
      <c r="BM1062" s="2">
        <v>42005.095138888886</v>
      </c>
      <c r="BN1062" s="2">
        <v>5.4</v>
      </c>
      <c r="BO1062" s="2">
        <v>42005.092361111114</v>
      </c>
      <c r="BP1062" s="2">
        <v>6.92</v>
      </c>
      <c r="BQ1062" s="2">
        <v>42005.092361111114</v>
      </c>
      <c r="BR1062" s="2">
        <v>11.07</v>
      </c>
      <c r="BS1062" s="2">
        <v>42005.092361111114</v>
      </c>
      <c r="BT1062">
        <v>0</v>
      </c>
      <c r="BU1062">
        <v>0</v>
      </c>
      <c r="BV1062" t="s">
        <v>135</v>
      </c>
      <c r="BW1062">
        <v>0</v>
      </c>
      <c r="BX1062">
        <v>0</v>
      </c>
      <c r="BY1062" t="s">
        <v>135</v>
      </c>
      <c r="BZ1062">
        <v>0</v>
      </c>
      <c r="CA1062">
        <v>0</v>
      </c>
      <c r="CB1062" t="s">
        <v>135</v>
      </c>
      <c r="CH1062" s="2"/>
      <c r="CJ1062" s="2"/>
      <c r="CL1062" s="2"/>
      <c r="CN1062" s="2"/>
      <c r="CQ1062" s="2"/>
      <c r="CT1062" s="2"/>
      <c r="CW1062" s="2"/>
    </row>
    <row r="1063" spans="1:101" x14ac:dyDescent="0.25">
      <c r="A1063" s="1" t="s">
        <v>163</v>
      </c>
      <c r="B1063" s="75" t="s">
        <v>164</v>
      </c>
      <c r="C1063">
        <v>0</v>
      </c>
      <c r="D1063">
        <v>0</v>
      </c>
      <c r="E1063">
        <v>0</v>
      </c>
      <c r="F1063">
        <v>604324.56000000006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3.91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7490</v>
      </c>
      <c r="AW1063">
        <v>3350</v>
      </c>
      <c r="AX1063">
        <v>1219</v>
      </c>
      <c r="AY1063">
        <v>12059</v>
      </c>
      <c r="AZ1063">
        <v>4202</v>
      </c>
      <c r="BA1063">
        <v>7438</v>
      </c>
      <c r="BB1063">
        <v>1432</v>
      </c>
      <c r="BC1063">
        <v>13072</v>
      </c>
      <c r="BD1063">
        <v>9486</v>
      </c>
      <c r="BE1063">
        <v>9222</v>
      </c>
      <c r="BF1063">
        <v>1768</v>
      </c>
      <c r="BG1063">
        <v>20476</v>
      </c>
      <c r="BH1063">
        <v>0</v>
      </c>
      <c r="BI1063">
        <v>0</v>
      </c>
      <c r="BJ1063">
        <v>0</v>
      </c>
      <c r="BK1063">
        <v>0</v>
      </c>
      <c r="BL1063" s="2">
        <v>24.82</v>
      </c>
      <c r="BM1063" s="2">
        <v>42005.095138888886</v>
      </c>
      <c r="BN1063" s="2">
        <v>5.4</v>
      </c>
      <c r="BO1063" s="2">
        <v>42005.092361111114</v>
      </c>
      <c r="BP1063" s="2">
        <v>6.92</v>
      </c>
      <c r="BQ1063" s="2">
        <v>42005.092361111114</v>
      </c>
      <c r="BR1063" s="2">
        <v>11.07</v>
      </c>
      <c r="BS1063" s="2">
        <v>42005.092361111114</v>
      </c>
      <c r="BT1063">
        <v>0</v>
      </c>
      <c r="BU1063">
        <v>0</v>
      </c>
      <c r="BV1063" t="s">
        <v>135</v>
      </c>
      <c r="BW1063">
        <v>0</v>
      </c>
      <c r="BX1063">
        <v>0</v>
      </c>
      <c r="BY1063" t="s">
        <v>135</v>
      </c>
      <c r="BZ1063">
        <v>0</v>
      </c>
      <c r="CA1063">
        <v>0</v>
      </c>
      <c r="CB1063" t="s">
        <v>135</v>
      </c>
      <c r="CH1063" s="2"/>
      <c r="CJ1063" s="2"/>
      <c r="CL1063" s="2"/>
      <c r="CN1063" s="2"/>
      <c r="CQ1063" s="2"/>
      <c r="CT1063" s="2"/>
      <c r="CW1063" s="2"/>
    </row>
    <row r="1064" spans="1:101" x14ac:dyDescent="0.25">
      <c r="A1064" s="1" t="s">
        <v>163</v>
      </c>
      <c r="B1064" s="75" t="s">
        <v>164</v>
      </c>
      <c r="C1064">
        <v>0</v>
      </c>
      <c r="D1064">
        <v>0</v>
      </c>
      <c r="E1064">
        <v>0</v>
      </c>
      <c r="F1064">
        <v>604324.56000000006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3.91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7490</v>
      </c>
      <c r="AW1064">
        <v>3350</v>
      </c>
      <c r="AX1064">
        <v>1219</v>
      </c>
      <c r="AY1064">
        <v>12059</v>
      </c>
      <c r="AZ1064">
        <v>4202</v>
      </c>
      <c r="BA1064">
        <v>7438</v>
      </c>
      <c r="BB1064">
        <v>1432</v>
      </c>
      <c r="BC1064">
        <v>13072</v>
      </c>
      <c r="BD1064">
        <v>9486</v>
      </c>
      <c r="BE1064">
        <v>9222</v>
      </c>
      <c r="BF1064">
        <v>1768</v>
      </c>
      <c r="BG1064">
        <v>20476</v>
      </c>
      <c r="BH1064">
        <v>0</v>
      </c>
      <c r="BI1064">
        <v>0</v>
      </c>
      <c r="BJ1064">
        <v>0</v>
      </c>
      <c r="BK1064">
        <v>0</v>
      </c>
      <c r="BL1064" s="2">
        <v>24.82</v>
      </c>
      <c r="BM1064" s="2">
        <v>42005.095138888886</v>
      </c>
      <c r="BN1064" s="2">
        <v>5.4</v>
      </c>
      <c r="BO1064" s="2">
        <v>42005.092361111114</v>
      </c>
      <c r="BP1064" s="2">
        <v>6.92</v>
      </c>
      <c r="BQ1064" s="2">
        <v>42005.092361111114</v>
      </c>
      <c r="BR1064" s="2">
        <v>11.07</v>
      </c>
      <c r="BS1064" s="2">
        <v>42005.092361111114</v>
      </c>
      <c r="BT1064">
        <v>0</v>
      </c>
      <c r="BU1064">
        <v>0</v>
      </c>
      <c r="BV1064" t="s">
        <v>135</v>
      </c>
      <c r="BW1064">
        <v>0</v>
      </c>
      <c r="BX1064">
        <v>0</v>
      </c>
      <c r="BY1064" t="s">
        <v>135</v>
      </c>
      <c r="BZ1064">
        <v>0</v>
      </c>
      <c r="CA1064">
        <v>0</v>
      </c>
      <c r="CB1064" t="s">
        <v>135</v>
      </c>
      <c r="CH1064" s="2"/>
      <c r="CJ1064" s="2"/>
      <c r="CL1064" s="2"/>
      <c r="CN1064" s="2"/>
      <c r="CQ1064" s="2"/>
      <c r="CT1064" s="2"/>
      <c r="CW1064" s="2"/>
    </row>
    <row r="1065" spans="1:101" x14ac:dyDescent="0.25">
      <c r="A1065" s="1" t="s">
        <v>163</v>
      </c>
      <c r="B1065" s="75" t="s">
        <v>164</v>
      </c>
      <c r="C1065">
        <v>0</v>
      </c>
      <c r="D1065">
        <v>0</v>
      </c>
      <c r="E1065">
        <v>0</v>
      </c>
      <c r="F1065">
        <v>604324.56000000006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3.91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7490</v>
      </c>
      <c r="AW1065">
        <v>3350</v>
      </c>
      <c r="AX1065">
        <v>1219</v>
      </c>
      <c r="AY1065">
        <v>12059</v>
      </c>
      <c r="AZ1065">
        <v>4202</v>
      </c>
      <c r="BA1065">
        <v>7438</v>
      </c>
      <c r="BB1065">
        <v>1432</v>
      </c>
      <c r="BC1065">
        <v>13072</v>
      </c>
      <c r="BD1065">
        <v>9486</v>
      </c>
      <c r="BE1065">
        <v>9222</v>
      </c>
      <c r="BF1065">
        <v>1768</v>
      </c>
      <c r="BG1065">
        <v>20476</v>
      </c>
      <c r="BH1065">
        <v>0</v>
      </c>
      <c r="BI1065">
        <v>0</v>
      </c>
      <c r="BJ1065">
        <v>0</v>
      </c>
      <c r="BK1065">
        <v>0</v>
      </c>
      <c r="BL1065" s="2">
        <v>24.82</v>
      </c>
      <c r="BM1065" s="2">
        <v>42005.095138888886</v>
      </c>
      <c r="BN1065" s="2">
        <v>5.4</v>
      </c>
      <c r="BO1065" s="2">
        <v>42005.092361111114</v>
      </c>
      <c r="BP1065" s="2">
        <v>6.92</v>
      </c>
      <c r="BQ1065" s="2">
        <v>42005.092361111114</v>
      </c>
      <c r="BR1065" s="2">
        <v>11.07</v>
      </c>
      <c r="BS1065" s="2">
        <v>42005.092361111114</v>
      </c>
      <c r="BT1065">
        <v>0</v>
      </c>
      <c r="BU1065">
        <v>0</v>
      </c>
      <c r="BV1065" t="s">
        <v>135</v>
      </c>
      <c r="BW1065">
        <v>0</v>
      </c>
      <c r="BX1065">
        <v>0</v>
      </c>
      <c r="BY1065" t="s">
        <v>135</v>
      </c>
      <c r="BZ1065">
        <v>0</v>
      </c>
      <c r="CA1065">
        <v>0</v>
      </c>
      <c r="CB1065" t="s">
        <v>135</v>
      </c>
      <c r="CH1065" s="2"/>
      <c r="CJ1065" s="2"/>
      <c r="CL1065" s="2"/>
      <c r="CN1065" s="2"/>
      <c r="CQ1065" s="2"/>
      <c r="CT1065" s="2"/>
      <c r="CW1065" s="2"/>
    </row>
    <row r="1066" spans="1:101" x14ac:dyDescent="0.25">
      <c r="A1066" s="1" t="s">
        <v>163</v>
      </c>
      <c r="B1066" s="75" t="s">
        <v>164</v>
      </c>
      <c r="C1066">
        <v>0</v>
      </c>
      <c r="D1066">
        <v>0</v>
      </c>
      <c r="E1066">
        <v>0</v>
      </c>
      <c r="F1066">
        <v>604324.56000000006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3.91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7490</v>
      </c>
      <c r="AW1066">
        <v>3350</v>
      </c>
      <c r="AX1066">
        <v>1219</v>
      </c>
      <c r="AY1066">
        <v>12059</v>
      </c>
      <c r="AZ1066">
        <v>4202</v>
      </c>
      <c r="BA1066">
        <v>7438</v>
      </c>
      <c r="BB1066">
        <v>1432</v>
      </c>
      <c r="BC1066">
        <v>13072</v>
      </c>
      <c r="BD1066">
        <v>9486</v>
      </c>
      <c r="BE1066">
        <v>9222</v>
      </c>
      <c r="BF1066">
        <v>1768</v>
      </c>
      <c r="BG1066">
        <v>20476</v>
      </c>
      <c r="BH1066">
        <v>0</v>
      </c>
      <c r="BI1066">
        <v>0</v>
      </c>
      <c r="BJ1066">
        <v>0</v>
      </c>
      <c r="BK1066">
        <v>0</v>
      </c>
      <c r="BL1066" s="2">
        <v>24.82</v>
      </c>
      <c r="BM1066" s="2">
        <v>42005.095138888886</v>
      </c>
      <c r="BN1066" s="2">
        <v>5.4</v>
      </c>
      <c r="BO1066" s="2">
        <v>42005.092361111114</v>
      </c>
      <c r="BP1066" s="2">
        <v>6.92</v>
      </c>
      <c r="BQ1066" s="2">
        <v>42005.092361111114</v>
      </c>
      <c r="BR1066" s="2">
        <v>11.07</v>
      </c>
      <c r="BS1066" s="2">
        <v>42005.092361111114</v>
      </c>
      <c r="BT1066">
        <v>0</v>
      </c>
      <c r="BU1066">
        <v>0</v>
      </c>
      <c r="BV1066" t="s">
        <v>135</v>
      </c>
      <c r="BW1066">
        <v>0</v>
      </c>
      <c r="BX1066">
        <v>0</v>
      </c>
      <c r="BY1066" t="s">
        <v>135</v>
      </c>
      <c r="BZ1066">
        <v>0</v>
      </c>
      <c r="CA1066">
        <v>0</v>
      </c>
      <c r="CB1066" t="s">
        <v>135</v>
      </c>
      <c r="CH1066" s="2"/>
      <c r="CJ1066" s="2"/>
      <c r="CL1066" s="2"/>
      <c r="CN1066" s="2"/>
      <c r="CQ1066" s="2"/>
      <c r="CT1066" s="2"/>
      <c r="CW1066" s="2"/>
    </row>
    <row r="1067" spans="1:101" x14ac:dyDescent="0.25">
      <c r="A1067" s="1" t="s">
        <v>163</v>
      </c>
      <c r="B1067" s="75" t="s">
        <v>164</v>
      </c>
      <c r="C1067">
        <v>0</v>
      </c>
      <c r="D1067">
        <v>0</v>
      </c>
      <c r="E1067">
        <v>0</v>
      </c>
      <c r="F1067">
        <v>604324.56000000006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3.91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7490</v>
      </c>
      <c r="AW1067">
        <v>3350</v>
      </c>
      <c r="AX1067">
        <v>1219</v>
      </c>
      <c r="AY1067">
        <v>12059</v>
      </c>
      <c r="AZ1067">
        <v>4202</v>
      </c>
      <c r="BA1067">
        <v>7438</v>
      </c>
      <c r="BB1067">
        <v>1432</v>
      </c>
      <c r="BC1067">
        <v>13072</v>
      </c>
      <c r="BD1067">
        <v>9486</v>
      </c>
      <c r="BE1067">
        <v>9222</v>
      </c>
      <c r="BF1067">
        <v>1768</v>
      </c>
      <c r="BG1067">
        <v>20476</v>
      </c>
      <c r="BH1067">
        <v>0</v>
      </c>
      <c r="BI1067">
        <v>0</v>
      </c>
      <c r="BJ1067">
        <v>0</v>
      </c>
      <c r="BK1067">
        <v>0</v>
      </c>
      <c r="BL1067" s="2">
        <v>24.82</v>
      </c>
      <c r="BM1067" s="2">
        <v>42005.095138888886</v>
      </c>
      <c r="BN1067" s="2">
        <v>5.4</v>
      </c>
      <c r="BO1067" s="2">
        <v>42005.092361111114</v>
      </c>
      <c r="BP1067" s="2">
        <v>6.92</v>
      </c>
      <c r="BQ1067" s="2">
        <v>42005.092361111114</v>
      </c>
      <c r="BR1067" s="2">
        <v>11.07</v>
      </c>
      <c r="BS1067" s="2">
        <v>42005.092361111114</v>
      </c>
      <c r="BT1067">
        <v>0</v>
      </c>
      <c r="BU1067">
        <v>0</v>
      </c>
      <c r="BV1067" t="s">
        <v>135</v>
      </c>
      <c r="BW1067">
        <v>0</v>
      </c>
      <c r="BX1067">
        <v>0</v>
      </c>
      <c r="BY1067" t="s">
        <v>135</v>
      </c>
      <c r="BZ1067">
        <v>0</v>
      </c>
      <c r="CA1067">
        <v>0</v>
      </c>
      <c r="CB1067" t="s">
        <v>135</v>
      </c>
      <c r="CH1067" s="2"/>
      <c r="CJ1067" s="2"/>
      <c r="CL1067" s="2"/>
      <c r="CN1067" s="2"/>
      <c r="CQ1067" s="2"/>
      <c r="CT1067" s="2"/>
      <c r="CW1067" s="2"/>
    </row>
    <row r="1068" spans="1:101" x14ac:dyDescent="0.25">
      <c r="A1068" s="1" t="s">
        <v>163</v>
      </c>
      <c r="B1068" s="75" t="s">
        <v>164</v>
      </c>
      <c r="C1068">
        <v>0</v>
      </c>
      <c r="D1068">
        <v>0</v>
      </c>
      <c r="E1068">
        <v>0</v>
      </c>
      <c r="F1068">
        <v>604324.56000000006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3.91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7490</v>
      </c>
      <c r="AW1068">
        <v>3350</v>
      </c>
      <c r="AX1068">
        <v>1219</v>
      </c>
      <c r="AY1068">
        <v>12059</v>
      </c>
      <c r="AZ1068">
        <v>4202</v>
      </c>
      <c r="BA1068">
        <v>7438</v>
      </c>
      <c r="BB1068">
        <v>1432</v>
      </c>
      <c r="BC1068">
        <v>13072</v>
      </c>
      <c r="BD1068">
        <v>9486</v>
      </c>
      <c r="BE1068">
        <v>9222</v>
      </c>
      <c r="BF1068">
        <v>1768</v>
      </c>
      <c r="BG1068">
        <v>20476</v>
      </c>
      <c r="BH1068">
        <v>0</v>
      </c>
      <c r="BI1068">
        <v>0</v>
      </c>
      <c r="BJ1068">
        <v>0</v>
      </c>
      <c r="BK1068">
        <v>0</v>
      </c>
      <c r="BL1068" s="2">
        <v>24.82</v>
      </c>
      <c r="BM1068" s="2">
        <v>42005.095138888886</v>
      </c>
      <c r="BN1068" s="2">
        <v>5.4</v>
      </c>
      <c r="BO1068" s="2">
        <v>42005.092361111114</v>
      </c>
      <c r="BP1068" s="2">
        <v>6.92</v>
      </c>
      <c r="BQ1068" s="2">
        <v>42005.092361111114</v>
      </c>
      <c r="BR1068" s="2">
        <v>11.07</v>
      </c>
      <c r="BS1068" s="2">
        <v>42005.092361111114</v>
      </c>
      <c r="BT1068">
        <v>0</v>
      </c>
      <c r="BU1068">
        <v>0</v>
      </c>
      <c r="BV1068" t="s">
        <v>135</v>
      </c>
      <c r="BW1068">
        <v>0</v>
      </c>
      <c r="BX1068">
        <v>0</v>
      </c>
      <c r="BY1068" t="s">
        <v>135</v>
      </c>
      <c r="BZ1068">
        <v>0</v>
      </c>
      <c r="CA1068">
        <v>0</v>
      </c>
      <c r="CB1068" t="s">
        <v>135</v>
      </c>
      <c r="CH1068" s="2"/>
      <c r="CJ1068" s="2"/>
      <c r="CL1068" s="2"/>
      <c r="CN1068" s="2"/>
      <c r="CQ1068" s="2"/>
      <c r="CT1068" s="2"/>
      <c r="CW1068" s="2"/>
    </row>
    <row r="1069" spans="1:101" x14ac:dyDescent="0.25">
      <c r="A1069" s="1" t="s">
        <v>163</v>
      </c>
      <c r="B1069" s="75" t="s">
        <v>164</v>
      </c>
      <c r="C1069">
        <v>0</v>
      </c>
      <c r="D1069">
        <v>0</v>
      </c>
      <c r="E1069">
        <v>0</v>
      </c>
      <c r="F1069">
        <v>604324.56000000006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3.91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7490</v>
      </c>
      <c r="AW1069">
        <v>3350</v>
      </c>
      <c r="AX1069">
        <v>1219</v>
      </c>
      <c r="AY1069">
        <v>12059</v>
      </c>
      <c r="AZ1069">
        <v>4202</v>
      </c>
      <c r="BA1069">
        <v>7438</v>
      </c>
      <c r="BB1069">
        <v>1432</v>
      </c>
      <c r="BC1069">
        <v>13072</v>
      </c>
      <c r="BD1069">
        <v>9486</v>
      </c>
      <c r="BE1069">
        <v>9222</v>
      </c>
      <c r="BF1069">
        <v>1768</v>
      </c>
      <c r="BG1069">
        <v>20476</v>
      </c>
      <c r="BH1069">
        <v>0</v>
      </c>
      <c r="BI1069">
        <v>0</v>
      </c>
      <c r="BJ1069">
        <v>0</v>
      </c>
      <c r="BK1069">
        <v>0</v>
      </c>
      <c r="BL1069" s="2">
        <v>24.82</v>
      </c>
      <c r="BM1069" s="2">
        <v>42005.095138888886</v>
      </c>
      <c r="BN1069" s="2">
        <v>5.4</v>
      </c>
      <c r="BO1069" s="2">
        <v>42005.092361111114</v>
      </c>
      <c r="BP1069" s="2">
        <v>6.92</v>
      </c>
      <c r="BQ1069" s="2">
        <v>42005.092361111114</v>
      </c>
      <c r="BR1069" s="2">
        <v>11.07</v>
      </c>
      <c r="BS1069" s="2">
        <v>42005.092361111114</v>
      </c>
      <c r="BT1069">
        <v>0</v>
      </c>
      <c r="BU1069">
        <v>0</v>
      </c>
      <c r="BV1069" t="s">
        <v>135</v>
      </c>
      <c r="BW1069">
        <v>0</v>
      </c>
      <c r="BX1069">
        <v>0</v>
      </c>
      <c r="BY1069" t="s">
        <v>135</v>
      </c>
      <c r="BZ1069">
        <v>0</v>
      </c>
      <c r="CA1069">
        <v>0</v>
      </c>
      <c r="CB1069" t="s">
        <v>135</v>
      </c>
      <c r="CH1069" s="2"/>
      <c r="CJ1069" s="2"/>
      <c r="CL1069" s="2"/>
      <c r="CN1069" s="2"/>
      <c r="CQ1069" s="2"/>
      <c r="CT1069" s="2"/>
      <c r="CW1069" s="2"/>
    </row>
    <row r="1070" spans="1:101" x14ac:dyDescent="0.25">
      <c r="A1070" s="1" t="s">
        <v>163</v>
      </c>
      <c r="B1070" s="75" t="s">
        <v>164</v>
      </c>
      <c r="C1070">
        <v>0</v>
      </c>
      <c r="D1070">
        <v>0</v>
      </c>
      <c r="E1070">
        <v>0</v>
      </c>
      <c r="F1070">
        <v>604324.56000000006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3.91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7490</v>
      </c>
      <c r="AW1070">
        <v>3350</v>
      </c>
      <c r="AX1070">
        <v>1219</v>
      </c>
      <c r="AY1070">
        <v>12059</v>
      </c>
      <c r="AZ1070">
        <v>4202</v>
      </c>
      <c r="BA1070">
        <v>7438</v>
      </c>
      <c r="BB1070">
        <v>1432</v>
      </c>
      <c r="BC1070">
        <v>13072</v>
      </c>
      <c r="BD1070">
        <v>9486</v>
      </c>
      <c r="BE1070">
        <v>9222</v>
      </c>
      <c r="BF1070">
        <v>1768</v>
      </c>
      <c r="BG1070">
        <v>20476</v>
      </c>
      <c r="BH1070">
        <v>0</v>
      </c>
      <c r="BI1070">
        <v>0</v>
      </c>
      <c r="BJ1070">
        <v>0</v>
      </c>
      <c r="BK1070">
        <v>0</v>
      </c>
      <c r="BL1070" s="2">
        <v>24.82</v>
      </c>
      <c r="BM1070" s="2">
        <v>42005.095138888886</v>
      </c>
      <c r="BN1070" s="2">
        <v>5.4</v>
      </c>
      <c r="BO1070" s="2">
        <v>42005.092361111114</v>
      </c>
      <c r="BP1070" s="2">
        <v>6.92</v>
      </c>
      <c r="BQ1070" s="2">
        <v>42005.092361111114</v>
      </c>
      <c r="BR1070" s="2">
        <v>11.07</v>
      </c>
      <c r="BS1070" s="2">
        <v>42005.092361111114</v>
      </c>
      <c r="BT1070">
        <v>0</v>
      </c>
      <c r="BU1070">
        <v>0</v>
      </c>
      <c r="BV1070" t="s">
        <v>135</v>
      </c>
      <c r="BW1070">
        <v>0</v>
      </c>
      <c r="BX1070">
        <v>0</v>
      </c>
      <c r="BY1070" t="s">
        <v>135</v>
      </c>
      <c r="BZ1070">
        <v>0</v>
      </c>
      <c r="CA1070">
        <v>0</v>
      </c>
      <c r="CB1070" t="s">
        <v>135</v>
      </c>
      <c r="CH1070" s="2"/>
      <c r="CJ1070" s="2"/>
      <c r="CL1070" s="2"/>
      <c r="CN1070" s="2"/>
      <c r="CQ1070" s="2"/>
      <c r="CT1070" s="2"/>
      <c r="CW1070" s="2"/>
    </row>
    <row r="1071" spans="1:101" x14ac:dyDescent="0.25">
      <c r="A1071" s="1" t="s">
        <v>163</v>
      </c>
      <c r="B1071" s="75" t="s">
        <v>164</v>
      </c>
      <c r="C1071">
        <v>0</v>
      </c>
      <c r="D1071">
        <v>0</v>
      </c>
      <c r="E1071">
        <v>0</v>
      </c>
      <c r="F1071">
        <v>604324.56000000006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3.91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7490</v>
      </c>
      <c r="AW1071">
        <v>3350</v>
      </c>
      <c r="AX1071">
        <v>1219</v>
      </c>
      <c r="AY1071">
        <v>12059</v>
      </c>
      <c r="AZ1071">
        <v>4202</v>
      </c>
      <c r="BA1071">
        <v>7438</v>
      </c>
      <c r="BB1071">
        <v>1432</v>
      </c>
      <c r="BC1071">
        <v>13072</v>
      </c>
      <c r="BD1071">
        <v>9486</v>
      </c>
      <c r="BE1071">
        <v>9222</v>
      </c>
      <c r="BF1071">
        <v>1768</v>
      </c>
      <c r="BG1071">
        <v>20476</v>
      </c>
      <c r="BH1071">
        <v>0</v>
      </c>
      <c r="BI1071">
        <v>0</v>
      </c>
      <c r="BJ1071">
        <v>0</v>
      </c>
      <c r="BK1071">
        <v>0</v>
      </c>
      <c r="BL1071" s="2">
        <v>24.82</v>
      </c>
      <c r="BM1071" s="2">
        <v>42005.095138888886</v>
      </c>
      <c r="BN1071" s="2">
        <v>5.4</v>
      </c>
      <c r="BO1071" s="2">
        <v>42005.092361111114</v>
      </c>
      <c r="BP1071" s="2">
        <v>6.92</v>
      </c>
      <c r="BQ1071" s="2">
        <v>42005.092361111114</v>
      </c>
      <c r="BR1071" s="2">
        <v>11.07</v>
      </c>
      <c r="BS1071" s="2">
        <v>42005.092361111114</v>
      </c>
      <c r="BT1071">
        <v>0</v>
      </c>
      <c r="BU1071">
        <v>0</v>
      </c>
      <c r="BV1071" t="s">
        <v>135</v>
      </c>
      <c r="BW1071">
        <v>0</v>
      </c>
      <c r="BX1071">
        <v>0</v>
      </c>
      <c r="BY1071" t="s">
        <v>135</v>
      </c>
      <c r="BZ1071">
        <v>0</v>
      </c>
      <c r="CA1071">
        <v>0</v>
      </c>
      <c r="CB1071" t="s">
        <v>135</v>
      </c>
      <c r="CH1071" s="2"/>
      <c r="CJ1071" s="2"/>
      <c r="CL1071" s="2"/>
      <c r="CN1071" s="2"/>
      <c r="CQ1071" s="2"/>
      <c r="CT1071" s="2"/>
      <c r="CW1071" s="2"/>
    </row>
    <row r="1072" spans="1:101" x14ac:dyDescent="0.25">
      <c r="A1072" s="1" t="s">
        <v>163</v>
      </c>
      <c r="B1072" s="75" t="s">
        <v>164</v>
      </c>
      <c r="C1072">
        <v>0</v>
      </c>
      <c r="D1072">
        <v>0</v>
      </c>
      <c r="E1072">
        <v>0</v>
      </c>
      <c r="F1072">
        <v>604324.56000000006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3.91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7490</v>
      </c>
      <c r="AW1072">
        <v>3350</v>
      </c>
      <c r="AX1072">
        <v>1219</v>
      </c>
      <c r="AY1072">
        <v>12059</v>
      </c>
      <c r="AZ1072">
        <v>4202</v>
      </c>
      <c r="BA1072">
        <v>7438</v>
      </c>
      <c r="BB1072">
        <v>1432</v>
      </c>
      <c r="BC1072">
        <v>13072</v>
      </c>
      <c r="BD1072">
        <v>9486</v>
      </c>
      <c r="BE1072">
        <v>9222</v>
      </c>
      <c r="BF1072">
        <v>1768</v>
      </c>
      <c r="BG1072">
        <v>20476</v>
      </c>
      <c r="BH1072">
        <v>0</v>
      </c>
      <c r="BI1072">
        <v>0</v>
      </c>
      <c r="BJ1072">
        <v>0</v>
      </c>
      <c r="BK1072">
        <v>0</v>
      </c>
      <c r="BL1072" s="2">
        <v>24.82</v>
      </c>
      <c r="BM1072" s="2">
        <v>42005.095138888886</v>
      </c>
      <c r="BN1072" s="2">
        <v>5.4</v>
      </c>
      <c r="BO1072" s="2">
        <v>42005.092361111114</v>
      </c>
      <c r="BP1072" s="2">
        <v>6.92</v>
      </c>
      <c r="BQ1072" s="2">
        <v>42005.092361111114</v>
      </c>
      <c r="BR1072" s="2">
        <v>11.07</v>
      </c>
      <c r="BS1072" s="2">
        <v>42005.092361111114</v>
      </c>
      <c r="BT1072">
        <v>0</v>
      </c>
      <c r="BU1072">
        <v>0</v>
      </c>
      <c r="BV1072" t="s">
        <v>135</v>
      </c>
      <c r="BW1072">
        <v>0</v>
      </c>
      <c r="BX1072">
        <v>0</v>
      </c>
      <c r="BY1072" t="s">
        <v>135</v>
      </c>
      <c r="BZ1072">
        <v>0</v>
      </c>
      <c r="CA1072">
        <v>0</v>
      </c>
      <c r="CB1072" t="s">
        <v>135</v>
      </c>
      <c r="CH1072" s="2"/>
      <c r="CJ1072" s="2"/>
      <c r="CL1072" s="2"/>
      <c r="CN1072" s="2"/>
      <c r="CQ1072" s="2"/>
      <c r="CT1072" s="2"/>
      <c r="CW1072" s="2"/>
    </row>
    <row r="1073" spans="1:101" x14ac:dyDescent="0.25">
      <c r="A1073" s="1" t="s">
        <v>163</v>
      </c>
      <c r="B1073" s="75" t="s">
        <v>164</v>
      </c>
      <c r="C1073">
        <v>0</v>
      </c>
      <c r="D1073">
        <v>0</v>
      </c>
      <c r="E1073">
        <v>0</v>
      </c>
      <c r="F1073">
        <v>604324.56000000006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3.91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7490</v>
      </c>
      <c r="AW1073">
        <v>3350</v>
      </c>
      <c r="AX1073">
        <v>1219</v>
      </c>
      <c r="AY1073">
        <v>12059</v>
      </c>
      <c r="AZ1073">
        <v>4202</v>
      </c>
      <c r="BA1073">
        <v>7438</v>
      </c>
      <c r="BB1073">
        <v>1432</v>
      </c>
      <c r="BC1073">
        <v>13072</v>
      </c>
      <c r="BD1073">
        <v>9486</v>
      </c>
      <c r="BE1073">
        <v>9222</v>
      </c>
      <c r="BF1073">
        <v>1768</v>
      </c>
      <c r="BG1073">
        <v>20476</v>
      </c>
      <c r="BH1073">
        <v>0</v>
      </c>
      <c r="BI1073">
        <v>0</v>
      </c>
      <c r="BJ1073">
        <v>0</v>
      </c>
      <c r="BK1073">
        <v>0</v>
      </c>
      <c r="BL1073" s="2">
        <v>24.82</v>
      </c>
      <c r="BM1073" s="2">
        <v>42005.095138888886</v>
      </c>
      <c r="BN1073" s="2">
        <v>5.4</v>
      </c>
      <c r="BO1073" s="2">
        <v>42005.092361111114</v>
      </c>
      <c r="BP1073" s="2">
        <v>6.92</v>
      </c>
      <c r="BQ1073" s="2">
        <v>42005.092361111114</v>
      </c>
      <c r="BR1073" s="2">
        <v>11.07</v>
      </c>
      <c r="BS1073" s="2">
        <v>42005.092361111114</v>
      </c>
      <c r="BT1073">
        <v>0</v>
      </c>
      <c r="BU1073">
        <v>0</v>
      </c>
      <c r="BV1073" t="s">
        <v>135</v>
      </c>
      <c r="BW1073">
        <v>0</v>
      </c>
      <c r="BX1073">
        <v>0</v>
      </c>
      <c r="BY1073" t="s">
        <v>135</v>
      </c>
      <c r="BZ1073">
        <v>0</v>
      </c>
      <c r="CA1073">
        <v>0</v>
      </c>
      <c r="CB1073" t="s">
        <v>135</v>
      </c>
      <c r="CH1073" s="2"/>
      <c r="CJ1073" s="2"/>
      <c r="CL1073" s="2"/>
      <c r="CN1073" s="2"/>
      <c r="CQ1073" s="2"/>
      <c r="CT1073" s="2"/>
      <c r="CW1073" s="2"/>
    </row>
    <row r="1074" spans="1:101" x14ac:dyDescent="0.25">
      <c r="A1074" s="1" t="s">
        <v>163</v>
      </c>
      <c r="B1074" s="75" t="s">
        <v>164</v>
      </c>
      <c r="C1074">
        <v>0</v>
      </c>
      <c r="D1074">
        <v>0</v>
      </c>
      <c r="E1074">
        <v>0</v>
      </c>
      <c r="F1074">
        <v>604324.56000000006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3.91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7490</v>
      </c>
      <c r="AW1074">
        <v>3350</v>
      </c>
      <c r="AX1074">
        <v>1219</v>
      </c>
      <c r="AY1074">
        <v>12059</v>
      </c>
      <c r="AZ1074">
        <v>4202</v>
      </c>
      <c r="BA1074">
        <v>7438</v>
      </c>
      <c r="BB1074">
        <v>1432</v>
      </c>
      <c r="BC1074">
        <v>13072</v>
      </c>
      <c r="BD1074">
        <v>9486</v>
      </c>
      <c r="BE1074">
        <v>9222</v>
      </c>
      <c r="BF1074">
        <v>1768</v>
      </c>
      <c r="BG1074">
        <v>20476</v>
      </c>
      <c r="BH1074">
        <v>0</v>
      </c>
      <c r="BI1074">
        <v>0</v>
      </c>
      <c r="BJ1074">
        <v>0</v>
      </c>
      <c r="BK1074">
        <v>0</v>
      </c>
      <c r="BL1074" s="2">
        <v>24.82</v>
      </c>
      <c r="BM1074" s="2">
        <v>42005.095138888886</v>
      </c>
      <c r="BN1074" s="2">
        <v>5.4</v>
      </c>
      <c r="BO1074" s="2">
        <v>42005.092361111114</v>
      </c>
      <c r="BP1074" s="2">
        <v>6.92</v>
      </c>
      <c r="BQ1074" s="2">
        <v>42005.092361111114</v>
      </c>
      <c r="BR1074" s="2">
        <v>11.07</v>
      </c>
      <c r="BS1074" s="2">
        <v>42005.092361111114</v>
      </c>
      <c r="BT1074">
        <v>0</v>
      </c>
      <c r="BU1074">
        <v>0</v>
      </c>
      <c r="BV1074" t="s">
        <v>135</v>
      </c>
      <c r="BW1074">
        <v>0</v>
      </c>
      <c r="BX1074">
        <v>0</v>
      </c>
      <c r="BY1074" t="s">
        <v>135</v>
      </c>
      <c r="BZ1074">
        <v>0</v>
      </c>
      <c r="CA1074">
        <v>0</v>
      </c>
      <c r="CB1074" t="s">
        <v>135</v>
      </c>
      <c r="CH1074" s="2"/>
      <c r="CJ1074" s="2"/>
      <c r="CL1074" s="2"/>
      <c r="CN1074" s="2"/>
      <c r="CQ1074" s="2"/>
      <c r="CT1074" s="2"/>
      <c r="CW1074" s="2"/>
    </row>
    <row r="1075" spans="1:101" x14ac:dyDescent="0.25">
      <c r="A1075" s="1" t="s">
        <v>163</v>
      </c>
      <c r="B1075" s="75" t="s">
        <v>164</v>
      </c>
      <c r="C1075">
        <v>0</v>
      </c>
      <c r="D1075">
        <v>0</v>
      </c>
      <c r="E1075">
        <v>0</v>
      </c>
      <c r="F1075">
        <v>604324.56000000006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3.91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7490</v>
      </c>
      <c r="AW1075">
        <v>3350</v>
      </c>
      <c r="AX1075">
        <v>1219</v>
      </c>
      <c r="AY1075">
        <v>12059</v>
      </c>
      <c r="AZ1075">
        <v>4202</v>
      </c>
      <c r="BA1075">
        <v>7438</v>
      </c>
      <c r="BB1075">
        <v>1432</v>
      </c>
      <c r="BC1075">
        <v>13072</v>
      </c>
      <c r="BD1075">
        <v>9486</v>
      </c>
      <c r="BE1075">
        <v>9222</v>
      </c>
      <c r="BF1075">
        <v>1768</v>
      </c>
      <c r="BG1075">
        <v>20476</v>
      </c>
      <c r="BH1075">
        <v>0</v>
      </c>
      <c r="BI1075">
        <v>0</v>
      </c>
      <c r="BJ1075">
        <v>0</v>
      </c>
      <c r="BK1075">
        <v>0</v>
      </c>
      <c r="BL1075" s="2">
        <v>24.82</v>
      </c>
      <c r="BM1075" s="2">
        <v>42005.095138888886</v>
      </c>
      <c r="BN1075" s="2">
        <v>5.4</v>
      </c>
      <c r="BO1075" s="2">
        <v>42005.092361111114</v>
      </c>
      <c r="BP1075" s="2">
        <v>6.92</v>
      </c>
      <c r="BQ1075" s="2">
        <v>42005.092361111114</v>
      </c>
      <c r="BR1075" s="2">
        <v>11.07</v>
      </c>
      <c r="BS1075" s="2">
        <v>42005.092361111114</v>
      </c>
      <c r="BT1075">
        <v>0</v>
      </c>
      <c r="BU1075">
        <v>0</v>
      </c>
      <c r="BV1075" t="s">
        <v>135</v>
      </c>
      <c r="BW1075">
        <v>0</v>
      </c>
      <c r="BX1075">
        <v>0</v>
      </c>
      <c r="BY1075" t="s">
        <v>135</v>
      </c>
      <c r="BZ1075">
        <v>0</v>
      </c>
      <c r="CA1075">
        <v>0</v>
      </c>
      <c r="CB1075" t="s">
        <v>135</v>
      </c>
      <c r="CH1075" s="2"/>
      <c r="CJ1075" s="2"/>
      <c r="CL1075" s="2"/>
      <c r="CN1075" s="2"/>
      <c r="CQ1075" s="2"/>
      <c r="CT1075" s="2"/>
      <c r="CW1075" s="2"/>
    </row>
    <row r="1076" spans="1:101" x14ac:dyDescent="0.25">
      <c r="A1076" s="1" t="s">
        <v>163</v>
      </c>
      <c r="B1076" s="75" t="s">
        <v>164</v>
      </c>
      <c r="C1076">
        <v>0</v>
      </c>
      <c r="D1076">
        <v>0</v>
      </c>
      <c r="E1076">
        <v>0</v>
      </c>
      <c r="F1076">
        <v>604324.56000000006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3.91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7490</v>
      </c>
      <c r="AW1076">
        <v>3350</v>
      </c>
      <c r="AX1076">
        <v>1219</v>
      </c>
      <c r="AY1076">
        <v>12059</v>
      </c>
      <c r="AZ1076">
        <v>4202</v>
      </c>
      <c r="BA1076">
        <v>7438</v>
      </c>
      <c r="BB1076">
        <v>1432</v>
      </c>
      <c r="BC1076">
        <v>13072</v>
      </c>
      <c r="BD1076">
        <v>9486</v>
      </c>
      <c r="BE1076">
        <v>9222</v>
      </c>
      <c r="BF1076">
        <v>1768</v>
      </c>
      <c r="BG1076">
        <v>20476</v>
      </c>
      <c r="BH1076">
        <v>0</v>
      </c>
      <c r="BI1076">
        <v>0</v>
      </c>
      <c r="BJ1076">
        <v>0</v>
      </c>
      <c r="BK1076">
        <v>0</v>
      </c>
      <c r="BL1076" s="2">
        <v>24.82</v>
      </c>
      <c r="BM1076" s="2">
        <v>42005.095138888886</v>
      </c>
      <c r="BN1076" s="2">
        <v>5.4</v>
      </c>
      <c r="BO1076" s="2">
        <v>42005.092361111114</v>
      </c>
      <c r="BP1076" s="2">
        <v>6.92</v>
      </c>
      <c r="BQ1076" s="2">
        <v>42005.092361111114</v>
      </c>
      <c r="BR1076" s="2">
        <v>11.07</v>
      </c>
      <c r="BS1076" s="2">
        <v>42005.092361111114</v>
      </c>
      <c r="BT1076">
        <v>0</v>
      </c>
      <c r="BU1076">
        <v>0</v>
      </c>
      <c r="BV1076" t="s">
        <v>135</v>
      </c>
      <c r="BW1076">
        <v>0</v>
      </c>
      <c r="BX1076">
        <v>0</v>
      </c>
      <c r="BY1076" t="s">
        <v>135</v>
      </c>
      <c r="BZ1076">
        <v>0</v>
      </c>
      <c r="CA1076">
        <v>0</v>
      </c>
      <c r="CB1076" t="s">
        <v>135</v>
      </c>
      <c r="CH1076" s="2"/>
      <c r="CJ1076" s="2"/>
      <c r="CL1076" s="2"/>
      <c r="CN1076" s="2"/>
      <c r="CQ1076" s="2"/>
      <c r="CT1076" s="2"/>
      <c r="CW1076" s="2"/>
    </row>
    <row r="1077" spans="1:101" x14ac:dyDescent="0.25">
      <c r="A1077" s="1" t="s">
        <v>163</v>
      </c>
      <c r="B1077" s="75" t="s">
        <v>164</v>
      </c>
      <c r="C1077">
        <v>0</v>
      </c>
      <c r="D1077">
        <v>0</v>
      </c>
      <c r="E1077">
        <v>0</v>
      </c>
      <c r="F1077">
        <v>604324.56000000006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3.91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7490</v>
      </c>
      <c r="AW1077">
        <v>3350</v>
      </c>
      <c r="AX1077">
        <v>1219</v>
      </c>
      <c r="AY1077">
        <v>12059</v>
      </c>
      <c r="AZ1077">
        <v>4202</v>
      </c>
      <c r="BA1077">
        <v>7438</v>
      </c>
      <c r="BB1077">
        <v>1432</v>
      </c>
      <c r="BC1077">
        <v>13072</v>
      </c>
      <c r="BD1077">
        <v>9486</v>
      </c>
      <c r="BE1077">
        <v>9222</v>
      </c>
      <c r="BF1077">
        <v>1768</v>
      </c>
      <c r="BG1077">
        <v>20476</v>
      </c>
      <c r="BH1077">
        <v>0</v>
      </c>
      <c r="BI1077">
        <v>0</v>
      </c>
      <c r="BJ1077">
        <v>0</v>
      </c>
      <c r="BK1077">
        <v>0</v>
      </c>
      <c r="BL1077" s="2">
        <v>24.82</v>
      </c>
      <c r="BM1077" s="2">
        <v>42005.095138888886</v>
      </c>
      <c r="BN1077" s="2">
        <v>5.4</v>
      </c>
      <c r="BO1077" s="2">
        <v>42005.092361111114</v>
      </c>
      <c r="BP1077" s="2">
        <v>6.92</v>
      </c>
      <c r="BQ1077" s="2">
        <v>42005.092361111114</v>
      </c>
      <c r="BR1077" s="2">
        <v>11.07</v>
      </c>
      <c r="BS1077" s="2">
        <v>42005.092361111114</v>
      </c>
      <c r="BT1077">
        <v>0</v>
      </c>
      <c r="BU1077">
        <v>0</v>
      </c>
      <c r="BV1077" t="s">
        <v>135</v>
      </c>
      <c r="BW1077">
        <v>0</v>
      </c>
      <c r="BX1077">
        <v>0</v>
      </c>
      <c r="BY1077" t="s">
        <v>135</v>
      </c>
      <c r="BZ1077">
        <v>0</v>
      </c>
      <c r="CA1077">
        <v>0</v>
      </c>
      <c r="CB1077" t="s">
        <v>135</v>
      </c>
      <c r="CH1077" s="2"/>
      <c r="CJ1077" s="2"/>
      <c r="CL1077" s="2"/>
      <c r="CN1077" s="2"/>
      <c r="CQ1077" s="2"/>
      <c r="CT1077" s="2"/>
      <c r="CW1077" s="2"/>
    </row>
    <row r="1078" spans="1:101" x14ac:dyDescent="0.25">
      <c r="A1078" s="1" t="s">
        <v>163</v>
      </c>
      <c r="B1078" s="75" t="s">
        <v>164</v>
      </c>
      <c r="C1078">
        <v>0</v>
      </c>
      <c r="D1078">
        <v>0</v>
      </c>
      <c r="E1078">
        <v>0</v>
      </c>
      <c r="F1078">
        <v>604324.56000000006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3.91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7490</v>
      </c>
      <c r="AW1078">
        <v>3350</v>
      </c>
      <c r="AX1078">
        <v>1219</v>
      </c>
      <c r="AY1078">
        <v>12059</v>
      </c>
      <c r="AZ1078">
        <v>4202</v>
      </c>
      <c r="BA1078">
        <v>7438</v>
      </c>
      <c r="BB1078">
        <v>1432</v>
      </c>
      <c r="BC1078">
        <v>13072</v>
      </c>
      <c r="BD1078">
        <v>9486</v>
      </c>
      <c r="BE1078">
        <v>9222</v>
      </c>
      <c r="BF1078">
        <v>1768</v>
      </c>
      <c r="BG1078">
        <v>20476</v>
      </c>
      <c r="BH1078">
        <v>0</v>
      </c>
      <c r="BI1078">
        <v>0</v>
      </c>
      <c r="BJ1078">
        <v>0</v>
      </c>
      <c r="BK1078">
        <v>0</v>
      </c>
      <c r="BL1078" s="2">
        <v>24.82</v>
      </c>
      <c r="BM1078" s="2">
        <v>42005.095138888886</v>
      </c>
      <c r="BN1078" s="2">
        <v>5.4</v>
      </c>
      <c r="BO1078" s="2">
        <v>42005.092361111114</v>
      </c>
      <c r="BP1078" s="2">
        <v>6.92</v>
      </c>
      <c r="BQ1078" s="2">
        <v>42005.092361111114</v>
      </c>
      <c r="BR1078" s="2">
        <v>11.07</v>
      </c>
      <c r="BS1078" s="2">
        <v>42005.092361111114</v>
      </c>
      <c r="BT1078">
        <v>0</v>
      </c>
      <c r="BU1078">
        <v>0</v>
      </c>
      <c r="BV1078" t="s">
        <v>135</v>
      </c>
      <c r="BW1078">
        <v>0</v>
      </c>
      <c r="BX1078">
        <v>0</v>
      </c>
      <c r="BY1078" t="s">
        <v>135</v>
      </c>
      <c r="BZ1078">
        <v>0</v>
      </c>
      <c r="CA1078">
        <v>0</v>
      </c>
      <c r="CB1078" t="s">
        <v>135</v>
      </c>
      <c r="CH1078" s="2"/>
      <c r="CJ1078" s="2"/>
      <c r="CL1078" s="2"/>
      <c r="CN1078" s="2"/>
      <c r="CQ1078" s="2"/>
      <c r="CT1078" s="2"/>
      <c r="CW1078" s="2"/>
    </row>
    <row r="1079" spans="1:101" x14ac:dyDescent="0.25">
      <c r="A1079" s="1" t="s">
        <v>163</v>
      </c>
      <c r="B1079" s="75" t="s">
        <v>164</v>
      </c>
      <c r="C1079">
        <v>0</v>
      </c>
      <c r="D1079">
        <v>0</v>
      </c>
      <c r="E1079">
        <v>0</v>
      </c>
      <c r="F1079">
        <v>604324.56000000006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3.91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7490</v>
      </c>
      <c r="AW1079">
        <v>3350</v>
      </c>
      <c r="AX1079">
        <v>1219</v>
      </c>
      <c r="AY1079">
        <v>12059</v>
      </c>
      <c r="AZ1079">
        <v>4202</v>
      </c>
      <c r="BA1079">
        <v>7438</v>
      </c>
      <c r="BB1079">
        <v>1432</v>
      </c>
      <c r="BC1079">
        <v>13072</v>
      </c>
      <c r="BD1079">
        <v>9486</v>
      </c>
      <c r="BE1079">
        <v>9222</v>
      </c>
      <c r="BF1079">
        <v>1768</v>
      </c>
      <c r="BG1079">
        <v>20476</v>
      </c>
      <c r="BH1079">
        <v>0</v>
      </c>
      <c r="BI1079">
        <v>0</v>
      </c>
      <c r="BJ1079">
        <v>0</v>
      </c>
      <c r="BK1079">
        <v>0</v>
      </c>
      <c r="BL1079" s="2">
        <v>24.82</v>
      </c>
      <c r="BM1079" s="2">
        <v>42005.095138888886</v>
      </c>
      <c r="BN1079" s="2">
        <v>5.4</v>
      </c>
      <c r="BO1079" s="2">
        <v>42005.092361111114</v>
      </c>
      <c r="BP1079" s="2">
        <v>6.92</v>
      </c>
      <c r="BQ1079" s="2">
        <v>42005.092361111114</v>
      </c>
      <c r="BR1079" s="2">
        <v>11.07</v>
      </c>
      <c r="BS1079" s="2">
        <v>42005.092361111114</v>
      </c>
      <c r="BT1079">
        <v>0</v>
      </c>
      <c r="BU1079">
        <v>0</v>
      </c>
      <c r="BV1079" t="s">
        <v>135</v>
      </c>
      <c r="BW1079">
        <v>0</v>
      </c>
      <c r="BX1079">
        <v>0</v>
      </c>
      <c r="BY1079" t="s">
        <v>135</v>
      </c>
      <c r="BZ1079">
        <v>0</v>
      </c>
      <c r="CA1079">
        <v>0</v>
      </c>
      <c r="CB1079" t="s">
        <v>135</v>
      </c>
      <c r="CH1079" s="2"/>
      <c r="CJ1079" s="2"/>
      <c r="CL1079" s="2"/>
      <c r="CN1079" s="2"/>
      <c r="CQ1079" s="2"/>
      <c r="CT1079" s="2"/>
      <c r="CW1079" s="2"/>
    </row>
    <row r="1080" spans="1:101" x14ac:dyDescent="0.25">
      <c r="A1080" s="1" t="s">
        <v>163</v>
      </c>
      <c r="B1080" s="75" t="s">
        <v>164</v>
      </c>
      <c r="C1080">
        <v>0</v>
      </c>
      <c r="D1080">
        <v>0</v>
      </c>
      <c r="E1080">
        <v>0</v>
      </c>
      <c r="F1080">
        <v>604324.56000000006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3.91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7490</v>
      </c>
      <c r="AW1080">
        <v>3350</v>
      </c>
      <c r="AX1080">
        <v>1219</v>
      </c>
      <c r="AY1080">
        <v>12059</v>
      </c>
      <c r="AZ1080">
        <v>4202</v>
      </c>
      <c r="BA1080">
        <v>7438</v>
      </c>
      <c r="BB1080">
        <v>1432</v>
      </c>
      <c r="BC1080">
        <v>13072</v>
      </c>
      <c r="BD1080">
        <v>9486</v>
      </c>
      <c r="BE1080">
        <v>9222</v>
      </c>
      <c r="BF1080">
        <v>1768</v>
      </c>
      <c r="BG1080">
        <v>20476</v>
      </c>
      <c r="BH1080">
        <v>0</v>
      </c>
      <c r="BI1080">
        <v>0</v>
      </c>
      <c r="BJ1080">
        <v>0</v>
      </c>
      <c r="BK1080">
        <v>0</v>
      </c>
      <c r="BL1080" s="2">
        <v>24.82</v>
      </c>
      <c r="BM1080" s="2">
        <v>42005.095138888886</v>
      </c>
      <c r="BN1080" s="2">
        <v>5.4</v>
      </c>
      <c r="BO1080" s="2">
        <v>42005.092361111114</v>
      </c>
      <c r="BP1080" s="2">
        <v>6.92</v>
      </c>
      <c r="BQ1080" s="2">
        <v>42005.092361111114</v>
      </c>
      <c r="BR1080" s="2">
        <v>11.07</v>
      </c>
      <c r="BS1080" s="2">
        <v>42005.092361111114</v>
      </c>
      <c r="BT1080">
        <v>0</v>
      </c>
      <c r="BU1080">
        <v>0</v>
      </c>
      <c r="BV1080" t="s">
        <v>135</v>
      </c>
      <c r="BW1080">
        <v>0</v>
      </c>
      <c r="BX1080">
        <v>0</v>
      </c>
      <c r="BY1080" t="s">
        <v>135</v>
      </c>
      <c r="BZ1080">
        <v>0</v>
      </c>
      <c r="CA1080">
        <v>0</v>
      </c>
      <c r="CB1080" t="s">
        <v>135</v>
      </c>
      <c r="CH1080" s="2"/>
      <c r="CJ1080" s="2"/>
      <c r="CL1080" s="2"/>
      <c r="CN1080" s="2"/>
      <c r="CQ1080" s="2"/>
      <c r="CT1080" s="2"/>
      <c r="CW1080" s="2"/>
    </row>
    <row r="1081" spans="1:101" x14ac:dyDescent="0.25">
      <c r="A1081" s="1" t="s">
        <v>163</v>
      </c>
      <c r="B1081" s="75" t="s">
        <v>164</v>
      </c>
      <c r="C1081">
        <v>0</v>
      </c>
      <c r="D1081">
        <v>0</v>
      </c>
      <c r="E1081">
        <v>0</v>
      </c>
      <c r="F1081">
        <v>604324.56000000006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3.91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7490</v>
      </c>
      <c r="AW1081">
        <v>3350</v>
      </c>
      <c r="AX1081">
        <v>1219</v>
      </c>
      <c r="AY1081">
        <v>12059</v>
      </c>
      <c r="AZ1081">
        <v>4202</v>
      </c>
      <c r="BA1081">
        <v>7438</v>
      </c>
      <c r="BB1081">
        <v>1432</v>
      </c>
      <c r="BC1081">
        <v>13072</v>
      </c>
      <c r="BD1081">
        <v>9486</v>
      </c>
      <c r="BE1081">
        <v>9222</v>
      </c>
      <c r="BF1081">
        <v>1768</v>
      </c>
      <c r="BG1081">
        <v>20476</v>
      </c>
      <c r="BH1081">
        <v>0</v>
      </c>
      <c r="BI1081">
        <v>0</v>
      </c>
      <c r="BJ1081">
        <v>0</v>
      </c>
      <c r="BK1081">
        <v>0</v>
      </c>
      <c r="BL1081" s="2">
        <v>24.82</v>
      </c>
      <c r="BM1081" s="2">
        <v>42005.095138888886</v>
      </c>
      <c r="BN1081" s="2">
        <v>5.4</v>
      </c>
      <c r="BO1081" s="2">
        <v>42005.092361111114</v>
      </c>
      <c r="BP1081" s="2">
        <v>6.92</v>
      </c>
      <c r="BQ1081" s="2">
        <v>42005.092361111114</v>
      </c>
      <c r="BR1081" s="2">
        <v>11.07</v>
      </c>
      <c r="BS1081" s="2">
        <v>42005.092361111114</v>
      </c>
      <c r="BT1081">
        <v>0</v>
      </c>
      <c r="BU1081">
        <v>0</v>
      </c>
      <c r="BV1081" t="s">
        <v>135</v>
      </c>
      <c r="BW1081">
        <v>0</v>
      </c>
      <c r="BX1081">
        <v>0</v>
      </c>
      <c r="BY1081" t="s">
        <v>135</v>
      </c>
      <c r="BZ1081">
        <v>0</v>
      </c>
      <c r="CA1081">
        <v>0</v>
      </c>
      <c r="CB1081" t="s">
        <v>135</v>
      </c>
      <c r="CH1081" s="2"/>
      <c r="CJ1081" s="2"/>
      <c r="CL1081" s="2"/>
      <c r="CN1081" s="2"/>
      <c r="CQ1081" s="2"/>
      <c r="CT1081" s="2"/>
      <c r="CW1081" s="2"/>
    </row>
    <row r="1082" spans="1:101" x14ac:dyDescent="0.25">
      <c r="A1082" s="1" t="s">
        <v>163</v>
      </c>
      <c r="B1082" s="75" t="s">
        <v>164</v>
      </c>
      <c r="C1082">
        <v>0</v>
      </c>
      <c r="D1082">
        <v>0</v>
      </c>
      <c r="E1082">
        <v>0</v>
      </c>
      <c r="F1082">
        <v>604324.56000000006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3.91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7490</v>
      </c>
      <c r="AW1082">
        <v>3350</v>
      </c>
      <c r="AX1082">
        <v>1219</v>
      </c>
      <c r="AY1082">
        <v>12059</v>
      </c>
      <c r="AZ1082">
        <v>4202</v>
      </c>
      <c r="BA1082">
        <v>7438</v>
      </c>
      <c r="BB1082">
        <v>1432</v>
      </c>
      <c r="BC1082">
        <v>13072</v>
      </c>
      <c r="BD1082">
        <v>9486</v>
      </c>
      <c r="BE1082">
        <v>9222</v>
      </c>
      <c r="BF1082">
        <v>1768</v>
      </c>
      <c r="BG1082">
        <v>20476</v>
      </c>
      <c r="BH1082">
        <v>0</v>
      </c>
      <c r="BI1082">
        <v>0</v>
      </c>
      <c r="BJ1082">
        <v>0</v>
      </c>
      <c r="BK1082">
        <v>0</v>
      </c>
      <c r="BL1082" s="2">
        <v>24.82</v>
      </c>
      <c r="BM1082" s="2">
        <v>42005.095138888886</v>
      </c>
      <c r="BN1082" s="2">
        <v>5.4</v>
      </c>
      <c r="BO1082" s="2">
        <v>42005.092361111114</v>
      </c>
      <c r="BP1082" s="2">
        <v>6.92</v>
      </c>
      <c r="BQ1082" s="2">
        <v>42005.092361111114</v>
      </c>
      <c r="BR1082" s="2">
        <v>11.07</v>
      </c>
      <c r="BS1082" s="2">
        <v>42005.092361111114</v>
      </c>
      <c r="BT1082">
        <v>0</v>
      </c>
      <c r="BU1082">
        <v>0</v>
      </c>
      <c r="BV1082" t="s">
        <v>135</v>
      </c>
      <c r="BW1082">
        <v>0</v>
      </c>
      <c r="BX1082">
        <v>0</v>
      </c>
      <c r="BY1082" t="s">
        <v>135</v>
      </c>
      <c r="BZ1082">
        <v>0</v>
      </c>
      <c r="CA1082">
        <v>0</v>
      </c>
      <c r="CB1082" t="s">
        <v>135</v>
      </c>
      <c r="CH1082" s="2"/>
      <c r="CJ1082" s="2"/>
      <c r="CL1082" s="2"/>
      <c r="CN1082" s="2"/>
      <c r="CQ1082" s="2"/>
      <c r="CT1082" s="2"/>
      <c r="CW1082" s="2"/>
    </row>
    <row r="1083" spans="1:101" x14ac:dyDescent="0.25">
      <c r="A1083" s="1" t="s">
        <v>163</v>
      </c>
      <c r="B1083" s="75" t="s">
        <v>164</v>
      </c>
      <c r="C1083">
        <v>0</v>
      </c>
      <c r="D1083">
        <v>0</v>
      </c>
      <c r="E1083">
        <v>0</v>
      </c>
      <c r="F1083">
        <v>604324.56000000006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3.91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7490</v>
      </c>
      <c r="AW1083">
        <v>3350</v>
      </c>
      <c r="AX1083">
        <v>1219</v>
      </c>
      <c r="AY1083">
        <v>12059</v>
      </c>
      <c r="AZ1083">
        <v>4202</v>
      </c>
      <c r="BA1083">
        <v>7438</v>
      </c>
      <c r="BB1083">
        <v>1432</v>
      </c>
      <c r="BC1083">
        <v>13072</v>
      </c>
      <c r="BD1083">
        <v>9486</v>
      </c>
      <c r="BE1083">
        <v>9222</v>
      </c>
      <c r="BF1083">
        <v>1768</v>
      </c>
      <c r="BG1083">
        <v>20476</v>
      </c>
      <c r="BH1083">
        <v>0</v>
      </c>
      <c r="BI1083">
        <v>0</v>
      </c>
      <c r="BJ1083">
        <v>0</v>
      </c>
      <c r="BK1083">
        <v>0</v>
      </c>
      <c r="BL1083" s="2">
        <v>24.82</v>
      </c>
      <c r="BM1083" s="2">
        <v>42005.095138888886</v>
      </c>
      <c r="BN1083" s="2">
        <v>5.4</v>
      </c>
      <c r="BO1083" s="2">
        <v>42005.092361111114</v>
      </c>
      <c r="BP1083" s="2">
        <v>6.92</v>
      </c>
      <c r="BQ1083" s="2">
        <v>42005.092361111114</v>
      </c>
      <c r="BR1083" s="2">
        <v>11.07</v>
      </c>
      <c r="BS1083" s="2">
        <v>42005.092361111114</v>
      </c>
      <c r="BT1083">
        <v>0</v>
      </c>
      <c r="BU1083">
        <v>0</v>
      </c>
      <c r="BV1083" t="s">
        <v>135</v>
      </c>
      <c r="BW1083">
        <v>0</v>
      </c>
      <c r="BX1083">
        <v>0</v>
      </c>
      <c r="BY1083" t="s">
        <v>135</v>
      </c>
      <c r="BZ1083">
        <v>0</v>
      </c>
      <c r="CA1083">
        <v>0</v>
      </c>
      <c r="CB1083" t="s">
        <v>135</v>
      </c>
      <c r="CH1083" s="2"/>
      <c r="CJ1083" s="2"/>
      <c r="CL1083" s="2"/>
      <c r="CN1083" s="2"/>
      <c r="CQ1083" s="2"/>
      <c r="CT1083" s="2"/>
      <c r="CW1083" s="2"/>
    </row>
    <row r="1084" spans="1:101" x14ac:dyDescent="0.25">
      <c r="A1084" s="1" t="s">
        <v>163</v>
      </c>
      <c r="B1084" s="75" t="s">
        <v>164</v>
      </c>
      <c r="C1084">
        <v>0</v>
      </c>
      <c r="D1084">
        <v>0</v>
      </c>
      <c r="E1084">
        <v>0</v>
      </c>
      <c r="F1084">
        <v>604324.56000000006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3.91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7490</v>
      </c>
      <c r="AW1084">
        <v>3350</v>
      </c>
      <c r="AX1084">
        <v>1219</v>
      </c>
      <c r="AY1084">
        <v>12059</v>
      </c>
      <c r="AZ1084">
        <v>4202</v>
      </c>
      <c r="BA1084">
        <v>7438</v>
      </c>
      <c r="BB1084">
        <v>1432</v>
      </c>
      <c r="BC1084">
        <v>13072</v>
      </c>
      <c r="BD1084">
        <v>9486</v>
      </c>
      <c r="BE1084">
        <v>9222</v>
      </c>
      <c r="BF1084">
        <v>1768</v>
      </c>
      <c r="BG1084">
        <v>20476</v>
      </c>
      <c r="BH1084">
        <v>0</v>
      </c>
      <c r="BI1084">
        <v>0</v>
      </c>
      <c r="BJ1084">
        <v>0</v>
      </c>
      <c r="BK1084">
        <v>0</v>
      </c>
      <c r="BL1084" s="2">
        <v>24.82</v>
      </c>
      <c r="BM1084" s="2">
        <v>42005.095138888886</v>
      </c>
      <c r="BN1084" s="2">
        <v>5.4</v>
      </c>
      <c r="BO1084" s="2">
        <v>42005.092361111114</v>
      </c>
      <c r="BP1084" s="2">
        <v>6.92</v>
      </c>
      <c r="BQ1084" s="2">
        <v>42005.092361111114</v>
      </c>
      <c r="BR1084" s="2">
        <v>11.07</v>
      </c>
      <c r="BS1084" s="2">
        <v>42005.092361111114</v>
      </c>
      <c r="BT1084">
        <v>0</v>
      </c>
      <c r="BU1084">
        <v>0</v>
      </c>
      <c r="BV1084" t="s">
        <v>135</v>
      </c>
      <c r="BW1084">
        <v>0</v>
      </c>
      <c r="BX1084">
        <v>0</v>
      </c>
      <c r="BY1084" t="s">
        <v>135</v>
      </c>
      <c r="BZ1084">
        <v>0</v>
      </c>
      <c r="CA1084">
        <v>0</v>
      </c>
      <c r="CB1084" t="s">
        <v>135</v>
      </c>
      <c r="CH1084" s="2"/>
      <c r="CJ1084" s="2"/>
      <c r="CL1084" s="2"/>
      <c r="CN1084" s="2"/>
      <c r="CQ1084" s="2"/>
      <c r="CT1084" s="2"/>
      <c r="CW1084" s="2"/>
    </row>
    <row r="1085" spans="1:101" x14ac:dyDescent="0.25">
      <c r="A1085" s="1" t="s">
        <v>163</v>
      </c>
      <c r="B1085" s="75" t="s">
        <v>164</v>
      </c>
      <c r="C1085">
        <v>0</v>
      </c>
      <c r="D1085">
        <v>0</v>
      </c>
      <c r="E1085">
        <v>0</v>
      </c>
      <c r="F1085">
        <v>604324.56000000006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3.91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7490</v>
      </c>
      <c r="AW1085">
        <v>3350</v>
      </c>
      <c r="AX1085">
        <v>1219</v>
      </c>
      <c r="AY1085">
        <v>12059</v>
      </c>
      <c r="AZ1085">
        <v>4202</v>
      </c>
      <c r="BA1085">
        <v>7438</v>
      </c>
      <c r="BB1085">
        <v>1432</v>
      </c>
      <c r="BC1085">
        <v>13072</v>
      </c>
      <c r="BD1085">
        <v>9486</v>
      </c>
      <c r="BE1085">
        <v>9222</v>
      </c>
      <c r="BF1085">
        <v>1768</v>
      </c>
      <c r="BG1085">
        <v>20476</v>
      </c>
      <c r="BH1085">
        <v>0</v>
      </c>
      <c r="BI1085">
        <v>0</v>
      </c>
      <c r="BJ1085">
        <v>0</v>
      </c>
      <c r="BK1085">
        <v>0</v>
      </c>
      <c r="BL1085" s="2">
        <v>24.82</v>
      </c>
      <c r="BM1085" s="2">
        <v>42005.095138888886</v>
      </c>
      <c r="BN1085" s="2">
        <v>5.4</v>
      </c>
      <c r="BO1085" s="2">
        <v>42005.092361111114</v>
      </c>
      <c r="BP1085" s="2">
        <v>6.92</v>
      </c>
      <c r="BQ1085" s="2">
        <v>42005.092361111114</v>
      </c>
      <c r="BR1085" s="2">
        <v>11.07</v>
      </c>
      <c r="BS1085" s="2">
        <v>42005.092361111114</v>
      </c>
      <c r="BT1085">
        <v>0</v>
      </c>
      <c r="BU1085">
        <v>0</v>
      </c>
      <c r="BV1085" t="s">
        <v>135</v>
      </c>
      <c r="BW1085">
        <v>0</v>
      </c>
      <c r="BX1085">
        <v>0</v>
      </c>
      <c r="BY1085" t="s">
        <v>135</v>
      </c>
      <c r="BZ1085">
        <v>0</v>
      </c>
      <c r="CA1085">
        <v>0</v>
      </c>
      <c r="CB1085" t="s">
        <v>135</v>
      </c>
      <c r="CH1085" s="2"/>
      <c r="CJ1085" s="2"/>
      <c r="CL1085" s="2"/>
      <c r="CN1085" s="2"/>
      <c r="CQ1085" s="2"/>
      <c r="CT1085" s="2"/>
      <c r="CW1085" s="2"/>
    </row>
    <row r="1086" spans="1:101" x14ac:dyDescent="0.25">
      <c r="A1086" s="1" t="s">
        <v>163</v>
      </c>
      <c r="B1086" s="75" t="s">
        <v>164</v>
      </c>
      <c r="C1086">
        <v>0</v>
      </c>
      <c r="D1086">
        <v>0</v>
      </c>
      <c r="E1086">
        <v>0</v>
      </c>
      <c r="F1086">
        <v>604324.56000000006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3.91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7490</v>
      </c>
      <c r="AW1086">
        <v>3350</v>
      </c>
      <c r="AX1086">
        <v>1219</v>
      </c>
      <c r="AY1086">
        <v>12059</v>
      </c>
      <c r="AZ1086">
        <v>4202</v>
      </c>
      <c r="BA1086">
        <v>7438</v>
      </c>
      <c r="BB1086">
        <v>1432</v>
      </c>
      <c r="BC1086">
        <v>13072</v>
      </c>
      <c r="BD1086">
        <v>9486</v>
      </c>
      <c r="BE1086">
        <v>9222</v>
      </c>
      <c r="BF1086">
        <v>1768</v>
      </c>
      <c r="BG1086">
        <v>20476</v>
      </c>
      <c r="BH1086">
        <v>0</v>
      </c>
      <c r="BI1086">
        <v>0</v>
      </c>
      <c r="BJ1086">
        <v>0</v>
      </c>
      <c r="BK1086">
        <v>0</v>
      </c>
      <c r="BL1086" s="2">
        <v>24.82</v>
      </c>
      <c r="BM1086" s="2">
        <v>42005.095138888886</v>
      </c>
      <c r="BN1086" s="2">
        <v>5.4</v>
      </c>
      <c r="BO1086" s="2">
        <v>42005.092361111114</v>
      </c>
      <c r="BP1086" s="2">
        <v>6.92</v>
      </c>
      <c r="BQ1086" s="2">
        <v>42005.092361111114</v>
      </c>
      <c r="BR1086" s="2">
        <v>11.07</v>
      </c>
      <c r="BS1086" s="2">
        <v>42005.092361111114</v>
      </c>
      <c r="BT1086">
        <v>0</v>
      </c>
      <c r="BU1086">
        <v>0</v>
      </c>
      <c r="BV1086" t="s">
        <v>135</v>
      </c>
      <c r="BW1086">
        <v>0</v>
      </c>
      <c r="BX1086">
        <v>0</v>
      </c>
      <c r="BY1086" t="s">
        <v>135</v>
      </c>
      <c r="BZ1086">
        <v>0</v>
      </c>
      <c r="CA1086">
        <v>0</v>
      </c>
      <c r="CB1086" t="s">
        <v>135</v>
      </c>
      <c r="CH1086" s="2"/>
      <c r="CJ1086" s="2"/>
      <c r="CL1086" s="2"/>
      <c r="CN1086" s="2"/>
      <c r="CQ1086" s="2"/>
      <c r="CT1086" s="2"/>
      <c r="CW1086" s="2"/>
    </row>
    <row r="1087" spans="1:101" x14ac:dyDescent="0.25">
      <c r="A1087" s="1" t="s">
        <v>163</v>
      </c>
      <c r="B1087" s="75" t="s">
        <v>164</v>
      </c>
      <c r="C1087">
        <v>0</v>
      </c>
      <c r="D1087">
        <v>0</v>
      </c>
      <c r="E1087">
        <v>0</v>
      </c>
      <c r="F1087">
        <v>604324.56000000006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3.91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7490</v>
      </c>
      <c r="AW1087">
        <v>3350</v>
      </c>
      <c r="AX1087">
        <v>1219</v>
      </c>
      <c r="AY1087">
        <v>12059</v>
      </c>
      <c r="AZ1087">
        <v>4202</v>
      </c>
      <c r="BA1087">
        <v>7438</v>
      </c>
      <c r="BB1087">
        <v>1432</v>
      </c>
      <c r="BC1087">
        <v>13072</v>
      </c>
      <c r="BD1087">
        <v>9486</v>
      </c>
      <c r="BE1087">
        <v>9222</v>
      </c>
      <c r="BF1087">
        <v>1768</v>
      </c>
      <c r="BG1087">
        <v>20476</v>
      </c>
      <c r="BH1087">
        <v>0</v>
      </c>
      <c r="BI1087">
        <v>0</v>
      </c>
      <c r="BJ1087">
        <v>0</v>
      </c>
      <c r="BK1087">
        <v>0</v>
      </c>
      <c r="BL1087" s="2">
        <v>24.82</v>
      </c>
      <c r="BM1087" s="2">
        <v>42005.095138888886</v>
      </c>
      <c r="BN1087" s="2">
        <v>5.4</v>
      </c>
      <c r="BO1087" s="2">
        <v>42005.092361111114</v>
      </c>
      <c r="BP1087" s="2">
        <v>6.92</v>
      </c>
      <c r="BQ1087" s="2">
        <v>42005.092361111114</v>
      </c>
      <c r="BR1087" s="2">
        <v>11.07</v>
      </c>
      <c r="BS1087" s="2">
        <v>42005.092361111114</v>
      </c>
      <c r="BT1087">
        <v>0</v>
      </c>
      <c r="BU1087">
        <v>0</v>
      </c>
      <c r="BV1087" t="s">
        <v>135</v>
      </c>
      <c r="BW1087">
        <v>0</v>
      </c>
      <c r="BX1087">
        <v>0</v>
      </c>
      <c r="BY1087" t="s">
        <v>135</v>
      </c>
      <c r="BZ1087">
        <v>0</v>
      </c>
      <c r="CA1087">
        <v>0</v>
      </c>
      <c r="CB1087" t="s">
        <v>135</v>
      </c>
      <c r="CH1087" s="2"/>
      <c r="CJ1087" s="2"/>
      <c r="CL1087" s="2"/>
      <c r="CN1087" s="2"/>
      <c r="CQ1087" s="2"/>
      <c r="CT1087" s="2"/>
      <c r="CW1087" s="2"/>
    </row>
    <row r="1088" spans="1:101" x14ac:dyDescent="0.25">
      <c r="A1088" s="1" t="s">
        <v>163</v>
      </c>
      <c r="B1088" s="75" t="s">
        <v>164</v>
      </c>
      <c r="C1088">
        <v>0</v>
      </c>
      <c r="D1088">
        <v>0</v>
      </c>
      <c r="E1088">
        <v>0</v>
      </c>
      <c r="F1088">
        <v>604324.56000000006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3.91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7490</v>
      </c>
      <c r="AW1088">
        <v>3350</v>
      </c>
      <c r="AX1088">
        <v>1219</v>
      </c>
      <c r="AY1088">
        <v>12059</v>
      </c>
      <c r="AZ1088">
        <v>4202</v>
      </c>
      <c r="BA1088">
        <v>7438</v>
      </c>
      <c r="BB1088">
        <v>1432</v>
      </c>
      <c r="BC1088">
        <v>13072</v>
      </c>
      <c r="BD1088">
        <v>9486</v>
      </c>
      <c r="BE1088">
        <v>9222</v>
      </c>
      <c r="BF1088">
        <v>1768</v>
      </c>
      <c r="BG1088">
        <v>20476</v>
      </c>
      <c r="BH1088">
        <v>0</v>
      </c>
      <c r="BI1088">
        <v>0</v>
      </c>
      <c r="BJ1088">
        <v>0</v>
      </c>
      <c r="BK1088">
        <v>0</v>
      </c>
      <c r="BL1088" s="2">
        <v>24.82</v>
      </c>
      <c r="BM1088" s="2">
        <v>42005.095138888886</v>
      </c>
      <c r="BN1088" s="2">
        <v>5.4</v>
      </c>
      <c r="BO1088" s="2">
        <v>42005.092361111114</v>
      </c>
      <c r="BP1088" s="2">
        <v>6.92</v>
      </c>
      <c r="BQ1088" s="2">
        <v>42005.092361111114</v>
      </c>
      <c r="BR1088" s="2">
        <v>11.07</v>
      </c>
      <c r="BS1088" s="2">
        <v>42005.092361111114</v>
      </c>
      <c r="BT1088">
        <v>0</v>
      </c>
      <c r="BU1088">
        <v>0</v>
      </c>
      <c r="BV1088" t="s">
        <v>135</v>
      </c>
      <c r="BW1088">
        <v>0</v>
      </c>
      <c r="BX1088">
        <v>0</v>
      </c>
      <c r="BY1088" t="s">
        <v>135</v>
      </c>
      <c r="BZ1088">
        <v>0</v>
      </c>
      <c r="CA1088">
        <v>0</v>
      </c>
      <c r="CB1088" t="s">
        <v>135</v>
      </c>
      <c r="CH1088" s="2"/>
      <c r="CJ1088" s="2"/>
      <c r="CL1088" s="2"/>
      <c r="CN1088" s="2"/>
      <c r="CQ1088" s="2"/>
      <c r="CT1088" s="2"/>
      <c r="CW1088" s="2"/>
    </row>
    <row r="1089" spans="1:101" x14ac:dyDescent="0.25">
      <c r="A1089" s="1" t="s">
        <v>163</v>
      </c>
      <c r="B1089" s="75" t="s">
        <v>164</v>
      </c>
      <c r="C1089">
        <v>0</v>
      </c>
      <c r="D1089">
        <v>0</v>
      </c>
      <c r="E1089">
        <v>0</v>
      </c>
      <c r="F1089">
        <v>604324.56000000006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3.91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7490</v>
      </c>
      <c r="AW1089">
        <v>3350</v>
      </c>
      <c r="AX1089">
        <v>1219</v>
      </c>
      <c r="AY1089">
        <v>12059</v>
      </c>
      <c r="AZ1089">
        <v>4202</v>
      </c>
      <c r="BA1089">
        <v>7438</v>
      </c>
      <c r="BB1089">
        <v>1432</v>
      </c>
      <c r="BC1089">
        <v>13072</v>
      </c>
      <c r="BD1089">
        <v>9486</v>
      </c>
      <c r="BE1089">
        <v>9222</v>
      </c>
      <c r="BF1089">
        <v>1768</v>
      </c>
      <c r="BG1089">
        <v>20476</v>
      </c>
      <c r="BH1089">
        <v>0</v>
      </c>
      <c r="BI1089">
        <v>0</v>
      </c>
      <c r="BJ1089">
        <v>0</v>
      </c>
      <c r="BK1089">
        <v>0</v>
      </c>
      <c r="BL1089" s="2">
        <v>24.82</v>
      </c>
      <c r="BM1089" s="2">
        <v>42005.095138888886</v>
      </c>
      <c r="BN1089" s="2">
        <v>5.4</v>
      </c>
      <c r="BO1089" s="2">
        <v>42005.092361111114</v>
      </c>
      <c r="BP1089" s="2">
        <v>6.92</v>
      </c>
      <c r="BQ1089" s="2">
        <v>42005.092361111114</v>
      </c>
      <c r="BR1089" s="2">
        <v>11.07</v>
      </c>
      <c r="BS1089" s="2">
        <v>42005.092361111114</v>
      </c>
      <c r="BT1089">
        <v>0</v>
      </c>
      <c r="BU1089">
        <v>0</v>
      </c>
      <c r="BV1089" t="s">
        <v>135</v>
      </c>
      <c r="BW1089">
        <v>0</v>
      </c>
      <c r="BX1089">
        <v>0</v>
      </c>
      <c r="BY1089" t="s">
        <v>135</v>
      </c>
      <c r="BZ1089">
        <v>0</v>
      </c>
      <c r="CA1089">
        <v>0</v>
      </c>
      <c r="CB1089" t="s">
        <v>135</v>
      </c>
      <c r="CH1089" s="2"/>
      <c r="CJ1089" s="2"/>
      <c r="CL1089" s="2"/>
      <c r="CN1089" s="2"/>
      <c r="CQ1089" s="2"/>
      <c r="CT1089" s="2"/>
      <c r="CW1089" s="2"/>
    </row>
    <row r="1090" spans="1:101" x14ac:dyDescent="0.25">
      <c r="A1090" s="1" t="s">
        <v>163</v>
      </c>
      <c r="B1090" s="75" t="s">
        <v>164</v>
      </c>
      <c r="C1090">
        <v>0</v>
      </c>
      <c r="D1090">
        <v>0</v>
      </c>
      <c r="E1090">
        <v>0</v>
      </c>
      <c r="F1090">
        <v>604324.56000000006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3.91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7490</v>
      </c>
      <c r="AW1090">
        <v>3350</v>
      </c>
      <c r="AX1090">
        <v>1219</v>
      </c>
      <c r="AY1090">
        <v>12059</v>
      </c>
      <c r="AZ1090">
        <v>4202</v>
      </c>
      <c r="BA1090">
        <v>7438</v>
      </c>
      <c r="BB1090">
        <v>1432</v>
      </c>
      <c r="BC1090">
        <v>13072</v>
      </c>
      <c r="BD1090">
        <v>9486</v>
      </c>
      <c r="BE1090">
        <v>9222</v>
      </c>
      <c r="BF1090">
        <v>1768</v>
      </c>
      <c r="BG1090">
        <v>20476</v>
      </c>
      <c r="BH1090">
        <v>0</v>
      </c>
      <c r="BI1090">
        <v>0</v>
      </c>
      <c r="BJ1090">
        <v>0</v>
      </c>
      <c r="BK1090">
        <v>0</v>
      </c>
      <c r="BL1090" s="2">
        <v>24.82</v>
      </c>
      <c r="BM1090" s="2">
        <v>42005.095138888886</v>
      </c>
      <c r="BN1090" s="2">
        <v>5.4</v>
      </c>
      <c r="BO1090" s="2">
        <v>42005.092361111114</v>
      </c>
      <c r="BP1090" s="2">
        <v>6.92</v>
      </c>
      <c r="BQ1090" s="2">
        <v>42005.092361111114</v>
      </c>
      <c r="BR1090" s="2">
        <v>11.07</v>
      </c>
      <c r="BS1090" s="2">
        <v>42005.092361111114</v>
      </c>
      <c r="BT1090">
        <v>0</v>
      </c>
      <c r="BU1090">
        <v>0</v>
      </c>
      <c r="BV1090" t="s">
        <v>135</v>
      </c>
      <c r="BW1090">
        <v>0</v>
      </c>
      <c r="BX1090">
        <v>0</v>
      </c>
      <c r="BY1090" t="s">
        <v>135</v>
      </c>
      <c r="BZ1090">
        <v>0</v>
      </c>
      <c r="CA1090">
        <v>0</v>
      </c>
      <c r="CB1090" t="s">
        <v>135</v>
      </c>
      <c r="CH1090" s="2"/>
      <c r="CJ1090" s="2"/>
      <c r="CL1090" s="2"/>
      <c r="CN1090" s="2"/>
      <c r="CQ1090" s="2"/>
      <c r="CT1090" s="2"/>
      <c r="CW1090" s="2"/>
    </row>
    <row r="1091" spans="1:101" x14ac:dyDescent="0.25">
      <c r="A1091" s="1" t="s">
        <v>163</v>
      </c>
      <c r="B1091" s="75" t="s">
        <v>164</v>
      </c>
      <c r="C1091">
        <v>0</v>
      </c>
      <c r="D1091">
        <v>0</v>
      </c>
      <c r="E1091">
        <v>0</v>
      </c>
      <c r="F1091">
        <v>604324.56000000006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3.91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7490</v>
      </c>
      <c r="AW1091">
        <v>3350</v>
      </c>
      <c r="AX1091">
        <v>1219</v>
      </c>
      <c r="AY1091">
        <v>12059</v>
      </c>
      <c r="AZ1091">
        <v>4202</v>
      </c>
      <c r="BA1091">
        <v>7438</v>
      </c>
      <c r="BB1091">
        <v>1432</v>
      </c>
      <c r="BC1091">
        <v>13072</v>
      </c>
      <c r="BD1091">
        <v>9486</v>
      </c>
      <c r="BE1091">
        <v>9222</v>
      </c>
      <c r="BF1091">
        <v>1768</v>
      </c>
      <c r="BG1091">
        <v>20476</v>
      </c>
      <c r="BH1091">
        <v>0</v>
      </c>
      <c r="BI1091">
        <v>0</v>
      </c>
      <c r="BJ1091">
        <v>0</v>
      </c>
      <c r="BK1091">
        <v>0</v>
      </c>
      <c r="BL1091" s="2">
        <v>24.82</v>
      </c>
      <c r="BM1091" s="2">
        <v>42005.095138888886</v>
      </c>
      <c r="BN1091" s="2">
        <v>5.4</v>
      </c>
      <c r="BO1091" s="2">
        <v>42005.092361111114</v>
      </c>
      <c r="BP1091" s="2">
        <v>6.92</v>
      </c>
      <c r="BQ1091" s="2">
        <v>42005.092361111114</v>
      </c>
      <c r="BR1091" s="2">
        <v>11.07</v>
      </c>
      <c r="BS1091" s="2">
        <v>42005.092361111114</v>
      </c>
      <c r="BT1091">
        <v>0</v>
      </c>
      <c r="BU1091">
        <v>0</v>
      </c>
      <c r="BV1091" t="s">
        <v>135</v>
      </c>
      <c r="BW1091">
        <v>0</v>
      </c>
      <c r="BX1091">
        <v>0</v>
      </c>
      <c r="BY1091" t="s">
        <v>135</v>
      </c>
      <c r="BZ1091">
        <v>0</v>
      </c>
      <c r="CA1091">
        <v>0</v>
      </c>
      <c r="CB1091" t="s">
        <v>135</v>
      </c>
      <c r="CH1091" s="2"/>
      <c r="CJ1091" s="2"/>
      <c r="CL1091" s="2"/>
      <c r="CN1091" s="2"/>
      <c r="CQ1091" s="2"/>
      <c r="CT1091" s="2"/>
      <c r="CW1091" s="2"/>
    </row>
    <row r="1092" spans="1:101" x14ac:dyDescent="0.25">
      <c r="A1092" s="1" t="s">
        <v>163</v>
      </c>
      <c r="B1092" s="75" t="s">
        <v>164</v>
      </c>
      <c r="C1092">
        <v>0</v>
      </c>
      <c r="D1092">
        <v>0</v>
      </c>
      <c r="E1092">
        <v>0</v>
      </c>
      <c r="F1092">
        <v>604324.56000000006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3.91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7490</v>
      </c>
      <c r="AW1092">
        <v>3350</v>
      </c>
      <c r="AX1092">
        <v>1219</v>
      </c>
      <c r="AY1092">
        <v>12059</v>
      </c>
      <c r="AZ1092">
        <v>4202</v>
      </c>
      <c r="BA1092">
        <v>7438</v>
      </c>
      <c r="BB1092">
        <v>1432</v>
      </c>
      <c r="BC1092">
        <v>13072</v>
      </c>
      <c r="BD1092">
        <v>9486</v>
      </c>
      <c r="BE1092">
        <v>9222</v>
      </c>
      <c r="BF1092">
        <v>1768</v>
      </c>
      <c r="BG1092">
        <v>20476</v>
      </c>
      <c r="BH1092">
        <v>0</v>
      </c>
      <c r="BI1092">
        <v>0</v>
      </c>
      <c r="BJ1092">
        <v>0</v>
      </c>
      <c r="BK1092">
        <v>0</v>
      </c>
      <c r="BL1092" s="2">
        <v>24.82</v>
      </c>
      <c r="BM1092" s="2">
        <v>42005.095138888886</v>
      </c>
      <c r="BN1092" s="2">
        <v>5.4</v>
      </c>
      <c r="BO1092" s="2">
        <v>42005.092361111114</v>
      </c>
      <c r="BP1092" s="2">
        <v>6.92</v>
      </c>
      <c r="BQ1092" s="2">
        <v>42005.092361111114</v>
      </c>
      <c r="BR1092" s="2">
        <v>11.07</v>
      </c>
      <c r="BS1092" s="2">
        <v>42005.092361111114</v>
      </c>
      <c r="BT1092">
        <v>0</v>
      </c>
      <c r="BU1092">
        <v>0</v>
      </c>
      <c r="BV1092" t="s">
        <v>135</v>
      </c>
      <c r="BW1092">
        <v>0</v>
      </c>
      <c r="BX1092">
        <v>0</v>
      </c>
      <c r="BY1092" t="s">
        <v>135</v>
      </c>
      <c r="BZ1092">
        <v>0</v>
      </c>
      <c r="CA1092">
        <v>0</v>
      </c>
      <c r="CB1092" t="s">
        <v>135</v>
      </c>
      <c r="CH1092" s="2"/>
      <c r="CJ1092" s="2"/>
      <c r="CL1092" s="2"/>
      <c r="CN1092" s="2"/>
      <c r="CQ1092" s="2"/>
      <c r="CT1092" s="2"/>
      <c r="CW1092" s="2"/>
    </row>
    <row r="1093" spans="1:101" x14ac:dyDescent="0.25">
      <c r="A1093" s="1" t="s">
        <v>163</v>
      </c>
      <c r="B1093" s="75" t="s">
        <v>164</v>
      </c>
      <c r="C1093">
        <v>0</v>
      </c>
      <c r="D1093">
        <v>0</v>
      </c>
      <c r="E1093">
        <v>0</v>
      </c>
      <c r="F1093">
        <v>604324.56000000006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3.91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7490</v>
      </c>
      <c r="AW1093">
        <v>3350</v>
      </c>
      <c r="AX1093">
        <v>1219</v>
      </c>
      <c r="AY1093">
        <v>12059</v>
      </c>
      <c r="AZ1093">
        <v>4202</v>
      </c>
      <c r="BA1093">
        <v>7438</v>
      </c>
      <c r="BB1093">
        <v>1432</v>
      </c>
      <c r="BC1093">
        <v>13072</v>
      </c>
      <c r="BD1093">
        <v>9486</v>
      </c>
      <c r="BE1093">
        <v>9222</v>
      </c>
      <c r="BF1093">
        <v>1768</v>
      </c>
      <c r="BG1093">
        <v>20476</v>
      </c>
      <c r="BH1093">
        <v>0</v>
      </c>
      <c r="BI1093">
        <v>0</v>
      </c>
      <c r="BJ1093">
        <v>0</v>
      </c>
      <c r="BK1093">
        <v>0</v>
      </c>
      <c r="BL1093" s="2">
        <v>24.82</v>
      </c>
      <c r="BM1093" s="2">
        <v>42005.095138888886</v>
      </c>
      <c r="BN1093" s="2">
        <v>5.4</v>
      </c>
      <c r="BO1093" s="2">
        <v>42005.092361111114</v>
      </c>
      <c r="BP1093" s="2">
        <v>6.92</v>
      </c>
      <c r="BQ1093" s="2">
        <v>42005.092361111114</v>
      </c>
      <c r="BR1093" s="2">
        <v>11.07</v>
      </c>
      <c r="BS1093" s="2">
        <v>42005.092361111114</v>
      </c>
      <c r="BT1093">
        <v>0</v>
      </c>
      <c r="BU1093">
        <v>0</v>
      </c>
      <c r="BV1093" t="s">
        <v>135</v>
      </c>
      <c r="BW1093">
        <v>0</v>
      </c>
      <c r="BX1093">
        <v>0</v>
      </c>
      <c r="BY1093" t="s">
        <v>135</v>
      </c>
      <c r="BZ1093">
        <v>0</v>
      </c>
      <c r="CA1093">
        <v>0</v>
      </c>
      <c r="CB1093" t="s">
        <v>135</v>
      </c>
      <c r="CH1093" s="2"/>
      <c r="CJ1093" s="2"/>
      <c r="CL1093" s="2"/>
      <c r="CN1093" s="2"/>
      <c r="CQ1093" s="2"/>
      <c r="CT1093" s="2"/>
      <c r="CW1093" s="2"/>
    </row>
    <row r="1094" spans="1:101" x14ac:dyDescent="0.25">
      <c r="A1094" s="1" t="s">
        <v>163</v>
      </c>
      <c r="B1094" s="75" t="s">
        <v>164</v>
      </c>
      <c r="C1094">
        <v>0</v>
      </c>
      <c r="D1094">
        <v>0</v>
      </c>
      <c r="E1094">
        <v>0</v>
      </c>
      <c r="F1094">
        <v>604324.56000000006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3.91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7490</v>
      </c>
      <c r="AW1094">
        <v>3350</v>
      </c>
      <c r="AX1094">
        <v>1219</v>
      </c>
      <c r="AY1094">
        <v>12059</v>
      </c>
      <c r="AZ1094">
        <v>4202</v>
      </c>
      <c r="BA1094">
        <v>7438</v>
      </c>
      <c r="BB1094">
        <v>1432</v>
      </c>
      <c r="BC1094">
        <v>13072</v>
      </c>
      <c r="BD1094">
        <v>9486</v>
      </c>
      <c r="BE1094">
        <v>9222</v>
      </c>
      <c r="BF1094">
        <v>1768</v>
      </c>
      <c r="BG1094">
        <v>20476</v>
      </c>
      <c r="BH1094">
        <v>0</v>
      </c>
      <c r="BI1094">
        <v>0</v>
      </c>
      <c r="BJ1094">
        <v>0</v>
      </c>
      <c r="BK1094">
        <v>0</v>
      </c>
      <c r="BL1094" s="2">
        <v>24.82</v>
      </c>
      <c r="BM1094" s="2">
        <v>42005.095138888886</v>
      </c>
      <c r="BN1094" s="2">
        <v>5.4</v>
      </c>
      <c r="BO1094" s="2">
        <v>42005.092361111114</v>
      </c>
      <c r="BP1094" s="2">
        <v>6.92</v>
      </c>
      <c r="BQ1094" s="2">
        <v>42005.092361111114</v>
      </c>
      <c r="BR1094" s="2">
        <v>11.07</v>
      </c>
      <c r="BS1094" s="2">
        <v>42005.092361111114</v>
      </c>
      <c r="BT1094">
        <v>0</v>
      </c>
      <c r="BU1094">
        <v>0</v>
      </c>
      <c r="BV1094" t="s">
        <v>135</v>
      </c>
      <c r="BW1094">
        <v>0</v>
      </c>
      <c r="BX1094">
        <v>0</v>
      </c>
      <c r="BY1094" t="s">
        <v>135</v>
      </c>
      <c r="BZ1094">
        <v>0</v>
      </c>
      <c r="CA1094">
        <v>0</v>
      </c>
      <c r="CB1094" t="s">
        <v>135</v>
      </c>
      <c r="CH1094" s="2"/>
      <c r="CJ1094" s="2"/>
      <c r="CL1094" s="2"/>
      <c r="CN1094" s="2"/>
      <c r="CQ1094" s="2"/>
      <c r="CT1094" s="2"/>
      <c r="CW1094" s="2"/>
    </row>
    <row r="1095" spans="1:101" x14ac:dyDescent="0.25">
      <c r="A1095" s="1" t="s">
        <v>163</v>
      </c>
      <c r="B1095" s="75" t="s">
        <v>164</v>
      </c>
      <c r="C1095">
        <v>0</v>
      </c>
      <c r="D1095">
        <v>0</v>
      </c>
      <c r="E1095">
        <v>0</v>
      </c>
      <c r="F1095">
        <v>604324.56000000006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3.91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7490</v>
      </c>
      <c r="AW1095">
        <v>3350</v>
      </c>
      <c r="AX1095">
        <v>1219</v>
      </c>
      <c r="AY1095">
        <v>12059</v>
      </c>
      <c r="AZ1095">
        <v>4202</v>
      </c>
      <c r="BA1095">
        <v>7438</v>
      </c>
      <c r="BB1095">
        <v>1432</v>
      </c>
      <c r="BC1095">
        <v>13072</v>
      </c>
      <c r="BD1095">
        <v>9486</v>
      </c>
      <c r="BE1095">
        <v>9222</v>
      </c>
      <c r="BF1095">
        <v>1768</v>
      </c>
      <c r="BG1095">
        <v>20476</v>
      </c>
      <c r="BH1095">
        <v>0</v>
      </c>
      <c r="BI1095">
        <v>0</v>
      </c>
      <c r="BJ1095">
        <v>0</v>
      </c>
      <c r="BK1095">
        <v>0</v>
      </c>
      <c r="BL1095" s="2">
        <v>24.82</v>
      </c>
      <c r="BM1095" s="2">
        <v>42005.095138888886</v>
      </c>
      <c r="BN1095" s="2">
        <v>5.4</v>
      </c>
      <c r="BO1095" s="2">
        <v>42005.092361111114</v>
      </c>
      <c r="BP1095" s="2">
        <v>6.92</v>
      </c>
      <c r="BQ1095" s="2">
        <v>42005.092361111114</v>
      </c>
      <c r="BR1095" s="2">
        <v>11.07</v>
      </c>
      <c r="BS1095" s="2">
        <v>42005.092361111114</v>
      </c>
      <c r="BT1095">
        <v>0</v>
      </c>
      <c r="BU1095">
        <v>0</v>
      </c>
      <c r="BV1095" t="s">
        <v>135</v>
      </c>
      <c r="BW1095">
        <v>0</v>
      </c>
      <c r="BX1095">
        <v>0</v>
      </c>
      <c r="BY1095" t="s">
        <v>135</v>
      </c>
      <c r="BZ1095">
        <v>0</v>
      </c>
      <c r="CA1095">
        <v>0</v>
      </c>
      <c r="CB1095" t="s">
        <v>135</v>
      </c>
      <c r="CH1095" s="2"/>
      <c r="CJ1095" s="2"/>
      <c r="CL1095" s="2"/>
      <c r="CN1095" s="2"/>
      <c r="CQ1095" s="2"/>
      <c r="CT1095" s="2"/>
      <c r="CW1095" s="2"/>
    </row>
    <row r="1096" spans="1:101" x14ac:dyDescent="0.25">
      <c r="A1096" s="1" t="s">
        <v>163</v>
      </c>
      <c r="B1096" s="75" t="s">
        <v>164</v>
      </c>
      <c r="C1096">
        <v>0</v>
      </c>
      <c r="D1096">
        <v>0</v>
      </c>
      <c r="E1096">
        <v>0</v>
      </c>
      <c r="F1096">
        <v>604324.56000000006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3.91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7490</v>
      </c>
      <c r="AW1096">
        <v>3350</v>
      </c>
      <c r="AX1096">
        <v>1219</v>
      </c>
      <c r="AY1096">
        <v>12059</v>
      </c>
      <c r="AZ1096">
        <v>4202</v>
      </c>
      <c r="BA1096">
        <v>7438</v>
      </c>
      <c r="BB1096">
        <v>1432</v>
      </c>
      <c r="BC1096">
        <v>13072</v>
      </c>
      <c r="BD1096">
        <v>9486</v>
      </c>
      <c r="BE1096">
        <v>9222</v>
      </c>
      <c r="BF1096">
        <v>1768</v>
      </c>
      <c r="BG1096">
        <v>20476</v>
      </c>
      <c r="BH1096">
        <v>0</v>
      </c>
      <c r="BI1096">
        <v>0</v>
      </c>
      <c r="BJ1096">
        <v>0</v>
      </c>
      <c r="BK1096">
        <v>0</v>
      </c>
      <c r="BL1096" s="2">
        <v>24.82</v>
      </c>
      <c r="BM1096" s="2">
        <v>42005.095138888886</v>
      </c>
      <c r="BN1096" s="2">
        <v>5.4</v>
      </c>
      <c r="BO1096" s="2">
        <v>42005.092361111114</v>
      </c>
      <c r="BP1096" s="2">
        <v>6.92</v>
      </c>
      <c r="BQ1096" s="2">
        <v>42005.092361111114</v>
      </c>
      <c r="BR1096" s="2">
        <v>11.07</v>
      </c>
      <c r="BS1096" s="2">
        <v>42005.092361111114</v>
      </c>
      <c r="BT1096">
        <v>0</v>
      </c>
      <c r="BU1096">
        <v>0</v>
      </c>
      <c r="BV1096" t="s">
        <v>135</v>
      </c>
      <c r="BW1096">
        <v>0</v>
      </c>
      <c r="BX1096">
        <v>0</v>
      </c>
      <c r="BY1096" t="s">
        <v>135</v>
      </c>
      <c r="BZ1096">
        <v>0</v>
      </c>
      <c r="CA1096">
        <v>0</v>
      </c>
      <c r="CB1096" t="s">
        <v>135</v>
      </c>
      <c r="CH1096" s="2"/>
      <c r="CJ1096" s="2"/>
      <c r="CL1096" s="2"/>
      <c r="CN1096" s="2"/>
      <c r="CQ1096" s="2"/>
      <c r="CT1096" s="2"/>
      <c r="CW1096" s="2"/>
    </row>
    <row r="1097" spans="1:101" x14ac:dyDescent="0.25">
      <c r="A1097" s="1" t="s">
        <v>163</v>
      </c>
      <c r="B1097" s="75" t="s">
        <v>164</v>
      </c>
      <c r="C1097">
        <v>0</v>
      </c>
      <c r="D1097">
        <v>0</v>
      </c>
      <c r="E1097">
        <v>0</v>
      </c>
      <c r="F1097">
        <v>604324.56000000006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3.91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7490</v>
      </c>
      <c r="AW1097">
        <v>3350</v>
      </c>
      <c r="AX1097">
        <v>1219</v>
      </c>
      <c r="AY1097">
        <v>12059</v>
      </c>
      <c r="AZ1097">
        <v>4202</v>
      </c>
      <c r="BA1097">
        <v>7438</v>
      </c>
      <c r="BB1097">
        <v>1432</v>
      </c>
      <c r="BC1097">
        <v>13072</v>
      </c>
      <c r="BD1097">
        <v>9486</v>
      </c>
      <c r="BE1097">
        <v>9222</v>
      </c>
      <c r="BF1097">
        <v>1768</v>
      </c>
      <c r="BG1097">
        <v>20476</v>
      </c>
      <c r="BH1097">
        <v>0</v>
      </c>
      <c r="BI1097">
        <v>0</v>
      </c>
      <c r="BJ1097">
        <v>0</v>
      </c>
      <c r="BK1097">
        <v>0</v>
      </c>
      <c r="BL1097" s="2">
        <v>24.82</v>
      </c>
      <c r="BM1097" s="2">
        <v>42005.095138888886</v>
      </c>
      <c r="BN1097" s="2">
        <v>5.4</v>
      </c>
      <c r="BO1097" s="2">
        <v>42005.092361111114</v>
      </c>
      <c r="BP1097" s="2">
        <v>6.92</v>
      </c>
      <c r="BQ1097" s="2">
        <v>42005.092361111114</v>
      </c>
      <c r="BR1097" s="2">
        <v>11.07</v>
      </c>
      <c r="BS1097" s="2">
        <v>42005.092361111114</v>
      </c>
      <c r="BT1097">
        <v>0</v>
      </c>
      <c r="BU1097">
        <v>0</v>
      </c>
      <c r="BV1097" t="s">
        <v>135</v>
      </c>
      <c r="BW1097">
        <v>0</v>
      </c>
      <c r="BX1097">
        <v>0</v>
      </c>
      <c r="BY1097" t="s">
        <v>135</v>
      </c>
      <c r="BZ1097">
        <v>0</v>
      </c>
      <c r="CA1097">
        <v>0</v>
      </c>
      <c r="CB1097" t="s">
        <v>135</v>
      </c>
      <c r="CH1097" s="2"/>
      <c r="CJ1097" s="2"/>
      <c r="CL1097" s="2"/>
      <c r="CN1097" s="2"/>
      <c r="CQ1097" s="2"/>
      <c r="CT1097" s="2"/>
      <c r="CW1097" s="2"/>
    </row>
    <row r="1098" spans="1:101" x14ac:dyDescent="0.25">
      <c r="A1098" s="1" t="s">
        <v>163</v>
      </c>
      <c r="B1098" s="75" t="s">
        <v>164</v>
      </c>
      <c r="C1098">
        <v>0</v>
      </c>
      <c r="D1098">
        <v>0</v>
      </c>
      <c r="E1098">
        <v>0</v>
      </c>
      <c r="F1098">
        <v>604324.56000000006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3.91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7490</v>
      </c>
      <c r="AW1098">
        <v>3350</v>
      </c>
      <c r="AX1098">
        <v>1219</v>
      </c>
      <c r="AY1098">
        <v>12059</v>
      </c>
      <c r="AZ1098">
        <v>4202</v>
      </c>
      <c r="BA1098">
        <v>7438</v>
      </c>
      <c r="BB1098">
        <v>1432</v>
      </c>
      <c r="BC1098">
        <v>13072</v>
      </c>
      <c r="BD1098">
        <v>9486</v>
      </c>
      <c r="BE1098">
        <v>9222</v>
      </c>
      <c r="BF1098">
        <v>1768</v>
      </c>
      <c r="BG1098">
        <v>20476</v>
      </c>
      <c r="BH1098">
        <v>0</v>
      </c>
      <c r="BI1098">
        <v>0</v>
      </c>
      <c r="BJ1098">
        <v>0</v>
      </c>
      <c r="BK1098">
        <v>0</v>
      </c>
      <c r="BL1098" s="2">
        <v>24.82</v>
      </c>
      <c r="BM1098" s="2">
        <v>42005.095138888886</v>
      </c>
      <c r="BN1098" s="2">
        <v>5.4</v>
      </c>
      <c r="BO1098" s="2">
        <v>42005.092361111114</v>
      </c>
      <c r="BP1098" s="2">
        <v>6.92</v>
      </c>
      <c r="BQ1098" s="2">
        <v>42005.092361111114</v>
      </c>
      <c r="BR1098" s="2">
        <v>11.07</v>
      </c>
      <c r="BS1098" s="2">
        <v>42005.092361111114</v>
      </c>
      <c r="BT1098">
        <v>0</v>
      </c>
      <c r="BU1098">
        <v>0</v>
      </c>
      <c r="BV1098" t="s">
        <v>135</v>
      </c>
      <c r="BW1098">
        <v>0</v>
      </c>
      <c r="BX1098">
        <v>0</v>
      </c>
      <c r="BY1098" t="s">
        <v>135</v>
      </c>
      <c r="BZ1098">
        <v>0</v>
      </c>
      <c r="CA1098">
        <v>0</v>
      </c>
      <c r="CB1098" t="s">
        <v>135</v>
      </c>
      <c r="CH1098" s="2"/>
      <c r="CJ1098" s="2"/>
      <c r="CL1098" s="2"/>
      <c r="CN1098" s="2"/>
      <c r="CQ1098" s="2"/>
      <c r="CT1098" s="2"/>
      <c r="CW1098" s="2"/>
    </row>
    <row r="1099" spans="1:101" x14ac:dyDescent="0.25">
      <c r="A1099" s="1" t="s">
        <v>163</v>
      </c>
      <c r="B1099" s="75" t="s">
        <v>164</v>
      </c>
      <c r="C1099">
        <v>0</v>
      </c>
      <c r="D1099">
        <v>0</v>
      </c>
      <c r="E1099">
        <v>0</v>
      </c>
      <c r="F1099">
        <v>604324.56000000006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3.91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7490</v>
      </c>
      <c r="AW1099">
        <v>3350</v>
      </c>
      <c r="AX1099">
        <v>1219</v>
      </c>
      <c r="AY1099">
        <v>12059</v>
      </c>
      <c r="AZ1099">
        <v>4202</v>
      </c>
      <c r="BA1099">
        <v>7438</v>
      </c>
      <c r="BB1099">
        <v>1432</v>
      </c>
      <c r="BC1099">
        <v>13072</v>
      </c>
      <c r="BD1099">
        <v>9486</v>
      </c>
      <c r="BE1099">
        <v>9222</v>
      </c>
      <c r="BF1099">
        <v>1768</v>
      </c>
      <c r="BG1099">
        <v>20476</v>
      </c>
      <c r="BH1099">
        <v>0</v>
      </c>
      <c r="BI1099">
        <v>0</v>
      </c>
      <c r="BJ1099">
        <v>0</v>
      </c>
      <c r="BK1099">
        <v>0</v>
      </c>
      <c r="BL1099" s="2">
        <v>24.82</v>
      </c>
      <c r="BM1099" s="2">
        <v>42005.095138888886</v>
      </c>
      <c r="BN1099" s="2">
        <v>5.4</v>
      </c>
      <c r="BO1099" s="2">
        <v>42005.092361111114</v>
      </c>
      <c r="BP1099" s="2">
        <v>6.92</v>
      </c>
      <c r="BQ1099" s="2">
        <v>42005.092361111114</v>
      </c>
      <c r="BR1099" s="2">
        <v>11.07</v>
      </c>
      <c r="BS1099" s="2">
        <v>42005.092361111114</v>
      </c>
      <c r="BT1099">
        <v>0</v>
      </c>
      <c r="BU1099">
        <v>0</v>
      </c>
      <c r="BV1099" t="s">
        <v>135</v>
      </c>
      <c r="BW1099">
        <v>0</v>
      </c>
      <c r="BX1099">
        <v>0</v>
      </c>
      <c r="BY1099" t="s">
        <v>135</v>
      </c>
      <c r="BZ1099">
        <v>0</v>
      </c>
      <c r="CA1099">
        <v>0</v>
      </c>
      <c r="CB1099" t="s">
        <v>135</v>
      </c>
      <c r="CH1099" s="2"/>
      <c r="CJ1099" s="2"/>
      <c r="CL1099" s="2"/>
      <c r="CN1099" s="2"/>
      <c r="CQ1099" s="2"/>
      <c r="CT1099" s="2"/>
      <c r="CW1099" s="2"/>
    </row>
    <row r="1100" spans="1:101" x14ac:dyDescent="0.25">
      <c r="A1100" s="1" t="s">
        <v>163</v>
      </c>
      <c r="B1100" s="75" t="s">
        <v>164</v>
      </c>
      <c r="C1100">
        <v>0</v>
      </c>
      <c r="D1100">
        <v>0</v>
      </c>
      <c r="E1100">
        <v>0</v>
      </c>
      <c r="F1100">
        <v>604324.56000000006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3.91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7490</v>
      </c>
      <c r="AW1100">
        <v>3350</v>
      </c>
      <c r="AX1100">
        <v>1219</v>
      </c>
      <c r="AY1100">
        <v>12059</v>
      </c>
      <c r="AZ1100">
        <v>4202</v>
      </c>
      <c r="BA1100">
        <v>7438</v>
      </c>
      <c r="BB1100">
        <v>1432</v>
      </c>
      <c r="BC1100">
        <v>13072</v>
      </c>
      <c r="BD1100">
        <v>9486</v>
      </c>
      <c r="BE1100">
        <v>9222</v>
      </c>
      <c r="BF1100">
        <v>1768</v>
      </c>
      <c r="BG1100">
        <v>20476</v>
      </c>
      <c r="BH1100">
        <v>0</v>
      </c>
      <c r="BI1100">
        <v>0</v>
      </c>
      <c r="BJ1100">
        <v>0</v>
      </c>
      <c r="BK1100">
        <v>0</v>
      </c>
      <c r="BL1100" s="2">
        <v>24.82</v>
      </c>
      <c r="BM1100" s="2">
        <v>42005.095138888886</v>
      </c>
      <c r="BN1100" s="2">
        <v>5.4</v>
      </c>
      <c r="BO1100" s="2">
        <v>42005.092361111114</v>
      </c>
      <c r="BP1100" s="2">
        <v>6.92</v>
      </c>
      <c r="BQ1100" s="2">
        <v>42005.092361111114</v>
      </c>
      <c r="BR1100" s="2">
        <v>11.07</v>
      </c>
      <c r="BS1100" s="2">
        <v>42005.092361111114</v>
      </c>
      <c r="BT1100">
        <v>0</v>
      </c>
      <c r="BU1100">
        <v>0</v>
      </c>
      <c r="BV1100" t="s">
        <v>135</v>
      </c>
      <c r="BW1100">
        <v>0</v>
      </c>
      <c r="BX1100">
        <v>0</v>
      </c>
      <c r="BY1100" t="s">
        <v>135</v>
      </c>
      <c r="BZ1100">
        <v>0</v>
      </c>
      <c r="CA1100">
        <v>0</v>
      </c>
      <c r="CB1100" t="s">
        <v>135</v>
      </c>
      <c r="CH1100" s="2"/>
      <c r="CJ1100" s="2"/>
      <c r="CL1100" s="2"/>
      <c r="CN1100" s="2"/>
      <c r="CQ1100" s="2"/>
      <c r="CT1100" s="2"/>
      <c r="CW1100" s="2"/>
    </row>
    <row r="1101" spans="1:101" x14ac:dyDescent="0.25">
      <c r="A1101" s="1" t="s">
        <v>163</v>
      </c>
      <c r="B1101" s="75" t="s">
        <v>164</v>
      </c>
      <c r="C1101">
        <v>0</v>
      </c>
      <c r="D1101">
        <v>0</v>
      </c>
      <c r="E1101">
        <v>0</v>
      </c>
      <c r="F1101">
        <v>604324.56000000006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3.91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7490</v>
      </c>
      <c r="AW1101">
        <v>3350</v>
      </c>
      <c r="AX1101">
        <v>1219</v>
      </c>
      <c r="AY1101">
        <v>12059</v>
      </c>
      <c r="AZ1101">
        <v>4202</v>
      </c>
      <c r="BA1101">
        <v>7438</v>
      </c>
      <c r="BB1101">
        <v>1432</v>
      </c>
      <c r="BC1101">
        <v>13072</v>
      </c>
      <c r="BD1101">
        <v>9486</v>
      </c>
      <c r="BE1101">
        <v>9222</v>
      </c>
      <c r="BF1101">
        <v>1768</v>
      </c>
      <c r="BG1101">
        <v>20476</v>
      </c>
      <c r="BH1101">
        <v>0</v>
      </c>
      <c r="BI1101">
        <v>0</v>
      </c>
      <c r="BJ1101">
        <v>0</v>
      </c>
      <c r="BK1101">
        <v>0</v>
      </c>
      <c r="BL1101" s="2">
        <v>24.82</v>
      </c>
      <c r="BM1101" s="2">
        <v>42005.095138888886</v>
      </c>
      <c r="BN1101" s="2">
        <v>5.4</v>
      </c>
      <c r="BO1101" s="2">
        <v>42005.092361111114</v>
      </c>
      <c r="BP1101" s="2">
        <v>6.92</v>
      </c>
      <c r="BQ1101" s="2">
        <v>42005.092361111114</v>
      </c>
      <c r="BR1101" s="2">
        <v>11.07</v>
      </c>
      <c r="BS1101" s="2">
        <v>42005.092361111114</v>
      </c>
      <c r="BT1101">
        <v>0</v>
      </c>
      <c r="BU1101">
        <v>0</v>
      </c>
      <c r="BV1101" t="s">
        <v>135</v>
      </c>
      <c r="BW1101">
        <v>0</v>
      </c>
      <c r="BX1101">
        <v>0</v>
      </c>
      <c r="BY1101" t="s">
        <v>135</v>
      </c>
      <c r="BZ1101">
        <v>0</v>
      </c>
      <c r="CA1101">
        <v>0</v>
      </c>
      <c r="CB1101" t="s">
        <v>135</v>
      </c>
      <c r="CH1101" s="2"/>
      <c r="CJ1101" s="2"/>
      <c r="CL1101" s="2"/>
      <c r="CN1101" s="2"/>
      <c r="CQ1101" s="2"/>
      <c r="CT1101" s="2"/>
      <c r="CW1101" s="2"/>
    </row>
    <row r="1102" spans="1:101" x14ac:dyDescent="0.25">
      <c r="A1102" s="1" t="s">
        <v>163</v>
      </c>
      <c r="B1102" s="75" t="s">
        <v>164</v>
      </c>
      <c r="C1102">
        <v>0</v>
      </c>
      <c r="D1102">
        <v>0</v>
      </c>
      <c r="E1102">
        <v>0</v>
      </c>
      <c r="F1102">
        <v>604324.56000000006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3.91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7490</v>
      </c>
      <c r="AW1102">
        <v>3350</v>
      </c>
      <c r="AX1102">
        <v>1219</v>
      </c>
      <c r="AY1102">
        <v>12059</v>
      </c>
      <c r="AZ1102">
        <v>4202</v>
      </c>
      <c r="BA1102">
        <v>7438</v>
      </c>
      <c r="BB1102">
        <v>1432</v>
      </c>
      <c r="BC1102">
        <v>13072</v>
      </c>
      <c r="BD1102">
        <v>9486</v>
      </c>
      <c r="BE1102">
        <v>9222</v>
      </c>
      <c r="BF1102">
        <v>1768</v>
      </c>
      <c r="BG1102">
        <v>20476</v>
      </c>
      <c r="BH1102">
        <v>0</v>
      </c>
      <c r="BI1102">
        <v>0</v>
      </c>
      <c r="BJ1102">
        <v>0</v>
      </c>
      <c r="BK1102">
        <v>0</v>
      </c>
      <c r="BL1102" s="2">
        <v>24.82</v>
      </c>
      <c r="BM1102" s="2">
        <v>42005.095138888886</v>
      </c>
      <c r="BN1102" s="2">
        <v>5.4</v>
      </c>
      <c r="BO1102" s="2">
        <v>42005.092361111114</v>
      </c>
      <c r="BP1102" s="2">
        <v>6.92</v>
      </c>
      <c r="BQ1102" s="2">
        <v>42005.092361111114</v>
      </c>
      <c r="BR1102" s="2">
        <v>11.07</v>
      </c>
      <c r="BS1102" s="2">
        <v>42005.092361111114</v>
      </c>
      <c r="BT1102">
        <v>0</v>
      </c>
      <c r="BU1102">
        <v>0</v>
      </c>
      <c r="BV1102" t="s">
        <v>135</v>
      </c>
      <c r="BW1102">
        <v>0</v>
      </c>
      <c r="BX1102">
        <v>0</v>
      </c>
      <c r="BY1102" t="s">
        <v>135</v>
      </c>
      <c r="BZ1102">
        <v>0</v>
      </c>
      <c r="CA1102">
        <v>0</v>
      </c>
      <c r="CB1102" t="s">
        <v>135</v>
      </c>
      <c r="CH1102" s="2"/>
      <c r="CJ1102" s="2"/>
      <c r="CL1102" s="2"/>
      <c r="CN1102" s="2"/>
      <c r="CQ1102" s="2"/>
      <c r="CT1102" s="2"/>
      <c r="CW1102" s="2"/>
    </row>
    <row r="1103" spans="1:101" x14ac:dyDescent="0.25">
      <c r="A1103" s="1" t="s">
        <v>163</v>
      </c>
      <c r="B1103" s="75" t="s">
        <v>164</v>
      </c>
      <c r="C1103">
        <v>0</v>
      </c>
      <c r="D1103">
        <v>0</v>
      </c>
      <c r="E1103">
        <v>0</v>
      </c>
      <c r="F1103">
        <v>604324.56000000006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3.91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7490</v>
      </c>
      <c r="AW1103">
        <v>3350</v>
      </c>
      <c r="AX1103">
        <v>1219</v>
      </c>
      <c r="AY1103">
        <v>12059</v>
      </c>
      <c r="AZ1103">
        <v>4202</v>
      </c>
      <c r="BA1103">
        <v>7438</v>
      </c>
      <c r="BB1103">
        <v>1432</v>
      </c>
      <c r="BC1103">
        <v>13072</v>
      </c>
      <c r="BD1103">
        <v>9486</v>
      </c>
      <c r="BE1103">
        <v>9222</v>
      </c>
      <c r="BF1103">
        <v>1768</v>
      </c>
      <c r="BG1103">
        <v>20476</v>
      </c>
      <c r="BH1103">
        <v>0</v>
      </c>
      <c r="BI1103">
        <v>0</v>
      </c>
      <c r="BJ1103">
        <v>0</v>
      </c>
      <c r="BK1103">
        <v>0</v>
      </c>
      <c r="BL1103" s="2">
        <v>24.82</v>
      </c>
      <c r="BM1103" s="2">
        <v>42005.095138888886</v>
      </c>
      <c r="BN1103" s="2">
        <v>5.4</v>
      </c>
      <c r="BO1103" s="2">
        <v>42005.092361111114</v>
      </c>
      <c r="BP1103" s="2">
        <v>6.92</v>
      </c>
      <c r="BQ1103" s="2">
        <v>42005.092361111114</v>
      </c>
      <c r="BR1103" s="2">
        <v>11.07</v>
      </c>
      <c r="BS1103" s="2">
        <v>42005.092361111114</v>
      </c>
      <c r="BT1103">
        <v>0</v>
      </c>
      <c r="BU1103">
        <v>0</v>
      </c>
      <c r="BV1103" t="s">
        <v>135</v>
      </c>
      <c r="BW1103">
        <v>0</v>
      </c>
      <c r="BX1103">
        <v>0</v>
      </c>
      <c r="BY1103" t="s">
        <v>135</v>
      </c>
      <c r="BZ1103">
        <v>0</v>
      </c>
      <c r="CA1103">
        <v>0</v>
      </c>
      <c r="CB1103" t="s">
        <v>135</v>
      </c>
      <c r="CH1103" s="2"/>
      <c r="CJ1103" s="2"/>
      <c r="CL1103" s="2"/>
      <c r="CN1103" s="2"/>
      <c r="CQ1103" s="2"/>
      <c r="CT1103" s="2"/>
      <c r="CW1103" s="2"/>
    </row>
    <row r="1104" spans="1:101" x14ac:dyDescent="0.25">
      <c r="A1104" s="1" t="s">
        <v>163</v>
      </c>
      <c r="B1104" s="75" t="s">
        <v>164</v>
      </c>
      <c r="C1104">
        <v>0</v>
      </c>
      <c r="D1104">
        <v>0</v>
      </c>
      <c r="E1104">
        <v>0</v>
      </c>
      <c r="F1104">
        <v>604324.56000000006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3.91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7490</v>
      </c>
      <c r="AW1104">
        <v>3350</v>
      </c>
      <c r="AX1104">
        <v>1219</v>
      </c>
      <c r="AY1104">
        <v>12059</v>
      </c>
      <c r="AZ1104">
        <v>4202</v>
      </c>
      <c r="BA1104">
        <v>7438</v>
      </c>
      <c r="BB1104">
        <v>1432</v>
      </c>
      <c r="BC1104">
        <v>13072</v>
      </c>
      <c r="BD1104">
        <v>9486</v>
      </c>
      <c r="BE1104">
        <v>9222</v>
      </c>
      <c r="BF1104">
        <v>1768</v>
      </c>
      <c r="BG1104">
        <v>20476</v>
      </c>
      <c r="BH1104">
        <v>0</v>
      </c>
      <c r="BI1104">
        <v>0</v>
      </c>
      <c r="BJ1104">
        <v>0</v>
      </c>
      <c r="BK1104">
        <v>0</v>
      </c>
      <c r="BL1104" s="2">
        <v>24.82</v>
      </c>
      <c r="BM1104" s="2">
        <v>42005.095138888886</v>
      </c>
      <c r="BN1104" s="2">
        <v>5.4</v>
      </c>
      <c r="BO1104" s="2">
        <v>42005.092361111114</v>
      </c>
      <c r="BP1104" s="2">
        <v>6.92</v>
      </c>
      <c r="BQ1104" s="2">
        <v>42005.092361111114</v>
      </c>
      <c r="BR1104" s="2">
        <v>11.07</v>
      </c>
      <c r="BS1104" s="2">
        <v>42005.092361111114</v>
      </c>
      <c r="BT1104">
        <v>0</v>
      </c>
      <c r="BU1104">
        <v>0</v>
      </c>
      <c r="BV1104" t="s">
        <v>135</v>
      </c>
      <c r="BW1104">
        <v>0</v>
      </c>
      <c r="BX1104">
        <v>0</v>
      </c>
      <c r="BY1104" t="s">
        <v>135</v>
      </c>
      <c r="BZ1104">
        <v>0</v>
      </c>
      <c r="CA1104">
        <v>0</v>
      </c>
      <c r="CB1104" t="s">
        <v>135</v>
      </c>
      <c r="CH1104" s="2"/>
      <c r="CJ1104" s="2"/>
      <c r="CL1104" s="2"/>
      <c r="CN1104" s="2"/>
      <c r="CQ1104" s="2"/>
      <c r="CT1104" s="2"/>
      <c r="CW1104" s="2"/>
    </row>
    <row r="1105" spans="1:101" x14ac:dyDescent="0.25">
      <c r="A1105" s="1" t="s">
        <v>163</v>
      </c>
      <c r="B1105" s="75" t="s">
        <v>164</v>
      </c>
      <c r="C1105">
        <v>0</v>
      </c>
      <c r="D1105">
        <v>0</v>
      </c>
      <c r="E1105">
        <v>0</v>
      </c>
      <c r="F1105">
        <v>604324.56000000006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3.91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7490</v>
      </c>
      <c r="AW1105">
        <v>3350</v>
      </c>
      <c r="AX1105">
        <v>1219</v>
      </c>
      <c r="AY1105">
        <v>12059</v>
      </c>
      <c r="AZ1105">
        <v>4202</v>
      </c>
      <c r="BA1105">
        <v>7438</v>
      </c>
      <c r="BB1105">
        <v>1432</v>
      </c>
      <c r="BC1105">
        <v>13072</v>
      </c>
      <c r="BD1105">
        <v>9486</v>
      </c>
      <c r="BE1105">
        <v>9222</v>
      </c>
      <c r="BF1105">
        <v>1768</v>
      </c>
      <c r="BG1105">
        <v>20476</v>
      </c>
      <c r="BH1105">
        <v>0</v>
      </c>
      <c r="BI1105">
        <v>0</v>
      </c>
      <c r="BJ1105">
        <v>0</v>
      </c>
      <c r="BK1105">
        <v>0</v>
      </c>
      <c r="BL1105" s="2">
        <v>24.82</v>
      </c>
      <c r="BM1105" s="2">
        <v>42005.095138888886</v>
      </c>
      <c r="BN1105" s="2">
        <v>5.4</v>
      </c>
      <c r="BO1105" s="2">
        <v>42005.092361111114</v>
      </c>
      <c r="BP1105" s="2">
        <v>6.92</v>
      </c>
      <c r="BQ1105" s="2">
        <v>42005.092361111114</v>
      </c>
      <c r="BR1105" s="2">
        <v>11.07</v>
      </c>
      <c r="BS1105" s="2">
        <v>42005.092361111114</v>
      </c>
      <c r="BT1105">
        <v>0</v>
      </c>
      <c r="BU1105">
        <v>0</v>
      </c>
      <c r="BV1105" t="s">
        <v>135</v>
      </c>
      <c r="BW1105">
        <v>0</v>
      </c>
      <c r="BX1105">
        <v>0</v>
      </c>
      <c r="BY1105" t="s">
        <v>135</v>
      </c>
      <c r="BZ1105">
        <v>0</v>
      </c>
      <c r="CA1105">
        <v>0</v>
      </c>
      <c r="CB1105" t="s">
        <v>135</v>
      </c>
      <c r="CH1105" s="2"/>
      <c r="CJ1105" s="2"/>
      <c r="CL1105" s="2"/>
      <c r="CN1105" s="2"/>
      <c r="CQ1105" s="2"/>
      <c r="CT1105" s="2"/>
      <c r="CW1105" s="2"/>
    </row>
    <row r="1106" spans="1:101" x14ac:dyDescent="0.25">
      <c r="A1106" s="1" t="s">
        <v>163</v>
      </c>
      <c r="B1106" s="75" t="s">
        <v>164</v>
      </c>
      <c r="C1106">
        <v>0</v>
      </c>
      <c r="D1106">
        <v>0</v>
      </c>
      <c r="E1106">
        <v>0</v>
      </c>
      <c r="F1106">
        <v>604324.56000000006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3.91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7490</v>
      </c>
      <c r="AW1106">
        <v>3350</v>
      </c>
      <c r="AX1106">
        <v>1219</v>
      </c>
      <c r="AY1106">
        <v>12059</v>
      </c>
      <c r="AZ1106">
        <v>4202</v>
      </c>
      <c r="BA1106">
        <v>7438</v>
      </c>
      <c r="BB1106">
        <v>1432</v>
      </c>
      <c r="BC1106">
        <v>13072</v>
      </c>
      <c r="BD1106">
        <v>9486</v>
      </c>
      <c r="BE1106">
        <v>9222</v>
      </c>
      <c r="BF1106">
        <v>1768</v>
      </c>
      <c r="BG1106">
        <v>20476</v>
      </c>
      <c r="BH1106">
        <v>0</v>
      </c>
      <c r="BI1106">
        <v>0</v>
      </c>
      <c r="BJ1106">
        <v>0</v>
      </c>
      <c r="BK1106">
        <v>0</v>
      </c>
      <c r="BL1106" s="2">
        <v>24.82</v>
      </c>
      <c r="BM1106" s="2">
        <v>42005.095138888886</v>
      </c>
      <c r="BN1106" s="2">
        <v>5.4</v>
      </c>
      <c r="BO1106" s="2">
        <v>42005.092361111114</v>
      </c>
      <c r="BP1106" s="2">
        <v>6.92</v>
      </c>
      <c r="BQ1106" s="2">
        <v>42005.092361111114</v>
      </c>
      <c r="BR1106" s="2">
        <v>11.07</v>
      </c>
      <c r="BS1106" s="2">
        <v>42005.092361111114</v>
      </c>
      <c r="BT1106">
        <v>0</v>
      </c>
      <c r="BU1106">
        <v>0</v>
      </c>
      <c r="BV1106" t="s">
        <v>135</v>
      </c>
      <c r="BW1106">
        <v>0</v>
      </c>
      <c r="BX1106">
        <v>0</v>
      </c>
      <c r="BY1106" t="s">
        <v>135</v>
      </c>
      <c r="BZ1106">
        <v>0</v>
      </c>
      <c r="CA1106">
        <v>0</v>
      </c>
      <c r="CB1106" t="s">
        <v>135</v>
      </c>
      <c r="CH1106" s="2"/>
      <c r="CJ1106" s="2"/>
      <c r="CL1106" s="2"/>
      <c r="CN1106" s="2"/>
      <c r="CQ1106" s="2"/>
      <c r="CT1106" s="2"/>
      <c r="CW1106" s="2"/>
    </row>
    <row r="1107" spans="1:101" x14ac:dyDescent="0.25">
      <c r="A1107" s="1" t="s">
        <v>163</v>
      </c>
      <c r="B1107" s="75" t="s">
        <v>164</v>
      </c>
      <c r="C1107">
        <v>0</v>
      </c>
      <c r="D1107">
        <v>0</v>
      </c>
      <c r="E1107">
        <v>0</v>
      </c>
      <c r="F1107">
        <v>604324.56000000006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3.91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7490</v>
      </c>
      <c r="AW1107">
        <v>3350</v>
      </c>
      <c r="AX1107">
        <v>1219</v>
      </c>
      <c r="AY1107">
        <v>12059</v>
      </c>
      <c r="AZ1107">
        <v>4202</v>
      </c>
      <c r="BA1107">
        <v>7438</v>
      </c>
      <c r="BB1107">
        <v>1432</v>
      </c>
      <c r="BC1107">
        <v>13072</v>
      </c>
      <c r="BD1107">
        <v>9486</v>
      </c>
      <c r="BE1107">
        <v>9222</v>
      </c>
      <c r="BF1107">
        <v>1768</v>
      </c>
      <c r="BG1107">
        <v>20476</v>
      </c>
      <c r="BH1107">
        <v>0</v>
      </c>
      <c r="BI1107">
        <v>0</v>
      </c>
      <c r="BJ1107">
        <v>0</v>
      </c>
      <c r="BK1107">
        <v>0</v>
      </c>
      <c r="BL1107" s="2">
        <v>24.82</v>
      </c>
      <c r="BM1107" s="2">
        <v>42005.095138888886</v>
      </c>
      <c r="BN1107" s="2">
        <v>5.4</v>
      </c>
      <c r="BO1107" s="2">
        <v>42005.092361111114</v>
      </c>
      <c r="BP1107" s="2">
        <v>6.92</v>
      </c>
      <c r="BQ1107" s="2">
        <v>42005.092361111114</v>
      </c>
      <c r="BR1107" s="2">
        <v>11.07</v>
      </c>
      <c r="BS1107" s="2">
        <v>42005.092361111114</v>
      </c>
      <c r="BT1107">
        <v>0</v>
      </c>
      <c r="BU1107">
        <v>0</v>
      </c>
      <c r="BV1107" t="s">
        <v>135</v>
      </c>
      <c r="BW1107">
        <v>0</v>
      </c>
      <c r="BX1107">
        <v>0</v>
      </c>
      <c r="BY1107" t="s">
        <v>135</v>
      </c>
      <c r="BZ1107">
        <v>0</v>
      </c>
      <c r="CA1107">
        <v>0</v>
      </c>
      <c r="CB1107" t="s">
        <v>135</v>
      </c>
      <c r="CH1107" s="2"/>
      <c r="CJ1107" s="2"/>
      <c r="CL1107" s="2"/>
      <c r="CN1107" s="2"/>
      <c r="CQ1107" s="2"/>
      <c r="CT1107" s="2"/>
      <c r="CW1107" s="2"/>
    </row>
    <row r="1108" spans="1:101" x14ac:dyDescent="0.25">
      <c r="A1108" s="1" t="s">
        <v>163</v>
      </c>
      <c r="B1108" s="75" t="s">
        <v>164</v>
      </c>
      <c r="C1108">
        <v>0</v>
      </c>
      <c r="D1108">
        <v>0</v>
      </c>
      <c r="E1108">
        <v>0</v>
      </c>
      <c r="F1108">
        <v>604324.56000000006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3.91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7490</v>
      </c>
      <c r="AW1108">
        <v>3350</v>
      </c>
      <c r="AX1108">
        <v>1219</v>
      </c>
      <c r="AY1108">
        <v>12059</v>
      </c>
      <c r="AZ1108">
        <v>4202</v>
      </c>
      <c r="BA1108">
        <v>7438</v>
      </c>
      <c r="BB1108">
        <v>1432</v>
      </c>
      <c r="BC1108">
        <v>13072</v>
      </c>
      <c r="BD1108">
        <v>9486</v>
      </c>
      <c r="BE1108">
        <v>9222</v>
      </c>
      <c r="BF1108">
        <v>1768</v>
      </c>
      <c r="BG1108">
        <v>20476</v>
      </c>
      <c r="BH1108">
        <v>0</v>
      </c>
      <c r="BI1108">
        <v>0</v>
      </c>
      <c r="BJ1108">
        <v>0</v>
      </c>
      <c r="BK1108">
        <v>0</v>
      </c>
      <c r="BL1108" s="2">
        <v>24.82</v>
      </c>
      <c r="BM1108" s="2">
        <v>42005.095138888886</v>
      </c>
      <c r="BN1108" s="2">
        <v>5.4</v>
      </c>
      <c r="BO1108" s="2">
        <v>42005.092361111114</v>
      </c>
      <c r="BP1108" s="2">
        <v>6.92</v>
      </c>
      <c r="BQ1108" s="2">
        <v>42005.092361111114</v>
      </c>
      <c r="BR1108" s="2">
        <v>11.07</v>
      </c>
      <c r="BS1108" s="2">
        <v>42005.092361111114</v>
      </c>
      <c r="BT1108">
        <v>0</v>
      </c>
      <c r="BU1108">
        <v>0</v>
      </c>
      <c r="BV1108" t="s">
        <v>135</v>
      </c>
      <c r="BW1108">
        <v>0</v>
      </c>
      <c r="BX1108">
        <v>0</v>
      </c>
      <c r="BY1108" t="s">
        <v>135</v>
      </c>
      <c r="BZ1108">
        <v>0</v>
      </c>
      <c r="CA1108">
        <v>0</v>
      </c>
      <c r="CB1108" t="s">
        <v>135</v>
      </c>
      <c r="CH1108" s="2"/>
      <c r="CJ1108" s="2"/>
      <c r="CL1108" s="2"/>
      <c r="CN1108" s="2"/>
      <c r="CQ1108" s="2"/>
      <c r="CT1108" s="2"/>
      <c r="CW1108" s="2"/>
    </row>
    <row r="1109" spans="1:101" x14ac:dyDescent="0.25">
      <c r="A1109" s="1" t="s">
        <v>163</v>
      </c>
      <c r="B1109" s="75" t="s">
        <v>164</v>
      </c>
      <c r="C1109">
        <v>0</v>
      </c>
      <c r="D1109">
        <v>0</v>
      </c>
      <c r="E1109">
        <v>0</v>
      </c>
      <c r="F1109">
        <v>604324.56000000006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3.91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7490</v>
      </c>
      <c r="AW1109">
        <v>3350</v>
      </c>
      <c r="AX1109">
        <v>1219</v>
      </c>
      <c r="AY1109">
        <v>12059</v>
      </c>
      <c r="AZ1109">
        <v>4202</v>
      </c>
      <c r="BA1109">
        <v>7438</v>
      </c>
      <c r="BB1109">
        <v>1432</v>
      </c>
      <c r="BC1109">
        <v>13072</v>
      </c>
      <c r="BD1109">
        <v>9486</v>
      </c>
      <c r="BE1109">
        <v>9222</v>
      </c>
      <c r="BF1109">
        <v>1768</v>
      </c>
      <c r="BG1109">
        <v>20476</v>
      </c>
      <c r="BH1109">
        <v>0</v>
      </c>
      <c r="BI1109">
        <v>0</v>
      </c>
      <c r="BJ1109">
        <v>0</v>
      </c>
      <c r="BK1109">
        <v>0</v>
      </c>
      <c r="BL1109" s="2">
        <v>24.82</v>
      </c>
      <c r="BM1109" s="2">
        <v>42005.095138888886</v>
      </c>
      <c r="BN1109" s="2">
        <v>5.4</v>
      </c>
      <c r="BO1109" s="2">
        <v>42005.092361111114</v>
      </c>
      <c r="BP1109" s="2">
        <v>6.92</v>
      </c>
      <c r="BQ1109" s="2">
        <v>42005.092361111114</v>
      </c>
      <c r="BR1109" s="2">
        <v>11.07</v>
      </c>
      <c r="BS1109" s="2">
        <v>42005.092361111114</v>
      </c>
      <c r="BT1109">
        <v>0</v>
      </c>
      <c r="BU1109">
        <v>0</v>
      </c>
      <c r="BV1109" t="s">
        <v>135</v>
      </c>
      <c r="BW1109">
        <v>0</v>
      </c>
      <c r="BX1109">
        <v>0</v>
      </c>
      <c r="BY1109" t="s">
        <v>135</v>
      </c>
      <c r="BZ1109">
        <v>0</v>
      </c>
      <c r="CA1109">
        <v>0</v>
      </c>
      <c r="CB1109" t="s">
        <v>135</v>
      </c>
      <c r="CH1109" s="2"/>
      <c r="CJ1109" s="2"/>
      <c r="CL1109" s="2"/>
      <c r="CN1109" s="2"/>
      <c r="CQ1109" s="2"/>
      <c r="CT1109" s="2"/>
      <c r="CW1109" s="2"/>
    </row>
    <row r="1110" spans="1:101" x14ac:dyDescent="0.25">
      <c r="A1110" s="1" t="s">
        <v>163</v>
      </c>
      <c r="B1110" s="75" t="s">
        <v>164</v>
      </c>
      <c r="C1110">
        <v>0</v>
      </c>
      <c r="D1110">
        <v>0</v>
      </c>
      <c r="E1110">
        <v>0</v>
      </c>
      <c r="F1110">
        <v>604324.56000000006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3.91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7490</v>
      </c>
      <c r="AW1110">
        <v>3350</v>
      </c>
      <c r="AX1110">
        <v>1219</v>
      </c>
      <c r="AY1110">
        <v>12059</v>
      </c>
      <c r="AZ1110">
        <v>4202</v>
      </c>
      <c r="BA1110">
        <v>7438</v>
      </c>
      <c r="BB1110">
        <v>1432</v>
      </c>
      <c r="BC1110">
        <v>13072</v>
      </c>
      <c r="BD1110">
        <v>9486</v>
      </c>
      <c r="BE1110">
        <v>9222</v>
      </c>
      <c r="BF1110">
        <v>1768</v>
      </c>
      <c r="BG1110">
        <v>20476</v>
      </c>
      <c r="BH1110">
        <v>0</v>
      </c>
      <c r="BI1110">
        <v>0</v>
      </c>
      <c r="BJ1110">
        <v>0</v>
      </c>
      <c r="BK1110">
        <v>0</v>
      </c>
      <c r="BL1110" s="2">
        <v>24.82</v>
      </c>
      <c r="BM1110" s="2">
        <v>42005.095138888886</v>
      </c>
      <c r="BN1110" s="2">
        <v>5.4</v>
      </c>
      <c r="BO1110" s="2">
        <v>42005.092361111114</v>
      </c>
      <c r="BP1110" s="2">
        <v>6.92</v>
      </c>
      <c r="BQ1110" s="2">
        <v>42005.092361111114</v>
      </c>
      <c r="BR1110" s="2">
        <v>11.07</v>
      </c>
      <c r="BS1110" s="2">
        <v>42005.092361111114</v>
      </c>
      <c r="BT1110">
        <v>0</v>
      </c>
      <c r="BU1110">
        <v>0</v>
      </c>
      <c r="BV1110" t="s">
        <v>135</v>
      </c>
      <c r="BW1110">
        <v>0</v>
      </c>
      <c r="BX1110">
        <v>0</v>
      </c>
      <c r="BY1110" t="s">
        <v>135</v>
      </c>
      <c r="BZ1110">
        <v>0</v>
      </c>
      <c r="CA1110">
        <v>0</v>
      </c>
      <c r="CB1110" t="s">
        <v>135</v>
      </c>
      <c r="CH1110" s="2"/>
      <c r="CJ1110" s="2"/>
      <c r="CL1110" s="2"/>
      <c r="CN1110" s="2"/>
      <c r="CQ1110" s="2"/>
      <c r="CT1110" s="2"/>
      <c r="CW1110" s="2"/>
    </row>
    <row r="1111" spans="1:101" x14ac:dyDescent="0.25">
      <c r="A1111" s="1" t="s">
        <v>163</v>
      </c>
      <c r="B1111" s="75" t="s">
        <v>164</v>
      </c>
      <c r="C1111">
        <v>0</v>
      </c>
      <c r="D1111">
        <v>0</v>
      </c>
      <c r="E1111">
        <v>0</v>
      </c>
      <c r="F1111">
        <v>604324.56000000006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3.91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7490</v>
      </c>
      <c r="AW1111">
        <v>3350</v>
      </c>
      <c r="AX1111">
        <v>1219</v>
      </c>
      <c r="AY1111">
        <v>12059</v>
      </c>
      <c r="AZ1111">
        <v>4202</v>
      </c>
      <c r="BA1111">
        <v>7438</v>
      </c>
      <c r="BB1111">
        <v>1432</v>
      </c>
      <c r="BC1111">
        <v>13072</v>
      </c>
      <c r="BD1111">
        <v>9486</v>
      </c>
      <c r="BE1111">
        <v>9222</v>
      </c>
      <c r="BF1111">
        <v>1768</v>
      </c>
      <c r="BG1111">
        <v>20476</v>
      </c>
      <c r="BH1111">
        <v>0</v>
      </c>
      <c r="BI1111">
        <v>0</v>
      </c>
      <c r="BJ1111">
        <v>0</v>
      </c>
      <c r="BK1111">
        <v>0</v>
      </c>
      <c r="BL1111" s="2">
        <v>24.82</v>
      </c>
      <c r="BM1111" s="2">
        <v>42005.095138888886</v>
      </c>
      <c r="BN1111" s="2">
        <v>5.4</v>
      </c>
      <c r="BO1111" s="2">
        <v>42005.092361111114</v>
      </c>
      <c r="BP1111" s="2">
        <v>6.92</v>
      </c>
      <c r="BQ1111" s="2">
        <v>42005.092361111114</v>
      </c>
      <c r="BR1111" s="2">
        <v>11.07</v>
      </c>
      <c r="BS1111" s="2">
        <v>42005.092361111114</v>
      </c>
      <c r="BT1111">
        <v>0</v>
      </c>
      <c r="BU1111">
        <v>0</v>
      </c>
      <c r="BV1111" t="s">
        <v>135</v>
      </c>
      <c r="BW1111">
        <v>0</v>
      </c>
      <c r="BX1111">
        <v>0</v>
      </c>
      <c r="BY1111" t="s">
        <v>135</v>
      </c>
      <c r="BZ1111">
        <v>0</v>
      </c>
      <c r="CA1111">
        <v>0</v>
      </c>
      <c r="CB1111" t="s">
        <v>135</v>
      </c>
      <c r="CH1111" s="2"/>
      <c r="CJ1111" s="2"/>
      <c r="CL1111" s="2"/>
      <c r="CN1111" s="2"/>
      <c r="CQ1111" s="2"/>
      <c r="CT1111" s="2"/>
      <c r="CW1111" s="2"/>
    </row>
    <row r="1112" spans="1:101" x14ac:dyDescent="0.25">
      <c r="A1112" s="1" t="s">
        <v>163</v>
      </c>
      <c r="B1112" s="75" t="s">
        <v>164</v>
      </c>
      <c r="C1112">
        <v>0</v>
      </c>
      <c r="D1112">
        <v>0</v>
      </c>
      <c r="E1112">
        <v>0</v>
      </c>
      <c r="F1112">
        <v>604324.56000000006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3.91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7490</v>
      </c>
      <c r="AW1112">
        <v>3350</v>
      </c>
      <c r="AX1112">
        <v>1219</v>
      </c>
      <c r="AY1112">
        <v>12059</v>
      </c>
      <c r="AZ1112">
        <v>4202</v>
      </c>
      <c r="BA1112">
        <v>7438</v>
      </c>
      <c r="BB1112">
        <v>1432</v>
      </c>
      <c r="BC1112">
        <v>13072</v>
      </c>
      <c r="BD1112">
        <v>9486</v>
      </c>
      <c r="BE1112">
        <v>9222</v>
      </c>
      <c r="BF1112">
        <v>1768</v>
      </c>
      <c r="BG1112">
        <v>20476</v>
      </c>
      <c r="BH1112">
        <v>0</v>
      </c>
      <c r="BI1112">
        <v>0</v>
      </c>
      <c r="BJ1112">
        <v>0</v>
      </c>
      <c r="BK1112">
        <v>0</v>
      </c>
      <c r="BL1112" s="2">
        <v>24.82</v>
      </c>
      <c r="BM1112" s="2">
        <v>42005.095138888886</v>
      </c>
      <c r="BN1112" s="2">
        <v>5.4</v>
      </c>
      <c r="BO1112" s="2">
        <v>42005.092361111114</v>
      </c>
      <c r="BP1112" s="2">
        <v>6.92</v>
      </c>
      <c r="BQ1112" s="2">
        <v>42005.092361111114</v>
      </c>
      <c r="BR1112" s="2">
        <v>11.07</v>
      </c>
      <c r="BS1112" s="2">
        <v>42005.092361111114</v>
      </c>
      <c r="BT1112">
        <v>0</v>
      </c>
      <c r="BU1112">
        <v>0</v>
      </c>
      <c r="BV1112" t="s">
        <v>135</v>
      </c>
      <c r="BW1112">
        <v>0</v>
      </c>
      <c r="BX1112">
        <v>0</v>
      </c>
      <c r="BY1112" t="s">
        <v>135</v>
      </c>
      <c r="BZ1112">
        <v>0</v>
      </c>
      <c r="CA1112">
        <v>0</v>
      </c>
      <c r="CB1112" t="s">
        <v>135</v>
      </c>
      <c r="CH1112" s="2"/>
      <c r="CJ1112" s="2"/>
      <c r="CL1112" s="2"/>
      <c r="CN1112" s="2"/>
      <c r="CQ1112" s="2"/>
      <c r="CT1112" s="2"/>
      <c r="CW1112" s="2"/>
    </row>
    <row r="1113" spans="1:101" x14ac:dyDescent="0.25">
      <c r="A1113" s="1" t="s">
        <v>163</v>
      </c>
      <c r="B1113" s="75" t="s">
        <v>164</v>
      </c>
      <c r="C1113">
        <v>0</v>
      </c>
      <c r="D1113">
        <v>0</v>
      </c>
      <c r="E1113">
        <v>0</v>
      </c>
      <c r="F1113">
        <v>604324.56000000006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3.91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7490</v>
      </c>
      <c r="AW1113">
        <v>3350</v>
      </c>
      <c r="AX1113">
        <v>1219</v>
      </c>
      <c r="AY1113">
        <v>12059</v>
      </c>
      <c r="AZ1113">
        <v>4202</v>
      </c>
      <c r="BA1113">
        <v>7438</v>
      </c>
      <c r="BB1113">
        <v>1432</v>
      </c>
      <c r="BC1113">
        <v>13072</v>
      </c>
      <c r="BD1113">
        <v>9486</v>
      </c>
      <c r="BE1113">
        <v>9222</v>
      </c>
      <c r="BF1113">
        <v>1768</v>
      </c>
      <c r="BG1113">
        <v>20476</v>
      </c>
      <c r="BH1113">
        <v>0</v>
      </c>
      <c r="BI1113">
        <v>0</v>
      </c>
      <c r="BJ1113">
        <v>0</v>
      </c>
      <c r="BK1113">
        <v>0</v>
      </c>
      <c r="BL1113" s="2">
        <v>24.82</v>
      </c>
      <c r="BM1113" s="2">
        <v>42005.095138888886</v>
      </c>
      <c r="BN1113" s="2">
        <v>5.4</v>
      </c>
      <c r="BO1113" s="2">
        <v>42005.092361111114</v>
      </c>
      <c r="BP1113" s="2">
        <v>6.92</v>
      </c>
      <c r="BQ1113" s="2">
        <v>42005.092361111114</v>
      </c>
      <c r="BR1113" s="2">
        <v>11.07</v>
      </c>
      <c r="BS1113" s="2">
        <v>42005.092361111114</v>
      </c>
      <c r="BT1113">
        <v>0</v>
      </c>
      <c r="BU1113">
        <v>0</v>
      </c>
      <c r="BV1113" t="s">
        <v>135</v>
      </c>
      <c r="BW1113">
        <v>0</v>
      </c>
      <c r="BX1113">
        <v>0</v>
      </c>
      <c r="BY1113" t="s">
        <v>135</v>
      </c>
      <c r="BZ1113">
        <v>0</v>
      </c>
      <c r="CA1113">
        <v>0</v>
      </c>
      <c r="CB1113" t="s">
        <v>135</v>
      </c>
      <c r="CH1113" s="2"/>
      <c r="CJ1113" s="2"/>
      <c r="CL1113" s="2"/>
      <c r="CN1113" s="2"/>
      <c r="CQ1113" s="2"/>
      <c r="CT1113" s="2"/>
      <c r="CW1113" s="2"/>
    </row>
    <row r="1114" spans="1:101" x14ac:dyDescent="0.25">
      <c r="A1114" s="1" t="s">
        <v>163</v>
      </c>
      <c r="B1114" s="75" t="s">
        <v>164</v>
      </c>
      <c r="C1114">
        <v>0</v>
      </c>
      <c r="D1114">
        <v>0</v>
      </c>
      <c r="E1114">
        <v>0</v>
      </c>
      <c r="F1114">
        <v>604324.56000000006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3.91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7490</v>
      </c>
      <c r="AW1114">
        <v>3350</v>
      </c>
      <c r="AX1114">
        <v>1219</v>
      </c>
      <c r="AY1114">
        <v>12059</v>
      </c>
      <c r="AZ1114">
        <v>4202</v>
      </c>
      <c r="BA1114">
        <v>7438</v>
      </c>
      <c r="BB1114">
        <v>1432</v>
      </c>
      <c r="BC1114">
        <v>13072</v>
      </c>
      <c r="BD1114">
        <v>9486</v>
      </c>
      <c r="BE1114">
        <v>9222</v>
      </c>
      <c r="BF1114">
        <v>1768</v>
      </c>
      <c r="BG1114">
        <v>20476</v>
      </c>
      <c r="BH1114">
        <v>0</v>
      </c>
      <c r="BI1114">
        <v>0</v>
      </c>
      <c r="BJ1114">
        <v>0</v>
      </c>
      <c r="BK1114">
        <v>0</v>
      </c>
      <c r="BL1114" s="2">
        <v>24.82</v>
      </c>
      <c r="BM1114" s="2">
        <v>42005.095138888886</v>
      </c>
      <c r="BN1114" s="2">
        <v>5.4</v>
      </c>
      <c r="BO1114" s="2">
        <v>42005.092361111114</v>
      </c>
      <c r="BP1114" s="2">
        <v>6.92</v>
      </c>
      <c r="BQ1114" s="2">
        <v>42005.092361111114</v>
      </c>
      <c r="BR1114" s="2">
        <v>11.07</v>
      </c>
      <c r="BS1114" s="2">
        <v>42005.092361111114</v>
      </c>
      <c r="BT1114">
        <v>0</v>
      </c>
      <c r="BU1114">
        <v>0</v>
      </c>
      <c r="BV1114" t="s">
        <v>135</v>
      </c>
      <c r="BW1114">
        <v>0</v>
      </c>
      <c r="BX1114">
        <v>0</v>
      </c>
      <c r="BY1114" t="s">
        <v>135</v>
      </c>
      <c r="BZ1114">
        <v>0</v>
      </c>
      <c r="CA1114">
        <v>0</v>
      </c>
      <c r="CB1114" t="s">
        <v>135</v>
      </c>
      <c r="CH1114" s="2"/>
      <c r="CJ1114" s="2"/>
      <c r="CL1114" s="2"/>
      <c r="CN1114" s="2"/>
      <c r="CQ1114" s="2"/>
      <c r="CT1114" s="2"/>
      <c r="CW1114" s="2"/>
    </row>
    <row r="1115" spans="1:101" x14ac:dyDescent="0.25">
      <c r="A1115" s="1" t="s">
        <v>163</v>
      </c>
      <c r="B1115" s="75" t="s">
        <v>164</v>
      </c>
      <c r="C1115">
        <v>0</v>
      </c>
      <c r="D1115">
        <v>0</v>
      </c>
      <c r="E1115">
        <v>0</v>
      </c>
      <c r="F1115">
        <v>604324.56000000006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3.91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7490</v>
      </c>
      <c r="AW1115">
        <v>3350</v>
      </c>
      <c r="AX1115">
        <v>1219</v>
      </c>
      <c r="AY1115">
        <v>12059</v>
      </c>
      <c r="AZ1115">
        <v>4202</v>
      </c>
      <c r="BA1115">
        <v>7438</v>
      </c>
      <c r="BB1115">
        <v>1432</v>
      </c>
      <c r="BC1115">
        <v>13072</v>
      </c>
      <c r="BD1115">
        <v>9486</v>
      </c>
      <c r="BE1115">
        <v>9222</v>
      </c>
      <c r="BF1115">
        <v>1768</v>
      </c>
      <c r="BG1115">
        <v>20476</v>
      </c>
      <c r="BH1115">
        <v>0</v>
      </c>
      <c r="BI1115">
        <v>0</v>
      </c>
      <c r="BJ1115">
        <v>0</v>
      </c>
      <c r="BK1115">
        <v>0</v>
      </c>
      <c r="BL1115" s="2">
        <v>24.82</v>
      </c>
      <c r="BM1115" s="2">
        <v>42005.095138888886</v>
      </c>
      <c r="BN1115" s="2">
        <v>5.4</v>
      </c>
      <c r="BO1115" s="2">
        <v>42005.092361111114</v>
      </c>
      <c r="BP1115" s="2">
        <v>6.92</v>
      </c>
      <c r="BQ1115" s="2">
        <v>42005.092361111114</v>
      </c>
      <c r="BR1115" s="2">
        <v>11.07</v>
      </c>
      <c r="BS1115" s="2">
        <v>42005.092361111114</v>
      </c>
      <c r="BT1115">
        <v>0</v>
      </c>
      <c r="BU1115">
        <v>0</v>
      </c>
      <c r="BV1115" t="s">
        <v>135</v>
      </c>
      <c r="BW1115">
        <v>0</v>
      </c>
      <c r="BX1115">
        <v>0</v>
      </c>
      <c r="BY1115" t="s">
        <v>135</v>
      </c>
      <c r="BZ1115">
        <v>0</v>
      </c>
      <c r="CA1115">
        <v>0</v>
      </c>
      <c r="CB1115" t="s">
        <v>135</v>
      </c>
      <c r="CH1115" s="2"/>
      <c r="CJ1115" s="2"/>
      <c r="CL1115" s="2"/>
      <c r="CN1115" s="2"/>
      <c r="CQ1115" s="2"/>
      <c r="CT1115" s="2"/>
      <c r="CW1115" s="2"/>
    </row>
    <row r="1116" spans="1:101" x14ac:dyDescent="0.25">
      <c r="A1116" s="1" t="s">
        <v>163</v>
      </c>
      <c r="B1116" s="75" t="s">
        <v>164</v>
      </c>
      <c r="C1116">
        <v>0</v>
      </c>
      <c r="D1116">
        <v>0</v>
      </c>
      <c r="E1116">
        <v>0</v>
      </c>
      <c r="F1116">
        <v>604324.56000000006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3.91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7490</v>
      </c>
      <c r="AW1116">
        <v>3350</v>
      </c>
      <c r="AX1116">
        <v>1219</v>
      </c>
      <c r="AY1116">
        <v>12059</v>
      </c>
      <c r="AZ1116">
        <v>4202</v>
      </c>
      <c r="BA1116">
        <v>7438</v>
      </c>
      <c r="BB1116">
        <v>1432</v>
      </c>
      <c r="BC1116">
        <v>13072</v>
      </c>
      <c r="BD1116">
        <v>9486</v>
      </c>
      <c r="BE1116">
        <v>9222</v>
      </c>
      <c r="BF1116">
        <v>1768</v>
      </c>
      <c r="BG1116">
        <v>20476</v>
      </c>
      <c r="BH1116">
        <v>0</v>
      </c>
      <c r="BI1116">
        <v>0</v>
      </c>
      <c r="BJ1116">
        <v>0</v>
      </c>
      <c r="BK1116">
        <v>0</v>
      </c>
      <c r="BL1116" s="2">
        <v>24.82</v>
      </c>
      <c r="BM1116" s="2">
        <v>42005.095138888886</v>
      </c>
      <c r="BN1116" s="2">
        <v>5.4</v>
      </c>
      <c r="BO1116" s="2">
        <v>42005.092361111114</v>
      </c>
      <c r="BP1116" s="2">
        <v>6.92</v>
      </c>
      <c r="BQ1116" s="2">
        <v>42005.092361111114</v>
      </c>
      <c r="BR1116" s="2">
        <v>11.07</v>
      </c>
      <c r="BS1116" s="2">
        <v>42005.092361111114</v>
      </c>
      <c r="BT1116">
        <v>0</v>
      </c>
      <c r="BU1116">
        <v>0</v>
      </c>
      <c r="BV1116" t="s">
        <v>135</v>
      </c>
      <c r="BW1116">
        <v>0</v>
      </c>
      <c r="BX1116">
        <v>0</v>
      </c>
      <c r="BY1116" t="s">
        <v>135</v>
      </c>
      <c r="BZ1116">
        <v>0</v>
      </c>
      <c r="CA1116">
        <v>0</v>
      </c>
      <c r="CB1116" t="s">
        <v>135</v>
      </c>
      <c r="CH1116" s="2"/>
      <c r="CJ1116" s="2"/>
      <c r="CL1116" s="2"/>
      <c r="CN1116" s="2"/>
      <c r="CQ1116" s="2"/>
      <c r="CT1116" s="2"/>
      <c r="CW1116" s="2"/>
    </row>
    <row r="1117" spans="1:101" x14ac:dyDescent="0.25">
      <c r="A1117" s="1" t="s">
        <v>163</v>
      </c>
      <c r="B1117" s="75" t="s">
        <v>164</v>
      </c>
      <c r="C1117">
        <v>0</v>
      </c>
      <c r="D1117">
        <v>0</v>
      </c>
      <c r="E1117">
        <v>0</v>
      </c>
      <c r="F1117">
        <v>604324.56000000006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3.91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7490</v>
      </c>
      <c r="AW1117">
        <v>3350</v>
      </c>
      <c r="AX1117">
        <v>1219</v>
      </c>
      <c r="AY1117">
        <v>12059</v>
      </c>
      <c r="AZ1117">
        <v>4202</v>
      </c>
      <c r="BA1117">
        <v>7438</v>
      </c>
      <c r="BB1117">
        <v>1432</v>
      </c>
      <c r="BC1117">
        <v>13072</v>
      </c>
      <c r="BD1117">
        <v>9486</v>
      </c>
      <c r="BE1117">
        <v>9222</v>
      </c>
      <c r="BF1117">
        <v>1768</v>
      </c>
      <c r="BG1117">
        <v>20476</v>
      </c>
      <c r="BH1117">
        <v>0</v>
      </c>
      <c r="BI1117">
        <v>0</v>
      </c>
      <c r="BJ1117">
        <v>0</v>
      </c>
      <c r="BK1117">
        <v>0</v>
      </c>
      <c r="BL1117" s="2">
        <v>24.82</v>
      </c>
      <c r="BM1117" s="2">
        <v>42005.095138888886</v>
      </c>
      <c r="BN1117" s="2">
        <v>5.4</v>
      </c>
      <c r="BO1117" s="2">
        <v>42005.092361111114</v>
      </c>
      <c r="BP1117" s="2">
        <v>6.92</v>
      </c>
      <c r="BQ1117" s="2">
        <v>42005.092361111114</v>
      </c>
      <c r="BR1117" s="2">
        <v>11.07</v>
      </c>
      <c r="BS1117" s="2">
        <v>42005.092361111114</v>
      </c>
      <c r="BT1117">
        <v>0</v>
      </c>
      <c r="BU1117">
        <v>0</v>
      </c>
      <c r="BV1117" t="s">
        <v>135</v>
      </c>
      <c r="BW1117">
        <v>0</v>
      </c>
      <c r="BX1117">
        <v>0</v>
      </c>
      <c r="BY1117" t="s">
        <v>135</v>
      </c>
      <c r="BZ1117">
        <v>0</v>
      </c>
      <c r="CA1117">
        <v>0</v>
      </c>
      <c r="CB1117" t="s">
        <v>135</v>
      </c>
      <c r="CH1117" s="2"/>
      <c r="CJ1117" s="2"/>
      <c r="CL1117" s="2"/>
      <c r="CN1117" s="2"/>
      <c r="CQ1117" s="2"/>
      <c r="CT1117" s="2"/>
      <c r="CW1117" s="2"/>
    </row>
    <row r="1118" spans="1:101" x14ac:dyDescent="0.25">
      <c r="A1118" s="1" t="s">
        <v>163</v>
      </c>
      <c r="B1118" s="75" t="s">
        <v>164</v>
      </c>
      <c r="C1118">
        <v>0</v>
      </c>
      <c r="D1118">
        <v>0</v>
      </c>
      <c r="E1118">
        <v>0</v>
      </c>
      <c r="F1118">
        <v>604324.56000000006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3.91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7490</v>
      </c>
      <c r="AW1118">
        <v>3350</v>
      </c>
      <c r="AX1118">
        <v>1219</v>
      </c>
      <c r="AY1118">
        <v>12059</v>
      </c>
      <c r="AZ1118">
        <v>4202</v>
      </c>
      <c r="BA1118">
        <v>7438</v>
      </c>
      <c r="BB1118">
        <v>1432</v>
      </c>
      <c r="BC1118">
        <v>13072</v>
      </c>
      <c r="BD1118">
        <v>9486</v>
      </c>
      <c r="BE1118">
        <v>9222</v>
      </c>
      <c r="BF1118">
        <v>1768</v>
      </c>
      <c r="BG1118">
        <v>20476</v>
      </c>
      <c r="BH1118">
        <v>0</v>
      </c>
      <c r="BI1118">
        <v>0</v>
      </c>
      <c r="BJ1118">
        <v>0</v>
      </c>
      <c r="BK1118">
        <v>0</v>
      </c>
      <c r="BL1118" s="2">
        <v>24.82</v>
      </c>
      <c r="BM1118" s="2">
        <v>42005.095138888886</v>
      </c>
      <c r="BN1118" s="2">
        <v>5.4</v>
      </c>
      <c r="BO1118" s="2">
        <v>42005.092361111114</v>
      </c>
      <c r="BP1118" s="2">
        <v>6.92</v>
      </c>
      <c r="BQ1118" s="2">
        <v>42005.092361111114</v>
      </c>
      <c r="BR1118" s="2">
        <v>11.07</v>
      </c>
      <c r="BS1118" s="2">
        <v>42005.092361111114</v>
      </c>
      <c r="BT1118">
        <v>0</v>
      </c>
      <c r="BU1118">
        <v>0</v>
      </c>
      <c r="BV1118" t="s">
        <v>135</v>
      </c>
      <c r="BW1118">
        <v>0</v>
      </c>
      <c r="BX1118">
        <v>0</v>
      </c>
      <c r="BY1118" t="s">
        <v>135</v>
      </c>
      <c r="BZ1118">
        <v>0</v>
      </c>
      <c r="CA1118">
        <v>0</v>
      </c>
      <c r="CB1118" t="s">
        <v>135</v>
      </c>
      <c r="CH1118" s="2"/>
      <c r="CJ1118" s="2"/>
      <c r="CL1118" s="2"/>
      <c r="CN1118" s="2"/>
      <c r="CQ1118" s="2"/>
      <c r="CT1118" s="2"/>
      <c r="CW1118" s="2"/>
    </row>
    <row r="1119" spans="1:101" x14ac:dyDescent="0.25">
      <c r="A1119" s="1" t="s">
        <v>163</v>
      </c>
      <c r="B1119" s="75" t="s">
        <v>164</v>
      </c>
      <c r="C1119">
        <v>0</v>
      </c>
      <c r="D1119">
        <v>0</v>
      </c>
      <c r="E1119">
        <v>0</v>
      </c>
      <c r="F1119">
        <v>604324.56000000006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3.91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7490</v>
      </c>
      <c r="AW1119">
        <v>3350</v>
      </c>
      <c r="AX1119">
        <v>1219</v>
      </c>
      <c r="AY1119">
        <v>12059</v>
      </c>
      <c r="AZ1119">
        <v>4202</v>
      </c>
      <c r="BA1119">
        <v>7438</v>
      </c>
      <c r="BB1119">
        <v>1432</v>
      </c>
      <c r="BC1119">
        <v>13072</v>
      </c>
      <c r="BD1119">
        <v>9486</v>
      </c>
      <c r="BE1119">
        <v>9222</v>
      </c>
      <c r="BF1119">
        <v>1768</v>
      </c>
      <c r="BG1119">
        <v>20476</v>
      </c>
      <c r="BH1119">
        <v>0</v>
      </c>
      <c r="BI1119">
        <v>0</v>
      </c>
      <c r="BJ1119">
        <v>0</v>
      </c>
      <c r="BK1119">
        <v>0</v>
      </c>
      <c r="BL1119" s="2">
        <v>24.82</v>
      </c>
      <c r="BM1119" s="2">
        <v>42005.095138888886</v>
      </c>
      <c r="BN1119" s="2">
        <v>5.4</v>
      </c>
      <c r="BO1119" s="2">
        <v>42005.092361111114</v>
      </c>
      <c r="BP1119" s="2">
        <v>6.92</v>
      </c>
      <c r="BQ1119" s="2">
        <v>42005.092361111114</v>
      </c>
      <c r="BR1119" s="2">
        <v>11.07</v>
      </c>
      <c r="BS1119" s="2">
        <v>42005.092361111114</v>
      </c>
      <c r="BT1119">
        <v>0</v>
      </c>
      <c r="BU1119">
        <v>0</v>
      </c>
      <c r="BV1119" t="s">
        <v>135</v>
      </c>
      <c r="BW1119">
        <v>0</v>
      </c>
      <c r="BX1119">
        <v>0</v>
      </c>
      <c r="BY1119" t="s">
        <v>135</v>
      </c>
      <c r="BZ1119">
        <v>0</v>
      </c>
      <c r="CA1119">
        <v>0</v>
      </c>
      <c r="CB1119" t="s">
        <v>135</v>
      </c>
      <c r="CH1119" s="2"/>
      <c r="CJ1119" s="2"/>
      <c r="CL1119" s="2"/>
      <c r="CN1119" s="2"/>
      <c r="CQ1119" s="2"/>
      <c r="CT1119" s="2"/>
      <c r="CW1119" s="2"/>
    </row>
    <row r="1120" spans="1:101" x14ac:dyDescent="0.25">
      <c r="A1120" s="1" t="s">
        <v>163</v>
      </c>
      <c r="B1120" s="75" t="s">
        <v>164</v>
      </c>
      <c r="C1120">
        <v>0</v>
      </c>
      <c r="D1120">
        <v>0</v>
      </c>
      <c r="E1120">
        <v>0</v>
      </c>
      <c r="F1120">
        <v>604324.56000000006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3.91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7490</v>
      </c>
      <c r="AW1120">
        <v>3350</v>
      </c>
      <c r="AX1120">
        <v>1219</v>
      </c>
      <c r="AY1120">
        <v>12059</v>
      </c>
      <c r="AZ1120">
        <v>4202</v>
      </c>
      <c r="BA1120">
        <v>7438</v>
      </c>
      <c r="BB1120">
        <v>1432</v>
      </c>
      <c r="BC1120">
        <v>13072</v>
      </c>
      <c r="BD1120">
        <v>9486</v>
      </c>
      <c r="BE1120">
        <v>9222</v>
      </c>
      <c r="BF1120">
        <v>1768</v>
      </c>
      <c r="BG1120">
        <v>20476</v>
      </c>
      <c r="BH1120">
        <v>0</v>
      </c>
      <c r="BI1120">
        <v>0</v>
      </c>
      <c r="BJ1120">
        <v>0</v>
      </c>
      <c r="BK1120">
        <v>0</v>
      </c>
      <c r="BL1120" s="2">
        <v>24.82</v>
      </c>
      <c r="BM1120" s="2">
        <v>42005.095138888886</v>
      </c>
      <c r="BN1120" s="2">
        <v>5.4</v>
      </c>
      <c r="BO1120" s="2">
        <v>42005.092361111114</v>
      </c>
      <c r="BP1120" s="2">
        <v>6.92</v>
      </c>
      <c r="BQ1120" s="2">
        <v>42005.092361111114</v>
      </c>
      <c r="BR1120" s="2">
        <v>11.07</v>
      </c>
      <c r="BS1120" s="2">
        <v>42005.092361111114</v>
      </c>
      <c r="BT1120">
        <v>0</v>
      </c>
      <c r="BU1120">
        <v>0</v>
      </c>
      <c r="BV1120" t="s">
        <v>135</v>
      </c>
      <c r="BW1120">
        <v>0</v>
      </c>
      <c r="BX1120">
        <v>0</v>
      </c>
      <c r="BY1120" t="s">
        <v>135</v>
      </c>
      <c r="BZ1120">
        <v>0</v>
      </c>
      <c r="CA1120">
        <v>0</v>
      </c>
      <c r="CB1120" t="s">
        <v>135</v>
      </c>
      <c r="CH1120" s="2"/>
      <c r="CJ1120" s="2"/>
      <c r="CL1120" s="2"/>
      <c r="CN1120" s="2"/>
      <c r="CQ1120" s="2"/>
      <c r="CT1120" s="2"/>
      <c r="CW1120" s="2"/>
    </row>
    <row r="1121" spans="1:101" x14ac:dyDescent="0.25">
      <c r="A1121" s="1" t="s">
        <v>163</v>
      </c>
      <c r="B1121" s="75" t="s">
        <v>164</v>
      </c>
      <c r="C1121">
        <v>0</v>
      </c>
      <c r="D1121">
        <v>0</v>
      </c>
      <c r="E1121">
        <v>0</v>
      </c>
      <c r="F1121">
        <v>604324.56000000006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3.91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7490</v>
      </c>
      <c r="AW1121">
        <v>3350</v>
      </c>
      <c r="AX1121">
        <v>1219</v>
      </c>
      <c r="AY1121">
        <v>12059</v>
      </c>
      <c r="AZ1121">
        <v>4202</v>
      </c>
      <c r="BA1121">
        <v>7438</v>
      </c>
      <c r="BB1121">
        <v>1432</v>
      </c>
      <c r="BC1121">
        <v>13072</v>
      </c>
      <c r="BD1121">
        <v>9486</v>
      </c>
      <c r="BE1121">
        <v>9222</v>
      </c>
      <c r="BF1121">
        <v>1768</v>
      </c>
      <c r="BG1121">
        <v>20476</v>
      </c>
      <c r="BH1121">
        <v>0</v>
      </c>
      <c r="BI1121">
        <v>0</v>
      </c>
      <c r="BJ1121">
        <v>0</v>
      </c>
      <c r="BK1121">
        <v>0</v>
      </c>
      <c r="BL1121" s="2">
        <v>24.82</v>
      </c>
      <c r="BM1121" s="2">
        <v>42005.095138888886</v>
      </c>
      <c r="BN1121" s="2">
        <v>5.4</v>
      </c>
      <c r="BO1121" s="2">
        <v>42005.092361111114</v>
      </c>
      <c r="BP1121" s="2">
        <v>6.92</v>
      </c>
      <c r="BQ1121" s="2">
        <v>42005.092361111114</v>
      </c>
      <c r="BR1121" s="2">
        <v>11.07</v>
      </c>
      <c r="BS1121" s="2">
        <v>42005.092361111114</v>
      </c>
      <c r="BT1121">
        <v>0</v>
      </c>
      <c r="BU1121">
        <v>0</v>
      </c>
      <c r="BV1121" t="s">
        <v>135</v>
      </c>
      <c r="BW1121">
        <v>0</v>
      </c>
      <c r="BX1121">
        <v>0</v>
      </c>
      <c r="BY1121" t="s">
        <v>135</v>
      </c>
      <c r="BZ1121">
        <v>0</v>
      </c>
      <c r="CA1121">
        <v>0</v>
      </c>
      <c r="CB1121" t="s">
        <v>135</v>
      </c>
      <c r="CH1121" s="2"/>
      <c r="CJ1121" s="2"/>
      <c r="CL1121" s="2"/>
      <c r="CN1121" s="2"/>
      <c r="CQ1121" s="2"/>
      <c r="CT1121" s="2"/>
      <c r="CW1121" s="2"/>
    </row>
    <row r="1122" spans="1:101" x14ac:dyDescent="0.25">
      <c r="A1122" s="1" t="s">
        <v>163</v>
      </c>
      <c r="B1122" s="75" t="s">
        <v>164</v>
      </c>
      <c r="C1122">
        <v>0</v>
      </c>
      <c r="D1122">
        <v>0</v>
      </c>
      <c r="E1122">
        <v>0</v>
      </c>
      <c r="F1122">
        <v>604324.56000000006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3.91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7490</v>
      </c>
      <c r="AW1122">
        <v>3350</v>
      </c>
      <c r="AX1122">
        <v>1219</v>
      </c>
      <c r="AY1122">
        <v>12059</v>
      </c>
      <c r="AZ1122">
        <v>4202</v>
      </c>
      <c r="BA1122">
        <v>7438</v>
      </c>
      <c r="BB1122">
        <v>1432</v>
      </c>
      <c r="BC1122">
        <v>13072</v>
      </c>
      <c r="BD1122">
        <v>9486</v>
      </c>
      <c r="BE1122">
        <v>9222</v>
      </c>
      <c r="BF1122">
        <v>1768</v>
      </c>
      <c r="BG1122">
        <v>20476</v>
      </c>
      <c r="BH1122">
        <v>0</v>
      </c>
      <c r="BI1122">
        <v>0</v>
      </c>
      <c r="BJ1122">
        <v>0</v>
      </c>
      <c r="BK1122">
        <v>0</v>
      </c>
      <c r="BL1122" s="2">
        <v>24.82</v>
      </c>
      <c r="BM1122" s="2">
        <v>42005.095138888886</v>
      </c>
      <c r="BN1122" s="2">
        <v>5.4</v>
      </c>
      <c r="BO1122" s="2">
        <v>42005.092361111114</v>
      </c>
      <c r="BP1122" s="2">
        <v>6.92</v>
      </c>
      <c r="BQ1122" s="2">
        <v>42005.092361111114</v>
      </c>
      <c r="BR1122" s="2">
        <v>11.07</v>
      </c>
      <c r="BS1122" s="2">
        <v>42005.092361111114</v>
      </c>
      <c r="BT1122">
        <v>0</v>
      </c>
      <c r="BU1122">
        <v>0</v>
      </c>
      <c r="BV1122" t="s">
        <v>135</v>
      </c>
      <c r="BW1122">
        <v>0</v>
      </c>
      <c r="BX1122">
        <v>0</v>
      </c>
      <c r="BY1122" t="s">
        <v>135</v>
      </c>
      <c r="BZ1122">
        <v>0</v>
      </c>
      <c r="CA1122">
        <v>0</v>
      </c>
      <c r="CB1122" t="s">
        <v>135</v>
      </c>
      <c r="CH1122" s="2"/>
      <c r="CJ1122" s="2"/>
      <c r="CL1122" s="2"/>
      <c r="CN1122" s="2"/>
      <c r="CQ1122" s="2"/>
      <c r="CT1122" s="2"/>
      <c r="CW1122" s="2"/>
    </row>
    <row r="1123" spans="1:101" x14ac:dyDescent="0.25">
      <c r="A1123" s="1" t="s">
        <v>163</v>
      </c>
      <c r="B1123" s="75" t="s">
        <v>164</v>
      </c>
      <c r="C1123">
        <v>0</v>
      </c>
      <c r="D1123">
        <v>0</v>
      </c>
      <c r="E1123">
        <v>0</v>
      </c>
      <c r="F1123">
        <v>604324.56000000006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3.91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7490</v>
      </c>
      <c r="AW1123">
        <v>3350</v>
      </c>
      <c r="AX1123">
        <v>1219</v>
      </c>
      <c r="AY1123">
        <v>12059</v>
      </c>
      <c r="AZ1123">
        <v>4202</v>
      </c>
      <c r="BA1123">
        <v>7438</v>
      </c>
      <c r="BB1123">
        <v>1432</v>
      </c>
      <c r="BC1123">
        <v>13072</v>
      </c>
      <c r="BD1123">
        <v>9486</v>
      </c>
      <c r="BE1123">
        <v>9222</v>
      </c>
      <c r="BF1123">
        <v>1768</v>
      </c>
      <c r="BG1123">
        <v>20476</v>
      </c>
      <c r="BH1123">
        <v>0</v>
      </c>
      <c r="BI1123">
        <v>0</v>
      </c>
      <c r="BJ1123">
        <v>0</v>
      </c>
      <c r="BK1123">
        <v>0</v>
      </c>
      <c r="BL1123" s="2">
        <v>24.82</v>
      </c>
      <c r="BM1123" s="2">
        <v>42005.095138888886</v>
      </c>
      <c r="BN1123" s="2">
        <v>5.4</v>
      </c>
      <c r="BO1123" s="2">
        <v>42005.092361111114</v>
      </c>
      <c r="BP1123" s="2">
        <v>6.92</v>
      </c>
      <c r="BQ1123" s="2">
        <v>42005.092361111114</v>
      </c>
      <c r="BR1123" s="2">
        <v>11.07</v>
      </c>
      <c r="BS1123" s="2">
        <v>42005.092361111114</v>
      </c>
      <c r="BT1123">
        <v>0</v>
      </c>
      <c r="BU1123">
        <v>0</v>
      </c>
      <c r="BV1123" t="s">
        <v>135</v>
      </c>
      <c r="BW1123">
        <v>0</v>
      </c>
      <c r="BX1123">
        <v>0</v>
      </c>
      <c r="BY1123" t="s">
        <v>135</v>
      </c>
      <c r="BZ1123">
        <v>0</v>
      </c>
      <c r="CA1123">
        <v>0</v>
      </c>
      <c r="CB1123" t="s">
        <v>135</v>
      </c>
      <c r="CH1123" s="2"/>
      <c r="CJ1123" s="2"/>
      <c r="CL1123" s="2"/>
      <c r="CN1123" s="2"/>
      <c r="CQ1123" s="2"/>
      <c r="CT1123" s="2"/>
      <c r="CW1123" s="2"/>
    </row>
    <row r="1124" spans="1:101" x14ac:dyDescent="0.25">
      <c r="A1124" s="1" t="s">
        <v>163</v>
      </c>
      <c r="B1124" s="75" t="s">
        <v>164</v>
      </c>
      <c r="C1124">
        <v>0</v>
      </c>
      <c r="D1124">
        <v>0</v>
      </c>
      <c r="E1124">
        <v>0</v>
      </c>
      <c r="F1124">
        <v>604324.56000000006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3.91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7490</v>
      </c>
      <c r="AW1124">
        <v>3350</v>
      </c>
      <c r="AX1124">
        <v>1219</v>
      </c>
      <c r="AY1124">
        <v>12059</v>
      </c>
      <c r="AZ1124">
        <v>4202</v>
      </c>
      <c r="BA1124">
        <v>7438</v>
      </c>
      <c r="BB1124">
        <v>1432</v>
      </c>
      <c r="BC1124">
        <v>13072</v>
      </c>
      <c r="BD1124">
        <v>9486</v>
      </c>
      <c r="BE1124">
        <v>9222</v>
      </c>
      <c r="BF1124">
        <v>1768</v>
      </c>
      <c r="BG1124">
        <v>20476</v>
      </c>
      <c r="BH1124">
        <v>0</v>
      </c>
      <c r="BI1124">
        <v>0</v>
      </c>
      <c r="BJ1124">
        <v>0</v>
      </c>
      <c r="BK1124">
        <v>0</v>
      </c>
      <c r="BL1124" s="2">
        <v>24.82</v>
      </c>
      <c r="BM1124" s="2">
        <v>42005.095138888886</v>
      </c>
      <c r="BN1124" s="2">
        <v>5.4</v>
      </c>
      <c r="BO1124" s="2">
        <v>42005.092361111114</v>
      </c>
      <c r="BP1124" s="2">
        <v>6.92</v>
      </c>
      <c r="BQ1124" s="2">
        <v>42005.092361111114</v>
      </c>
      <c r="BR1124" s="2">
        <v>11.07</v>
      </c>
      <c r="BS1124" s="2">
        <v>42005.092361111114</v>
      </c>
      <c r="BT1124">
        <v>0</v>
      </c>
      <c r="BU1124">
        <v>0</v>
      </c>
      <c r="BV1124" t="s">
        <v>135</v>
      </c>
      <c r="BW1124">
        <v>0</v>
      </c>
      <c r="BX1124">
        <v>0</v>
      </c>
      <c r="BY1124" t="s">
        <v>135</v>
      </c>
      <c r="BZ1124">
        <v>0</v>
      </c>
      <c r="CA1124">
        <v>0</v>
      </c>
      <c r="CB1124" t="s">
        <v>135</v>
      </c>
      <c r="CH1124" s="2"/>
      <c r="CJ1124" s="2"/>
      <c r="CL1124" s="2"/>
      <c r="CN1124" s="2"/>
      <c r="CQ1124" s="2"/>
      <c r="CT1124" s="2"/>
      <c r="CW1124" s="2"/>
    </row>
    <row r="1125" spans="1:101" x14ac:dyDescent="0.25">
      <c r="A1125" s="1" t="s">
        <v>163</v>
      </c>
      <c r="B1125" s="75" t="s">
        <v>164</v>
      </c>
      <c r="C1125">
        <v>0</v>
      </c>
      <c r="D1125">
        <v>0</v>
      </c>
      <c r="E1125">
        <v>0</v>
      </c>
      <c r="F1125">
        <v>604324.56000000006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3.91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7490</v>
      </c>
      <c r="AW1125">
        <v>3350</v>
      </c>
      <c r="AX1125">
        <v>1219</v>
      </c>
      <c r="AY1125">
        <v>12059</v>
      </c>
      <c r="AZ1125">
        <v>4202</v>
      </c>
      <c r="BA1125">
        <v>7438</v>
      </c>
      <c r="BB1125">
        <v>1432</v>
      </c>
      <c r="BC1125">
        <v>13072</v>
      </c>
      <c r="BD1125">
        <v>9486</v>
      </c>
      <c r="BE1125">
        <v>9222</v>
      </c>
      <c r="BF1125">
        <v>1768</v>
      </c>
      <c r="BG1125">
        <v>20476</v>
      </c>
      <c r="BH1125">
        <v>0</v>
      </c>
      <c r="BI1125">
        <v>0</v>
      </c>
      <c r="BJ1125">
        <v>0</v>
      </c>
      <c r="BK1125">
        <v>0</v>
      </c>
      <c r="BL1125" s="2">
        <v>24.82</v>
      </c>
      <c r="BM1125" s="2">
        <v>42005.095138888886</v>
      </c>
      <c r="BN1125" s="2">
        <v>5.4</v>
      </c>
      <c r="BO1125" s="2">
        <v>42005.092361111114</v>
      </c>
      <c r="BP1125" s="2">
        <v>6.92</v>
      </c>
      <c r="BQ1125" s="2">
        <v>42005.092361111114</v>
      </c>
      <c r="BR1125" s="2">
        <v>11.07</v>
      </c>
      <c r="BS1125" s="2">
        <v>42005.092361111114</v>
      </c>
      <c r="BT1125">
        <v>0</v>
      </c>
      <c r="BU1125">
        <v>0</v>
      </c>
      <c r="BV1125" t="s">
        <v>135</v>
      </c>
      <c r="BW1125">
        <v>0</v>
      </c>
      <c r="BX1125">
        <v>0</v>
      </c>
      <c r="BY1125" t="s">
        <v>135</v>
      </c>
      <c r="BZ1125">
        <v>0</v>
      </c>
      <c r="CA1125">
        <v>0</v>
      </c>
      <c r="CB1125" t="s">
        <v>135</v>
      </c>
      <c r="CH1125" s="2"/>
      <c r="CJ1125" s="2"/>
      <c r="CL1125" s="2"/>
      <c r="CN1125" s="2"/>
      <c r="CQ1125" s="2"/>
      <c r="CT1125" s="2"/>
      <c r="CW1125" s="2"/>
    </row>
    <row r="1126" spans="1:101" x14ac:dyDescent="0.25">
      <c r="A1126" s="1" t="s">
        <v>163</v>
      </c>
      <c r="B1126" s="75" t="s">
        <v>164</v>
      </c>
      <c r="C1126">
        <v>0</v>
      </c>
      <c r="D1126">
        <v>0</v>
      </c>
      <c r="E1126">
        <v>0</v>
      </c>
      <c r="F1126">
        <v>604324.56000000006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3.91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7490</v>
      </c>
      <c r="AW1126">
        <v>3350</v>
      </c>
      <c r="AX1126">
        <v>1219</v>
      </c>
      <c r="AY1126">
        <v>12059</v>
      </c>
      <c r="AZ1126">
        <v>4202</v>
      </c>
      <c r="BA1126">
        <v>7438</v>
      </c>
      <c r="BB1126">
        <v>1432</v>
      </c>
      <c r="BC1126">
        <v>13072</v>
      </c>
      <c r="BD1126">
        <v>9486</v>
      </c>
      <c r="BE1126">
        <v>9222</v>
      </c>
      <c r="BF1126">
        <v>1768</v>
      </c>
      <c r="BG1126">
        <v>20476</v>
      </c>
      <c r="BH1126">
        <v>0</v>
      </c>
      <c r="BI1126">
        <v>0</v>
      </c>
      <c r="BJ1126">
        <v>0</v>
      </c>
      <c r="BK1126">
        <v>0</v>
      </c>
      <c r="BL1126" s="2">
        <v>24.82</v>
      </c>
      <c r="BM1126" s="2">
        <v>42005.095138888886</v>
      </c>
      <c r="BN1126" s="2">
        <v>5.4</v>
      </c>
      <c r="BO1126" s="2">
        <v>42005.092361111114</v>
      </c>
      <c r="BP1126" s="2">
        <v>6.92</v>
      </c>
      <c r="BQ1126" s="2">
        <v>42005.092361111114</v>
      </c>
      <c r="BR1126" s="2">
        <v>11.07</v>
      </c>
      <c r="BS1126" s="2">
        <v>42005.092361111114</v>
      </c>
      <c r="BT1126">
        <v>0</v>
      </c>
      <c r="BU1126">
        <v>0</v>
      </c>
      <c r="BV1126" t="s">
        <v>135</v>
      </c>
      <c r="BW1126">
        <v>0</v>
      </c>
      <c r="BX1126">
        <v>0</v>
      </c>
      <c r="BY1126" t="s">
        <v>135</v>
      </c>
      <c r="BZ1126">
        <v>0</v>
      </c>
      <c r="CA1126">
        <v>0</v>
      </c>
      <c r="CB1126" t="s">
        <v>135</v>
      </c>
      <c r="CH1126" s="2"/>
      <c r="CJ1126" s="2"/>
      <c r="CL1126" s="2"/>
      <c r="CN1126" s="2"/>
      <c r="CQ1126" s="2"/>
      <c r="CT1126" s="2"/>
      <c r="CW1126" s="2"/>
    </row>
    <row r="1127" spans="1:101" x14ac:dyDescent="0.25">
      <c r="A1127" s="1" t="s">
        <v>163</v>
      </c>
      <c r="B1127" s="75" t="s">
        <v>164</v>
      </c>
      <c r="C1127">
        <v>0</v>
      </c>
      <c r="D1127">
        <v>0</v>
      </c>
      <c r="E1127">
        <v>0</v>
      </c>
      <c r="F1127">
        <v>604324.56000000006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3.91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7490</v>
      </c>
      <c r="AW1127">
        <v>3350</v>
      </c>
      <c r="AX1127">
        <v>1219</v>
      </c>
      <c r="AY1127">
        <v>12059</v>
      </c>
      <c r="AZ1127">
        <v>4202</v>
      </c>
      <c r="BA1127">
        <v>7438</v>
      </c>
      <c r="BB1127">
        <v>1432</v>
      </c>
      <c r="BC1127">
        <v>13072</v>
      </c>
      <c r="BD1127">
        <v>9486</v>
      </c>
      <c r="BE1127">
        <v>9222</v>
      </c>
      <c r="BF1127">
        <v>1768</v>
      </c>
      <c r="BG1127">
        <v>20476</v>
      </c>
      <c r="BH1127">
        <v>0</v>
      </c>
      <c r="BI1127">
        <v>0</v>
      </c>
      <c r="BJ1127">
        <v>0</v>
      </c>
      <c r="BK1127">
        <v>0</v>
      </c>
      <c r="BL1127" s="2">
        <v>24.82</v>
      </c>
      <c r="BM1127" s="2">
        <v>42005.095138888886</v>
      </c>
      <c r="BN1127" s="2">
        <v>5.4</v>
      </c>
      <c r="BO1127" s="2">
        <v>42005.092361111114</v>
      </c>
      <c r="BP1127" s="2">
        <v>6.92</v>
      </c>
      <c r="BQ1127" s="2">
        <v>42005.092361111114</v>
      </c>
      <c r="BR1127" s="2">
        <v>11.07</v>
      </c>
      <c r="BS1127" s="2">
        <v>42005.092361111114</v>
      </c>
      <c r="BT1127">
        <v>0</v>
      </c>
      <c r="BU1127">
        <v>0</v>
      </c>
      <c r="BV1127" t="s">
        <v>135</v>
      </c>
      <c r="BW1127">
        <v>0</v>
      </c>
      <c r="BX1127">
        <v>0</v>
      </c>
      <c r="BY1127" t="s">
        <v>135</v>
      </c>
      <c r="BZ1127">
        <v>0</v>
      </c>
      <c r="CA1127">
        <v>0</v>
      </c>
      <c r="CB1127" t="s">
        <v>135</v>
      </c>
      <c r="CH1127" s="2"/>
      <c r="CJ1127" s="2"/>
      <c r="CL1127" s="2"/>
      <c r="CN1127" s="2"/>
      <c r="CQ1127" s="2"/>
      <c r="CT1127" s="2"/>
      <c r="CW1127" s="2"/>
    </row>
    <row r="1128" spans="1:101" x14ac:dyDescent="0.25">
      <c r="A1128" s="1" t="s">
        <v>163</v>
      </c>
      <c r="B1128" s="75" t="s">
        <v>164</v>
      </c>
      <c r="C1128">
        <v>0</v>
      </c>
      <c r="D1128">
        <v>0</v>
      </c>
      <c r="E1128">
        <v>0</v>
      </c>
      <c r="F1128">
        <v>604324.56000000006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3.91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7490</v>
      </c>
      <c r="AW1128">
        <v>3350</v>
      </c>
      <c r="AX1128">
        <v>1219</v>
      </c>
      <c r="AY1128">
        <v>12059</v>
      </c>
      <c r="AZ1128">
        <v>4202</v>
      </c>
      <c r="BA1128">
        <v>7438</v>
      </c>
      <c r="BB1128">
        <v>1432</v>
      </c>
      <c r="BC1128">
        <v>13072</v>
      </c>
      <c r="BD1128">
        <v>9486</v>
      </c>
      <c r="BE1128">
        <v>9222</v>
      </c>
      <c r="BF1128">
        <v>1768</v>
      </c>
      <c r="BG1128">
        <v>20476</v>
      </c>
      <c r="BH1128">
        <v>0</v>
      </c>
      <c r="BI1128">
        <v>0</v>
      </c>
      <c r="BJ1128">
        <v>0</v>
      </c>
      <c r="BK1128">
        <v>0</v>
      </c>
      <c r="BL1128" s="2">
        <v>24.82</v>
      </c>
      <c r="BM1128" s="2">
        <v>42005.095138888886</v>
      </c>
      <c r="BN1128" s="2">
        <v>5.4</v>
      </c>
      <c r="BO1128" s="2">
        <v>42005.092361111114</v>
      </c>
      <c r="BP1128" s="2">
        <v>6.92</v>
      </c>
      <c r="BQ1128" s="2">
        <v>42005.092361111114</v>
      </c>
      <c r="BR1128" s="2">
        <v>11.07</v>
      </c>
      <c r="BS1128" s="2">
        <v>42005.092361111114</v>
      </c>
      <c r="BT1128">
        <v>0</v>
      </c>
      <c r="BU1128">
        <v>0</v>
      </c>
      <c r="BV1128" t="s">
        <v>135</v>
      </c>
      <c r="BW1128">
        <v>0</v>
      </c>
      <c r="BX1128">
        <v>0</v>
      </c>
      <c r="BY1128" t="s">
        <v>135</v>
      </c>
      <c r="BZ1128">
        <v>0</v>
      </c>
      <c r="CA1128">
        <v>0</v>
      </c>
      <c r="CB1128" t="s">
        <v>135</v>
      </c>
      <c r="CH1128" s="2"/>
      <c r="CJ1128" s="2"/>
      <c r="CL1128" s="2"/>
      <c r="CN1128" s="2"/>
      <c r="CQ1128" s="2"/>
      <c r="CT1128" s="2"/>
      <c r="CW1128" s="2"/>
    </row>
    <row r="1129" spans="1:101" x14ac:dyDescent="0.25">
      <c r="A1129" s="1" t="s">
        <v>163</v>
      </c>
      <c r="B1129" s="75" t="s">
        <v>164</v>
      </c>
      <c r="C1129">
        <v>0</v>
      </c>
      <c r="D1129">
        <v>0</v>
      </c>
      <c r="E1129">
        <v>0</v>
      </c>
      <c r="F1129">
        <v>604324.56000000006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3.91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7490</v>
      </c>
      <c r="AW1129">
        <v>3350</v>
      </c>
      <c r="AX1129">
        <v>1219</v>
      </c>
      <c r="AY1129">
        <v>12059</v>
      </c>
      <c r="AZ1129">
        <v>4202</v>
      </c>
      <c r="BA1129">
        <v>7438</v>
      </c>
      <c r="BB1129">
        <v>1432</v>
      </c>
      <c r="BC1129">
        <v>13072</v>
      </c>
      <c r="BD1129">
        <v>9486</v>
      </c>
      <c r="BE1129">
        <v>9222</v>
      </c>
      <c r="BF1129">
        <v>1768</v>
      </c>
      <c r="BG1129">
        <v>20476</v>
      </c>
      <c r="BH1129">
        <v>0</v>
      </c>
      <c r="BI1129">
        <v>0</v>
      </c>
      <c r="BJ1129">
        <v>0</v>
      </c>
      <c r="BK1129">
        <v>0</v>
      </c>
      <c r="BL1129" s="2">
        <v>24.82</v>
      </c>
      <c r="BM1129" s="2">
        <v>42005.095138888886</v>
      </c>
      <c r="BN1129" s="2">
        <v>5.4</v>
      </c>
      <c r="BO1129" s="2">
        <v>42005.092361111114</v>
      </c>
      <c r="BP1129" s="2">
        <v>6.92</v>
      </c>
      <c r="BQ1129" s="2">
        <v>42005.092361111114</v>
      </c>
      <c r="BR1129" s="2">
        <v>11.07</v>
      </c>
      <c r="BS1129" s="2">
        <v>42005.092361111114</v>
      </c>
      <c r="BT1129">
        <v>0</v>
      </c>
      <c r="BU1129">
        <v>0</v>
      </c>
      <c r="BV1129" t="s">
        <v>135</v>
      </c>
      <c r="BW1129">
        <v>0</v>
      </c>
      <c r="BX1129">
        <v>0</v>
      </c>
      <c r="BY1129" t="s">
        <v>135</v>
      </c>
      <c r="BZ1129">
        <v>0</v>
      </c>
      <c r="CA1129">
        <v>0</v>
      </c>
      <c r="CB1129" t="s">
        <v>135</v>
      </c>
      <c r="CH1129" s="2"/>
      <c r="CJ1129" s="2"/>
      <c r="CL1129" s="2"/>
      <c r="CN1129" s="2"/>
      <c r="CQ1129" s="2"/>
      <c r="CT1129" s="2"/>
      <c r="CW1129" s="2"/>
    </row>
    <row r="1130" spans="1:101" x14ac:dyDescent="0.25">
      <c r="A1130" s="1" t="s">
        <v>163</v>
      </c>
      <c r="B1130" s="75" t="s">
        <v>164</v>
      </c>
      <c r="C1130">
        <v>0</v>
      </c>
      <c r="D1130">
        <v>0</v>
      </c>
      <c r="E1130">
        <v>0</v>
      </c>
      <c r="F1130">
        <v>604324.56000000006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3.91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7490</v>
      </c>
      <c r="AW1130">
        <v>3350</v>
      </c>
      <c r="AX1130">
        <v>1219</v>
      </c>
      <c r="AY1130">
        <v>12059</v>
      </c>
      <c r="AZ1130">
        <v>4202</v>
      </c>
      <c r="BA1130">
        <v>7438</v>
      </c>
      <c r="BB1130">
        <v>1432</v>
      </c>
      <c r="BC1130">
        <v>13072</v>
      </c>
      <c r="BD1130">
        <v>9486</v>
      </c>
      <c r="BE1130">
        <v>9222</v>
      </c>
      <c r="BF1130">
        <v>1768</v>
      </c>
      <c r="BG1130">
        <v>20476</v>
      </c>
      <c r="BH1130">
        <v>0</v>
      </c>
      <c r="BI1130">
        <v>0</v>
      </c>
      <c r="BJ1130">
        <v>0</v>
      </c>
      <c r="BK1130">
        <v>0</v>
      </c>
      <c r="BL1130" s="2">
        <v>24.82</v>
      </c>
      <c r="BM1130" s="2">
        <v>42005.095138888886</v>
      </c>
      <c r="BN1130" s="2">
        <v>5.4</v>
      </c>
      <c r="BO1130" s="2">
        <v>42005.092361111114</v>
      </c>
      <c r="BP1130" s="2">
        <v>6.92</v>
      </c>
      <c r="BQ1130" s="2">
        <v>42005.092361111114</v>
      </c>
      <c r="BR1130" s="2">
        <v>11.07</v>
      </c>
      <c r="BS1130" s="2">
        <v>42005.092361111114</v>
      </c>
      <c r="BT1130">
        <v>0</v>
      </c>
      <c r="BU1130">
        <v>0</v>
      </c>
      <c r="BV1130" t="s">
        <v>135</v>
      </c>
      <c r="BW1130">
        <v>0</v>
      </c>
      <c r="BX1130">
        <v>0</v>
      </c>
      <c r="BY1130" t="s">
        <v>135</v>
      </c>
      <c r="BZ1130">
        <v>0</v>
      </c>
      <c r="CA1130">
        <v>0</v>
      </c>
      <c r="CB1130" t="s">
        <v>135</v>
      </c>
      <c r="CH1130" s="2"/>
      <c r="CJ1130" s="2"/>
      <c r="CL1130" s="2"/>
      <c r="CN1130" s="2"/>
      <c r="CQ1130" s="2"/>
      <c r="CT1130" s="2"/>
      <c r="CW1130" s="2"/>
    </row>
    <row r="1131" spans="1:101" x14ac:dyDescent="0.25">
      <c r="A1131" s="1" t="s">
        <v>163</v>
      </c>
      <c r="B1131" s="75" t="s">
        <v>164</v>
      </c>
      <c r="C1131">
        <v>0</v>
      </c>
      <c r="D1131">
        <v>0</v>
      </c>
      <c r="E1131">
        <v>0</v>
      </c>
      <c r="F1131">
        <v>604324.56000000006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3.91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7490</v>
      </c>
      <c r="AW1131">
        <v>3350</v>
      </c>
      <c r="AX1131">
        <v>1219</v>
      </c>
      <c r="AY1131">
        <v>12059</v>
      </c>
      <c r="AZ1131">
        <v>4202</v>
      </c>
      <c r="BA1131">
        <v>7438</v>
      </c>
      <c r="BB1131">
        <v>1432</v>
      </c>
      <c r="BC1131">
        <v>13072</v>
      </c>
      <c r="BD1131">
        <v>9486</v>
      </c>
      <c r="BE1131">
        <v>9222</v>
      </c>
      <c r="BF1131">
        <v>1768</v>
      </c>
      <c r="BG1131">
        <v>20476</v>
      </c>
      <c r="BH1131">
        <v>0</v>
      </c>
      <c r="BI1131">
        <v>0</v>
      </c>
      <c r="BJ1131">
        <v>0</v>
      </c>
      <c r="BK1131">
        <v>0</v>
      </c>
      <c r="BL1131" s="2">
        <v>24.82</v>
      </c>
      <c r="BM1131" s="2">
        <v>42005.095138888886</v>
      </c>
      <c r="BN1131" s="2">
        <v>5.4</v>
      </c>
      <c r="BO1131" s="2">
        <v>42005.092361111114</v>
      </c>
      <c r="BP1131" s="2">
        <v>6.92</v>
      </c>
      <c r="BQ1131" s="2">
        <v>42005.092361111114</v>
      </c>
      <c r="BR1131" s="2">
        <v>11.07</v>
      </c>
      <c r="BS1131" s="2">
        <v>42005.092361111114</v>
      </c>
      <c r="BT1131">
        <v>0</v>
      </c>
      <c r="BU1131">
        <v>0</v>
      </c>
      <c r="BV1131" t="s">
        <v>135</v>
      </c>
      <c r="BW1131">
        <v>0</v>
      </c>
      <c r="BX1131">
        <v>0</v>
      </c>
      <c r="BY1131" t="s">
        <v>135</v>
      </c>
      <c r="BZ1131">
        <v>0</v>
      </c>
      <c r="CA1131">
        <v>0</v>
      </c>
      <c r="CB1131" t="s">
        <v>135</v>
      </c>
      <c r="CH1131" s="2"/>
      <c r="CJ1131" s="2"/>
      <c r="CL1131" s="2"/>
      <c r="CN1131" s="2"/>
      <c r="CQ1131" s="2"/>
      <c r="CT1131" s="2"/>
      <c r="CW1131" s="2"/>
    </row>
    <row r="1132" spans="1:101" x14ac:dyDescent="0.25">
      <c r="A1132" s="1" t="s">
        <v>163</v>
      </c>
      <c r="B1132" s="75" t="s">
        <v>164</v>
      </c>
      <c r="C1132">
        <v>0</v>
      </c>
      <c r="D1132">
        <v>0</v>
      </c>
      <c r="E1132">
        <v>0</v>
      </c>
      <c r="F1132">
        <v>604324.56000000006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3.91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7490</v>
      </c>
      <c r="AW1132">
        <v>3350</v>
      </c>
      <c r="AX1132">
        <v>1219</v>
      </c>
      <c r="AY1132">
        <v>12059</v>
      </c>
      <c r="AZ1132">
        <v>4202</v>
      </c>
      <c r="BA1132">
        <v>7438</v>
      </c>
      <c r="BB1132">
        <v>1432</v>
      </c>
      <c r="BC1132">
        <v>13072</v>
      </c>
      <c r="BD1132">
        <v>9486</v>
      </c>
      <c r="BE1132">
        <v>9222</v>
      </c>
      <c r="BF1132">
        <v>1768</v>
      </c>
      <c r="BG1132">
        <v>20476</v>
      </c>
      <c r="BH1132">
        <v>0</v>
      </c>
      <c r="BI1132">
        <v>0</v>
      </c>
      <c r="BJ1132">
        <v>0</v>
      </c>
      <c r="BK1132">
        <v>0</v>
      </c>
      <c r="BL1132" s="2">
        <v>24.82</v>
      </c>
      <c r="BM1132" s="2">
        <v>42005.095138888886</v>
      </c>
      <c r="BN1132" s="2">
        <v>5.4</v>
      </c>
      <c r="BO1132" s="2">
        <v>42005.092361111114</v>
      </c>
      <c r="BP1132" s="2">
        <v>6.92</v>
      </c>
      <c r="BQ1132" s="2">
        <v>42005.092361111114</v>
      </c>
      <c r="BR1132" s="2">
        <v>11.07</v>
      </c>
      <c r="BS1132" s="2">
        <v>42005.092361111114</v>
      </c>
      <c r="BT1132">
        <v>0</v>
      </c>
      <c r="BU1132">
        <v>0</v>
      </c>
      <c r="BV1132" t="s">
        <v>135</v>
      </c>
      <c r="BW1132">
        <v>0</v>
      </c>
      <c r="BX1132">
        <v>0</v>
      </c>
      <c r="BY1132" t="s">
        <v>135</v>
      </c>
      <c r="BZ1132">
        <v>0</v>
      </c>
      <c r="CA1132">
        <v>0</v>
      </c>
      <c r="CB1132" t="s">
        <v>135</v>
      </c>
      <c r="CH1132" s="2"/>
      <c r="CJ1132" s="2"/>
      <c r="CL1132" s="2"/>
      <c r="CN1132" s="2"/>
      <c r="CQ1132" s="2"/>
      <c r="CT1132" s="2"/>
      <c r="CW1132" s="2"/>
    </row>
    <row r="1133" spans="1:101" x14ac:dyDescent="0.25">
      <c r="A1133" s="1" t="s">
        <v>163</v>
      </c>
      <c r="B1133" s="75" t="s">
        <v>164</v>
      </c>
      <c r="C1133">
        <v>0</v>
      </c>
      <c r="D1133">
        <v>0</v>
      </c>
      <c r="E1133">
        <v>0</v>
      </c>
      <c r="F1133">
        <v>604324.56000000006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3.91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7490</v>
      </c>
      <c r="AW1133">
        <v>3350</v>
      </c>
      <c r="AX1133">
        <v>1219</v>
      </c>
      <c r="AY1133">
        <v>12059</v>
      </c>
      <c r="AZ1133">
        <v>4202</v>
      </c>
      <c r="BA1133">
        <v>7438</v>
      </c>
      <c r="BB1133">
        <v>1432</v>
      </c>
      <c r="BC1133">
        <v>13072</v>
      </c>
      <c r="BD1133">
        <v>9486</v>
      </c>
      <c r="BE1133">
        <v>9222</v>
      </c>
      <c r="BF1133">
        <v>1768</v>
      </c>
      <c r="BG1133">
        <v>20476</v>
      </c>
      <c r="BH1133">
        <v>0</v>
      </c>
      <c r="BI1133">
        <v>0</v>
      </c>
      <c r="BJ1133">
        <v>0</v>
      </c>
      <c r="BK1133">
        <v>0</v>
      </c>
      <c r="BL1133" s="2">
        <v>24.82</v>
      </c>
      <c r="BM1133" s="2">
        <v>42005.095138888886</v>
      </c>
      <c r="BN1133" s="2">
        <v>5.4</v>
      </c>
      <c r="BO1133" s="2">
        <v>42005.092361111114</v>
      </c>
      <c r="BP1133" s="2">
        <v>6.92</v>
      </c>
      <c r="BQ1133" s="2">
        <v>42005.092361111114</v>
      </c>
      <c r="BR1133" s="2">
        <v>11.07</v>
      </c>
      <c r="BS1133" s="2">
        <v>42005.092361111114</v>
      </c>
      <c r="BT1133">
        <v>0</v>
      </c>
      <c r="BU1133">
        <v>0</v>
      </c>
      <c r="BV1133" t="s">
        <v>135</v>
      </c>
      <c r="BW1133">
        <v>0</v>
      </c>
      <c r="BX1133">
        <v>0</v>
      </c>
      <c r="BY1133" t="s">
        <v>135</v>
      </c>
      <c r="BZ1133">
        <v>0</v>
      </c>
      <c r="CA1133">
        <v>0</v>
      </c>
      <c r="CB1133" t="s">
        <v>135</v>
      </c>
      <c r="CH1133" s="2"/>
      <c r="CJ1133" s="2"/>
      <c r="CL1133" s="2"/>
      <c r="CN1133" s="2"/>
      <c r="CQ1133" s="2"/>
      <c r="CT1133" s="2"/>
      <c r="CW1133" s="2"/>
    </row>
    <row r="1134" spans="1:101" x14ac:dyDescent="0.25">
      <c r="A1134" s="1" t="s">
        <v>163</v>
      </c>
      <c r="B1134" s="75" t="s">
        <v>164</v>
      </c>
      <c r="C1134">
        <v>0</v>
      </c>
      <c r="D1134">
        <v>0</v>
      </c>
      <c r="E1134">
        <v>0</v>
      </c>
      <c r="F1134">
        <v>604324.56000000006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3.91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7490</v>
      </c>
      <c r="AW1134">
        <v>3350</v>
      </c>
      <c r="AX1134">
        <v>1219</v>
      </c>
      <c r="AY1134">
        <v>12059</v>
      </c>
      <c r="AZ1134">
        <v>4202</v>
      </c>
      <c r="BA1134">
        <v>7438</v>
      </c>
      <c r="BB1134">
        <v>1432</v>
      </c>
      <c r="BC1134">
        <v>13072</v>
      </c>
      <c r="BD1134">
        <v>9486</v>
      </c>
      <c r="BE1134">
        <v>9222</v>
      </c>
      <c r="BF1134">
        <v>1768</v>
      </c>
      <c r="BG1134">
        <v>20476</v>
      </c>
      <c r="BH1134">
        <v>0</v>
      </c>
      <c r="BI1134">
        <v>0</v>
      </c>
      <c r="BJ1134">
        <v>0</v>
      </c>
      <c r="BK1134">
        <v>0</v>
      </c>
      <c r="BL1134" s="2">
        <v>24.82</v>
      </c>
      <c r="BM1134" s="2">
        <v>42005.095138888886</v>
      </c>
      <c r="BN1134" s="2">
        <v>5.4</v>
      </c>
      <c r="BO1134" s="2">
        <v>42005.092361111114</v>
      </c>
      <c r="BP1134" s="2">
        <v>6.92</v>
      </c>
      <c r="BQ1134" s="2">
        <v>42005.092361111114</v>
      </c>
      <c r="BR1134" s="2">
        <v>11.07</v>
      </c>
      <c r="BS1134" s="2">
        <v>42005.092361111114</v>
      </c>
      <c r="BT1134">
        <v>0</v>
      </c>
      <c r="BU1134">
        <v>0</v>
      </c>
      <c r="BV1134" t="s">
        <v>135</v>
      </c>
      <c r="BW1134">
        <v>0</v>
      </c>
      <c r="BX1134">
        <v>0</v>
      </c>
      <c r="BY1134" t="s">
        <v>135</v>
      </c>
      <c r="BZ1134">
        <v>0</v>
      </c>
      <c r="CA1134">
        <v>0</v>
      </c>
      <c r="CB1134" t="s">
        <v>135</v>
      </c>
      <c r="CH1134" s="2"/>
      <c r="CJ1134" s="2"/>
      <c r="CL1134" s="2"/>
      <c r="CN1134" s="2"/>
      <c r="CQ1134" s="2"/>
      <c r="CT1134" s="2"/>
      <c r="CW1134" s="2"/>
    </row>
    <row r="1135" spans="1:101" x14ac:dyDescent="0.25">
      <c r="A1135" s="1" t="s">
        <v>163</v>
      </c>
      <c r="B1135" s="75" t="s">
        <v>164</v>
      </c>
      <c r="C1135">
        <v>0</v>
      </c>
      <c r="D1135">
        <v>0</v>
      </c>
      <c r="E1135">
        <v>0</v>
      </c>
      <c r="F1135">
        <v>604324.56000000006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3.91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7490</v>
      </c>
      <c r="AW1135">
        <v>3350</v>
      </c>
      <c r="AX1135">
        <v>1219</v>
      </c>
      <c r="AY1135">
        <v>12059</v>
      </c>
      <c r="AZ1135">
        <v>4202</v>
      </c>
      <c r="BA1135">
        <v>7438</v>
      </c>
      <c r="BB1135">
        <v>1432</v>
      </c>
      <c r="BC1135">
        <v>13072</v>
      </c>
      <c r="BD1135">
        <v>9486</v>
      </c>
      <c r="BE1135">
        <v>9222</v>
      </c>
      <c r="BF1135">
        <v>1768</v>
      </c>
      <c r="BG1135">
        <v>20476</v>
      </c>
      <c r="BH1135">
        <v>0</v>
      </c>
      <c r="BI1135">
        <v>0</v>
      </c>
      <c r="BJ1135">
        <v>0</v>
      </c>
      <c r="BK1135">
        <v>0</v>
      </c>
      <c r="BL1135" s="2">
        <v>24.82</v>
      </c>
      <c r="BM1135" s="2">
        <v>42005.095138888886</v>
      </c>
      <c r="BN1135" s="2">
        <v>5.4</v>
      </c>
      <c r="BO1135" s="2">
        <v>42005.092361111114</v>
      </c>
      <c r="BP1135" s="2">
        <v>6.92</v>
      </c>
      <c r="BQ1135" s="2">
        <v>42005.092361111114</v>
      </c>
      <c r="BR1135" s="2">
        <v>11.07</v>
      </c>
      <c r="BS1135" s="2">
        <v>42005.092361111114</v>
      </c>
      <c r="BT1135">
        <v>0</v>
      </c>
      <c r="BU1135">
        <v>0</v>
      </c>
      <c r="BV1135" t="s">
        <v>135</v>
      </c>
      <c r="BW1135">
        <v>0</v>
      </c>
      <c r="BX1135">
        <v>0</v>
      </c>
      <c r="BY1135" t="s">
        <v>135</v>
      </c>
      <c r="BZ1135">
        <v>0</v>
      </c>
      <c r="CA1135">
        <v>0</v>
      </c>
      <c r="CB1135" t="s">
        <v>135</v>
      </c>
      <c r="CH1135" s="2"/>
      <c r="CJ1135" s="2"/>
      <c r="CL1135" s="2"/>
      <c r="CN1135" s="2"/>
      <c r="CQ1135" s="2"/>
      <c r="CT1135" s="2"/>
      <c r="CW1135" s="2"/>
    </row>
    <row r="1136" spans="1:101" x14ac:dyDescent="0.25">
      <c r="A1136" s="1" t="s">
        <v>163</v>
      </c>
      <c r="B1136" s="75" t="s">
        <v>164</v>
      </c>
      <c r="C1136">
        <v>0</v>
      </c>
      <c r="D1136">
        <v>0</v>
      </c>
      <c r="E1136">
        <v>0</v>
      </c>
      <c r="F1136">
        <v>604324.56000000006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3.91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7490</v>
      </c>
      <c r="AW1136">
        <v>3350</v>
      </c>
      <c r="AX1136">
        <v>1219</v>
      </c>
      <c r="AY1136">
        <v>12059</v>
      </c>
      <c r="AZ1136">
        <v>4202</v>
      </c>
      <c r="BA1136">
        <v>7438</v>
      </c>
      <c r="BB1136">
        <v>1432</v>
      </c>
      <c r="BC1136">
        <v>13072</v>
      </c>
      <c r="BD1136">
        <v>9486</v>
      </c>
      <c r="BE1136">
        <v>9222</v>
      </c>
      <c r="BF1136">
        <v>1768</v>
      </c>
      <c r="BG1136">
        <v>20476</v>
      </c>
      <c r="BH1136">
        <v>0</v>
      </c>
      <c r="BI1136">
        <v>0</v>
      </c>
      <c r="BJ1136">
        <v>0</v>
      </c>
      <c r="BK1136">
        <v>0</v>
      </c>
      <c r="BL1136" s="2">
        <v>24.82</v>
      </c>
      <c r="BM1136" s="2">
        <v>42005.095138888886</v>
      </c>
      <c r="BN1136" s="2">
        <v>5.4</v>
      </c>
      <c r="BO1136" s="2">
        <v>42005.092361111114</v>
      </c>
      <c r="BP1136" s="2">
        <v>6.92</v>
      </c>
      <c r="BQ1136" s="2">
        <v>42005.092361111114</v>
      </c>
      <c r="BR1136" s="2">
        <v>11.07</v>
      </c>
      <c r="BS1136" s="2">
        <v>42005.092361111114</v>
      </c>
      <c r="BT1136">
        <v>0</v>
      </c>
      <c r="BU1136">
        <v>0</v>
      </c>
      <c r="BV1136" t="s">
        <v>135</v>
      </c>
      <c r="BW1136">
        <v>0</v>
      </c>
      <c r="BX1136">
        <v>0</v>
      </c>
      <c r="BY1136" t="s">
        <v>135</v>
      </c>
      <c r="BZ1136">
        <v>0</v>
      </c>
      <c r="CA1136">
        <v>0</v>
      </c>
      <c r="CB1136" t="s">
        <v>135</v>
      </c>
      <c r="CH1136" s="2"/>
      <c r="CJ1136" s="2"/>
      <c r="CL1136" s="2"/>
      <c r="CN1136" s="2"/>
      <c r="CQ1136" s="2"/>
      <c r="CT1136" s="2"/>
      <c r="CW1136" s="2"/>
    </row>
    <row r="1137" spans="1:101" x14ac:dyDescent="0.25">
      <c r="A1137" s="1" t="s">
        <v>163</v>
      </c>
      <c r="B1137" s="75" t="s">
        <v>164</v>
      </c>
      <c r="C1137">
        <v>0</v>
      </c>
      <c r="D1137">
        <v>0</v>
      </c>
      <c r="E1137">
        <v>0</v>
      </c>
      <c r="F1137">
        <v>604324.56000000006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3.91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7490</v>
      </c>
      <c r="AW1137">
        <v>3350</v>
      </c>
      <c r="AX1137">
        <v>1219</v>
      </c>
      <c r="AY1137">
        <v>12059</v>
      </c>
      <c r="AZ1137">
        <v>4202</v>
      </c>
      <c r="BA1137">
        <v>7438</v>
      </c>
      <c r="BB1137">
        <v>1432</v>
      </c>
      <c r="BC1137">
        <v>13072</v>
      </c>
      <c r="BD1137">
        <v>9486</v>
      </c>
      <c r="BE1137">
        <v>9222</v>
      </c>
      <c r="BF1137">
        <v>1768</v>
      </c>
      <c r="BG1137">
        <v>20476</v>
      </c>
      <c r="BH1137">
        <v>0</v>
      </c>
      <c r="BI1137">
        <v>0</v>
      </c>
      <c r="BJ1137">
        <v>0</v>
      </c>
      <c r="BK1137">
        <v>0</v>
      </c>
      <c r="BL1137" s="2">
        <v>24.82</v>
      </c>
      <c r="BM1137" s="2">
        <v>42005.095138888886</v>
      </c>
      <c r="BN1137" s="2">
        <v>5.4</v>
      </c>
      <c r="BO1137" s="2">
        <v>42005.092361111114</v>
      </c>
      <c r="BP1137" s="2">
        <v>6.92</v>
      </c>
      <c r="BQ1137" s="2">
        <v>42005.092361111114</v>
      </c>
      <c r="BR1137" s="2">
        <v>11.07</v>
      </c>
      <c r="BS1137" s="2">
        <v>42005.092361111114</v>
      </c>
      <c r="BT1137">
        <v>0</v>
      </c>
      <c r="BU1137">
        <v>0</v>
      </c>
      <c r="BV1137" t="s">
        <v>135</v>
      </c>
      <c r="BW1137">
        <v>0</v>
      </c>
      <c r="BX1137">
        <v>0</v>
      </c>
      <c r="BY1137" t="s">
        <v>135</v>
      </c>
      <c r="BZ1137">
        <v>0</v>
      </c>
      <c r="CA1137">
        <v>0</v>
      </c>
      <c r="CB1137" t="s">
        <v>135</v>
      </c>
      <c r="CH1137" s="2"/>
      <c r="CJ1137" s="2"/>
      <c r="CL1137" s="2"/>
      <c r="CN1137" s="2"/>
      <c r="CQ1137" s="2"/>
      <c r="CT1137" s="2"/>
      <c r="CW1137" s="2"/>
    </row>
    <row r="1138" spans="1:101" x14ac:dyDescent="0.25">
      <c r="A1138" s="1" t="s">
        <v>163</v>
      </c>
      <c r="B1138" s="75" t="s">
        <v>164</v>
      </c>
      <c r="C1138">
        <v>0</v>
      </c>
      <c r="D1138">
        <v>0</v>
      </c>
      <c r="E1138">
        <v>0</v>
      </c>
      <c r="F1138">
        <v>604324.56000000006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3.91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7490</v>
      </c>
      <c r="AW1138">
        <v>3350</v>
      </c>
      <c r="AX1138">
        <v>1219</v>
      </c>
      <c r="AY1138">
        <v>12059</v>
      </c>
      <c r="AZ1138">
        <v>4202</v>
      </c>
      <c r="BA1138">
        <v>7438</v>
      </c>
      <c r="BB1138">
        <v>1432</v>
      </c>
      <c r="BC1138">
        <v>13072</v>
      </c>
      <c r="BD1138">
        <v>9486</v>
      </c>
      <c r="BE1138">
        <v>9222</v>
      </c>
      <c r="BF1138">
        <v>1768</v>
      </c>
      <c r="BG1138">
        <v>20476</v>
      </c>
      <c r="BH1138">
        <v>0</v>
      </c>
      <c r="BI1138">
        <v>0</v>
      </c>
      <c r="BJ1138">
        <v>0</v>
      </c>
      <c r="BK1138">
        <v>0</v>
      </c>
      <c r="BL1138" s="2">
        <v>24.82</v>
      </c>
      <c r="BM1138" s="2">
        <v>42005.095138888886</v>
      </c>
      <c r="BN1138" s="2">
        <v>5.4</v>
      </c>
      <c r="BO1138" s="2">
        <v>42005.092361111114</v>
      </c>
      <c r="BP1138" s="2">
        <v>6.92</v>
      </c>
      <c r="BQ1138" s="2">
        <v>42005.092361111114</v>
      </c>
      <c r="BR1138" s="2">
        <v>11.07</v>
      </c>
      <c r="BS1138" s="2">
        <v>42005.092361111114</v>
      </c>
      <c r="BT1138">
        <v>0</v>
      </c>
      <c r="BU1138">
        <v>0</v>
      </c>
      <c r="BV1138" t="s">
        <v>135</v>
      </c>
      <c r="BW1138">
        <v>0</v>
      </c>
      <c r="BX1138">
        <v>0</v>
      </c>
      <c r="BY1138" t="s">
        <v>135</v>
      </c>
      <c r="BZ1138">
        <v>0</v>
      </c>
      <c r="CA1138">
        <v>0</v>
      </c>
      <c r="CB1138" t="s">
        <v>135</v>
      </c>
      <c r="CH1138" s="2"/>
      <c r="CJ1138" s="2"/>
      <c r="CL1138" s="2"/>
      <c r="CN1138" s="2"/>
      <c r="CQ1138" s="2"/>
      <c r="CT1138" s="2"/>
      <c r="CW1138" s="2"/>
    </row>
    <row r="1139" spans="1:101" x14ac:dyDescent="0.25">
      <c r="A1139" s="1" t="s">
        <v>163</v>
      </c>
      <c r="B1139" s="75" t="s">
        <v>164</v>
      </c>
      <c r="C1139">
        <v>0</v>
      </c>
      <c r="D1139">
        <v>0</v>
      </c>
      <c r="E1139">
        <v>0</v>
      </c>
      <c r="F1139">
        <v>604324.56000000006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3.91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7490</v>
      </c>
      <c r="AW1139">
        <v>3350</v>
      </c>
      <c r="AX1139">
        <v>1219</v>
      </c>
      <c r="AY1139">
        <v>12059</v>
      </c>
      <c r="AZ1139">
        <v>4202</v>
      </c>
      <c r="BA1139">
        <v>7438</v>
      </c>
      <c r="BB1139">
        <v>1432</v>
      </c>
      <c r="BC1139">
        <v>13072</v>
      </c>
      <c r="BD1139">
        <v>9486</v>
      </c>
      <c r="BE1139">
        <v>9222</v>
      </c>
      <c r="BF1139">
        <v>1768</v>
      </c>
      <c r="BG1139">
        <v>20476</v>
      </c>
      <c r="BH1139">
        <v>0</v>
      </c>
      <c r="BI1139">
        <v>0</v>
      </c>
      <c r="BJ1139">
        <v>0</v>
      </c>
      <c r="BK1139">
        <v>0</v>
      </c>
      <c r="BL1139" s="2">
        <v>24.82</v>
      </c>
      <c r="BM1139" s="2">
        <v>42005.095138888886</v>
      </c>
      <c r="BN1139" s="2">
        <v>5.4</v>
      </c>
      <c r="BO1139" s="2">
        <v>42005.092361111114</v>
      </c>
      <c r="BP1139" s="2">
        <v>6.92</v>
      </c>
      <c r="BQ1139" s="2">
        <v>42005.092361111114</v>
      </c>
      <c r="BR1139" s="2">
        <v>11.07</v>
      </c>
      <c r="BS1139" s="2">
        <v>42005.092361111114</v>
      </c>
      <c r="BT1139">
        <v>0</v>
      </c>
      <c r="BU1139">
        <v>0</v>
      </c>
      <c r="BV1139" t="s">
        <v>135</v>
      </c>
      <c r="BW1139">
        <v>0</v>
      </c>
      <c r="BX1139">
        <v>0</v>
      </c>
      <c r="BY1139" t="s">
        <v>135</v>
      </c>
      <c r="BZ1139">
        <v>0</v>
      </c>
      <c r="CA1139">
        <v>0</v>
      </c>
      <c r="CB1139" t="s">
        <v>135</v>
      </c>
      <c r="CH1139" s="2"/>
      <c r="CJ1139" s="2"/>
      <c r="CL1139" s="2"/>
      <c r="CN1139" s="2"/>
      <c r="CQ1139" s="2"/>
      <c r="CT1139" s="2"/>
      <c r="CW1139" s="2"/>
    </row>
    <row r="1140" spans="1:101" x14ac:dyDescent="0.25">
      <c r="A1140" s="1" t="s">
        <v>163</v>
      </c>
      <c r="B1140" s="75" t="s">
        <v>164</v>
      </c>
      <c r="C1140">
        <v>0</v>
      </c>
      <c r="D1140">
        <v>0</v>
      </c>
      <c r="E1140">
        <v>0</v>
      </c>
      <c r="F1140">
        <v>604324.56000000006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3.91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7490</v>
      </c>
      <c r="AW1140">
        <v>3350</v>
      </c>
      <c r="AX1140">
        <v>1219</v>
      </c>
      <c r="AY1140">
        <v>12059</v>
      </c>
      <c r="AZ1140">
        <v>4202</v>
      </c>
      <c r="BA1140">
        <v>7438</v>
      </c>
      <c r="BB1140">
        <v>1432</v>
      </c>
      <c r="BC1140">
        <v>13072</v>
      </c>
      <c r="BD1140">
        <v>9486</v>
      </c>
      <c r="BE1140">
        <v>9222</v>
      </c>
      <c r="BF1140">
        <v>1768</v>
      </c>
      <c r="BG1140">
        <v>20476</v>
      </c>
      <c r="BH1140">
        <v>0</v>
      </c>
      <c r="BI1140">
        <v>0</v>
      </c>
      <c r="BJ1140">
        <v>0</v>
      </c>
      <c r="BK1140">
        <v>0</v>
      </c>
      <c r="BL1140" s="2">
        <v>24.82</v>
      </c>
      <c r="BM1140" s="2">
        <v>42005.095138888886</v>
      </c>
      <c r="BN1140" s="2">
        <v>5.4</v>
      </c>
      <c r="BO1140" s="2">
        <v>42005.092361111114</v>
      </c>
      <c r="BP1140" s="2">
        <v>6.92</v>
      </c>
      <c r="BQ1140" s="2">
        <v>42005.092361111114</v>
      </c>
      <c r="BR1140" s="2">
        <v>11.07</v>
      </c>
      <c r="BS1140" s="2">
        <v>42005.092361111114</v>
      </c>
      <c r="BT1140">
        <v>0</v>
      </c>
      <c r="BU1140">
        <v>0</v>
      </c>
      <c r="BV1140" t="s">
        <v>135</v>
      </c>
      <c r="BW1140">
        <v>0</v>
      </c>
      <c r="BX1140">
        <v>0</v>
      </c>
      <c r="BY1140" t="s">
        <v>135</v>
      </c>
      <c r="BZ1140">
        <v>0</v>
      </c>
      <c r="CA1140">
        <v>0</v>
      </c>
      <c r="CB1140" t="s">
        <v>135</v>
      </c>
      <c r="CH1140" s="2"/>
      <c r="CJ1140" s="2"/>
      <c r="CL1140" s="2"/>
      <c r="CN1140" s="2"/>
      <c r="CQ1140" s="2"/>
      <c r="CT1140" s="2"/>
      <c r="CW1140" s="2"/>
    </row>
    <row r="1141" spans="1:101" x14ac:dyDescent="0.25">
      <c r="A1141" s="1" t="s">
        <v>163</v>
      </c>
      <c r="B1141" s="75" t="s">
        <v>164</v>
      </c>
      <c r="C1141">
        <v>0</v>
      </c>
      <c r="D1141">
        <v>0</v>
      </c>
      <c r="E1141">
        <v>0</v>
      </c>
      <c r="F1141">
        <v>604324.56000000006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3.91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7490</v>
      </c>
      <c r="AW1141">
        <v>3350</v>
      </c>
      <c r="AX1141">
        <v>1219</v>
      </c>
      <c r="AY1141">
        <v>12059</v>
      </c>
      <c r="AZ1141">
        <v>4202</v>
      </c>
      <c r="BA1141">
        <v>7438</v>
      </c>
      <c r="BB1141">
        <v>1432</v>
      </c>
      <c r="BC1141">
        <v>13072</v>
      </c>
      <c r="BD1141">
        <v>9486</v>
      </c>
      <c r="BE1141">
        <v>9222</v>
      </c>
      <c r="BF1141">
        <v>1768</v>
      </c>
      <c r="BG1141">
        <v>20476</v>
      </c>
      <c r="BH1141">
        <v>0</v>
      </c>
      <c r="BI1141">
        <v>0</v>
      </c>
      <c r="BJ1141">
        <v>0</v>
      </c>
      <c r="BK1141">
        <v>0</v>
      </c>
      <c r="BL1141" s="2">
        <v>24.82</v>
      </c>
      <c r="BM1141" s="2">
        <v>42005.095138888886</v>
      </c>
      <c r="BN1141" s="2">
        <v>5.4</v>
      </c>
      <c r="BO1141" s="2">
        <v>42005.092361111114</v>
      </c>
      <c r="BP1141" s="2">
        <v>6.92</v>
      </c>
      <c r="BQ1141" s="2">
        <v>42005.092361111114</v>
      </c>
      <c r="BR1141" s="2">
        <v>11.07</v>
      </c>
      <c r="BS1141" s="2">
        <v>42005.092361111114</v>
      </c>
      <c r="BT1141">
        <v>0</v>
      </c>
      <c r="BU1141">
        <v>0</v>
      </c>
      <c r="BV1141" t="s">
        <v>135</v>
      </c>
      <c r="BW1141">
        <v>0</v>
      </c>
      <c r="BX1141">
        <v>0</v>
      </c>
      <c r="BY1141" t="s">
        <v>135</v>
      </c>
      <c r="BZ1141">
        <v>0</v>
      </c>
      <c r="CA1141">
        <v>0</v>
      </c>
      <c r="CB1141" t="s">
        <v>135</v>
      </c>
      <c r="CH1141" s="2"/>
      <c r="CJ1141" s="2"/>
      <c r="CL1141" s="2"/>
      <c r="CN1141" s="2"/>
      <c r="CQ1141" s="2"/>
      <c r="CT1141" s="2"/>
      <c r="CW1141" s="2"/>
    </row>
    <row r="1142" spans="1:101" x14ac:dyDescent="0.25">
      <c r="A1142" s="1" t="s">
        <v>163</v>
      </c>
      <c r="B1142" s="75" t="s">
        <v>164</v>
      </c>
      <c r="C1142">
        <v>0</v>
      </c>
      <c r="D1142">
        <v>0</v>
      </c>
      <c r="E1142">
        <v>0</v>
      </c>
      <c r="F1142">
        <v>604324.56000000006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3.91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7490</v>
      </c>
      <c r="AW1142">
        <v>3350</v>
      </c>
      <c r="AX1142">
        <v>1219</v>
      </c>
      <c r="AY1142">
        <v>12059</v>
      </c>
      <c r="AZ1142">
        <v>4202</v>
      </c>
      <c r="BA1142">
        <v>7438</v>
      </c>
      <c r="BB1142">
        <v>1432</v>
      </c>
      <c r="BC1142">
        <v>13072</v>
      </c>
      <c r="BD1142">
        <v>9486</v>
      </c>
      <c r="BE1142">
        <v>9222</v>
      </c>
      <c r="BF1142">
        <v>1768</v>
      </c>
      <c r="BG1142">
        <v>20476</v>
      </c>
      <c r="BH1142">
        <v>0</v>
      </c>
      <c r="BI1142">
        <v>0</v>
      </c>
      <c r="BJ1142">
        <v>0</v>
      </c>
      <c r="BK1142">
        <v>0</v>
      </c>
      <c r="BL1142" s="2">
        <v>24.82</v>
      </c>
      <c r="BM1142" s="2">
        <v>42005.095138888886</v>
      </c>
      <c r="BN1142" s="2">
        <v>5.4</v>
      </c>
      <c r="BO1142" s="2">
        <v>42005.092361111114</v>
      </c>
      <c r="BP1142" s="2">
        <v>6.92</v>
      </c>
      <c r="BQ1142" s="2">
        <v>42005.092361111114</v>
      </c>
      <c r="BR1142" s="2">
        <v>11.07</v>
      </c>
      <c r="BS1142" s="2">
        <v>42005.092361111114</v>
      </c>
      <c r="BT1142">
        <v>0</v>
      </c>
      <c r="BU1142">
        <v>0</v>
      </c>
      <c r="BV1142" t="s">
        <v>135</v>
      </c>
      <c r="BW1142">
        <v>0</v>
      </c>
      <c r="BX1142">
        <v>0</v>
      </c>
      <c r="BY1142" t="s">
        <v>135</v>
      </c>
      <c r="BZ1142">
        <v>0</v>
      </c>
      <c r="CA1142">
        <v>0</v>
      </c>
      <c r="CB1142" t="s">
        <v>135</v>
      </c>
      <c r="CH1142" s="2"/>
      <c r="CJ1142" s="2"/>
      <c r="CL1142" s="2"/>
      <c r="CN1142" s="2"/>
      <c r="CQ1142" s="2"/>
      <c r="CT1142" s="2"/>
      <c r="CW1142" s="2"/>
    </row>
    <row r="1143" spans="1:101" x14ac:dyDescent="0.25">
      <c r="A1143" s="1" t="s">
        <v>163</v>
      </c>
      <c r="B1143" s="75" t="s">
        <v>164</v>
      </c>
      <c r="C1143">
        <v>0</v>
      </c>
      <c r="D1143">
        <v>0</v>
      </c>
      <c r="E1143">
        <v>0</v>
      </c>
      <c r="F1143">
        <v>604324.56000000006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3.91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7490</v>
      </c>
      <c r="AW1143">
        <v>3350</v>
      </c>
      <c r="AX1143">
        <v>1219</v>
      </c>
      <c r="AY1143">
        <v>12059</v>
      </c>
      <c r="AZ1143">
        <v>4202</v>
      </c>
      <c r="BA1143">
        <v>7438</v>
      </c>
      <c r="BB1143">
        <v>1432</v>
      </c>
      <c r="BC1143">
        <v>13072</v>
      </c>
      <c r="BD1143">
        <v>9486</v>
      </c>
      <c r="BE1143">
        <v>9222</v>
      </c>
      <c r="BF1143">
        <v>1768</v>
      </c>
      <c r="BG1143">
        <v>20476</v>
      </c>
      <c r="BH1143">
        <v>0</v>
      </c>
      <c r="BI1143">
        <v>0</v>
      </c>
      <c r="BJ1143">
        <v>0</v>
      </c>
      <c r="BK1143">
        <v>0</v>
      </c>
      <c r="BL1143" s="2">
        <v>24.82</v>
      </c>
      <c r="BM1143" s="2">
        <v>42005.095138888886</v>
      </c>
      <c r="BN1143" s="2">
        <v>5.4</v>
      </c>
      <c r="BO1143" s="2">
        <v>42005.092361111114</v>
      </c>
      <c r="BP1143" s="2">
        <v>6.92</v>
      </c>
      <c r="BQ1143" s="2">
        <v>42005.092361111114</v>
      </c>
      <c r="BR1143" s="2">
        <v>11.07</v>
      </c>
      <c r="BS1143" s="2">
        <v>42005.092361111114</v>
      </c>
      <c r="BT1143">
        <v>0</v>
      </c>
      <c r="BU1143">
        <v>0</v>
      </c>
      <c r="BV1143" t="s">
        <v>135</v>
      </c>
      <c r="BW1143">
        <v>0</v>
      </c>
      <c r="BX1143">
        <v>0</v>
      </c>
      <c r="BY1143" t="s">
        <v>135</v>
      </c>
      <c r="BZ1143">
        <v>0</v>
      </c>
      <c r="CA1143">
        <v>0</v>
      </c>
      <c r="CB1143" t="s">
        <v>135</v>
      </c>
      <c r="CH1143" s="2"/>
      <c r="CJ1143" s="2"/>
      <c r="CL1143" s="2"/>
      <c r="CN1143" s="2"/>
      <c r="CQ1143" s="2"/>
      <c r="CT1143" s="2"/>
      <c r="CW1143" s="2"/>
    </row>
    <row r="1144" spans="1:101" x14ac:dyDescent="0.25">
      <c r="A1144" s="1" t="s">
        <v>163</v>
      </c>
      <c r="B1144" s="75" t="s">
        <v>164</v>
      </c>
      <c r="C1144">
        <v>0</v>
      </c>
      <c r="D1144">
        <v>0</v>
      </c>
      <c r="E1144">
        <v>0</v>
      </c>
      <c r="F1144">
        <v>604324.56000000006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3.91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7490</v>
      </c>
      <c r="AW1144">
        <v>3350</v>
      </c>
      <c r="AX1144">
        <v>1219</v>
      </c>
      <c r="AY1144">
        <v>12059</v>
      </c>
      <c r="AZ1144">
        <v>4202</v>
      </c>
      <c r="BA1144">
        <v>7438</v>
      </c>
      <c r="BB1144">
        <v>1432</v>
      </c>
      <c r="BC1144">
        <v>13072</v>
      </c>
      <c r="BD1144">
        <v>9486</v>
      </c>
      <c r="BE1144">
        <v>9222</v>
      </c>
      <c r="BF1144">
        <v>1768</v>
      </c>
      <c r="BG1144">
        <v>20476</v>
      </c>
      <c r="BH1144">
        <v>0</v>
      </c>
      <c r="BI1144">
        <v>0</v>
      </c>
      <c r="BJ1144">
        <v>0</v>
      </c>
      <c r="BK1144">
        <v>0</v>
      </c>
      <c r="BL1144" s="2">
        <v>24.82</v>
      </c>
      <c r="BM1144" s="2">
        <v>42005.095138888886</v>
      </c>
      <c r="BN1144" s="2">
        <v>5.4</v>
      </c>
      <c r="BO1144" s="2">
        <v>42005.092361111114</v>
      </c>
      <c r="BP1144" s="2">
        <v>6.92</v>
      </c>
      <c r="BQ1144" s="2">
        <v>42005.092361111114</v>
      </c>
      <c r="BR1144" s="2">
        <v>11.07</v>
      </c>
      <c r="BS1144" s="2">
        <v>42005.092361111114</v>
      </c>
      <c r="BT1144">
        <v>0</v>
      </c>
      <c r="BU1144">
        <v>0</v>
      </c>
      <c r="BV1144" t="s">
        <v>135</v>
      </c>
      <c r="BW1144">
        <v>0</v>
      </c>
      <c r="BX1144">
        <v>0</v>
      </c>
      <c r="BY1144" t="s">
        <v>135</v>
      </c>
      <c r="BZ1144">
        <v>0</v>
      </c>
      <c r="CA1144">
        <v>0</v>
      </c>
      <c r="CB1144" t="s">
        <v>135</v>
      </c>
      <c r="CH1144" s="2"/>
      <c r="CJ1144" s="2"/>
      <c r="CL1144" s="2"/>
      <c r="CN1144" s="2"/>
      <c r="CQ1144" s="2"/>
      <c r="CT1144" s="2"/>
      <c r="CW1144" s="2"/>
    </row>
    <row r="1145" spans="1:101" x14ac:dyDescent="0.25">
      <c r="A1145" s="1" t="s">
        <v>163</v>
      </c>
      <c r="B1145" s="75" t="s">
        <v>164</v>
      </c>
      <c r="C1145">
        <v>0</v>
      </c>
      <c r="D1145">
        <v>0</v>
      </c>
      <c r="E1145">
        <v>0</v>
      </c>
      <c r="F1145">
        <v>604324.56000000006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3.91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7490</v>
      </c>
      <c r="AW1145">
        <v>3350</v>
      </c>
      <c r="AX1145">
        <v>1219</v>
      </c>
      <c r="AY1145">
        <v>12059</v>
      </c>
      <c r="AZ1145">
        <v>4202</v>
      </c>
      <c r="BA1145">
        <v>7438</v>
      </c>
      <c r="BB1145">
        <v>1432</v>
      </c>
      <c r="BC1145">
        <v>13072</v>
      </c>
      <c r="BD1145">
        <v>9486</v>
      </c>
      <c r="BE1145">
        <v>9222</v>
      </c>
      <c r="BF1145">
        <v>1768</v>
      </c>
      <c r="BG1145">
        <v>20476</v>
      </c>
      <c r="BH1145">
        <v>0</v>
      </c>
      <c r="BI1145">
        <v>0</v>
      </c>
      <c r="BJ1145">
        <v>0</v>
      </c>
      <c r="BK1145">
        <v>0</v>
      </c>
      <c r="BL1145" s="2">
        <v>24.82</v>
      </c>
      <c r="BM1145" s="2">
        <v>42005.095138888886</v>
      </c>
      <c r="BN1145" s="2">
        <v>5.4</v>
      </c>
      <c r="BO1145" s="2">
        <v>42005.092361111114</v>
      </c>
      <c r="BP1145" s="2">
        <v>6.92</v>
      </c>
      <c r="BQ1145" s="2">
        <v>42005.092361111114</v>
      </c>
      <c r="BR1145" s="2">
        <v>11.07</v>
      </c>
      <c r="BS1145" s="2">
        <v>42005.092361111114</v>
      </c>
      <c r="BT1145">
        <v>0</v>
      </c>
      <c r="BU1145">
        <v>0</v>
      </c>
      <c r="BV1145" t="s">
        <v>135</v>
      </c>
      <c r="BW1145">
        <v>0</v>
      </c>
      <c r="BX1145">
        <v>0</v>
      </c>
      <c r="BY1145" t="s">
        <v>135</v>
      </c>
      <c r="BZ1145">
        <v>0</v>
      </c>
      <c r="CA1145">
        <v>0</v>
      </c>
      <c r="CB1145" t="s">
        <v>135</v>
      </c>
      <c r="CH1145" s="2"/>
      <c r="CJ1145" s="2"/>
      <c r="CL1145" s="2"/>
      <c r="CN1145" s="2"/>
      <c r="CQ1145" s="2"/>
      <c r="CT1145" s="2"/>
      <c r="CW1145" s="2"/>
    </row>
    <row r="1146" spans="1:101" x14ac:dyDescent="0.25">
      <c r="A1146" s="1" t="s">
        <v>163</v>
      </c>
      <c r="B1146" s="75" t="s">
        <v>164</v>
      </c>
      <c r="C1146">
        <v>0</v>
      </c>
      <c r="D1146">
        <v>0</v>
      </c>
      <c r="E1146">
        <v>0</v>
      </c>
      <c r="F1146">
        <v>604324.56000000006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3.91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7490</v>
      </c>
      <c r="AW1146">
        <v>3350</v>
      </c>
      <c r="AX1146">
        <v>1219</v>
      </c>
      <c r="AY1146">
        <v>12059</v>
      </c>
      <c r="AZ1146">
        <v>4202</v>
      </c>
      <c r="BA1146">
        <v>7438</v>
      </c>
      <c r="BB1146">
        <v>1432</v>
      </c>
      <c r="BC1146">
        <v>13072</v>
      </c>
      <c r="BD1146">
        <v>9486</v>
      </c>
      <c r="BE1146">
        <v>9222</v>
      </c>
      <c r="BF1146">
        <v>1768</v>
      </c>
      <c r="BG1146">
        <v>20476</v>
      </c>
      <c r="BH1146">
        <v>0</v>
      </c>
      <c r="BI1146">
        <v>0</v>
      </c>
      <c r="BJ1146">
        <v>0</v>
      </c>
      <c r="BK1146">
        <v>0</v>
      </c>
      <c r="BL1146" s="2">
        <v>24.82</v>
      </c>
      <c r="BM1146" s="2">
        <v>42005.095138888886</v>
      </c>
      <c r="BN1146" s="2">
        <v>5.4</v>
      </c>
      <c r="BO1146" s="2">
        <v>42005.092361111114</v>
      </c>
      <c r="BP1146" s="2">
        <v>6.92</v>
      </c>
      <c r="BQ1146" s="2">
        <v>42005.092361111114</v>
      </c>
      <c r="BR1146" s="2">
        <v>11.07</v>
      </c>
      <c r="BS1146" s="2">
        <v>42005.092361111114</v>
      </c>
      <c r="BT1146">
        <v>0</v>
      </c>
      <c r="BU1146">
        <v>0</v>
      </c>
      <c r="BV1146" t="s">
        <v>135</v>
      </c>
      <c r="BW1146">
        <v>0</v>
      </c>
      <c r="BX1146">
        <v>0</v>
      </c>
      <c r="BY1146" t="s">
        <v>135</v>
      </c>
      <c r="BZ1146">
        <v>0</v>
      </c>
      <c r="CA1146">
        <v>0</v>
      </c>
      <c r="CB1146" t="s">
        <v>135</v>
      </c>
      <c r="CH1146" s="2"/>
      <c r="CJ1146" s="2"/>
      <c r="CL1146" s="2"/>
      <c r="CN1146" s="2"/>
      <c r="CQ1146" s="2"/>
      <c r="CT1146" s="2"/>
      <c r="CW1146" s="2"/>
    </row>
    <row r="1147" spans="1:101" x14ac:dyDescent="0.25">
      <c r="A1147" s="1" t="s">
        <v>163</v>
      </c>
      <c r="B1147" s="75" t="s">
        <v>164</v>
      </c>
      <c r="C1147">
        <v>0</v>
      </c>
      <c r="D1147">
        <v>0</v>
      </c>
      <c r="E1147">
        <v>0</v>
      </c>
      <c r="F1147">
        <v>604324.56000000006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3.91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7490</v>
      </c>
      <c r="AW1147">
        <v>3350</v>
      </c>
      <c r="AX1147">
        <v>1219</v>
      </c>
      <c r="AY1147">
        <v>12059</v>
      </c>
      <c r="AZ1147">
        <v>4202</v>
      </c>
      <c r="BA1147">
        <v>7438</v>
      </c>
      <c r="BB1147">
        <v>1432</v>
      </c>
      <c r="BC1147">
        <v>13072</v>
      </c>
      <c r="BD1147">
        <v>9486</v>
      </c>
      <c r="BE1147">
        <v>9222</v>
      </c>
      <c r="BF1147">
        <v>1768</v>
      </c>
      <c r="BG1147">
        <v>20476</v>
      </c>
      <c r="BH1147">
        <v>0</v>
      </c>
      <c r="BI1147">
        <v>0</v>
      </c>
      <c r="BJ1147">
        <v>0</v>
      </c>
      <c r="BK1147">
        <v>0</v>
      </c>
      <c r="BL1147" s="2">
        <v>24.82</v>
      </c>
      <c r="BM1147" s="2">
        <v>42005.095138888886</v>
      </c>
      <c r="BN1147" s="2">
        <v>5.4</v>
      </c>
      <c r="BO1147" s="2">
        <v>42005.092361111114</v>
      </c>
      <c r="BP1147" s="2">
        <v>6.92</v>
      </c>
      <c r="BQ1147" s="2">
        <v>42005.092361111114</v>
      </c>
      <c r="BR1147" s="2">
        <v>11.07</v>
      </c>
      <c r="BS1147" s="2">
        <v>42005.092361111114</v>
      </c>
      <c r="BT1147">
        <v>0</v>
      </c>
      <c r="BU1147">
        <v>0</v>
      </c>
      <c r="BV1147" t="s">
        <v>135</v>
      </c>
      <c r="BW1147">
        <v>0</v>
      </c>
      <c r="BX1147">
        <v>0</v>
      </c>
      <c r="BY1147" t="s">
        <v>135</v>
      </c>
      <c r="BZ1147">
        <v>0</v>
      </c>
      <c r="CA1147">
        <v>0</v>
      </c>
      <c r="CB1147" t="s">
        <v>135</v>
      </c>
      <c r="CH1147" s="2"/>
      <c r="CJ1147" s="2"/>
      <c r="CL1147" s="2"/>
      <c r="CN1147" s="2"/>
      <c r="CQ1147" s="2"/>
      <c r="CT1147" s="2"/>
      <c r="CW1147" s="2"/>
    </row>
    <row r="1148" spans="1:101" x14ac:dyDescent="0.25">
      <c r="A1148" s="1" t="s">
        <v>163</v>
      </c>
      <c r="B1148" s="75" t="s">
        <v>164</v>
      </c>
      <c r="C1148">
        <v>0</v>
      </c>
      <c r="D1148">
        <v>0</v>
      </c>
      <c r="E1148">
        <v>0</v>
      </c>
      <c r="F1148">
        <v>604324.56000000006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3.91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7490</v>
      </c>
      <c r="AW1148">
        <v>3350</v>
      </c>
      <c r="AX1148">
        <v>1219</v>
      </c>
      <c r="AY1148">
        <v>12059</v>
      </c>
      <c r="AZ1148">
        <v>4202</v>
      </c>
      <c r="BA1148">
        <v>7438</v>
      </c>
      <c r="BB1148">
        <v>1432</v>
      </c>
      <c r="BC1148">
        <v>13072</v>
      </c>
      <c r="BD1148">
        <v>9486</v>
      </c>
      <c r="BE1148">
        <v>9222</v>
      </c>
      <c r="BF1148">
        <v>1768</v>
      </c>
      <c r="BG1148">
        <v>20476</v>
      </c>
      <c r="BH1148">
        <v>0</v>
      </c>
      <c r="BI1148">
        <v>0</v>
      </c>
      <c r="BJ1148">
        <v>0</v>
      </c>
      <c r="BK1148">
        <v>0</v>
      </c>
      <c r="BL1148" s="2">
        <v>24.82</v>
      </c>
      <c r="BM1148" s="2">
        <v>42005.095138888886</v>
      </c>
      <c r="BN1148" s="2">
        <v>5.4</v>
      </c>
      <c r="BO1148" s="2">
        <v>42005.092361111114</v>
      </c>
      <c r="BP1148" s="2">
        <v>6.92</v>
      </c>
      <c r="BQ1148" s="2">
        <v>42005.092361111114</v>
      </c>
      <c r="BR1148" s="2">
        <v>11.07</v>
      </c>
      <c r="BS1148" s="2">
        <v>42005.092361111114</v>
      </c>
      <c r="BT1148">
        <v>0</v>
      </c>
      <c r="BU1148">
        <v>0</v>
      </c>
      <c r="BV1148" t="s">
        <v>135</v>
      </c>
      <c r="BW1148">
        <v>0</v>
      </c>
      <c r="BX1148">
        <v>0</v>
      </c>
      <c r="BY1148" t="s">
        <v>135</v>
      </c>
      <c r="BZ1148">
        <v>0</v>
      </c>
      <c r="CA1148">
        <v>0</v>
      </c>
      <c r="CB1148" t="s">
        <v>135</v>
      </c>
      <c r="CH1148" s="2"/>
      <c r="CJ1148" s="2"/>
      <c r="CL1148" s="2"/>
      <c r="CN1148" s="2"/>
      <c r="CQ1148" s="2"/>
      <c r="CT1148" s="2"/>
      <c r="CW1148" s="2"/>
    </row>
    <row r="1149" spans="1:101" x14ac:dyDescent="0.25">
      <c r="A1149" s="1" t="s">
        <v>163</v>
      </c>
      <c r="B1149" s="75" t="s">
        <v>164</v>
      </c>
      <c r="C1149">
        <v>0</v>
      </c>
      <c r="D1149">
        <v>0</v>
      </c>
      <c r="E1149">
        <v>0</v>
      </c>
      <c r="F1149">
        <v>604324.56000000006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3.91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7490</v>
      </c>
      <c r="AW1149">
        <v>3350</v>
      </c>
      <c r="AX1149">
        <v>1219</v>
      </c>
      <c r="AY1149">
        <v>12059</v>
      </c>
      <c r="AZ1149">
        <v>4202</v>
      </c>
      <c r="BA1149">
        <v>7438</v>
      </c>
      <c r="BB1149">
        <v>1432</v>
      </c>
      <c r="BC1149">
        <v>13072</v>
      </c>
      <c r="BD1149">
        <v>9486</v>
      </c>
      <c r="BE1149">
        <v>9222</v>
      </c>
      <c r="BF1149">
        <v>1768</v>
      </c>
      <c r="BG1149">
        <v>20476</v>
      </c>
      <c r="BH1149">
        <v>0</v>
      </c>
      <c r="BI1149">
        <v>0</v>
      </c>
      <c r="BJ1149">
        <v>0</v>
      </c>
      <c r="BK1149">
        <v>0</v>
      </c>
      <c r="BL1149" s="2">
        <v>24.82</v>
      </c>
      <c r="BM1149" s="2">
        <v>42005.095138888886</v>
      </c>
      <c r="BN1149" s="2">
        <v>5.4</v>
      </c>
      <c r="BO1149" s="2">
        <v>42005.092361111114</v>
      </c>
      <c r="BP1149" s="2">
        <v>6.92</v>
      </c>
      <c r="BQ1149" s="2">
        <v>42005.092361111114</v>
      </c>
      <c r="BR1149" s="2">
        <v>11.07</v>
      </c>
      <c r="BS1149" s="2">
        <v>42005.092361111114</v>
      </c>
      <c r="BT1149">
        <v>0</v>
      </c>
      <c r="BU1149">
        <v>0</v>
      </c>
      <c r="BV1149" t="s">
        <v>135</v>
      </c>
      <c r="BW1149">
        <v>0</v>
      </c>
      <c r="BX1149">
        <v>0</v>
      </c>
      <c r="BY1149" t="s">
        <v>135</v>
      </c>
      <c r="BZ1149">
        <v>0</v>
      </c>
      <c r="CA1149">
        <v>0</v>
      </c>
      <c r="CB1149" t="s">
        <v>135</v>
      </c>
      <c r="CH1149" s="2"/>
      <c r="CJ1149" s="2"/>
      <c r="CL1149" s="2"/>
      <c r="CN1149" s="2"/>
      <c r="CQ1149" s="2"/>
      <c r="CT1149" s="2"/>
      <c r="CW1149" s="2"/>
    </row>
    <row r="1150" spans="1:101" x14ac:dyDescent="0.25">
      <c r="A1150" s="1" t="s">
        <v>163</v>
      </c>
      <c r="B1150" s="75" t="s">
        <v>164</v>
      </c>
      <c r="C1150">
        <v>0</v>
      </c>
      <c r="D1150">
        <v>0</v>
      </c>
      <c r="E1150">
        <v>0</v>
      </c>
      <c r="F1150">
        <v>604324.56000000006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3.91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7490</v>
      </c>
      <c r="AW1150">
        <v>3350</v>
      </c>
      <c r="AX1150">
        <v>1219</v>
      </c>
      <c r="AY1150">
        <v>12059</v>
      </c>
      <c r="AZ1150">
        <v>4202</v>
      </c>
      <c r="BA1150">
        <v>7438</v>
      </c>
      <c r="BB1150">
        <v>1432</v>
      </c>
      <c r="BC1150">
        <v>13072</v>
      </c>
      <c r="BD1150">
        <v>9486</v>
      </c>
      <c r="BE1150">
        <v>9222</v>
      </c>
      <c r="BF1150">
        <v>1768</v>
      </c>
      <c r="BG1150">
        <v>20476</v>
      </c>
      <c r="BH1150">
        <v>0</v>
      </c>
      <c r="BI1150">
        <v>0</v>
      </c>
      <c r="BJ1150">
        <v>0</v>
      </c>
      <c r="BK1150">
        <v>0</v>
      </c>
      <c r="BL1150" s="2">
        <v>24.82</v>
      </c>
      <c r="BM1150" s="2">
        <v>42005.095138888886</v>
      </c>
      <c r="BN1150" s="2">
        <v>5.4</v>
      </c>
      <c r="BO1150" s="2">
        <v>42005.092361111114</v>
      </c>
      <c r="BP1150" s="2">
        <v>6.92</v>
      </c>
      <c r="BQ1150" s="2">
        <v>42005.092361111114</v>
      </c>
      <c r="BR1150" s="2">
        <v>11.07</v>
      </c>
      <c r="BS1150" s="2">
        <v>42005.092361111114</v>
      </c>
      <c r="BT1150">
        <v>0</v>
      </c>
      <c r="BU1150">
        <v>0</v>
      </c>
      <c r="BV1150" t="s">
        <v>135</v>
      </c>
      <c r="BW1150">
        <v>0</v>
      </c>
      <c r="BX1150">
        <v>0</v>
      </c>
      <c r="BY1150" t="s">
        <v>135</v>
      </c>
      <c r="BZ1150">
        <v>0</v>
      </c>
      <c r="CA1150">
        <v>0</v>
      </c>
      <c r="CB1150" t="s">
        <v>135</v>
      </c>
      <c r="CH1150" s="2"/>
      <c r="CJ1150" s="2"/>
      <c r="CL1150" s="2"/>
      <c r="CN1150" s="2"/>
      <c r="CQ1150" s="2"/>
      <c r="CT1150" s="2"/>
      <c r="CW1150" s="2"/>
    </row>
    <row r="1151" spans="1:101" x14ac:dyDescent="0.25">
      <c r="A1151" s="1" t="s">
        <v>163</v>
      </c>
      <c r="B1151" s="75" t="s">
        <v>164</v>
      </c>
      <c r="C1151">
        <v>0</v>
      </c>
      <c r="D1151">
        <v>0</v>
      </c>
      <c r="E1151">
        <v>0</v>
      </c>
      <c r="F1151">
        <v>604324.56000000006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3.91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7490</v>
      </c>
      <c r="AW1151">
        <v>3350</v>
      </c>
      <c r="AX1151">
        <v>1219</v>
      </c>
      <c r="AY1151">
        <v>12059</v>
      </c>
      <c r="AZ1151">
        <v>4202</v>
      </c>
      <c r="BA1151">
        <v>7438</v>
      </c>
      <c r="BB1151">
        <v>1432</v>
      </c>
      <c r="BC1151">
        <v>13072</v>
      </c>
      <c r="BD1151">
        <v>9486</v>
      </c>
      <c r="BE1151">
        <v>9222</v>
      </c>
      <c r="BF1151">
        <v>1768</v>
      </c>
      <c r="BG1151">
        <v>20476</v>
      </c>
      <c r="BH1151">
        <v>0</v>
      </c>
      <c r="BI1151">
        <v>0</v>
      </c>
      <c r="BJ1151">
        <v>0</v>
      </c>
      <c r="BK1151">
        <v>0</v>
      </c>
      <c r="BL1151" s="2">
        <v>24.82</v>
      </c>
      <c r="BM1151" s="2">
        <v>42005.095138888886</v>
      </c>
      <c r="BN1151" s="2">
        <v>5.4</v>
      </c>
      <c r="BO1151" s="2">
        <v>42005.092361111114</v>
      </c>
      <c r="BP1151" s="2">
        <v>6.92</v>
      </c>
      <c r="BQ1151" s="2">
        <v>42005.092361111114</v>
      </c>
      <c r="BR1151" s="2">
        <v>11.07</v>
      </c>
      <c r="BS1151" s="2">
        <v>42005.092361111114</v>
      </c>
      <c r="BT1151">
        <v>0</v>
      </c>
      <c r="BU1151">
        <v>0</v>
      </c>
      <c r="BV1151" t="s">
        <v>135</v>
      </c>
      <c r="BW1151">
        <v>0</v>
      </c>
      <c r="BX1151">
        <v>0</v>
      </c>
      <c r="BY1151" t="s">
        <v>135</v>
      </c>
      <c r="BZ1151">
        <v>0</v>
      </c>
      <c r="CA1151">
        <v>0</v>
      </c>
      <c r="CB1151" t="s">
        <v>135</v>
      </c>
      <c r="CH1151" s="2"/>
      <c r="CJ1151" s="2"/>
      <c r="CL1151" s="2"/>
      <c r="CN1151" s="2"/>
      <c r="CQ1151" s="2"/>
      <c r="CT1151" s="2"/>
      <c r="CW1151" s="2"/>
    </row>
    <row r="1152" spans="1:101" x14ac:dyDescent="0.25">
      <c r="A1152" s="1" t="s">
        <v>163</v>
      </c>
      <c r="B1152" s="75" t="s">
        <v>164</v>
      </c>
      <c r="C1152">
        <v>0</v>
      </c>
      <c r="D1152">
        <v>0</v>
      </c>
      <c r="E1152">
        <v>0</v>
      </c>
      <c r="F1152">
        <v>604324.56000000006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3.91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7490</v>
      </c>
      <c r="AW1152">
        <v>3350</v>
      </c>
      <c r="AX1152">
        <v>1219</v>
      </c>
      <c r="AY1152">
        <v>12059</v>
      </c>
      <c r="AZ1152">
        <v>4202</v>
      </c>
      <c r="BA1152">
        <v>7438</v>
      </c>
      <c r="BB1152">
        <v>1432</v>
      </c>
      <c r="BC1152">
        <v>13072</v>
      </c>
      <c r="BD1152">
        <v>9486</v>
      </c>
      <c r="BE1152">
        <v>9222</v>
      </c>
      <c r="BF1152">
        <v>1768</v>
      </c>
      <c r="BG1152">
        <v>20476</v>
      </c>
      <c r="BH1152">
        <v>0</v>
      </c>
      <c r="BI1152">
        <v>0</v>
      </c>
      <c r="BJ1152">
        <v>0</v>
      </c>
      <c r="BK1152">
        <v>0</v>
      </c>
      <c r="BL1152" s="2">
        <v>24.82</v>
      </c>
      <c r="BM1152" s="2">
        <v>42005.095138888886</v>
      </c>
      <c r="BN1152" s="2">
        <v>5.4</v>
      </c>
      <c r="BO1152" s="2">
        <v>42005.092361111114</v>
      </c>
      <c r="BP1152" s="2">
        <v>6.92</v>
      </c>
      <c r="BQ1152" s="2">
        <v>42005.092361111114</v>
      </c>
      <c r="BR1152" s="2">
        <v>11.07</v>
      </c>
      <c r="BS1152" s="2">
        <v>42005.092361111114</v>
      </c>
      <c r="BT1152">
        <v>0</v>
      </c>
      <c r="BU1152">
        <v>0</v>
      </c>
      <c r="BV1152" t="s">
        <v>135</v>
      </c>
      <c r="BW1152">
        <v>0</v>
      </c>
      <c r="BX1152">
        <v>0</v>
      </c>
      <c r="BY1152" t="s">
        <v>135</v>
      </c>
      <c r="BZ1152">
        <v>0</v>
      </c>
      <c r="CA1152">
        <v>0</v>
      </c>
      <c r="CB1152" t="s">
        <v>135</v>
      </c>
      <c r="CH1152" s="2"/>
      <c r="CJ1152" s="2"/>
      <c r="CL1152" s="2"/>
      <c r="CN1152" s="2"/>
      <c r="CQ1152" s="2"/>
      <c r="CT1152" s="2"/>
      <c r="CW1152" s="2"/>
    </row>
    <row r="1153" spans="1:101" x14ac:dyDescent="0.25">
      <c r="A1153" s="1" t="s">
        <v>163</v>
      </c>
      <c r="B1153" s="75" t="s">
        <v>164</v>
      </c>
      <c r="C1153">
        <v>0</v>
      </c>
      <c r="D1153">
        <v>0</v>
      </c>
      <c r="E1153">
        <v>0</v>
      </c>
      <c r="F1153">
        <v>604324.56000000006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3.91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7490</v>
      </c>
      <c r="AW1153">
        <v>3350</v>
      </c>
      <c r="AX1153">
        <v>1219</v>
      </c>
      <c r="AY1153">
        <v>12059</v>
      </c>
      <c r="AZ1153">
        <v>4202</v>
      </c>
      <c r="BA1153">
        <v>7438</v>
      </c>
      <c r="BB1153">
        <v>1432</v>
      </c>
      <c r="BC1153">
        <v>13072</v>
      </c>
      <c r="BD1153">
        <v>9486</v>
      </c>
      <c r="BE1153">
        <v>9222</v>
      </c>
      <c r="BF1153">
        <v>1768</v>
      </c>
      <c r="BG1153">
        <v>20476</v>
      </c>
      <c r="BH1153">
        <v>0</v>
      </c>
      <c r="BI1153">
        <v>0</v>
      </c>
      <c r="BJ1153">
        <v>0</v>
      </c>
      <c r="BK1153">
        <v>0</v>
      </c>
      <c r="BL1153" s="2">
        <v>24.82</v>
      </c>
      <c r="BM1153" s="2">
        <v>42005.095138888886</v>
      </c>
      <c r="BN1153" s="2">
        <v>5.4</v>
      </c>
      <c r="BO1153" s="2">
        <v>42005.092361111114</v>
      </c>
      <c r="BP1153" s="2">
        <v>6.92</v>
      </c>
      <c r="BQ1153" s="2">
        <v>42005.092361111114</v>
      </c>
      <c r="BR1153" s="2">
        <v>11.07</v>
      </c>
      <c r="BS1153" s="2">
        <v>42005.092361111114</v>
      </c>
      <c r="BT1153">
        <v>0</v>
      </c>
      <c r="BU1153">
        <v>0</v>
      </c>
      <c r="BV1153" t="s">
        <v>135</v>
      </c>
      <c r="BW1153">
        <v>0</v>
      </c>
      <c r="BX1153">
        <v>0</v>
      </c>
      <c r="BY1153" t="s">
        <v>135</v>
      </c>
      <c r="BZ1153">
        <v>0</v>
      </c>
      <c r="CA1153">
        <v>0</v>
      </c>
      <c r="CB1153" t="s">
        <v>135</v>
      </c>
      <c r="CH1153" s="2"/>
      <c r="CJ1153" s="2"/>
      <c r="CL1153" s="2"/>
      <c r="CN1153" s="2"/>
      <c r="CQ1153" s="2"/>
      <c r="CT1153" s="2"/>
      <c r="CW1153" s="2"/>
    </row>
    <row r="1154" spans="1:101" x14ac:dyDescent="0.25">
      <c r="A1154" s="1" t="s">
        <v>163</v>
      </c>
      <c r="B1154" s="75" t="s">
        <v>164</v>
      </c>
      <c r="C1154">
        <v>0</v>
      </c>
      <c r="D1154">
        <v>0</v>
      </c>
      <c r="E1154">
        <v>0</v>
      </c>
      <c r="F1154">
        <v>604324.56000000006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3.91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7490</v>
      </c>
      <c r="AW1154">
        <v>3350</v>
      </c>
      <c r="AX1154">
        <v>1219</v>
      </c>
      <c r="AY1154">
        <v>12059</v>
      </c>
      <c r="AZ1154">
        <v>4202</v>
      </c>
      <c r="BA1154">
        <v>7438</v>
      </c>
      <c r="BB1154">
        <v>1432</v>
      </c>
      <c r="BC1154">
        <v>13072</v>
      </c>
      <c r="BD1154">
        <v>9486</v>
      </c>
      <c r="BE1154">
        <v>9222</v>
      </c>
      <c r="BF1154">
        <v>1768</v>
      </c>
      <c r="BG1154">
        <v>20476</v>
      </c>
      <c r="BH1154">
        <v>0</v>
      </c>
      <c r="BI1154">
        <v>0</v>
      </c>
      <c r="BJ1154">
        <v>0</v>
      </c>
      <c r="BK1154">
        <v>0</v>
      </c>
      <c r="BL1154" s="2">
        <v>24.82</v>
      </c>
      <c r="BM1154" s="2">
        <v>42005.095138888886</v>
      </c>
      <c r="BN1154" s="2">
        <v>5.4</v>
      </c>
      <c r="BO1154" s="2">
        <v>42005.092361111114</v>
      </c>
      <c r="BP1154" s="2">
        <v>6.92</v>
      </c>
      <c r="BQ1154" s="2">
        <v>42005.092361111114</v>
      </c>
      <c r="BR1154" s="2">
        <v>11.07</v>
      </c>
      <c r="BS1154" s="2">
        <v>42005.092361111114</v>
      </c>
      <c r="BT1154">
        <v>0</v>
      </c>
      <c r="BU1154">
        <v>0</v>
      </c>
      <c r="BV1154" t="s">
        <v>135</v>
      </c>
      <c r="BW1154">
        <v>0</v>
      </c>
      <c r="BX1154">
        <v>0</v>
      </c>
      <c r="BY1154" t="s">
        <v>135</v>
      </c>
      <c r="BZ1154">
        <v>0</v>
      </c>
      <c r="CA1154">
        <v>0</v>
      </c>
      <c r="CB1154" t="s">
        <v>135</v>
      </c>
      <c r="CH1154" s="2"/>
      <c r="CJ1154" s="2"/>
      <c r="CL1154" s="2"/>
      <c r="CN1154" s="2"/>
      <c r="CQ1154" s="2"/>
      <c r="CT1154" s="2"/>
      <c r="CW1154" s="2"/>
    </row>
    <row r="1155" spans="1:101" x14ac:dyDescent="0.25">
      <c r="A1155" s="1" t="s">
        <v>163</v>
      </c>
      <c r="B1155" s="75" t="s">
        <v>164</v>
      </c>
      <c r="C1155">
        <v>0</v>
      </c>
      <c r="D1155">
        <v>0</v>
      </c>
      <c r="E1155">
        <v>0</v>
      </c>
      <c r="F1155">
        <v>604324.56000000006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3.91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7490</v>
      </c>
      <c r="AW1155">
        <v>3350</v>
      </c>
      <c r="AX1155">
        <v>1219</v>
      </c>
      <c r="AY1155">
        <v>12059</v>
      </c>
      <c r="AZ1155">
        <v>4202</v>
      </c>
      <c r="BA1155">
        <v>7438</v>
      </c>
      <c r="BB1155">
        <v>1432</v>
      </c>
      <c r="BC1155">
        <v>13072</v>
      </c>
      <c r="BD1155">
        <v>9486</v>
      </c>
      <c r="BE1155">
        <v>9222</v>
      </c>
      <c r="BF1155">
        <v>1768</v>
      </c>
      <c r="BG1155">
        <v>20476</v>
      </c>
      <c r="BH1155">
        <v>0</v>
      </c>
      <c r="BI1155">
        <v>0</v>
      </c>
      <c r="BJ1155">
        <v>0</v>
      </c>
      <c r="BK1155">
        <v>0</v>
      </c>
      <c r="BL1155" s="2">
        <v>24.82</v>
      </c>
      <c r="BM1155" s="2">
        <v>42005.095138888886</v>
      </c>
      <c r="BN1155" s="2">
        <v>5.4</v>
      </c>
      <c r="BO1155" s="2">
        <v>42005.092361111114</v>
      </c>
      <c r="BP1155" s="2">
        <v>6.92</v>
      </c>
      <c r="BQ1155" s="2">
        <v>42005.092361111114</v>
      </c>
      <c r="BR1155" s="2">
        <v>11.07</v>
      </c>
      <c r="BS1155" s="2">
        <v>42005.092361111114</v>
      </c>
      <c r="BT1155">
        <v>0</v>
      </c>
      <c r="BU1155">
        <v>0</v>
      </c>
      <c r="BV1155" t="s">
        <v>135</v>
      </c>
      <c r="BW1155">
        <v>0</v>
      </c>
      <c r="BX1155">
        <v>0</v>
      </c>
      <c r="BY1155" t="s">
        <v>135</v>
      </c>
      <c r="BZ1155">
        <v>0</v>
      </c>
      <c r="CA1155">
        <v>0</v>
      </c>
      <c r="CB1155" t="s">
        <v>135</v>
      </c>
      <c r="CH1155" s="2"/>
      <c r="CJ1155" s="2"/>
      <c r="CL1155" s="2"/>
      <c r="CN1155" s="2"/>
      <c r="CQ1155" s="2"/>
      <c r="CT1155" s="2"/>
      <c r="CW1155" s="2"/>
    </row>
    <row r="1156" spans="1:101" x14ac:dyDescent="0.25">
      <c r="A1156" s="1" t="s">
        <v>163</v>
      </c>
      <c r="B1156" s="75" t="s">
        <v>164</v>
      </c>
      <c r="C1156">
        <v>0</v>
      </c>
      <c r="D1156">
        <v>0</v>
      </c>
      <c r="E1156">
        <v>0</v>
      </c>
      <c r="F1156">
        <v>604324.56000000006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3.91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7490</v>
      </c>
      <c r="AW1156">
        <v>3350</v>
      </c>
      <c r="AX1156">
        <v>1219</v>
      </c>
      <c r="AY1156">
        <v>12059</v>
      </c>
      <c r="AZ1156">
        <v>4202</v>
      </c>
      <c r="BA1156">
        <v>7438</v>
      </c>
      <c r="BB1156">
        <v>1432</v>
      </c>
      <c r="BC1156">
        <v>13072</v>
      </c>
      <c r="BD1156">
        <v>9486</v>
      </c>
      <c r="BE1156">
        <v>9222</v>
      </c>
      <c r="BF1156">
        <v>1768</v>
      </c>
      <c r="BG1156">
        <v>20476</v>
      </c>
      <c r="BH1156">
        <v>0</v>
      </c>
      <c r="BI1156">
        <v>0</v>
      </c>
      <c r="BJ1156">
        <v>0</v>
      </c>
      <c r="BK1156">
        <v>0</v>
      </c>
      <c r="BL1156" s="2">
        <v>24.82</v>
      </c>
      <c r="BM1156" s="2">
        <v>42005.095138888886</v>
      </c>
      <c r="BN1156" s="2">
        <v>5.4</v>
      </c>
      <c r="BO1156" s="2">
        <v>42005.092361111114</v>
      </c>
      <c r="BP1156" s="2">
        <v>6.92</v>
      </c>
      <c r="BQ1156" s="2">
        <v>42005.092361111114</v>
      </c>
      <c r="BR1156" s="2">
        <v>11.07</v>
      </c>
      <c r="BS1156" s="2">
        <v>42005.092361111114</v>
      </c>
      <c r="BT1156">
        <v>0</v>
      </c>
      <c r="BU1156">
        <v>0</v>
      </c>
      <c r="BV1156" t="s">
        <v>135</v>
      </c>
      <c r="BW1156">
        <v>0</v>
      </c>
      <c r="BX1156">
        <v>0</v>
      </c>
      <c r="BY1156" t="s">
        <v>135</v>
      </c>
      <c r="BZ1156">
        <v>0</v>
      </c>
      <c r="CA1156">
        <v>0</v>
      </c>
      <c r="CB1156" t="s">
        <v>135</v>
      </c>
      <c r="CH1156" s="2"/>
      <c r="CJ1156" s="2"/>
      <c r="CL1156" s="2"/>
      <c r="CN1156" s="2"/>
      <c r="CQ1156" s="2"/>
      <c r="CT1156" s="2"/>
      <c r="CW1156" s="2"/>
    </row>
    <row r="1157" spans="1:101" x14ac:dyDescent="0.25">
      <c r="A1157" s="1" t="s">
        <v>163</v>
      </c>
      <c r="B1157" s="75" t="s">
        <v>164</v>
      </c>
      <c r="C1157">
        <v>0</v>
      </c>
      <c r="D1157">
        <v>0</v>
      </c>
      <c r="E1157">
        <v>0</v>
      </c>
      <c r="F1157">
        <v>604324.56000000006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3.91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7490</v>
      </c>
      <c r="AW1157">
        <v>3350</v>
      </c>
      <c r="AX1157">
        <v>1219</v>
      </c>
      <c r="AY1157">
        <v>12059</v>
      </c>
      <c r="AZ1157">
        <v>4202</v>
      </c>
      <c r="BA1157">
        <v>7438</v>
      </c>
      <c r="BB1157">
        <v>1432</v>
      </c>
      <c r="BC1157">
        <v>13072</v>
      </c>
      <c r="BD1157">
        <v>9486</v>
      </c>
      <c r="BE1157">
        <v>9222</v>
      </c>
      <c r="BF1157">
        <v>1768</v>
      </c>
      <c r="BG1157">
        <v>20476</v>
      </c>
      <c r="BH1157">
        <v>0</v>
      </c>
      <c r="BI1157">
        <v>0</v>
      </c>
      <c r="BJ1157">
        <v>0</v>
      </c>
      <c r="BK1157">
        <v>0</v>
      </c>
      <c r="BL1157" s="2">
        <v>24.82</v>
      </c>
      <c r="BM1157" s="2">
        <v>42005.095138888886</v>
      </c>
      <c r="BN1157" s="2">
        <v>5.4</v>
      </c>
      <c r="BO1157" s="2">
        <v>42005.092361111114</v>
      </c>
      <c r="BP1157" s="2">
        <v>6.92</v>
      </c>
      <c r="BQ1157" s="2">
        <v>42005.092361111114</v>
      </c>
      <c r="BR1157" s="2">
        <v>11.07</v>
      </c>
      <c r="BS1157" s="2">
        <v>42005.092361111114</v>
      </c>
      <c r="BT1157">
        <v>0</v>
      </c>
      <c r="BU1157">
        <v>0</v>
      </c>
      <c r="BV1157" t="s">
        <v>135</v>
      </c>
      <c r="BW1157">
        <v>0</v>
      </c>
      <c r="BX1157">
        <v>0</v>
      </c>
      <c r="BY1157" t="s">
        <v>135</v>
      </c>
      <c r="BZ1157">
        <v>0</v>
      </c>
      <c r="CA1157">
        <v>0</v>
      </c>
      <c r="CB1157" t="s">
        <v>135</v>
      </c>
      <c r="CH1157" s="2"/>
      <c r="CJ1157" s="2"/>
      <c r="CL1157" s="2"/>
      <c r="CN1157" s="2"/>
      <c r="CQ1157" s="2"/>
      <c r="CT1157" s="2"/>
      <c r="CW1157" s="2"/>
    </row>
    <row r="1158" spans="1:101" x14ac:dyDescent="0.25">
      <c r="A1158" s="1" t="s">
        <v>163</v>
      </c>
      <c r="B1158" s="75" t="s">
        <v>164</v>
      </c>
      <c r="C1158">
        <v>0</v>
      </c>
      <c r="D1158">
        <v>0</v>
      </c>
      <c r="E1158">
        <v>0</v>
      </c>
      <c r="F1158">
        <v>604324.56000000006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3.91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7490</v>
      </c>
      <c r="AW1158">
        <v>3350</v>
      </c>
      <c r="AX1158">
        <v>1219</v>
      </c>
      <c r="AY1158">
        <v>12059</v>
      </c>
      <c r="AZ1158">
        <v>4202</v>
      </c>
      <c r="BA1158">
        <v>7438</v>
      </c>
      <c r="BB1158">
        <v>1432</v>
      </c>
      <c r="BC1158">
        <v>13072</v>
      </c>
      <c r="BD1158">
        <v>9486</v>
      </c>
      <c r="BE1158">
        <v>9222</v>
      </c>
      <c r="BF1158">
        <v>1768</v>
      </c>
      <c r="BG1158">
        <v>20476</v>
      </c>
      <c r="BH1158">
        <v>0</v>
      </c>
      <c r="BI1158">
        <v>0</v>
      </c>
      <c r="BJ1158">
        <v>0</v>
      </c>
      <c r="BK1158">
        <v>0</v>
      </c>
      <c r="BL1158" s="2">
        <v>24.82</v>
      </c>
      <c r="BM1158" s="2">
        <v>42005.095138888886</v>
      </c>
      <c r="BN1158" s="2">
        <v>5.4</v>
      </c>
      <c r="BO1158" s="2">
        <v>42005.092361111114</v>
      </c>
      <c r="BP1158" s="2">
        <v>6.92</v>
      </c>
      <c r="BQ1158" s="2">
        <v>42005.092361111114</v>
      </c>
      <c r="BR1158" s="2">
        <v>11.07</v>
      </c>
      <c r="BS1158" s="2">
        <v>42005.092361111114</v>
      </c>
      <c r="BT1158">
        <v>0</v>
      </c>
      <c r="BU1158">
        <v>0</v>
      </c>
      <c r="BV1158" t="s">
        <v>135</v>
      </c>
      <c r="BW1158">
        <v>0</v>
      </c>
      <c r="BX1158">
        <v>0</v>
      </c>
      <c r="BY1158" t="s">
        <v>135</v>
      </c>
      <c r="BZ1158">
        <v>0</v>
      </c>
      <c r="CA1158">
        <v>0</v>
      </c>
      <c r="CB1158" t="s">
        <v>135</v>
      </c>
      <c r="CH1158" s="2"/>
      <c r="CJ1158" s="2"/>
      <c r="CL1158" s="2"/>
      <c r="CN1158" s="2"/>
      <c r="CQ1158" s="2"/>
      <c r="CT1158" s="2"/>
      <c r="CW1158" s="2"/>
    </row>
    <row r="1159" spans="1:101" x14ac:dyDescent="0.25">
      <c r="A1159" s="1" t="s">
        <v>163</v>
      </c>
      <c r="B1159" s="75" t="s">
        <v>164</v>
      </c>
      <c r="C1159">
        <v>0</v>
      </c>
      <c r="D1159">
        <v>0</v>
      </c>
      <c r="E1159">
        <v>0</v>
      </c>
      <c r="F1159">
        <v>604324.56000000006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3.91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7490</v>
      </c>
      <c r="AW1159">
        <v>3350</v>
      </c>
      <c r="AX1159">
        <v>1219</v>
      </c>
      <c r="AY1159">
        <v>12059</v>
      </c>
      <c r="AZ1159">
        <v>4202</v>
      </c>
      <c r="BA1159">
        <v>7438</v>
      </c>
      <c r="BB1159">
        <v>1432</v>
      </c>
      <c r="BC1159">
        <v>13072</v>
      </c>
      <c r="BD1159">
        <v>9486</v>
      </c>
      <c r="BE1159">
        <v>9222</v>
      </c>
      <c r="BF1159">
        <v>1768</v>
      </c>
      <c r="BG1159">
        <v>20476</v>
      </c>
      <c r="BH1159">
        <v>0</v>
      </c>
      <c r="BI1159">
        <v>0</v>
      </c>
      <c r="BJ1159">
        <v>0</v>
      </c>
      <c r="BK1159">
        <v>0</v>
      </c>
      <c r="BL1159" s="2">
        <v>24.82</v>
      </c>
      <c r="BM1159" s="2">
        <v>42005.095138888886</v>
      </c>
      <c r="BN1159" s="2">
        <v>5.4</v>
      </c>
      <c r="BO1159" s="2">
        <v>42005.092361111114</v>
      </c>
      <c r="BP1159" s="2">
        <v>6.92</v>
      </c>
      <c r="BQ1159" s="2">
        <v>42005.092361111114</v>
      </c>
      <c r="BR1159" s="2">
        <v>11.07</v>
      </c>
      <c r="BS1159" s="2">
        <v>42005.092361111114</v>
      </c>
      <c r="BT1159">
        <v>0</v>
      </c>
      <c r="BU1159">
        <v>0</v>
      </c>
      <c r="BV1159" t="s">
        <v>135</v>
      </c>
      <c r="BW1159">
        <v>0</v>
      </c>
      <c r="BX1159">
        <v>0</v>
      </c>
      <c r="BY1159" t="s">
        <v>135</v>
      </c>
      <c r="BZ1159">
        <v>0</v>
      </c>
      <c r="CA1159">
        <v>0</v>
      </c>
      <c r="CB1159" t="s">
        <v>135</v>
      </c>
      <c r="CH1159" s="2"/>
      <c r="CJ1159" s="2"/>
      <c r="CL1159" s="2"/>
      <c r="CN1159" s="2"/>
      <c r="CQ1159" s="2"/>
      <c r="CT1159" s="2"/>
      <c r="CW1159" s="2"/>
    </row>
    <row r="1160" spans="1:101" x14ac:dyDescent="0.25">
      <c r="A1160" s="1" t="s">
        <v>163</v>
      </c>
      <c r="B1160" s="75" t="s">
        <v>164</v>
      </c>
      <c r="C1160">
        <v>0</v>
      </c>
      <c r="D1160">
        <v>0</v>
      </c>
      <c r="E1160">
        <v>0</v>
      </c>
      <c r="F1160">
        <v>604324.56000000006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3.91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7490</v>
      </c>
      <c r="AW1160">
        <v>3350</v>
      </c>
      <c r="AX1160">
        <v>1219</v>
      </c>
      <c r="AY1160">
        <v>12059</v>
      </c>
      <c r="AZ1160">
        <v>4202</v>
      </c>
      <c r="BA1160">
        <v>7438</v>
      </c>
      <c r="BB1160">
        <v>1432</v>
      </c>
      <c r="BC1160">
        <v>13072</v>
      </c>
      <c r="BD1160">
        <v>9486</v>
      </c>
      <c r="BE1160">
        <v>9222</v>
      </c>
      <c r="BF1160">
        <v>1768</v>
      </c>
      <c r="BG1160">
        <v>20476</v>
      </c>
      <c r="BH1160">
        <v>0</v>
      </c>
      <c r="BI1160">
        <v>0</v>
      </c>
      <c r="BJ1160">
        <v>0</v>
      </c>
      <c r="BK1160">
        <v>0</v>
      </c>
      <c r="BL1160" s="2">
        <v>24.82</v>
      </c>
      <c r="BM1160" s="2">
        <v>42005.095138888886</v>
      </c>
      <c r="BN1160" s="2">
        <v>5.4</v>
      </c>
      <c r="BO1160" s="2">
        <v>42005.092361111114</v>
      </c>
      <c r="BP1160" s="2">
        <v>6.92</v>
      </c>
      <c r="BQ1160" s="2">
        <v>42005.092361111114</v>
      </c>
      <c r="BR1160" s="2">
        <v>11.07</v>
      </c>
      <c r="BS1160" s="2">
        <v>42005.092361111114</v>
      </c>
      <c r="BT1160">
        <v>0</v>
      </c>
      <c r="BU1160">
        <v>0</v>
      </c>
      <c r="BV1160" t="s">
        <v>135</v>
      </c>
      <c r="BW1160">
        <v>0</v>
      </c>
      <c r="BX1160">
        <v>0</v>
      </c>
      <c r="BY1160" t="s">
        <v>135</v>
      </c>
      <c r="BZ1160">
        <v>0</v>
      </c>
      <c r="CA1160">
        <v>0</v>
      </c>
      <c r="CB1160" t="s">
        <v>135</v>
      </c>
      <c r="CH1160" s="2"/>
      <c r="CJ1160" s="2"/>
      <c r="CL1160" s="2"/>
      <c r="CN1160" s="2"/>
      <c r="CQ1160" s="2"/>
      <c r="CT1160" s="2"/>
      <c r="CW1160" s="2"/>
    </row>
    <row r="1161" spans="1:101" x14ac:dyDescent="0.25">
      <c r="A1161" s="1" t="s">
        <v>163</v>
      </c>
      <c r="B1161" s="75" t="s">
        <v>164</v>
      </c>
      <c r="C1161">
        <v>0</v>
      </c>
      <c r="D1161">
        <v>0</v>
      </c>
      <c r="E1161">
        <v>0</v>
      </c>
      <c r="F1161">
        <v>604324.56000000006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3.91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7490</v>
      </c>
      <c r="AW1161">
        <v>3350</v>
      </c>
      <c r="AX1161">
        <v>1219</v>
      </c>
      <c r="AY1161">
        <v>12059</v>
      </c>
      <c r="AZ1161">
        <v>4202</v>
      </c>
      <c r="BA1161">
        <v>7438</v>
      </c>
      <c r="BB1161">
        <v>1432</v>
      </c>
      <c r="BC1161">
        <v>13072</v>
      </c>
      <c r="BD1161">
        <v>9486</v>
      </c>
      <c r="BE1161">
        <v>9222</v>
      </c>
      <c r="BF1161">
        <v>1768</v>
      </c>
      <c r="BG1161">
        <v>20476</v>
      </c>
      <c r="BH1161">
        <v>0</v>
      </c>
      <c r="BI1161">
        <v>0</v>
      </c>
      <c r="BJ1161">
        <v>0</v>
      </c>
      <c r="BK1161">
        <v>0</v>
      </c>
      <c r="BL1161" s="2">
        <v>24.82</v>
      </c>
      <c r="BM1161" s="2">
        <v>42005.095138888886</v>
      </c>
      <c r="BN1161" s="2">
        <v>5.4</v>
      </c>
      <c r="BO1161" s="2">
        <v>42005.092361111114</v>
      </c>
      <c r="BP1161" s="2">
        <v>6.92</v>
      </c>
      <c r="BQ1161" s="2">
        <v>42005.092361111114</v>
      </c>
      <c r="BR1161" s="2">
        <v>11.07</v>
      </c>
      <c r="BS1161" s="2">
        <v>42005.092361111114</v>
      </c>
      <c r="BT1161">
        <v>0</v>
      </c>
      <c r="BU1161">
        <v>0</v>
      </c>
      <c r="BV1161" t="s">
        <v>135</v>
      </c>
      <c r="BW1161">
        <v>0</v>
      </c>
      <c r="BX1161">
        <v>0</v>
      </c>
      <c r="BY1161" t="s">
        <v>135</v>
      </c>
      <c r="BZ1161">
        <v>0</v>
      </c>
      <c r="CA1161">
        <v>0</v>
      </c>
      <c r="CB1161" t="s">
        <v>135</v>
      </c>
      <c r="CH1161" s="2"/>
      <c r="CJ1161" s="2"/>
      <c r="CL1161" s="2"/>
      <c r="CN1161" s="2"/>
      <c r="CQ1161" s="2"/>
      <c r="CT1161" s="2"/>
      <c r="CW1161" s="2"/>
    </row>
    <row r="1162" spans="1:101" x14ac:dyDescent="0.25">
      <c r="A1162" s="1" t="s">
        <v>163</v>
      </c>
      <c r="B1162" s="75" t="s">
        <v>164</v>
      </c>
      <c r="C1162">
        <v>0</v>
      </c>
      <c r="D1162">
        <v>0</v>
      </c>
      <c r="E1162">
        <v>0</v>
      </c>
      <c r="F1162">
        <v>604324.56000000006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3.91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7490</v>
      </c>
      <c r="AW1162">
        <v>3350</v>
      </c>
      <c r="AX1162">
        <v>1219</v>
      </c>
      <c r="AY1162">
        <v>12059</v>
      </c>
      <c r="AZ1162">
        <v>4202</v>
      </c>
      <c r="BA1162">
        <v>7438</v>
      </c>
      <c r="BB1162">
        <v>1432</v>
      </c>
      <c r="BC1162">
        <v>13072</v>
      </c>
      <c r="BD1162">
        <v>9486</v>
      </c>
      <c r="BE1162">
        <v>9222</v>
      </c>
      <c r="BF1162">
        <v>1768</v>
      </c>
      <c r="BG1162">
        <v>20476</v>
      </c>
      <c r="BH1162">
        <v>0</v>
      </c>
      <c r="BI1162">
        <v>0</v>
      </c>
      <c r="BJ1162">
        <v>0</v>
      </c>
      <c r="BK1162">
        <v>0</v>
      </c>
      <c r="BL1162" s="2">
        <v>24.82</v>
      </c>
      <c r="BM1162" s="2">
        <v>42005.095138888886</v>
      </c>
      <c r="BN1162" s="2">
        <v>5.4</v>
      </c>
      <c r="BO1162" s="2">
        <v>42005.092361111114</v>
      </c>
      <c r="BP1162" s="2">
        <v>6.92</v>
      </c>
      <c r="BQ1162" s="2">
        <v>42005.092361111114</v>
      </c>
      <c r="BR1162" s="2">
        <v>11.07</v>
      </c>
      <c r="BS1162" s="2">
        <v>42005.092361111114</v>
      </c>
      <c r="BT1162">
        <v>0</v>
      </c>
      <c r="BU1162">
        <v>0</v>
      </c>
      <c r="BV1162" t="s">
        <v>135</v>
      </c>
      <c r="BW1162">
        <v>0</v>
      </c>
      <c r="BX1162">
        <v>0</v>
      </c>
      <c r="BY1162" t="s">
        <v>135</v>
      </c>
      <c r="BZ1162">
        <v>0</v>
      </c>
      <c r="CA1162">
        <v>0</v>
      </c>
      <c r="CB1162" t="s">
        <v>135</v>
      </c>
      <c r="CH1162" s="2"/>
      <c r="CJ1162" s="2"/>
      <c r="CL1162" s="2"/>
      <c r="CN1162" s="2"/>
      <c r="CQ1162" s="2"/>
      <c r="CT1162" s="2"/>
      <c r="CW1162" s="2"/>
    </row>
    <row r="1163" spans="1:101" x14ac:dyDescent="0.25">
      <c r="A1163" s="1" t="s">
        <v>163</v>
      </c>
      <c r="B1163" s="75" t="s">
        <v>164</v>
      </c>
      <c r="C1163">
        <v>0</v>
      </c>
      <c r="D1163">
        <v>0</v>
      </c>
      <c r="E1163">
        <v>0</v>
      </c>
      <c r="F1163">
        <v>604324.56000000006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3.91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7490</v>
      </c>
      <c r="AW1163">
        <v>3350</v>
      </c>
      <c r="AX1163">
        <v>1219</v>
      </c>
      <c r="AY1163">
        <v>12059</v>
      </c>
      <c r="AZ1163">
        <v>4202</v>
      </c>
      <c r="BA1163">
        <v>7438</v>
      </c>
      <c r="BB1163">
        <v>1432</v>
      </c>
      <c r="BC1163">
        <v>13072</v>
      </c>
      <c r="BD1163">
        <v>9486</v>
      </c>
      <c r="BE1163">
        <v>9222</v>
      </c>
      <c r="BF1163">
        <v>1768</v>
      </c>
      <c r="BG1163">
        <v>20476</v>
      </c>
      <c r="BH1163">
        <v>0</v>
      </c>
      <c r="BI1163">
        <v>0</v>
      </c>
      <c r="BJ1163">
        <v>0</v>
      </c>
      <c r="BK1163">
        <v>0</v>
      </c>
      <c r="BL1163" s="2">
        <v>24.82</v>
      </c>
      <c r="BM1163" s="2">
        <v>42005.095138888886</v>
      </c>
      <c r="BN1163" s="2">
        <v>5.4</v>
      </c>
      <c r="BO1163" s="2">
        <v>42005.092361111114</v>
      </c>
      <c r="BP1163" s="2">
        <v>6.92</v>
      </c>
      <c r="BQ1163" s="2">
        <v>42005.092361111114</v>
      </c>
      <c r="BR1163" s="2">
        <v>11.07</v>
      </c>
      <c r="BS1163" s="2">
        <v>42005.092361111114</v>
      </c>
      <c r="BT1163">
        <v>0</v>
      </c>
      <c r="BU1163">
        <v>0</v>
      </c>
      <c r="BV1163" t="s">
        <v>135</v>
      </c>
      <c r="BW1163">
        <v>0</v>
      </c>
      <c r="BX1163">
        <v>0</v>
      </c>
      <c r="BY1163" t="s">
        <v>135</v>
      </c>
      <c r="BZ1163">
        <v>0</v>
      </c>
      <c r="CA1163">
        <v>0</v>
      </c>
      <c r="CB1163" t="s">
        <v>135</v>
      </c>
      <c r="CH1163" s="2"/>
      <c r="CJ1163" s="2"/>
      <c r="CL1163" s="2"/>
      <c r="CN1163" s="2"/>
      <c r="CQ1163" s="2"/>
      <c r="CT1163" s="2"/>
      <c r="CW1163" s="2"/>
    </row>
    <row r="1164" spans="1:101" x14ac:dyDescent="0.25">
      <c r="A1164" s="1" t="s">
        <v>163</v>
      </c>
      <c r="B1164" s="75" t="s">
        <v>164</v>
      </c>
      <c r="C1164">
        <v>0</v>
      </c>
      <c r="D1164">
        <v>0</v>
      </c>
      <c r="E1164">
        <v>0</v>
      </c>
      <c r="F1164">
        <v>604324.56000000006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3.91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7490</v>
      </c>
      <c r="AW1164">
        <v>3350</v>
      </c>
      <c r="AX1164">
        <v>1219</v>
      </c>
      <c r="AY1164">
        <v>12059</v>
      </c>
      <c r="AZ1164">
        <v>4202</v>
      </c>
      <c r="BA1164">
        <v>7438</v>
      </c>
      <c r="BB1164">
        <v>1432</v>
      </c>
      <c r="BC1164">
        <v>13072</v>
      </c>
      <c r="BD1164">
        <v>9486</v>
      </c>
      <c r="BE1164">
        <v>9222</v>
      </c>
      <c r="BF1164">
        <v>1768</v>
      </c>
      <c r="BG1164">
        <v>20476</v>
      </c>
      <c r="BH1164">
        <v>0</v>
      </c>
      <c r="BI1164">
        <v>0</v>
      </c>
      <c r="BJ1164">
        <v>0</v>
      </c>
      <c r="BK1164">
        <v>0</v>
      </c>
      <c r="BL1164" s="2">
        <v>24.82</v>
      </c>
      <c r="BM1164" s="2">
        <v>42005.095138888886</v>
      </c>
      <c r="BN1164" s="2">
        <v>5.4</v>
      </c>
      <c r="BO1164" s="2">
        <v>42005.092361111114</v>
      </c>
      <c r="BP1164" s="2">
        <v>6.92</v>
      </c>
      <c r="BQ1164" s="2">
        <v>42005.092361111114</v>
      </c>
      <c r="BR1164" s="2">
        <v>11.07</v>
      </c>
      <c r="BS1164" s="2">
        <v>42005.092361111114</v>
      </c>
      <c r="BT1164">
        <v>0</v>
      </c>
      <c r="BU1164">
        <v>0</v>
      </c>
      <c r="BV1164" t="s">
        <v>135</v>
      </c>
      <c r="BW1164">
        <v>0</v>
      </c>
      <c r="BX1164">
        <v>0</v>
      </c>
      <c r="BY1164" t="s">
        <v>135</v>
      </c>
      <c r="BZ1164">
        <v>0</v>
      </c>
      <c r="CA1164">
        <v>0</v>
      </c>
      <c r="CB1164" t="s">
        <v>135</v>
      </c>
      <c r="CH1164" s="2"/>
      <c r="CJ1164" s="2"/>
      <c r="CL1164" s="2"/>
      <c r="CN1164" s="2"/>
      <c r="CQ1164" s="2"/>
      <c r="CT1164" s="2"/>
      <c r="CW1164" s="2"/>
    </row>
    <row r="1165" spans="1:101" x14ac:dyDescent="0.25">
      <c r="A1165" s="1" t="s">
        <v>163</v>
      </c>
      <c r="B1165" s="75" t="s">
        <v>164</v>
      </c>
      <c r="C1165">
        <v>0</v>
      </c>
      <c r="D1165">
        <v>0</v>
      </c>
      <c r="E1165">
        <v>0</v>
      </c>
      <c r="F1165">
        <v>604324.56000000006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3.91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7490</v>
      </c>
      <c r="AW1165">
        <v>3350</v>
      </c>
      <c r="AX1165">
        <v>1219</v>
      </c>
      <c r="AY1165">
        <v>12059</v>
      </c>
      <c r="AZ1165">
        <v>4202</v>
      </c>
      <c r="BA1165">
        <v>7438</v>
      </c>
      <c r="BB1165">
        <v>1432</v>
      </c>
      <c r="BC1165">
        <v>13072</v>
      </c>
      <c r="BD1165">
        <v>9486</v>
      </c>
      <c r="BE1165">
        <v>9222</v>
      </c>
      <c r="BF1165">
        <v>1768</v>
      </c>
      <c r="BG1165">
        <v>20476</v>
      </c>
      <c r="BH1165">
        <v>0</v>
      </c>
      <c r="BI1165">
        <v>0</v>
      </c>
      <c r="BJ1165">
        <v>0</v>
      </c>
      <c r="BK1165">
        <v>0</v>
      </c>
      <c r="BL1165" s="2">
        <v>24.82</v>
      </c>
      <c r="BM1165" s="2">
        <v>42005.095138888886</v>
      </c>
      <c r="BN1165" s="2">
        <v>5.4</v>
      </c>
      <c r="BO1165" s="2">
        <v>42005.092361111114</v>
      </c>
      <c r="BP1165" s="2">
        <v>6.92</v>
      </c>
      <c r="BQ1165" s="2">
        <v>42005.092361111114</v>
      </c>
      <c r="BR1165" s="2">
        <v>11.07</v>
      </c>
      <c r="BS1165" s="2">
        <v>42005.092361111114</v>
      </c>
      <c r="BT1165">
        <v>0</v>
      </c>
      <c r="BU1165">
        <v>0</v>
      </c>
      <c r="BV1165" t="s">
        <v>135</v>
      </c>
      <c r="BW1165">
        <v>0</v>
      </c>
      <c r="BX1165">
        <v>0</v>
      </c>
      <c r="BY1165" t="s">
        <v>135</v>
      </c>
      <c r="BZ1165">
        <v>0</v>
      </c>
      <c r="CA1165">
        <v>0</v>
      </c>
      <c r="CB1165" t="s">
        <v>135</v>
      </c>
      <c r="CH1165" s="2"/>
      <c r="CJ1165" s="2"/>
      <c r="CL1165" s="2"/>
      <c r="CN1165" s="2"/>
      <c r="CQ1165" s="2"/>
      <c r="CT1165" s="2"/>
      <c r="CW1165" s="2"/>
    </row>
    <row r="1166" spans="1:101" x14ac:dyDescent="0.25">
      <c r="A1166" s="1" t="s">
        <v>163</v>
      </c>
      <c r="B1166" s="75" t="s">
        <v>164</v>
      </c>
      <c r="C1166">
        <v>0</v>
      </c>
      <c r="D1166">
        <v>0</v>
      </c>
      <c r="E1166">
        <v>0</v>
      </c>
      <c r="F1166">
        <v>604324.56000000006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3.91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7490</v>
      </c>
      <c r="AW1166">
        <v>3350</v>
      </c>
      <c r="AX1166">
        <v>1219</v>
      </c>
      <c r="AY1166">
        <v>12059</v>
      </c>
      <c r="AZ1166">
        <v>4202</v>
      </c>
      <c r="BA1166">
        <v>7438</v>
      </c>
      <c r="BB1166">
        <v>1432</v>
      </c>
      <c r="BC1166">
        <v>13072</v>
      </c>
      <c r="BD1166">
        <v>9486</v>
      </c>
      <c r="BE1166">
        <v>9222</v>
      </c>
      <c r="BF1166">
        <v>1768</v>
      </c>
      <c r="BG1166">
        <v>20476</v>
      </c>
      <c r="BH1166">
        <v>0</v>
      </c>
      <c r="BI1166">
        <v>0</v>
      </c>
      <c r="BJ1166">
        <v>0</v>
      </c>
      <c r="BK1166">
        <v>0</v>
      </c>
      <c r="BL1166" s="2">
        <v>24.82</v>
      </c>
      <c r="BM1166" s="2">
        <v>42005.095138888886</v>
      </c>
      <c r="BN1166" s="2">
        <v>5.4</v>
      </c>
      <c r="BO1166" s="2">
        <v>42005.092361111114</v>
      </c>
      <c r="BP1166" s="2">
        <v>6.92</v>
      </c>
      <c r="BQ1166" s="2">
        <v>42005.092361111114</v>
      </c>
      <c r="BR1166" s="2">
        <v>11.07</v>
      </c>
      <c r="BS1166" s="2">
        <v>42005.092361111114</v>
      </c>
      <c r="BT1166">
        <v>0</v>
      </c>
      <c r="BU1166">
        <v>0</v>
      </c>
      <c r="BV1166" t="s">
        <v>135</v>
      </c>
      <c r="BW1166">
        <v>0</v>
      </c>
      <c r="BX1166">
        <v>0</v>
      </c>
      <c r="BY1166" t="s">
        <v>135</v>
      </c>
      <c r="BZ1166">
        <v>0</v>
      </c>
      <c r="CA1166">
        <v>0</v>
      </c>
      <c r="CB1166" t="s">
        <v>135</v>
      </c>
      <c r="CH1166" s="2"/>
      <c r="CJ1166" s="2"/>
      <c r="CL1166" s="2"/>
      <c r="CN1166" s="2"/>
      <c r="CQ1166" s="2"/>
      <c r="CT1166" s="2"/>
      <c r="CW1166" s="2"/>
    </row>
    <row r="1167" spans="1:101" x14ac:dyDescent="0.25">
      <c r="A1167" s="1" t="s">
        <v>163</v>
      </c>
      <c r="B1167" s="75" t="s">
        <v>164</v>
      </c>
      <c r="C1167">
        <v>0</v>
      </c>
      <c r="D1167">
        <v>0</v>
      </c>
      <c r="E1167">
        <v>0</v>
      </c>
      <c r="F1167">
        <v>604324.56000000006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3.91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7490</v>
      </c>
      <c r="AW1167">
        <v>3350</v>
      </c>
      <c r="AX1167">
        <v>1219</v>
      </c>
      <c r="AY1167">
        <v>12059</v>
      </c>
      <c r="AZ1167">
        <v>4202</v>
      </c>
      <c r="BA1167">
        <v>7438</v>
      </c>
      <c r="BB1167">
        <v>1432</v>
      </c>
      <c r="BC1167">
        <v>13072</v>
      </c>
      <c r="BD1167">
        <v>9486</v>
      </c>
      <c r="BE1167">
        <v>9222</v>
      </c>
      <c r="BF1167">
        <v>1768</v>
      </c>
      <c r="BG1167">
        <v>20476</v>
      </c>
      <c r="BH1167">
        <v>0</v>
      </c>
      <c r="BI1167">
        <v>0</v>
      </c>
      <c r="BJ1167">
        <v>0</v>
      </c>
      <c r="BK1167">
        <v>0</v>
      </c>
      <c r="BL1167" s="2">
        <v>24.82</v>
      </c>
      <c r="BM1167" s="2">
        <v>42005.095138888886</v>
      </c>
      <c r="BN1167" s="2">
        <v>5.4</v>
      </c>
      <c r="BO1167" s="2">
        <v>42005.092361111114</v>
      </c>
      <c r="BP1167" s="2">
        <v>6.92</v>
      </c>
      <c r="BQ1167" s="2">
        <v>42005.092361111114</v>
      </c>
      <c r="BR1167" s="2">
        <v>11.07</v>
      </c>
      <c r="BS1167" s="2">
        <v>42005.092361111114</v>
      </c>
      <c r="BT1167">
        <v>0</v>
      </c>
      <c r="BU1167">
        <v>0</v>
      </c>
      <c r="BV1167" t="s">
        <v>135</v>
      </c>
      <c r="BW1167">
        <v>0</v>
      </c>
      <c r="BX1167">
        <v>0</v>
      </c>
      <c r="BY1167" t="s">
        <v>135</v>
      </c>
      <c r="BZ1167">
        <v>0</v>
      </c>
      <c r="CA1167">
        <v>0</v>
      </c>
      <c r="CB1167" t="s">
        <v>135</v>
      </c>
      <c r="CH1167" s="2"/>
      <c r="CJ1167" s="2"/>
      <c r="CL1167" s="2"/>
      <c r="CN1167" s="2"/>
      <c r="CQ1167" s="2"/>
      <c r="CT1167" s="2"/>
      <c r="CW1167" s="2"/>
    </row>
    <row r="1168" spans="1:101" x14ac:dyDescent="0.25">
      <c r="A1168" s="1" t="s">
        <v>163</v>
      </c>
      <c r="B1168" s="75" t="s">
        <v>164</v>
      </c>
      <c r="C1168">
        <v>0</v>
      </c>
      <c r="D1168">
        <v>0</v>
      </c>
      <c r="E1168">
        <v>0</v>
      </c>
      <c r="F1168">
        <v>604324.56000000006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3.91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7490</v>
      </c>
      <c r="AW1168">
        <v>3350</v>
      </c>
      <c r="AX1168">
        <v>1219</v>
      </c>
      <c r="AY1168">
        <v>12059</v>
      </c>
      <c r="AZ1168">
        <v>4202</v>
      </c>
      <c r="BA1168">
        <v>7438</v>
      </c>
      <c r="BB1168">
        <v>1432</v>
      </c>
      <c r="BC1168">
        <v>13072</v>
      </c>
      <c r="BD1168">
        <v>9486</v>
      </c>
      <c r="BE1168">
        <v>9222</v>
      </c>
      <c r="BF1168">
        <v>1768</v>
      </c>
      <c r="BG1168">
        <v>20476</v>
      </c>
      <c r="BH1168">
        <v>0</v>
      </c>
      <c r="BI1168">
        <v>0</v>
      </c>
      <c r="BJ1168">
        <v>0</v>
      </c>
      <c r="BK1168">
        <v>0</v>
      </c>
      <c r="BL1168" s="2">
        <v>24.82</v>
      </c>
      <c r="BM1168" s="2">
        <v>42005.095138888886</v>
      </c>
      <c r="BN1168" s="2">
        <v>5.4</v>
      </c>
      <c r="BO1168" s="2">
        <v>42005.092361111114</v>
      </c>
      <c r="BP1168" s="2">
        <v>6.92</v>
      </c>
      <c r="BQ1168" s="2">
        <v>42005.092361111114</v>
      </c>
      <c r="BR1168" s="2">
        <v>11.07</v>
      </c>
      <c r="BS1168" s="2">
        <v>42005.092361111114</v>
      </c>
      <c r="BT1168">
        <v>0</v>
      </c>
      <c r="BU1168">
        <v>0</v>
      </c>
      <c r="BV1168" t="s">
        <v>135</v>
      </c>
      <c r="BW1168">
        <v>0</v>
      </c>
      <c r="BX1168">
        <v>0</v>
      </c>
      <c r="BY1168" t="s">
        <v>135</v>
      </c>
      <c r="BZ1168">
        <v>0</v>
      </c>
      <c r="CA1168">
        <v>0</v>
      </c>
      <c r="CB1168" t="s">
        <v>135</v>
      </c>
      <c r="CH1168" s="2"/>
      <c r="CJ1168" s="2"/>
      <c r="CL1168" s="2"/>
      <c r="CN1168" s="2"/>
      <c r="CQ1168" s="2"/>
      <c r="CT1168" s="2"/>
      <c r="CW1168" s="2"/>
    </row>
    <row r="1169" spans="1:101" x14ac:dyDescent="0.25">
      <c r="A1169" s="1" t="s">
        <v>163</v>
      </c>
      <c r="B1169" s="75" t="s">
        <v>164</v>
      </c>
      <c r="C1169">
        <v>0</v>
      </c>
      <c r="D1169">
        <v>0</v>
      </c>
      <c r="E1169">
        <v>0</v>
      </c>
      <c r="F1169">
        <v>604324.56000000006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3.91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7490</v>
      </c>
      <c r="AW1169">
        <v>3350</v>
      </c>
      <c r="AX1169">
        <v>1219</v>
      </c>
      <c r="AY1169">
        <v>12059</v>
      </c>
      <c r="AZ1169">
        <v>4202</v>
      </c>
      <c r="BA1169">
        <v>7438</v>
      </c>
      <c r="BB1169">
        <v>1432</v>
      </c>
      <c r="BC1169">
        <v>13072</v>
      </c>
      <c r="BD1169">
        <v>9486</v>
      </c>
      <c r="BE1169">
        <v>9222</v>
      </c>
      <c r="BF1169">
        <v>1768</v>
      </c>
      <c r="BG1169">
        <v>20476</v>
      </c>
      <c r="BH1169">
        <v>0</v>
      </c>
      <c r="BI1169">
        <v>0</v>
      </c>
      <c r="BJ1169">
        <v>0</v>
      </c>
      <c r="BK1169">
        <v>0</v>
      </c>
      <c r="BL1169" s="2">
        <v>24.82</v>
      </c>
      <c r="BM1169" s="2">
        <v>42005.095138888886</v>
      </c>
      <c r="BN1169" s="2">
        <v>5.4</v>
      </c>
      <c r="BO1169" s="2">
        <v>42005.092361111114</v>
      </c>
      <c r="BP1169" s="2">
        <v>6.92</v>
      </c>
      <c r="BQ1169" s="2">
        <v>42005.092361111114</v>
      </c>
      <c r="BR1169" s="2">
        <v>11.07</v>
      </c>
      <c r="BS1169" s="2">
        <v>42005.092361111114</v>
      </c>
      <c r="BT1169">
        <v>0</v>
      </c>
      <c r="BU1169">
        <v>0</v>
      </c>
      <c r="BV1169" t="s">
        <v>135</v>
      </c>
      <c r="BW1169">
        <v>0</v>
      </c>
      <c r="BX1169">
        <v>0</v>
      </c>
      <c r="BY1169" t="s">
        <v>135</v>
      </c>
      <c r="BZ1169">
        <v>0</v>
      </c>
      <c r="CA1169">
        <v>0</v>
      </c>
      <c r="CB1169" t="s">
        <v>135</v>
      </c>
      <c r="CH1169" s="2"/>
      <c r="CJ1169" s="2"/>
      <c r="CL1169" s="2"/>
      <c r="CN1169" s="2"/>
      <c r="CQ1169" s="2"/>
      <c r="CT1169" s="2"/>
      <c r="CW1169" s="2"/>
    </row>
    <row r="1170" spans="1:101" x14ac:dyDescent="0.25">
      <c r="A1170" s="1" t="s">
        <v>163</v>
      </c>
      <c r="B1170" s="75" t="s">
        <v>164</v>
      </c>
      <c r="C1170">
        <v>0</v>
      </c>
      <c r="D1170">
        <v>0</v>
      </c>
      <c r="E1170">
        <v>0</v>
      </c>
      <c r="F1170">
        <v>604324.56000000006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3.91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7490</v>
      </c>
      <c r="AW1170">
        <v>3350</v>
      </c>
      <c r="AX1170">
        <v>1219</v>
      </c>
      <c r="AY1170">
        <v>12059</v>
      </c>
      <c r="AZ1170">
        <v>4202</v>
      </c>
      <c r="BA1170">
        <v>7438</v>
      </c>
      <c r="BB1170">
        <v>1432</v>
      </c>
      <c r="BC1170">
        <v>13072</v>
      </c>
      <c r="BD1170">
        <v>9486</v>
      </c>
      <c r="BE1170">
        <v>9222</v>
      </c>
      <c r="BF1170">
        <v>1768</v>
      </c>
      <c r="BG1170">
        <v>20476</v>
      </c>
      <c r="BH1170">
        <v>0</v>
      </c>
      <c r="BI1170">
        <v>0</v>
      </c>
      <c r="BJ1170">
        <v>0</v>
      </c>
      <c r="BK1170">
        <v>0</v>
      </c>
      <c r="BL1170" s="2">
        <v>24.82</v>
      </c>
      <c r="BM1170" s="2">
        <v>42005.095138888886</v>
      </c>
      <c r="BN1170" s="2">
        <v>5.4</v>
      </c>
      <c r="BO1170" s="2">
        <v>42005.092361111114</v>
      </c>
      <c r="BP1170" s="2">
        <v>6.92</v>
      </c>
      <c r="BQ1170" s="2">
        <v>42005.092361111114</v>
      </c>
      <c r="BR1170" s="2">
        <v>11.07</v>
      </c>
      <c r="BS1170" s="2">
        <v>42005.092361111114</v>
      </c>
      <c r="BT1170">
        <v>0</v>
      </c>
      <c r="BU1170">
        <v>0</v>
      </c>
      <c r="BV1170" t="s">
        <v>135</v>
      </c>
      <c r="BW1170">
        <v>0</v>
      </c>
      <c r="BX1170">
        <v>0</v>
      </c>
      <c r="BY1170" t="s">
        <v>135</v>
      </c>
      <c r="BZ1170">
        <v>0</v>
      </c>
      <c r="CA1170">
        <v>0</v>
      </c>
      <c r="CB1170" t="s">
        <v>135</v>
      </c>
      <c r="CH1170" s="2"/>
      <c r="CJ1170" s="2"/>
      <c r="CL1170" s="2"/>
      <c r="CN1170" s="2"/>
      <c r="CQ1170" s="2"/>
      <c r="CT1170" s="2"/>
      <c r="CW1170" s="2"/>
    </row>
    <row r="1171" spans="1:101" x14ac:dyDescent="0.25">
      <c r="A1171" s="1" t="s">
        <v>163</v>
      </c>
      <c r="B1171" s="75" t="s">
        <v>164</v>
      </c>
      <c r="C1171">
        <v>0</v>
      </c>
      <c r="D1171">
        <v>0</v>
      </c>
      <c r="E1171">
        <v>0</v>
      </c>
      <c r="F1171">
        <v>604324.56000000006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3.91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7490</v>
      </c>
      <c r="AW1171">
        <v>3350</v>
      </c>
      <c r="AX1171">
        <v>1219</v>
      </c>
      <c r="AY1171">
        <v>12059</v>
      </c>
      <c r="AZ1171">
        <v>4202</v>
      </c>
      <c r="BA1171">
        <v>7438</v>
      </c>
      <c r="BB1171">
        <v>1432</v>
      </c>
      <c r="BC1171">
        <v>13072</v>
      </c>
      <c r="BD1171">
        <v>9486</v>
      </c>
      <c r="BE1171">
        <v>9222</v>
      </c>
      <c r="BF1171">
        <v>1768</v>
      </c>
      <c r="BG1171">
        <v>20476</v>
      </c>
      <c r="BH1171">
        <v>0</v>
      </c>
      <c r="BI1171">
        <v>0</v>
      </c>
      <c r="BJ1171">
        <v>0</v>
      </c>
      <c r="BK1171">
        <v>0</v>
      </c>
      <c r="BL1171" s="2">
        <v>24.82</v>
      </c>
      <c r="BM1171" s="2">
        <v>42005.095138888886</v>
      </c>
      <c r="BN1171" s="2">
        <v>5.4</v>
      </c>
      <c r="BO1171" s="2">
        <v>42005.092361111114</v>
      </c>
      <c r="BP1171" s="2">
        <v>6.92</v>
      </c>
      <c r="BQ1171" s="2">
        <v>42005.092361111114</v>
      </c>
      <c r="BR1171" s="2">
        <v>11.07</v>
      </c>
      <c r="BS1171" s="2">
        <v>42005.092361111114</v>
      </c>
      <c r="BT1171">
        <v>0</v>
      </c>
      <c r="BU1171">
        <v>0</v>
      </c>
      <c r="BV1171" t="s">
        <v>135</v>
      </c>
      <c r="BW1171">
        <v>0</v>
      </c>
      <c r="BX1171">
        <v>0</v>
      </c>
      <c r="BY1171" t="s">
        <v>135</v>
      </c>
      <c r="BZ1171">
        <v>0</v>
      </c>
      <c r="CA1171">
        <v>0</v>
      </c>
      <c r="CB1171" t="s">
        <v>135</v>
      </c>
      <c r="CH1171" s="2"/>
      <c r="CJ1171" s="2"/>
      <c r="CL1171" s="2"/>
      <c r="CN1171" s="2"/>
      <c r="CQ1171" s="2"/>
      <c r="CT1171" s="2"/>
      <c r="CW1171" s="2"/>
    </row>
    <row r="1172" spans="1:101" x14ac:dyDescent="0.25">
      <c r="A1172" s="1" t="s">
        <v>163</v>
      </c>
      <c r="B1172" s="75" t="s">
        <v>164</v>
      </c>
      <c r="C1172">
        <v>0</v>
      </c>
      <c r="D1172">
        <v>0</v>
      </c>
      <c r="E1172">
        <v>0</v>
      </c>
      <c r="F1172">
        <v>604324.56000000006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3.91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7490</v>
      </c>
      <c r="AW1172">
        <v>3350</v>
      </c>
      <c r="AX1172">
        <v>1219</v>
      </c>
      <c r="AY1172">
        <v>12059</v>
      </c>
      <c r="AZ1172">
        <v>4202</v>
      </c>
      <c r="BA1172">
        <v>7438</v>
      </c>
      <c r="BB1172">
        <v>1432</v>
      </c>
      <c r="BC1172">
        <v>13072</v>
      </c>
      <c r="BD1172">
        <v>9486</v>
      </c>
      <c r="BE1172">
        <v>9222</v>
      </c>
      <c r="BF1172">
        <v>1768</v>
      </c>
      <c r="BG1172">
        <v>20476</v>
      </c>
      <c r="BH1172">
        <v>0</v>
      </c>
      <c r="BI1172">
        <v>0</v>
      </c>
      <c r="BJ1172">
        <v>0</v>
      </c>
      <c r="BK1172">
        <v>0</v>
      </c>
      <c r="BL1172" s="2">
        <v>24.82</v>
      </c>
      <c r="BM1172" s="2">
        <v>42005.095138888886</v>
      </c>
      <c r="BN1172" s="2">
        <v>5.4</v>
      </c>
      <c r="BO1172" s="2">
        <v>42005.092361111114</v>
      </c>
      <c r="BP1172" s="2">
        <v>6.92</v>
      </c>
      <c r="BQ1172" s="2">
        <v>42005.092361111114</v>
      </c>
      <c r="BR1172" s="2">
        <v>11.07</v>
      </c>
      <c r="BS1172" s="2">
        <v>42005.092361111114</v>
      </c>
      <c r="BT1172">
        <v>0</v>
      </c>
      <c r="BU1172">
        <v>0</v>
      </c>
      <c r="BV1172" t="s">
        <v>135</v>
      </c>
      <c r="BW1172">
        <v>0</v>
      </c>
      <c r="BX1172">
        <v>0</v>
      </c>
      <c r="BY1172" t="s">
        <v>135</v>
      </c>
      <c r="BZ1172">
        <v>0</v>
      </c>
      <c r="CA1172">
        <v>0</v>
      </c>
      <c r="CB1172" t="s">
        <v>135</v>
      </c>
      <c r="CH1172" s="2"/>
      <c r="CJ1172" s="2"/>
      <c r="CL1172" s="2"/>
      <c r="CN1172" s="2"/>
      <c r="CQ1172" s="2"/>
      <c r="CT1172" s="2"/>
      <c r="CW1172" s="2"/>
    </row>
    <row r="1173" spans="1:101" x14ac:dyDescent="0.25">
      <c r="A1173" s="1" t="s">
        <v>163</v>
      </c>
      <c r="B1173" s="75" t="s">
        <v>164</v>
      </c>
      <c r="C1173">
        <v>0</v>
      </c>
      <c r="D1173">
        <v>0</v>
      </c>
      <c r="E1173">
        <v>0</v>
      </c>
      <c r="F1173">
        <v>604324.56000000006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3.91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7490</v>
      </c>
      <c r="AW1173">
        <v>3350</v>
      </c>
      <c r="AX1173">
        <v>1219</v>
      </c>
      <c r="AY1173">
        <v>12059</v>
      </c>
      <c r="AZ1173">
        <v>4202</v>
      </c>
      <c r="BA1173">
        <v>7438</v>
      </c>
      <c r="BB1173">
        <v>1432</v>
      </c>
      <c r="BC1173">
        <v>13072</v>
      </c>
      <c r="BD1173">
        <v>9486</v>
      </c>
      <c r="BE1173">
        <v>9222</v>
      </c>
      <c r="BF1173">
        <v>1768</v>
      </c>
      <c r="BG1173">
        <v>20476</v>
      </c>
      <c r="BH1173">
        <v>0</v>
      </c>
      <c r="BI1173">
        <v>0</v>
      </c>
      <c r="BJ1173">
        <v>0</v>
      </c>
      <c r="BK1173">
        <v>0</v>
      </c>
      <c r="BL1173" s="2">
        <v>24.82</v>
      </c>
      <c r="BM1173" s="2">
        <v>42005.095138888886</v>
      </c>
      <c r="BN1173" s="2">
        <v>5.4</v>
      </c>
      <c r="BO1173" s="2">
        <v>42005.092361111114</v>
      </c>
      <c r="BP1173" s="2">
        <v>6.92</v>
      </c>
      <c r="BQ1173" s="2">
        <v>42005.092361111114</v>
      </c>
      <c r="BR1173" s="2">
        <v>11.07</v>
      </c>
      <c r="BS1173" s="2">
        <v>42005.092361111114</v>
      </c>
      <c r="BT1173">
        <v>0</v>
      </c>
      <c r="BU1173">
        <v>0</v>
      </c>
      <c r="BV1173" t="s">
        <v>135</v>
      </c>
      <c r="BW1173">
        <v>0</v>
      </c>
      <c r="BX1173">
        <v>0</v>
      </c>
      <c r="BY1173" t="s">
        <v>135</v>
      </c>
      <c r="BZ1173">
        <v>0</v>
      </c>
      <c r="CA1173">
        <v>0</v>
      </c>
      <c r="CB1173" t="s">
        <v>135</v>
      </c>
      <c r="CH1173" s="2"/>
      <c r="CJ1173" s="2"/>
      <c r="CL1173" s="2"/>
      <c r="CN1173" s="2"/>
      <c r="CQ1173" s="2"/>
      <c r="CT1173" s="2"/>
      <c r="CW1173" s="2"/>
    </row>
    <row r="1174" spans="1:101" x14ac:dyDescent="0.25">
      <c r="A1174" s="1" t="s">
        <v>163</v>
      </c>
      <c r="B1174" s="75" t="s">
        <v>164</v>
      </c>
      <c r="C1174">
        <v>0</v>
      </c>
      <c r="D1174">
        <v>0</v>
      </c>
      <c r="E1174">
        <v>0</v>
      </c>
      <c r="F1174">
        <v>604324.56000000006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3.91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7490</v>
      </c>
      <c r="AW1174">
        <v>3350</v>
      </c>
      <c r="AX1174">
        <v>1219</v>
      </c>
      <c r="AY1174">
        <v>12059</v>
      </c>
      <c r="AZ1174">
        <v>4202</v>
      </c>
      <c r="BA1174">
        <v>7438</v>
      </c>
      <c r="BB1174">
        <v>1432</v>
      </c>
      <c r="BC1174">
        <v>13072</v>
      </c>
      <c r="BD1174">
        <v>9486</v>
      </c>
      <c r="BE1174">
        <v>9222</v>
      </c>
      <c r="BF1174">
        <v>1768</v>
      </c>
      <c r="BG1174">
        <v>20476</v>
      </c>
      <c r="BH1174">
        <v>0</v>
      </c>
      <c r="BI1174">
        <v>0</v>
      </c>
      <c r="BJ1174">
        <v>0</v>
      </c>
      <c r="BK1174">
        <v>0</v>
      </c>
      <c r="BL1174" s="2">
        <v>24.82</v>
      </c>
      <c r="BM1174" s="2">
        <v>42005.095138888886</v>
      </c>
      <c r="BN1174" s="2">
        <v>5.4</v>
      </c>
      <c r="BO1174" s="2">
        <v>42005.092361111114</v>
      </c>
      <c r="BP1174" s="2">
        <v>6.92</v>
      </c>
      <c r="BQ1174" s="2">
        <v>42005.092361111114</v>
      </c>
      <c r="BR1174" s="2">
        <v>11.07</v>
      </c>
      <c r="BS1174" s="2">
        <v>42005.092361111114</v>
      </c>
      <c r="BT1174">
        <v>0</v>
      </c>
      <c r="BU1174">
        <v>0</v>
      </c>
      <c r="BV1174" t="s">
        <v>135</v>
      </c>
      <c r="BW1174">
        <v>0</v>
      </c>
      <c r="BX1174">
        <v>0</v>
      </c>
      <c r="BY1174" t="s">
        <v>135</v>
      </c>
      <c r="BZ1174">
        <v>0</v>
      </c>
      <c r="CA1174">
        <v>0</v>
      </c>
      <c r="CB1174" t="s">
        <v>135</v>
      </c>
      <c r="CH1174" s="2"/>
      <c r="CJ1174" s="2"/>
      <c r="CL1174" s="2"/>
      <c r="CN1174" s="2"/>
      <c r="CQ1174" s="2"/>
      <c r="CT1174" s="2"/>
      <c r="CW1174" s="2"/>
    </row>
    <row r="1175" spans="1:101" x14ac:dyDescent="0.25">
      <c r="A1175" s="1" t="s">
        <v>163</v>
      </c>
      <c r="B1175" s="75" t="s">
        <v>164</v>
      </c>
      <c r="C1175">
        <v>0</v>
      </c>
      <c r="D1175">
        <v>0</v>
      </c>
      <c r="E1175">
        <v>0</v>
      </c>
      <c r="F1175">
        <v>604324.56000000006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3.91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7490</v>
      </c>
      <c r="AW1175">
        <v>3350</v>
      </c>
      <c r="AX1175">
        <v>1219</v>
      </c>
      <c r="AY1175">
        <v>12059</v>
      </c>
      <c r="AZ1175">
        <v>4202</v>
      </c>
      <c r="BA1175">
        <v>7438</v>
      </c>
      <c r="BB1175">
        <v>1432</v>
      </c>
      <c r="BC1175">
        <v>13072</v>
      </c>
      <c r="BD1175">
        <v>9486</v>
      </c>
      <c r="BE1175">
        <v>9222</v>
      </c>
      <c r="BF1175">
        <v>1768</v>
      </c>
      <c r="BG1175">
        <v>20476</v>
      </c>
      <c r="BH1175">
        <v>0</v>
      </c>
      <c r="BI1175">
        <v>0</v>
      </c>
      <c r="BJ1175">
        <v>0</v>
      </c>
      <c r="BK1175">
        <v>0</v>
      </c>
      <c r="BL1175" s="2">
        <v>24.82</v>
      </c>
      <c r="BM1175" s="2">
        <v>42005.095138888886</v>
      </c>
      <c r="BN1175" s="2">
        <v>5.4</v>
      </c>
      <c r="BO1175" s="2">
        <v>42005.092361111114</v>
      </c>
      <c r="BP1175" s="2">
        <v>6.92</v>
      </c>
      <c r="BQ1175" s="2">
        <v>42005.092361111114</v>
      </c>
      <c r="BR1175" s="2">
        <v>11.07</v>
      </c>
      <c r="BS1175" s="2">
        <v>42005.092361111114</v>
      </c>
      <c r="BT1175">
        <v>0</v>
      </c>
      <c r="BU1175">
        <v>0</v>
      </c>
      <c r="BV1175" t="s">
        <v>135</v>
      </c>
      <c r="BW1175">
        <v>0</v>
      </c>
      <c r="BX1175">
        <v>0</v>
      </c>
      <c r="BY1175" t="s">
        <v>135</v>
      </c>
      <c r="BZ1175">
        <v>0</v>
      </c>
      <c r="CA1175">
        <v>0</v>
      </c>
      <c r="CB1175" t="s">
        <v>135</v>
      </c>
      <c r="CH1175" s="2"/>
      <c r="CJ1175" s="2"/>
      <c r="CL1175" s="2"/>
      <c r="CN1175" s="2"/>
      <c r="CQ1175" s="2"/>
      <c r="CT1175" s="2"/>
      <c r="CW1175" s="2"/>
    </row>
    <row r="1176" spans="1:101" x14ac:dyDescent="0.25">
      <c r="A1176" s="1" t="s">
        <v>163</v>
      </c>
      <c r="B1176" s="75" t="s">
        <v>164</v>
      </c>
      <c r="C1176">
        <v>0</v>
      </c>
      <c r="D1176">
        <v>0</v>
      </c>
      <c r="E1176">
        <v>0</v>
      </c>
      <c r="F1176">
        <v>604324.56000000006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3.91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7490</v>
      </c>
      <c r="AW1176">
        <v>3350</v>
      </c>
      <c r="AX1176">
        <v>1219</v>
      </c>
      <c r="AY1176">
        <v>12059</v>
      </c>
      <c r="AZ1176">
        <v>4202</v>
      </c>
      <c r="BA1176">
        <v>7438</v>
      </c>
      <c r="BB1176">
        <v>1432</v>
      </c>
      <c r="BC1176">
        <v>13072</v>
      </c>
      <c r="BD1176">
        <v>9486</v>
      </c>
      <c r="BE1176">
        <v>9222</v>
      </c>
      <c r="BF1176">
        <v>1768</v>
      </c>
      <c r="BG1176">
        <v>20476</v>
      </c>
      <c r="BH1176">
        <v>0</v>
      </c>
      <c r="BI1176">
        <v>0</v>
      </c>
      <c r="BJ1176">
        <v>0</v>
      </c>
      <c r="BK1176">
        <v>0</v>
      </c>
      <c r="BL1176" s="2">
        <v>24.82</v>
      </c>
      <c r="BM1176" s="2">
        <v>42005.095138888886</v>
      </c>
      <c r="BN1176" s="2">
        <v>5.4</v>
      </c>
      <c r="BO1176" s="2">
        <v>42005.092361111114</v>
      </c>
      <c r="BP1176" s="2">
        <v>6.92</v>
      </c>
      <c r="BQ1176" s="2">
        <v>42005.092361111114</v>
      </c>
      <c r="BR1176" s="2">
        <v>11.07</v>
      </c>
      <c r="BS1176" s="2">
        <v>42005.092361111114</v>
      </c>
      <c r="BT1176">
        <v>0</v>
      </c>
      <c r="BU1176">
        <v>0</v>
      </c>
      <c r="BV1176" t="s">
        <v>135</v>
      </c>
      <c r="BW1176">
        <v>0</v>
      </c>
      <c r="BX1176">
        <v>0</v>
      </c>
      <c r="BY1176" t="s">
        <v>135</v>
      </c>
      <c r="BZ1176">
        <v>0</v>
      </c>
      <c r="CA1176">
        <v>0</v>
      </c>
      <c r="CB1176" t="s">
        <v>135</v>
      </c>
      <c r="CH1176" s="2"/>
      <c r="CJ1176" s="2"/>
      <c r="CL1176" s="2"/>
      <c r="CN1176" s="2"/>
      <c r="CQ1176" s="2"/>
      <c r="CT1176" s="2"/>
      <c r="CW1176" s="2"/>
    </row>
    <row r="1177" spans="1:101" x14ac:dyDescent="0.25">
      <c r="A1177" s="1" t="s">
        <v>163</v>
      </c>
      <c r="B1177" s="75" t="s">
        <v>164</v>
      </c>
      <c r="C1177">
        <v>0</v>
      </c>
      <c r="D1177">
        <v>0</v>
      </c>
      <c r="E1177">
        <v>0</v>
      </c>
      <c r="F1177">
        <v>604324.56000000006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3.91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7490</v>
      </c>
      <c r="AW1177">
        <v>3350</v>
      </c>
      <c r="AX1177">
        <v>1219</v>
      </c>
      <c r="AY1177">
        <v>12059</v>
      </c>
      <c r="AZ1177">
        <v>4202</v>
      </c>
      <c r="BA1177">
        <v>7438</v>
      </c>
      <c r="BB1177">
        <v>1432</v>
      </c>
      <c r="BC1177">
        <v>13072</v>
      </c>
      <c r="BD1177">
        <v>9486</v>
      </c>
      <c r="BE1177">
        <v>9222</v>
      </c>
      <c r="BF1177">
        <v>1768</v>
      </c>
      <c r="BG1177">
        <v>20476</v>
      </c>
      <c r="BH1177">
        <v>0</v>
      </c>
      <c r="BI1177">
        <v>0</v>
      </c>
      <c r="BJ1177">
        <v>0</v>
      </c>
      <c r="BK1177">
        <v>0</v>
      </c>
      <c r="BL1177" s="2">
        <v>24.82</v>
      </c>
      <c r="BM1177" s="2">
        <v>42005.095138888886</v>
      </c>
      <c r="BN1177" s="2">
        <v>5.4</v>
      </c>
      <c r="BO1177" s="2">
        <v>42005.092361111114</v>
      </c>
      <c r="BP1177" s="2">
        <v>6.92</v>
      </c>
      <c r="BQ1177" s="2">
        <v>42005.092361111114</v>
      </c>
      <c r="BR1177" s="2">
        <v>11.07</v>
      </c>
      <c r="BS1177" s="2">
        <v>42005.092361111114</v>
      </c>
      <c r="BT1177">
        <v>0</v>
      </c>
      <c r="BU1177">
        <v>0</v>
      </c>
      <c r="BV1177" t="s">
        <v>135</v>
      </c>
      <c r="BW1177">
        <v>0</v>
      </c>
      <c r="BX1177">
        <v>0</v>
      </c>
      <c r="BY1177" t="s">
        <v>135</v>
      </c>
      <c r="BZ1177">
        <v>0</v>
      </c>
      <c r="CA1177">
        <v>0</v>
      </c>
      <c r="CB1177" t="s">
        <v>135</v>
      </c>
      <c r="CH1177" s="2"/>
      <c r="CJ1177" s="2"/>
      <c r="CL1177" s="2"/>
      <c r="CN1177" s="2"/>
      <c r="CQ1177" s="2"/>
      <c r="CT1177" s="2"/>
      <c r="CW1177" s="2"/>
    </row>
    <row r="1178" spans="1:101" x14ac:dyDescent="0.25">
      <c r="A1178" s="1" t="s">
        <v>163</v>
      </c>
      <c r="B1178" s="75" t="s">
        <v>164</v>
      </c>
      <c r="C1178">
        <v>0</v>
      </c>
      <c r="D1178">
        <v>0</v>
      </c>
      <c r="E1178">
        <v>0</v>
      </c>
      <c r="F1178">
        <v>604324.56000000006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3.91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7490</v>
      </c>
      <c r="AW1178">
        <v>3350</v>
      </c>
      <c r="AX1178">
        <v>1219</v>
      </c>
      <c r="AY1178">
        <v>12059</v>
      </c>
      <c r="AZ1178">
        <v>4202</v>
      </c>
      <c r="BA1178">
        <v>7438</v>
      </c>
      <c r="BB1178">
        <v>1432</v>
      </c>
      <c r="BC1178">
        <v>13072</v>
      </c>
      <c r="BD1178">
        <v>9486</v>
      </c>
      <c r="BE1178">
        <v>9222</v>
      </c>
      <c r="BF1178">
        <v>1768</v>
      </c>
      <c r="BG1178">
        <v>20476</v>
      </c>
      <c r="BH1178">
        <v>0</v>
      </c>
      <c r="BI1178">
        <v>0</v>
      </c>
      <c r="BJ1178">
        <v>0</v>
      </c>
      <c r="BK1178">
        <v>0</v>
      </c>
      <c r="BL1178" s="2">
        <v>24.82</v>
      </c>
      <c r="BM1178" s="2">
        <v>42005.095138888886</v>
      </c>
      <c r="BN1178" s="2">
        <v>5.4</v>
      </c>
      <c r="BO1178" s="2">
        <v>42005.092361111114</v>
      </c>
      <c r="BP1178" s="2">
        <v>6.92</v>
      </c>
      <c r="BQ1178" s="2">
        <v>42005.092361111114</v>
      </c>
      <c r="BR1178" s="2">
        <v>11.07</v>
      </c>
      <c r="BS1178" s="2">
        <v>42005.092361111114</v>
      </c>
      <c r="BT1178">
        <v>0</v>
      </c>
      <c r="BU1178">
        <v>0</v>
      </c>
      <c r="BV1178" t="s">
        <v>135</v>
      </c>
      <c r="BW1178">
        <v>0</v>
      </c>
      <c r="BX1178">
        <v>0</v>
      </c>
      <c r="BY1178" t="s">
        <v>135</v>
      </c>
      <c r="BZ1178">
        <v>0</v>
      </c>
      <c r="CA1178">
        <v>0</v>
      </c>
      <c r="CB1178" t="s">
        <v>135</v>
      </c>
      <c r="CH1178" s="2"/>
      <c r="CJ1178" s="2"/>
      <c r="CL1178" s="2"/>
      <c r="CN1178" s="2"/>
      <c r="CQ1178" s="2"/>
      <c r="CT1178" s="2"/>
      <c r="CW1178" s="2"/>
    </row>
    <row r="1179" spans="1:101" x14ac:dyDescent="0.25">
      <c r="A1179" s="1" t="s">
        <v>163</v>
      </c>
      <c r="B1179" s="75" t="s">
        <v>164</v>
      </c>
      <c r="C1179">
        <v>0</v>
      </c>
      <c r="D1179">
        <v>0</v>
      </c>
      <c r="E1179">
        <v>0</v>
      </c>
      <c r="F1179">
        <v>604324.56000000006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3.91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7490</v>
      </c>
      <c r="AW1179">
        <v>3350</v>
      </c>
      <c r="AX1179">
        <v>1219</v>
      </c>
      <c r="AY1179">
        <v>12059</v>
      </c>
      <c r="AZ1179">
        <v>4202</v>
      </c>
      <c r="BA1179">
        <v>7438</v>
      </c>
      <c r="BB1179">
        <v>1432</v>
      </c>
      <c r="BC1179">
        <v>13072</v>
      </c>
      <c r="BD1179">
        <v>9486</v>
      </c>
      <c r="BE1179">
        <v>9222</v>
      </c>
      <c r="BF1179">
        <v>1768</v>
      </c>
      <c r="BG1179">
        <v>20476</v>
      </c>
      <c r="BH1179">
        <v>0</v>
      </c>
      <c r="BI1179">
        <v>0</v>
      </c>
      <c r="BJ1179">
        <v>0</v>
      </c>
      <c r="BK1179">
        <v>0</v>
      </c>
      <c r="BL1179" s="2">
        <v>24.82</v>
      </c>
      <c r="BM1179" s="2">
        <v>42005.095138888886</v>
      </c>
      <c r="BN1179" s="2">
        <v>5.4</v>
      </c>
      <c r="BO1179" s="2">
        <v>42005.092361111114</v>
      </c>
      <c r="BP1179" s="2">
        <v>6.92</v>
      </c>
      <c r="BQ1179" s="2">
        <v>42005.092361111114</v>
      </c>
      <c r="BR1179" s="2">
        <v>11.07</v>
      </c>
      <c r="BS1179" s="2">
        <v>42005.092361111114</v>
      </c>
      <c r="BT1179">
        <v>0</v>
      </c>
      <c r="BU1179">
        <v>0</v>
      </c>
      <c r="BV1179" t="s">
        <v>135</v>
      </c>
      <c r="BW1179">
        <v>0</v>
      </c>
      <c r="BX1179">
        <v>0</v>
      </c>
      <c r="BY1179" t="s">
        <v>135</v>
      </c>
      <c r="BZ1179">
        <v>0</v>
      </c>
      <c r="CA1179">
        <v>0</v>
      </c>
      <c r="CB1179" t="s">
        <v>135</v>
      </c>
      <c r="CH1179" s="2"/>
      <c r="CJ1179" s="2"/>
      <c r="CL1179" s="2"/>
      <c r="CN1179" s="2"/>
      <c r="CQ1179" s="2"/>
      <c r="CT1179" s="2"/>
      <c r="CW1179" s="2"/>
    </row>
    <row r="1180" spans="1:101" x14ac:dyDescent="0.25">
      <c r="A1180" s="1" t="s">
        <v>163</v>
      </c>
      <c r="B1180" s="75" t="s">
        <v>164</v>
      </c>
      <c r="C1180">
        <v>0</v>
      </c>
      <c r="D1180">
        <v>0</v>
      </c>
      <c r="E1180">
        <v>0</v>
      </c>
      <c r="F1180">
        <v>604324.56000000006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3.91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7490</v>
      </c>
      <c r="AW1180">
        <v>3350</v>
      </c>
      <c r="AX1180">
        <v>1219</v>
      </c>
      <c r="AY1180">
        <v>12059</v>
      </c>
      <c r="AZ1180">
        <v>4202</v>
      </c>
      <c r="BA1180">
        <v>7438</v>
      </c>
      <c r="BB1180">
        <v>1432</v>
      </c>
      <c r="BC1180">
        <v>13072</v>
      </c>
      <c r="BD1180">
        <v>9486</v>
      </c>
      <c r="BE1180">
        <v>9222</v>
      </c>
      <c r="BF1180">
        <v>1768</v>
      </c>
      <c r="BG1180">
        <v>20476</v>
      </c>
      <c r="BH1180">
        <v>0</v>
      </c>
      <c r="BI1180">
        <v>0</v>
      </c>
      <c r="BJ1180">
        <v>0</v>
      </c>
      <c r="BK1180">
        <v>0</v>
      </c>
      <c r="BL1180" s="2">
        <v>24.82</v>
      </c>
      <c r="BM1180" s="2">
        <v>42005.095138888886</v>
      </c>
      <c r="BN1180" s="2">
        <v>5.4</v>
      </c>
      <c r="BO1180" s="2">
        <v>42005.092361111114</v>
      </c>
      <c r="BP1180" s="2">
        <v>6.92</v>
      </c>
      <c r="BQ1180" s="2">
        <v>42005.092361111114</v>
      </c>
      <c r="BR1180" s="2">
        <v>11.07</v>
      </c>
      <c r="BS1180" s="2">
        <v>42005.092361111114</v>
      </c>
      <c r="BT1180">
        <v>0</v>
      </c>
      <c r="BU1180">
        <v>0</v>
      </c>
      <c r="BV1180" t="s">
        <v>135</v>
      </c>
      <c r="BW1180">
        <v>0</v>
      </c>
      <c r="BX1180">
        <v>0</v>
      </c>
      <c r="BY1180" t="s">
        <v>135</v>
      </c>
      <c r="BZ1180">
        <v>0</v>
      </c>
      <c r="CA1180">
        <v>0</v>
      </c>
      <c r="CB1180" t="s">
        <v>135</v>
      </c>
      <c r="CH1180" s="2"/>
      <c r="CJ1180" s="2"/>
      <c r="CL1180" s="2"/>
      <c r="CN1180" s="2"/>
      <c r="CQ1180" s="2"/>
      <c r="CT1180" s="2"/>
      <c r="CW1180" s="2"/>
    </row>
    <row r="1181" spans="1:101" x14ac:dyDescent="0.25">
      <c r="A1181" s="1" t="s">
        <v>163</v>
      </c>
      <c r="B1181" s="75" t="s">
        <v>164</v>
      </c>
      <c r="C1181">
        <v>0</v>
      </c>
      <c r="D1181">
        <v>0</v>
      </c>
      <c r="E1181">
        <v>0</v>
      </c>
      <c r="F1181">
        <v>604324.56000000006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3.91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7490</v>
      </c>
      <c r="AW1181">
        <v>3350</v>
      </c>
      <c r="AX1181">
        <v>1219</v>
      </c>
      <c r="AY1181">
        <v>12059</v>
      </c>
      <c r="AZ1181">
        <v>4202</v>
      </c>
      <c r="BA1181">
        <v>7438</v>
      </c>
      <c r="BB1181">
        <v>1432</v>
      </c>
      <c r="BC1181">
        <v>13072</v>
      </c>
      <c r="BD1181">
        <v>9486</v>
      </c>
      <c r="BE1181">
        <v>9222</v>
      </c>
      <c r="BF1181">
        <v>1768</v>
      </c>
      <c r="BG1181">
        <v>20476</v>
      </c>
      <c r="BH1181">
        <v>0</v>
      </c>
      <c r="BI1181">
        <v>0</v>
      </c>
      <c r="BJ1181">
        <v>0</v>
      </c>
      <c r="BK1181">
        <v>0</v>
      </c>
      <c r="BL1181" s="2">
        <v>24.82</v>
      </c>
      <c r="BM1181" s="2">
        <v>42005.095138888886</v>
      </c>
      <c r="BN1181" s="2">
        <v>5.4</v>
      </c>
      <c r="BO1181" s="2">
        <v>42005.092361111114</v>
      </c>
      <c r="BP1181" s="2">
        <v>6.92</v>
      </c>
      <c r="BQ1181" s="2">
        <v>42005.092361111114</v>
      </c>
      <c r="BR1181" s="2">
        <v>11.07</v>
      </c>
      <c r="BS1181" s="2">
        <v>42005.092361111114</v>
      </c>
      <c r="BT1181">
        <v>0</v>
      </c>
      <c r="BU1181">
        <v>0</v>
      </c>
      <c r="BV1181" t="s">
        <v>135</v>
      </c>
      <c r="BW1181">
        <v>0</v>
      </c>
      <c r="BX1181">
        <v>0</v>
      </c>
      <c r="BY1181" t="s">
        <v>135</v>
      </c>
      <c r="BZ1181">
        <v>0</v>
      </c>
      <c r="CA1181">
        <v>0</v>
      </c>
      <c r="CB1181" t="s">
        <v>135</v>
      </c>
      <c r="CH1181" s="2"/>
      <c r="CJ1181" s="2"/>
      <c r="CL1181" s="2"/>
      <c r="CN1181" s="2"/>
      <c r="CQ1181" s="2"/>
      <c r="CT1181" s="2"/>
      <c r="CW1181" s="2"/>
    </row>
    <row r="1182" spans="1:101" x14ac:dyDescent="0.25">
      <c r="A1182" s="1" t="s">
        <v>163</v>
      </c>
      <c r="B1182" s="75" t="s">
        <v>164</v>
      </c>
      <c r="C1182">
        <v>0</v>
      </c>
      <c r="D1182">
        <v>0</v>
      </c>
      <c r="E1182">
        <v>0</v>
      </c>
      <c r="F1182">
        <v>604324.56000000006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3.91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7490</v>
      </c>
      <c r="AW1182">
        <v>3350</v>
      </c>
      <c r="AX1182">
        <v>1219</v>
      </c>
      <c r="AY1182">
        <v>12059</v>
      </c>
      <c r="AZ1182">
        <v>4202</v>
      </c>
      <c r="BA1182">
        <v>7438</v>
      </c>
      <c r="BB1182">
        <v>1432</v>
      </c>
      <c r="BC1182">
        <v>13072</v>
      </c>
      <c r="BD1182">
        <v>9486</v>
      </c>
      <c r="BE1182">
        <v>9222</v>
      </c>
      <c r="BF1182">
        <v>1768</v>
      </c>
      <c r="BG1182">
        <v>20476</v>
      </c>
      <c r="BH1182">
        <v>0</v>
      </c>
      <c r="BI1182">
        <v>0</v>
      </c>
      <c r="BJ1182">
        <v>0</v>
      </c>
      <c r="BK1182">
        <v>0</v>
      </c>
      <c r="BL1182" s="2">
        <v>24.82</v>
      </c>
      <c r="BM1182" s="2">
        <v>42005.095138888886</v>
      </c>
      <c r="BN1182" s="2">
        <v>5.4</v>
      </c>
      <c r="BO1182" s="2">
        <v>42005.092361111114</v>
      </c>
      <c r="BP1182" s="2">
        <v>6.92</v>
      </c>
      <c r="BQ1182" s="2">
        <v>42005.092361111114</v>
      </c>
      <c r="BR1182" s="2">
        <v>11.07</v>
      </c>
      <c r="BS1182" s="2">
        <v>42005.092361111114</v>
      </c>
      <c r="BT1182">
        <v>0</v>
      </c>
      <c r="BU1182">
        <v>0</v>
      </c>
      <c r="BV1182" t="s">
        <v>135</v>
      </c>
      <c r="BW1182">
        <v>0</v>
      </c>
      <c r="BX1182">
        <v>0</v>
      </c>
      <c r="BY1182" t="s">
        <v>135</v>
      </c>
      <c r="BZ1182">
        <v>0</v>
      </c>
      <c r="CA1182">
        <v>0</v>
      </c>
      <c r="CB1182" t="s">
        <v>135</v>
      </c>
      <c r="CH1182" s="2"/>
      <c r="CJ1182" s="2"/>
      <c r="CL1182" s="2"/>
      <c r="CN1182" s="2"/>
      <c r="CQ1182" s="2"/>
      <c r="CT1182" s="2"/>
      <c r="CW1182" s="2"/>
    </row>
    <row r="1183" spans="1:101" x14ac:dyDescent="0.25">
      <c r="A1183" s="1" t="s">
        <v>163</v>
      </c>
      <c r="B1183" s="75" t="s">
        <v>164</v>
      </c>
      <c r="C1183">
        <v>0</v>
      </c>
      <c r="D1183">
        <v>0</v>
      </c>
      <c r="E1183">
        <v>0</v>
      </c>
      <c r="F1183">
        <v>604324.56000000006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3.91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7490</v>
      </c>
      <c r="AW1183">
        <v>3350</v>
      </c>
      <c r="AX1183">
        <v>1219</v>
      </c>
      <c r="AY1183">
        <v>12059</v>
      </c>
      <c r="AZ1183">
        <v>4202</v>
      </c>
      <c r="BA1183">
        <v>7438</v>
      </c>
      <c r="BB1183">
        <v>1432</v>
      </c>
      <c r="BC1183">
        <v>13072</v>
      </c>
      <c r="BD1183">
        <v>9486</v>
      </c>
      <c r="BE1183">
        <v>9222</v>
      </c>
      <c r="BF1183">
        <v>1768</v>
      </c>
      <c r="BG1183">
        <v>20476</v>
      </c>
      <c r="BH1183">
        <v>0</v>
      </c>
      <c r="BI1183">
        <v>0</v>
      </c>
      <c r="BJ1183">
        <v>0</v>
      </c>
      <c r="BK1183">
        <v>0</v>
      </c>
      <c r="BL1183" s="2">
        <v>24.82</v>
      </c>
      <c r="BM1183" s="2">
        <v>42005.095138888886</v>
      </c>
      <c r="BN1183" s="2">
        <v>5.4</v>
      </c>
      <c r="BO1183" s="2">
        <v>42005.092361111114</v>
      </c>
      <c r="BP1183" s="2">
        <v>6.92</v>
      </c>
      <c r="BQ1183" s="2">
        <v>42005.092361111114</v>
      </c>
      <c r="BR1183" s="2">
        <v>11.07</v>
      </c>
      <c r="BS1183" s="2">
        <v>42005.092361111114</v>
      </c>
      <c r="BT1183">
        <v>0</v>
      </c>
      <c r="BU1183">
        <v>0</v>
      </c>
      <c r="BV1183" t="s">
        <v>135</v>
      </c>
      <c r="BW1183">
        <v>0</v>
      </c>
      <c r="BX1183">
        <v>0</v>
      </c>
      <c r="BY1183" t="s">
        <v>135</v>
      </c>
      <c r="BZ1183">
        <v>0</v>
      </c>
      <c r="CA1183">
        <v>0</v>
      </c>
      <c r="CB1183" t="s">
        <v>135</v>
      </c>
      <c r="CH1183" s="2"/>
      <c r="CJ1183" s="2"/>
      <c r="CL1183" s="2"/>
      <c r="CN1183" s="2"/>
      <c r="CQ1183" s="2"/>
      <c r="CT1183" s="2"/>
      <c r="CW1183" s="2"/>
    </row>
    <row r="1184" spans="1:101" x14ac:dyDescent="0.25">
      <c r="A1184" s="1" t="s">
        <v>163</v>
      </c>
      <c r="B1184" s="75" t="s">
        <v>164</v>
      </c>
      <c r="C1184">
        <v>0</v>
      </c>
      <c r="D1184">
        <v>0</v>
      </c>
      <c r="E1184">
        <v>0</v>
      </c>
      <c r="F1184">
        <v>604324.56000000006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3.91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7490</v>
      </c>
      <c r="AW1184">
        <v>3350</v>
      </c>
      <c r="AX1184">
        <v>1219</v>
      </c>
      <c r="AY1184">
        <v>12059</v>
      </c>
      <c r="AZ1184">
        <v>4202</v>
      </c>
      <c r="BA1184">
        <v>7438</v>
      </c>
      <c r="BB1184">
        <v>1432</v>
      </c>
      <c r="BC1184">
        <v>13072</v>
      </c>
      <c r="BD1184">
        <v>9486</v>
      </c>
      <c r="BE1184">
        <v>9222</v>
      </c>
      <c r="BF1184">
        <v>1768</v>
      </c>
      <c r="BG1184">
        <v>20476</v>
      </c>
      <c r="BH1184">
        <v>0</v>
      </c>
      <c r="BI1184">
        <v>0</v>
      </c>
      <c r="BJ1184">
        <v>0</v>
      </c>
      <c r="BK1184">
        <v>0</v>
      </c>
      <c r="BL1184" s="2">
        <v>24.82</v>
      </c>
      <c r="BM1184" s="2">
        <v>42005.095138888886</v>
      </c>
      <c r="BN1184" s="2">
        <v>5.4</v>
      </c>
      <c r="BO1184" s="2">
        <v>42005.092361111114</v>
      </c>
      <c r="BP1184" s="2">
        <v>6.92</v>
      </c>
      <c r="BQ1184" s="2">
        <v>42005.092361111114</v>
      </c>
      <c r="BR1184" s="2">
        <v>11.07</v>
      </c>
      <c r="BS1184" s="2">
        <v>42005.092361111114</v>
      </c>
      <c r="BT1184">
        <v>0</v>
      </c>
      <c r="BU1184">
        <v>0</v>
      </c>
      <c r="BV1184" t="s">
        <v>135</v>
      </c>
      <c r="BW1184">
        <v>0</v>
      </c>
      <c r="BX1184">
        <v>0</v>
      </c>
      <c r="BY1184" t="s">
        <v>135</v>
      </c>
      <c r="BZ1184">
        <v>0</v>
      </c>
      <c r="CA1184">
        <v>0</v>
      </c>
      <c r="CB1184" t="s">
        <v>135</v>
      </c>
      <c r="CH1184" s="2"/>
      <c r="CJ1184" s="2"/>
      <c r="CL1184" s="2"/>
      <c r="CN1184" s="2"/>
      <c r="CQ1184" s="2"/>
      <c r="CT1184" s="2"/>
      <c r="CW1184" s="2"/>
    </row>
    <row r="1185" spans="1:101" x14ac:dyDescent="0.25">
      <c r="A1185" s="1" t="s">
        <v>163</v>
      </c>
      <c r="B1185" s="75" t="s">
        <v>164</v>
      </c>
      <c r="C1185">
        <v>0</v>
      </c>
      <c r="D1185">
        <v>0</v>
      </c>
      <c r="E1185">
        <v>0</v>
      </c>
      <c r="F1185">
        <v>604324.56000000006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3.91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7490</v>
      </c>
      <c r="AW1185">
        <v>3350</v>
      </c>
      <c r="AX1185">
        <v>1219</v>
      </c>
      <c r="AY1185">
        <v>12059</v>
      </c>
      <c r="AZ1185">
        <v>4202</v>
      </c>
      <c r="BA1185">
        <v>7438</v>
      </c>
      <c r="BB1185">
        <v>1432</v>
      </c>
      <c r="BC1185">
        <v>13072</v>
      </c>
      <c r="BD1185">
        <v>9486</v>
      </c>
      <c r="BE1185">
        <v>9222</v>
      </c>
      <c r="BF1185">
        <v>1768</v>
      </c>
      <c r="BG1185">
        <v>20476</v>
      </c>
      <c r="BH1185">
        <v>0</v>
      </c>
      <c r="BI1185">
        <v>0</v>
      </c>
      <c r="BJ1185">
        <v>0</v>
      </c>
      <c r="BK1185">
        <v>0</v>
      </c>
      <c r="BL1185" s="2">
        <v>24.82</v>
      </c>
      <c r="BM1185" s="2">
        <v>42005.095138888886</v>
      </c>
      <c r="BN1185" s="2">
        <v>5.4</v>
      </c>
      <c r="BO1185" s="2">
        <v>42005.092361111114</v>
      </c>
      <c r="BP1185" s="2">
        <v>6.92</v>
      </c>
      <c r="BQ1185" s="2">
        <v>42005.092361111114</v>
      </c>
      <c r="BR1185" s="2">
        <v>11.07</v>
      </c>
      <c r="BS1185" s="2">
        <v>42005.092361111114</v>
      </c>
      <c r="BT1185">
        <v>0</v>
      </c>
      <c r="BU1185">
        <v>0</v>
      </c>
      <c r="BV1185" t="s">
        <v>135</v>
      </c>
      <c r="BW1185">
        <v>0</v>
      </c>
      <c r="BX1185">
        <v>0</v>
      </c>
      <c r="BY1185" t="s">
        <v>135</v>
      </c>
      <c r="BZ1185">
        <v>0</v>
      </c>
      <c r="CA1185">
        <v>0</v>
      </c>
      <c r="CB1185" t="s">
        <v>135</v>
      </c>
      <c r="CH1185" s="2"/>
      <c r="CJ1185" s="2"/>
      <c r="CL1185" s="2"/>
      <c r="CN1185" s="2"/>
      <c r="CQ1185" s="2"/>
      <c r="CT1185" s="2"/>
      <c r="CW1185" s="2"/>
    </row>
    <row r="1186" spans="1:101" x14ac:dyDescent="0.25">
      <c r="A1186" s="1" t="s">
        <v>163</v>
      </c>
      <c r="B1186" s="75" t="s">
        <v>164</v>
      </c>
      <c r="C1186">
        <v>0</v>
      </c>
      <c r="D1186">
        <v>0</v>
      </c>
      <c r="E1186">
        <v>0</v>
      </c>
      <c r="F1186">
        <v>604324.56000000006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3.91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7490</v>
      </c>
      <c r="AW1186">
        <v>3350</v>
      </c>
      <c r="AX1186">
        <v>1219</v>
      </c>
      <c r="AY1186">
        <v>12059</v>
      </c>
      <c r="AZ1186">
        <v>4202</v>
      </c>
      <c r="BA1186">
        <v>7438</v>
      </c>
      <c r="BB1186">
        <v>1432</v>
      </c>
      <c r="BC1186">
        <v>13072</v>
      </c>
      <c r="BD1186">
        <v>9486</v>
      </c>
      <c r="BE1186">
        <v>9222</v>
      </c>
      <c r="BF1186">
        <v>1768</v>
      </c>
      <c r="BG1186">
        <v>20476</v>
      </c>
      <c r="BH1186">
        <v>0</v>
      </c>
      <c r="BI1186">
        <v>0</v>
      </c>
      <c r="BJ1186">
        <v>0</v>
      </c>
      <c r="BK1186">
        <v>0</v>
      </c>
      <c r="BL1186" s="2">
        <v>24.82</v>
      </c>
      <c r="BM1186" s="2">
        <v>42005.095138888886</v>
      </c>
      <c r="BN1186" s="2">
        <v>5.4</v>
      </c>
      <c r="BO1186" s="2">
        <v>42005.092361111114</v>
      </c>
      <c r="BP1186" s="2">
        <v>6.92</v>
      </c>
      <c r="BQ1186" s="2">
        <v>42005.092361111114</v>
      </c>
      <c r="BR1186" s="2">
        <v>11.07</v>
      </c>
      <c r="BS1186" s="2">
        <v>42005.092361111114</v>
      </c>
      <c r="BT1186">
        <v>0</v>
      </c>
      <c r="BU1186">
        <v>0</v>
      </c>
      <c r="BV1186" t="s">
        <v>135</v>
      </c>
      <c r="BW1186">
        <v>0</v>
      </c>
      <c r="BX1186">
        <v>0</v>
      </c>
      <c r="BY1186" t="s">
        <v>135</v>
      </c>
      <c r="BZ1186">
        <v>0</v>
      </c>
      <c r="CA1186">
        <v>0</v>
      </c>
      <c r="CB1186" t="s">
        <v>135</v>
      </c>
      <c r="CH1186" s="2"/>
      <c r="CJ1186" s="2"/>
      <c r="CL1186" s="2"/>
      <c r="CN1186" s="2"/>
      <c r="CQ1186" s="2"/>
      <c r="CT1186" s="2"/>
      <c r="CW1186" s="2"/>
    </row>
    <row r="1187" spans="1:101" x14ac:dyDescent="0.25">
      <c r="A1187" s="1" t="s">
        <v>163</v>
      </c>
      <c r="B1187" s="75" t="s">
        <v>164</v>
      </c>
      <c r="C1187">
        <v>0</v>
      </c>
      <c r="D1187">
        <v>0</v>
      </c>
      <c r="E1187">
        <v>0</v>
      </c>
      <c r="F1187">
        <v>604324.56000000006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3.91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7490</v>
      </c>
      <c r="AW1187">
        <v>3350</v>
      </c>
      <c r="AX1187">
        <v>1219</v>
      </c>
      <c r="AY1187">
        <v>12059</v>
      </c>
      <c r="AZ1187">
        <v>4202</v>
      </c>
      <c r="BA1187">
        <v>7438</v>
      </c>
      <c r="BB1187">
        <v>1432</v>
      </c>
      <c r="BC1187">
        <v>13072</v>
      </c>
      <c r="BD1187">
        <v>9486</v>
      </c>
      <c r="BE1187">
        <v>9222</v>
      </c>
      <c r="BF1187">
        <v>1768</v>
      </c>
      <c r="BG1187">
        <v>20476</v>
      </c>
      <c r="BH1187">
        <v>0</v>
      </c>
      <c r="BI1187">
        <v>0</v>
      </c>
      <c r="BJ1187">
        <v>0</v>
      </c>
      <c r="BK1187">
        <v>0</v>
      </c>
      <c r="BL1187" s="2">
        <v>24.82</v>
      </c>
      <c r="BM1187" s="2">
        <v>42005.095138888886</v>
      </c>
      <c r="BN1187" s="2">
        <v>5.4</v>
      </c>
      <c r="BO1187" s="2">
        <v>42005.092361111114</v>
      </c>
      <c r="BP1187" s="2">
        <v>6.92</v>
      </c>
      <c r="BQ1187" s="2">
        <v>42005.092361111114</v>
      </c>
      <c r="BR1187" s="2">
        <v>11.07</v>
      </c>
      <c r="BS1187" s="2">
        <v>42005.092361111114</v>
      </c>
      <c r="BT1187">
        <v>0</v>
      </c>
      <c r="BU1187">
        <v>0</v>
      </c>
      <c r="BV1187" t="s">
        <v>135</v>
      </c>
      <c r="BW1187">
        <v>0</v>
      </c>
      <c r="BX1187">
        <v>0</v>
      </c>
      <c r="BY1187" t="s">
        <v>135</v>
      </c>
      <c r="BZ1187">
        <v>0</v>
      </c>
      <c r="CA1187">
        <v>0</v>
      </c>
      <c r="CB1187" t="s">
        <v>135</v>
      </c>
      <c r="CH1187" s="2"/>
      <c r="CJ1187" s="2"/>
      <c r="CL1187" s="2"/>
      <c r="CN1187" s="2"/>
      <c r="CQ1187" s="2"/>
      <c r="CT1187" s="2"/>
      <c r="CW1187" s="2"/>
    </row>
    <row r="1188" spans="1:101" x14ac:dyDescent="0.25">
      <c r="A1188" s="1" t="s">
        <v>163</v>
      </c>
      <c r="B1188" s="75" t="s">
        <v>164</v>
      </c>
      <c r="C1188">
        <v>0</v>
      </c>
      <c r="D1188">
        <v>0</v>
      </c>
      <c r="E1188">
        <v>0</v>
      </c>
      <c r="F1188">
        <v>604324.56000000006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3.91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7490</v>
      </c>
      <c r="AW1188">
        <v>3350</v>
      </c>
      <c r="AX1188">
        <v>1219</v>
      </c>
      <c r="AY1188">
        <v>12059</v>
      </c>
      <c r="AZ1188">
        <v>4202</v>
      </c>
      <c r="BA1188">
        <v>7438</v>
      </c>
      <c r="BB1188">
        <v>1432</v>
      </c>
      <c r="BC1188">
        <v>13072</v>
      </c>
      <c r="BD1188">
        <v>9486</v>
      </c>
      <c r="BE1188">
        <v>9222</v>
      </c>
      <c r="BF1188">
        <v>1768</v>
      </c>
      <c r="BG1188">
        <v>20476</v>
      </c>
      <c r="BH1188">
        <v>0</v>
      </c>
      <c r="BI1188">
        <v>0</v>
      </c>
      <c r="BJ1188">
        <v>0</v>
      </c>
      <c r="BK1188">
        <v>0</v>
      </c>
      <c r="BL1188" s="2">
        <v>24.82</v>
      </c>
      <c r="BM1188" s="2">
        <v>42005.095138888886</v>
      </c>
      <c r="BN1188" s="2">
        <v>5.4</v>
      </c>
      <c r="BO1188" s="2">
        <v>42005.092361111114</v>
      </c>
      <c r="BP1188" s="2">
        <v>6.92</v>
      </c>
      <c r="BQ1188" s="2">
        <v>42005.092361111114</v>
      </c>
      <c r="BR1188" s="2">
        <v>11.07</v>
      </c>
      <c r="BS1188" s="2">
        <v>42005.092361111114</v>
      </c>
      <c r="BT1188">
        <v>0</v>
      </c>
      <c r="BU1188">
        <v>0</v>
      </c>
      <c r="BV1188" t="s">
        <v>135</v>
      </c>
      <c r="BW1188">
        <v>0</v>
      </c>
      <c r="BX1188">
        <v>0</v>
      </c>
      <c r="BY1188" t="s">
        <v>135</v>
      </c>
      <c r="BZ1188">
        <v>0</v>
      </c>
      <c r="CA1188">
        <v>0</v>
      </c>
      <c r="CB1188" t="s">
        <v>135</v>
      </c>
      <c r="CH1188" s="2"/>
      <c r="CJ1188" s="2"/>
      <c r="CL1188" s="2"/>
      <c r="CN1188" s="2"/>
      <c r="CQ1188" s="2"/>
      <c r="CT1188" s="2"/>
      <c r="CW1188" s="2"/>
    </row>
    <row r="1189" spans="1:101" x14ac:dyDescent="0.25">
      <c r="A1189" s="1" t="s">
        <v>163</v>
      </c>
      <c r="B1189" s="75" t="s">
        <v>164</v>
      </c>
      <c r="C1189">
        <v>0</v>
      </c>
      <c r="D1189">
        <v>0</v>
      </c>
      <c r="E1189">
        <v>0</v>
      </c>
      <c r="F1189">
        <v>604324.56000000006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3.91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7490</v>
      </c>
      <c r="AW1189">
        <v>3350</v>
      </c>
      <c r="AX1189">
        <v>1219</v>
      </c>
      <c r="AY1189">
        <v>12059</v>
      </c>
      <c r="AZ1189">
        <v>4202</v>
      </c>
      <c r="BA1189">
        <v>7438</v>
      </c>
      <c r="BB1189">
        <v>1432</v>
      </c>
      <c r="BC1189">
        <v>13072</v>
      </c>
      <c r="BD1189">
        <v>9486</v>
      </c>
      <c r="BE1189">
        <v>9222</v>
      </c>
      <c r="BF1189">
        <v>1768</v>
      </c>
      <c r="BG1189">
        <v>20476</v>
      </c>
      <c r="BH1189">
        <v>0</v>
      </c>
      <c r="BI1189">
        <v>0</v>
      </c>
      <c r="BJ1189">
        <v>0</v>
      </c>
      <c r="BK1189">
        <v>0</v>
      </c>
      <c r="BL1189" s="2">
        <v>24.82</v>
      </c>
      <c r="BM1189" s="2">
        <v>42005.095138888886</v>
      </c>
      <c r="BN1189" s="2">
        <v>5.4</v>
      </c>
      <c r="BO1189" s="2">
        <v>42005.092361111114</v>
      </c>
      <c r="BP1189" s="2">
        <v>6.92</v>
      </c>
      <c r="BQ1189" s="2">
        <v>42005.092361111114</v>
      </c>
      <c r="BR1189" s="2">
        <v>11.07</v>
      </c>
      <c r="BS1189" s="2">
        <v>42005.092361111114</v>
      </c>
      <c r="BT1189">
        <v>0</v>
      </c>
      <c r="BU1189">
        <v>0</v>
      </c>
      <c r="BV1189" t="s">
        <v>135</v>
      </c>
      <c r="BW1189">
        <v>0</v>
      </c>
      <c r="BX1189">
        <v>0</v>
      </c>
      <c r="BY1189" t="s">
        <v>135</v>
      </c>
      <c r="BZ1189">
        <v>0</v>
      </c>
      <c r="CA1189">
        <v>0</v>
      </c>
      <c r="CB1189" t="s">
        <v>135</v>
      </c>
      <c r="CH1189" s="2"/>
      <c r="CJ1189" s="2"/>
      <c r="CL1189" s="2"/>
      <c r="CN1189" s="2"/>
      <c r="CQ1189" s="2"/>
      <c r="CT1189" s="2"/>
      <c r="CW1189" s="2"/>
    </row>
    <row r="1190" spans="1:101" x14ac:dyDescent="0.25">
      <c r="A1190" s="1" t="s">
        <v>163</v>
      </c>
      <c r="B1190" s="75" t="s">
        <v>164</v>
      </c>
      <c r="C1190">
        <v>0</v>
      </c>
      <c r="D1190">
        <v>0</v>
      </c>
      <c r="E1190">
        <v>0</v>
      </c>
      <c r="F1190">
        <v>604324.56000000006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3.91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7490</v>
      </c>
      <c r="AW1190">
        <v>3350</v>
      </c>
      <c r="AX1190">
        <v>1219</v>
      </c>
      <c r="AY1190">
        <v>12059</v>
      </c>
      <c r="AZ1190">
        <v>4202</v>
      </c>
      <c r="BA1190">
        <v>7438</v>
      </c>
      <c r="BB1190">
        <v>1432</v>
      </c>
      <c r="BC1190">
        <v>13072</v>
      </c>
      <c r="BD1190">
        <v>9486</v>
      </c>
      <c r="BE1190">
        <v>9222</v>
      </c>
      <c r="BF1190">
        <v>1768</v>
      </c>
      <c r="BG1190">
        <v>20476</v>
      </c>
      <c r="BH1190">
        <v>0</v>
      </c>
      <c r="BI1190">
        <v>0</v>
      </c>
      <c r="BJ1190">
        <v>0</v>
      </c>
      <c r="BK1190">
        <v>0</v>
      </c>
      <c r="BL1190" s="2">
        <v>24.82</v>
      </c>
      <c r="BM1190" s="2">
        <v>42005.095138888886</v>
      </c>
      <c r="BN1190" s="2">
        <v>5.4</v>
      </c>
      <c r="BO1190" s="2">
        <v>42005.092361111114</v>
      </c>
      <c r="BP1190" s="2">
        <v>6.92</v>
      </c>
      <c r="BQ1190" s="2">
        <v>42005.092361111114</v>
      </c>
      <c r="BR1190" s="2">
        <v>11.07</v>
      </c>
      <c r="BS1190" s="2">
        <v>42005.092361111114</v>
      </c>
      <c r="BT1190">
        <v>0</v>
      </c>
      <c r="BU1190">
        <v>0</v>
      </c>
      <c r="BV1190" t="s">
        <v>135</v>
      </c>
      <c r="BW1190">
        <v>0</v>
      </c>
      <c r="BX1190">
        <v>0</v>
      </c>
      <c r="BY1190" t="s">
        <v>135</v>
      </c>
      <c r="BZ1190">
        <v>0</v>
      </c>
      <c r="CA1190">
        <v>0</v>
      </c>
      <c r="CB1190" t="s">
        <v>135</v>
      </c>
      <c r="CH1190" s="2"/>
      <c r="CJ1190" s="2"/>
      <c r="CL1190" s="2"/>
      <c r="CN1190" s="2"/>
      <c r="CQ1190" s="2"/>
      <c r="CT1190" s="2"/>
      <c r="CW1190" s="2"/>
    </row>
    <row r="1191" spans="1:101" x14ac:dyDescent="0.25">
      <c r="A1191" s="1" t="s">
        <v>163</v>
      </c>
      <c r="B1191" s="75" t="s">
        <v>164</v>
      </c>
      <c r="C1191">
        <v>0</v>
      </c>
      <c r="D1191">
        <v>0</v>
      </c>
      <c r="E1191">
        <v>0</v>
      </c>
      <c r="F1191">
        <v>604324.56000000006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3.91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7490</v>
      </c>
      <c r="AW1191">
        <v>3350</v>
      </c>
      <c r="AX1191">
        <v>1219</v>
      </c>
      <c r="AY1191">
        <v>12059</v>
      </c>
      <c r="AZ1191">
        <v>4202</v>
      </c>
      <c r="BA1191">
        <v>7438</v>
      </c>
      <c r="BB1191">
        <v>1432</v>
      </c>
      <c r="BC1191">
        <v>13072</v>
      </c>
      <c r="BD1191">
        <v>9486</v>
      </c>
      <c r="BE1191">
        <v>9222</v>
      </c>
      <c r="BF1191">
        <v>1768</v>
      </c>
      <c r="BG1191">
        <v>20476</v>
      </c>
      <c r="BH1191">
        <v>0</v>
      </c>
      <c r="BI1191">
        <v>0</v>
      </c>
      <c r="BJ1191">
        <v>0</v>
      </c>
      <c r="BK1191">
        <v>0</v>
      </c>
      <c r="BL1191" s="2">
        <v>24.82</v>
      </c>
      <c r="BM1191" s="2">
        <v>42005.095138888886</v>
      </c>
      <c r="BN1191" s="2">
        <v>5.4</v>
      </c>
      <c r="BO1191" s="2">
        <v>42005.092361111114</v>
      </c>
      <c r="BP1191" s="2">
        <v>6.92</v>
      </c>
      <c r="BQ1191" s="2">
        <v>42005.092361111114</v>
      </c>
      <c r="BR1191" s="2">
        <v>11.07</v>
      </c>
      <c r="BS1191" s="2">
        <v>42005.092361111114</v>
      </c>
      <c r="BT1191">
        <v>0</v>
      </c>
      <c r="BU1191">
        <v>0</v>
      </c>
      <c r="BV1191" t="s">
        <v>135</v>
      </c>
      <c r="BW1191">
        <v>0</v>
      </c>
      <c r="BX1191">
        <v>0</v>
      </c>
      <c r="BY1191" t="s">
        <v>135</v>
      </c>
      <c r="BZ1191">
        <v>0</v>
      </c>
      <c r="CA1191">
        <v>0</v>
      </c>
      <c r="CB1191" t="s">
        <v>135</v>
      </c>
      <c r="CH1191" s="2"/>
      <c r="CJ1191" s="2"/>
      <c r="CL1191" s="2"/>
      <c r="CN1191" s="2"/>
      <c r="CQ1191" s="2"/>
      <c r="CT1191" s="2"/>
      <c r="CW1191" s="2"/>
    </row>
    <row r="1192" spans="1:101" x14ac:dyDescent="0.25">
      <c r="A1192" s="1" t="s">
        <v>163</v>
      </c>
      <c r="B1192" s="75" t="s">
        <v>164</v>
      </c>
      <c r="C1192">
        <v>0</v>
      </c>
      <c r="D1192">
        <v>0</v>
      </c>
      <c r="E1192">
        <v>0</v>
      </c>
      <c r="F1192">
        <v>604324.56000000006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3.91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7490</v>
      </c>
      <c r="AW1192">
        <v>3350</v>
      </c>
      <c r="AX1192">
        <v>1219</v>
      </c>
      <c r="AY1192">
        <v>12059</v>
      </c>
      <c r="AZ1192">
        <v>4202</v>
      </c>
      <c r="BA1192">
        <v>7438</v>
      </c>
      <c r="BB1192">
        <v>1432</v>
      </c>
      <c r="BC1192">
        <v>13072</v>
      </c>
      <c r="BD1192">
        <v>9486</v>
      </c>
      <c r="BE1192">
        <v>9222</v>
      </c>
      <c r="BF1192">
        <v>1768</v>
      </c>
      <c r="BG1192">
        <v>20476</v>
      </c>
      <c r="BH1192">
        <v>0</v>
      </c>
      <c r="BI1192">
        <v>0</v>
      </c>
      <c r="BJ1192">
        <v>0</v>
      </c>
      <c r="BK1192">
        <v>0</v>
      </c>
      <c r="BL1192" s="2">
        <v>24.82</v>
      </c>
      <c r="BM1192" s="2">
        <v>42005.095138888886</v>
      </c>
      <c r="BN1192" s="2">
        <v>5.4</v>
      </c>
      <c r="BO1192" s="2">
        <v>42005.092361111114</v>
      </c>
      <c r="BP1192" s="2">
        <v>6.92</v>
      </c>
      <c r="BQ1192" s="2">
        <v>42005.092361111114</v>
      </c>
      <c r="BR1192" s="2">
        <v>11.07</v>
      </c>
      <c r="BS1192" s="2">
        <v>42005.092361111114</v>
      </c>
      <c r="BT1192">
        <v>0</v>
      </c>
      <c r="BU1192">
        <v>0</v>
      </c>
      <c r="BV1192" t="s">
        <v>135</v>
      </c>
      <c r="BW1192">
        <v>0</v>
      </c>
      <c r="BX1192">
        <v>0</v>
      </c>
      <c r="BY1192" t="s">
        <v>135</v>
      </c>
      <c r="BZ1192">
        <v>0</v>
      </c>
      <c r="CA1192">
        <v>0</v>
      </c>
      <c r="CB1192" t="s">
        <v>135</v>
      </c>
      <c r="CH1192" s="2"/>
      <c r="CJ1192" s="2"/>
      <c r="CL1192" s="2"/>
      <c r="CN1192" s="2"/>
      <c r="CQ1192" s="2"/>
      <c r="CT1192" s="2"/>
      <c r="CW1192" s="2"/>
    </row>
    <row r="1193" spans="1:101" x14ac:dyDescent="0.25">
      <c r="A1193" s="1" t="s">
        <v>163</v>
      </c>
      <c r="B1193" s="75" t="s">
        <v>164</v>
      </c>
      <c r="C1193">
        <v>0</v>
      </c>
      <c r="D1193">
        <v>0</v>
      </c>
      <c r="E1193">
        <v>0</v>
      </c>
      <c r="F1193">
        <v>604324.56000000006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3.91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7490</v>
      </c>
      <c r="AW1193">
        <v>3350</v>
      </c>
      <c r="AX1193">
        <v>1219</v>
      </c>
      <c r="AY1193">
        <v>12059</v>
      </c>
      <c r="AZ1193">
        <v>4202</v>
      </c>
      <c r="BA1193">
        <v>7438</v>
      </c>
      <c r="BB1193">
        <v>1432</v>
      </c>
      <c r="BC1193">
        <v>13072</v>
      </c>
      <c r="BD1193">
        <v>9486</v>
      </c>
      <c r="BE1193">
        <v>9222</v>
      </c>
      <c r="BF1193">
        <v>1768</v>
      </c>
      <c r="BG1193">
        <v>20476</v>
      </c>
      <c r="BH1193">
        <v>0</v>
      </c>
      <c r="BI1193">
        <v>0</v>
      </c>
      <c r="BJ1193">
        <v>0</v>
      </c>
      <c r="BK1193">
        <v>0</v>
      </c>
      <c r="BL1193" s="2">
        <v>24.82</v>
      </c>
      <c r="BM1193" s="2">
        <v>42005.095138888886</v>
      </c>
      <c r="BN1193" s="2">
        <v>5.4</v>
      </c>
      <c r="BO1193" s="2">
        <v>42005.092361111114</v>
      </c>
      <c r="BP1193" s="2">
        <v>6.92</v>
      </c>
      <c r="BQ1193" s="2">
        <v>42005.092361111114</v>
      </c>
      <c r="BR1193" s="2">
        <v>11.07</v>
      </c>
      <c r="BS1193" s="2">
        <v>42005.092361111114</v>
      </c>
      <c r="BT1193">
        <v>0</v>
      </c>
      <c r="BU1193">
        <v>0</v>
      </c>
      <c r="BV1193" t="s">
        <v>135</v>
      </c>
      <c r="BW1193">
        <v>0</v>
      </c>
      <c r="BX1193">
        <v>0</v>
      </c>
      <c r="BY1193" t="s">
        <v>135</v>
      </c>
      <c r="BZ1193">
        <v>0</v>
      </c>
      <c r="CA1193">
        <v>0</v>
      </c>
      <c r="CB1193" t="s">
        <v>135</v>
      </c>
      <c r="CH1193" s="2"/>
      <c r="CJ1193" s="2"/>
      <c r="CL1193" s="2"/>
      <c r="CN1193" s="2"/>
      <c r="CQ1193" s="2"/>
      <c r="CT1193" s="2"/>
      <c r="CW1193" s="2"/>
    </row>
    <row r="1194" spans="1:101" x14ac:dyDescent="0.25">
      <c r="A1194" s="1" t="s">
        <v>163</v>
      </c>
      <c r="B1194" s="75" t="s">
        <v>164</v>
      </c>
      <c r="C1194">
        <v>0</v>
      </c>
      <c r="D1194">
        <v>0</v>
      </c>
      <c r="E1194">
        <v>0</v>
      </c>
      <c r="F1194">
        <v>604324.56000000006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3.91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7490</v>
      </c>
      <c r="AW1194">
        <v>3350</v>
      </c>
      <c r="AX1194">
        <v>1219</v>
      </c>
      <c r="AY1194">
        <v>12059</v>
      </c>
      <c r="AZ1194">
        <v>4202</v>
      </c>
      <c r="BA1194">
        <v>7438</v>
      </c>
      <c r="BB1194">
        <v>1432</v>
      </c>
      <c r="BC1194">
        <v>13072</v>
      </c>
      <c r="BD1194">
        <v>9486</v>
      </c>
      <c r="BE1194">
        <v>9222</v>
      </c>
      <c r="BF1194">
        <v>1768</v>
      </c>
      <c r="BG1194">
        <v>20476</v>
      </c>
      <c r="BH1194">
        <v>0</v>
      </c>
      <c r="BI1194">
        <v>0</v>
      </c>
      <c r="BJ1194">
        <v>0</v>
      </c>
      <c r="BK1194">
        <v>0</v>
      </c>
      <c r="BL1194" s="2">
        <v>24.82</v>
      </c>
      <c r="BM1194" s="2">
        <v>42005.095138888886</v>
      </c>
      <c r="BN1194" s="2">
        <v>5.4</v>
      </c>
      <c r="BO1194" s="2">
        <v>42005.092361111114</v>
      </c>
      <c r="BP1194" s="2">
        <v>6.92</v>
      </c>
      <c r="BQ1194" s="2">
        <v>42005.092361111114</v>
      </c>
      <c r="BR1194" s="2">
        <v>11.07</v>
      </c>
      <c r="BS1194" s="2">
        <v>42005.092361111114</v>
      </c>
      <c r="BT1194">
        <v>0</v>
      </c>
      <c r="BU1194">
        <v>0</v>
      </c>
      <c r="BV1194" t="s">
        <v>135</v>
      </c>
      <c r="BW1194">
        <v>0</v>
      </c>
      <c r="BX1194">
        <v>0</v>
      </c>
      <c r="BY1194" t="s">
        <v>135</v>
      </c>
      <c r="BZ1194">
        <v>0</v>
      </c>
      <c r="CA1194">
        <v>0</v>
      </c>
      <c r="CB1194" t="s">
        <v>135</v>
      </c>
      <c r="CH1194" s="2"/>
      <c r="CJ1194" s="2"/>
      <c r="CL1194" s="2"/>
      <c r="CN1194" s="2"/>
      <c r="CQ1194" s="2"/>
      <c r="CT1194" s="2"/>
      <c r="CW1194" s="2"/>
    </row>
    <row r="1195" spans="1:101" x14ac:dyDescent="0.25">
      <c r="A1195" s="1" t="s">
        <v>163</v>
      </c>
      <c r="B1195" s="75" t="s">
        <v>164</v>
      </c>
      <c r="C1195">
        <v>0</v>
      </c>
      <c r="D1195">
        <v>0</v>
      </c>
      <c r="E1195">
        <v>0</v>
      </c>
      <c r="F1195">
        <v>604324.56000000006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3.91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7490</v>
      </c>
      <c r="AW1195">
        <v>3350</v>
      </c>
      <c r="AX1195">
        <v>1219</v>
      </c>
      <c r="AY1195">
        <v>12059</v>
      </c>
      <c r="AZ1195">
        <v>4202</v>
      </c>
      <c r="BA1195">
        <v>7438</v>
      </c>
      <c r="BB1195">
        <v>1432</v>
      </c>
      <c r="BC1195">
        <v>13072</v>
      </c>
      <c r="BD1195">
        <v>9486</v>
      </c>
      <c r="BE1195">
        <v>9222</v>
      </c>
      <c r="BF1195">
        <v>1768</v>
      </c>
      <c r="BG1195">
        <v>20476</v>
      </c>
      <c r="BH1195">
        <v>0</v>
      </c>
      <c r="BI1195">
        <v>0</v>
      </c>
      <c r="BJ1195">
        <v>0</v>
      </c>
      <c r="BK1195">
        <v>0</v>
      </c>
      <c r="BL1195" s="2">
        <v>24.82</v>
      </c>
      <c r="BM1195" s="2">
        <v>42005.095138888886</v>
      </c>
      <c r="BN1195" s="2">
        <v>5.4</v>
      </c>
      <c r="BO1195" s="2">
        <v>42005.092361111114</v>
      </c>
      <c r="BP1195" s="2">
        <v>6.92</v>
      </c>
      <c r="BQ1195" s="2">
        <v>42005.092361111114</v>
      </c>
      <c r="BR1195" s="2">
        <v>11.07</v>
      </c>
      <c r="BS1195" s="2">
        <v>42005.092361111114</v>
      </c>
      <c r="BT1195">
        <v>0</v>
      </c>
      <c r="BU1195">
        <v>0</v>
      </c>
      <c r="BV1195" t="s">
        <v>135</v>
      </c>
      <c r="BW1195">
        <v>0</v>
      </c>
      <c r="BX1195">
        <v>0</v>
      </c>
      <c r="BY1195" t="s">
        <v>135</v>
      </c>
      <c r="BZ1195">
        <v>0</v>
      </c>
      <c r="CA1195">
        <v>0</v>
      </c>
      <c r="CB1195" t="s">
        <v>135</v>
      </c>
      <c r="CH1195" s="2"/>
      <c r="CJ1195" s="2"/>
      <c r="CL1195" s="2"/>
      <c r="CN1195" s="2"/>
      <c r="CQ1195" s="2"/>
      <c r="CT1195" s="2"/>
      <c r="CW1195" s="2"/>
    </row>
    <row r="1196" spans="1:101" x14ac:dyDescent="0.25">
      <c r="A1196" s="1" t="s">
        <v>163</v>
      </c>
      <c r="B1196" s="75" t="s">
        <v>164</v>
      </c>
      <c r="C1196">
        <v>0</v>
      </c>
      <c r="D1196">
        <v>0</v>
      </c>
      <c r="E1196">
        <v>0</v>
      </c>
      <c r="F1196">
        <v>604324.56000000006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3.91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7490</v>
      </c>
      <c r="AW1196">
        <v>3350</v>
      </c>
      <c r="AX1196">
        <v>1219</v>
      </c>
      <c r="AY1196">
        <v>12059</v>
      </c>
      <c r="AZ1196">
        <v>4202</v>
      </c>
      <c r="BA1196">
        <v>7438</v>
      </c>
      <c r="BB1196">
        <v>1432</v>
      </c>
      <c r="BC1196">
        <v>13072</v>
      </c>
      <c r="BD1196">
        <v>9486</v>
      </c>
      <c r="BE1196">
        <v>9222</v>
      </c>
      <c r="BF1196">
        <v>1768</v>
      </c>
      <c r="BG1196">
        <v>20476</v>
      </c>
      <c r="BH1196">
        <v>0</v>
      </c>
      <c r="BI1196">
        <v>0</v>
      </c>
      <c r="BJ1196">
        <v>0</v>
      </c>
      <c r="BK1196">
        <v>0</v>
      </c>
      <c r="BL1196" s="2">
        <v>24.82</v>
      </c>
      <c r="BM1196" s="2">
        <v>42005.095138888886</v>
      </c>
      <c r="BN1196" s="2">
        <v>5.4</v>
      </c>
      <c r="BO1196" s="2">
        <v>42005.092361111114</v>
      </c>
      <c r="BP1196" s="2">
        <v>6.92</v>
      </c>
      <c r="BQ1196" s="2">
        <v>42005.092361111114</v>
      </c>
      <c r="BR1196" s="2">
        <v>11.07</v>
      </c>
      <c r="BS1196" s="2">
        <v>42005.092361111114</v>
      </c>
      <c r="BT1196">
        <v>0</v>
      </c>
      <c r="BU1196">
        <v>0</v>
      </c>
      <c r="BV1196" t="s">
        <v>135</v>
      </c>
      <c r="BW1196">
        <v>0</v>
      </c>
      <c r="BX1196">
        <v>0</v>
      </c>
      <c r="BY1196" t="s">
        <v>135</v>
      </c>
      <c r="BZ1196">
        <v>0</v>
      </c>
      <c r="CA1196">
        <v>0</v>
      </c>
      <c r="CB1196" t="s">
        <v>135</v>
      </c>
      <c r="CH1196" s="2"/>
      <c r="CJ1196" s="2"/>
      <c r="CL1196" s="2"/>
      <c r="CN1196" s="2"/>
      <c r="CQ1196" s="2"/>
      <c r="CT1196" s="2"/>
      <c r="CW1196" s="2"/>
    </row>
    <row r="1197" spans="1:101" x14ac:dyDescent="0.25">
      <c r="A1197" s="1" t="s">
        <v>163</v>
      </c>
      <c r="B1197" s="75" t="s">
        <v>164</v>
      </c>
      <c r="C1197">
        <v>0</v>
      </c>
      <c r="D1197">
        <v>0</v>
      </c>
      <c r="E1197">
        <v>0</v>
      </c>
      <c r="F1197">
        <v>604324.56000000006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3.91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7490</v>
      </c>
      <c r="AW1197">
        <v>3350</v>
      </c>
      <c r="AX1197">
        <v>1219</v>
      </c>
      <c r="AY1197">
        <v>12059</v>
      </c>
      <c r="AZ1197">
        <v>4202</v>
      </c>
      <c r="BA1197">
        <v>7438</v>
      </c>
      <c r="BB1197">
        <v>1432</v>
      </c>
      <c r="BC1197">
        <v>13072</v>
      </c>
      <c r="BD1197">
        <v>9486</v>
      </c>
      <c r="BE1197">
        <v>9222</v>
      </c>
      <c r="BF1197">
        <v>1768</v>
      </c>
      <c r="BG1197">
        <v>20476</v>
      </c>
      <c r="BH1197">
        <v>0</v>
      </c>
      <c r="BI1197">
        <v>0</v>
      </c>
      <c r="BJ1197">
        <v>0</v>
      </c>
      <c r="BK1197">
        <v>0</v>
      </c>
      <c r="BL1197" s="2">
        <v>24.82</v>
      </c>
      <c r="BM1197" s="2">
        <v>42005.095138888886</v>
      </c>
      <c r="BN1197" s="2">
        <v>5.4</v>
      </c>
      <c r="BO1197" s="2">
        <v>42005.092361111114</v>
      </c>
      <c r="BP1197" s="2">
        <v>6.92</v>
      </c>
      <c r="BQ1197" s="2">
        <v>42005.092361111114</v>
      </c>
      <c r="BR1197" s="2">
        <v>11.07</v>
      </c>
      <c r="BS1197" s="2">
        <v>42005.092361111114</v>
      </c>
      <c r="BT1197">
        <v>0</v>
      </c>
      <c r="BU1197">
        <v>0</v>
      </c>
      <c r="BV1197" t="s">
        <v>135</v>
      </c>
      <c r="BW1197">
        <v>0</v>
      </c>
      <c r="BX1197">
        <v>0</v>
      </c>
      <c r="BY1197" t="s">
        <v>135</v>
      </c>
      <c r="BZ1197">
        <v>0</v>
      </c>
      <c r="CA1197">
        <v>0</v>
      </c>
      <c r="CB1197" t="s">
        <v>135</v>
      </c>
      <c r="CH1197" s="2"/>
      <c r="CJ1197" s="2"/>
      <c r="CL1197" s="2"/>
      <c r="CN1197" s="2"/>
      <c r="CQ1197" s="2"/>
      <c r="CT1197" s="2"/>
      <c r="CW1197" s="2"/>
    </row>
    <row r="1198" spans="1:101" x14ac:dyDescent="0.25">
      <c r="A1198" s="1" t="s">
        <v>163</v>
      </c>
      <c r="B1198" s="75" t="s">
        <v>164</v>
      </c>
      <c r="C1198">
        <v>0</v>
      </c>
      <c r="D1198">
        <v>0</v>
      </c>
      <c r="E1198">
        <v>0</v>
      </c>
      <c r="F1198">
        <v>604324.56000000006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3.91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7490</v>
      </c>
      <c r="AW1198">
        <v>3350</v>
      </c>
      <c r="AX1198">
        <v>1219</v>
      </c>
      <c r="AY1198">
        <v>12059</v>
      </c>
      <c r="AZ1198">
        <v>4202</v>
      </c>
      <c r="BA1198">
        <v>7438</v>
      </c>
      <c r="BB1198">
        <v>1432</v>
      </c>
      <c r="BC1198">
        <v>13072</v>
      </c>
      <c r="BD1198">
        <v>9486</v>
      </c>
      <c r="BE1198">
        <v>9222</v>
      </c>
      <c r="BF1198">
        <v>1768</v>
      </c>
      <c r="BG1198">
        <v>20476</v>
      </c>
      <c r="BH1198">
        <v>0</v>
      </c>
      <c r="BI1198">
        <v>0</v>
      </c>
      <c r="BJ1198">
        <v>0</v>
      </c>
      <c r="BK1198">
        <v>0</v>
      </c>
      <c r="BL1198" s="2">
        <v>24.82</v>
      </c>
      <c r="BM1198" s="2">
        <v>42005.095138888886</v>
      </c>
      <c r="BN1198" s="2">
        <v>5.4</v>
      </c>
      <c r="BO1198" s="2">
        <v>42005.092361111114</v>
      </c>
      <c r="BP1198" s="2">
        <v>6.92</v>
      </c>
      <c r="BQ1198" s="2">
        <v>42005.092361111114</v>
      </c>
      <c r="BR1198" s="2">
        <v>11.07</v>
      </c>
      <c r="BS1198" s="2">
        <v>42005.092361111114</v>
      </c>
      <c r="BT1198">
        <v>0</v>
      </c>
      <c r="BU1198">
        <v>0</v>
      </c>
      <c r="BV1198" t="s">
        <v>135</v>
      </c>
      <c r="BW1198">
        <v>0</v>
      </c>
      <c r="BX1198">
        <v>0</v>
      </c>
      <c r="BY1198" t="s">
        <v>135</v>
      </c>
      <c r="BZ1198">
        <v>0</v>
      </c>
      <c r="CA1198">
        <v>0</v>
      </c>
      <c r="CB1198" t="s">
        <v>135</v>
      </c>
      <c r="CH1198" s="2"/>
      <c r="CJ1198" s="2"/>
      <c r="CL1198" s="2"/>
      <c r="CN1198" s="2"/>
      <c r="CQ1198" s="2"/>
      <c r="CT1198" s="2"/>
      <c r="CW1198" s="2"/>
    </row>
    <row r="1199" spans="1:101" x14ac:dyDescent="0.25">
      <c r="A1199" s="1" t="s">
        <v>163</v>
      </c>
      <c r="B1199" s="75" t="s">
        <v>164</v>
      </c>
      <c r="C1199">
        <v>0</v>
      </c>
      <c r="D1199">
        <v>0</v>
      </c>
      <c r="E1199">
        <v>0</v>
      </c>
      <c r="F1199">
        <v>604324.56000000006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3.91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7490</v>
      </c>
      <c r="AW1199">
        <v>3350</v>
      </c>
      <c r="AX1199">
        <v>1219</v>
      </c>
      <c r="AY1199">
        <v>12059</v>
      </c>
      <c r="AZ1199">
        <v>4202</v>
      </c>
      <c r="BA1199">
        <v>7438</v>
      </c>
      <c r="BB1199">
        <v>1432</v>
      </c>
      <c r="BC1199">
        <v>13072</v>
      </c>
      <c r="BD1199">
        <v>9486</v>
      </c>
      <c r="BE1199">
        <v>9222</v>
      </c>
      <c r="BF1199">
        <v>1768</v>
      </c>
      <c r="BG1199">
        <v>20476</v>
      </c>
      <c r="BH1199">
        <v>0</v>
      </c>
      <c r="BI1199">
        <v>0</v>
      </c>
      <c r="BJ1199">
        <v>0</v>
      </c>
      <c r="BK1199">
        <v>0</v>
      </c>
      <c r="BL1199" s="2">
        <v>24.82</v>
      </c>
      <c r="BM1199" s="2">
        <v>42005.095138888886</v>
      </c>
      <c r="BN1199" s="2">
        <v>5.4</v>
      </c>
      <c r="BO1199" s="2">
        <v>42005.092361111114</v>
      </c>
      <c r="BP1199" s="2">
        <v>6.92</v>
      </c>
      <c r="BQ1199" s="2">
        <v>42005.092361111114</v>
      </c>
      <c r="BR1199" s="2">
        <v>11.07</v>
      </c>
      <c r="BS1199" s="2">
        <v>42005.092361111114</v>
      </c>
      <c r="BT1199">
        <v>0</v>
      </c>
      <c r="BU1199">
        <v>0</v>
      </c>
      <c r="BV1199" t="s">
        <v>135</v>
      </c>
      <c r="BW1199">
        <v>0</v>
      </c>
      <c r="BX1199">
        <v>0</v>
      </c>
      <c r="BY1199" t="s">
        <v>135</v>
      </c>
      <c r="BZ1199">
        <v>0</v>
      </c>
      <c r="CA1199">
        <v>0</v>
      </c>
      <c r="CB1199" t="s">
        <v>135</v>
      </c>
      <c r="CH1199" s="2"/>
      <c r="CJ1199" s="2"/>
      <c r="CL1199" s="2"/>
      <c r="CN1199" s="2"/>
      <c r="CQ1199" s="2"/>
      <c r="CT1199" s="2"/>
      <c r="CW1199" s="2"/>
    </row>
    <row r="1200" spans="1:101" x14ac:dyDescent="0.25">
      <c r="A1200" s="1" t="s">
        <v>163</v>
      </c>
      <c r="B1200" s="75" t="s">
        <v>164</v>
      </c>
      <c r="C1200">
        <v>0</v>
      </c>
      <c r="D1200">
        <v>0</v>
      </c>
      <c r="E1200">
        <v>0</v>
      </c>
      <c r="F1200">
        <v>604324.56000000006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3.91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7490</v>
      </c>
      <c r="AW1200">
        <v>3350</v>
      </c>
      <c r="AX1200">
        <v>1219</v>
      </c>
      <c r="AY1200">
        <v>12059</v>
      </c>
      <c r="AZ1200">
        <v>4202</v>
      </c>
      <c r="BA1200">
        <v>7438</v>
      </c>
      <c r="BB1200">
        <v>1432</v>
      </c>
      <c r="BC1200">
        <v>13072</v>
      </c>
      <c r="BD1200">
        <v>9486</v>
      </c>
      <c r="BE1200">
        <v>9222</v>
      </c>
      <c r="BF1200">
        <v>1768</v>
      </c>
      <c r="BG1200">
        <v>20476</v>
      </c>
      <c r="BH1200">
        <v>0</v>
      </c>
      <c r="BI1200">
        <v>0</v>
      </c>
      <c r="BJ1200">
        <v>0</v>
      </c>
      <c r="BK1200">
        <v>0</v>
      </c>
      <c r="BL1200" s="2">
        <v>24.82</v>
      </c>
      <c r="BM1200" s="2">
        <v>42005.095138888886</v>
      </c>
      <c r="BN1200" s="2">
        <v>5.4</v>
      </c>
      <c r="BO1200" s="2">
        <v>42005.092361111114</v>
      </c>
      <c r="BP1200" s="2">
        <v>6.92</v>
      </c>
      <c r="BQ1200" s="2">
        <v>42005.092361111114</v>
      </c>
      <c r="BR1200" s="2">
        <v>11.07</v>
      </c>
      <c r="BS1200" s="2">
        <v>42005.092361111114</v>
      </c>
      <c r="BT1200">
        <v>0</v>
      </c>
      <c r="BU1200">
        <v>0</v>
      </c>
      <c r="BV1200" t="s">
        <v>135</v>
      </c>
      <c r="BW1200">
        <v>0</v>
      </c>
      <c r="BX1200">
        <v>0</v>
      </c>
      <c r="BY1200" t="s">
        <v>135</v>
      </c>
      <c r="BZ1200">
        <v>0</v>
      </c>
      <c r="CA1200">
        <v>0</v>
      </c>
      <c r="CB1200" t="s">
        <v>135</v>
      </c>
      <c r="CH1200" s="2"/>
      <c r="CJ1200" s="2"/>
      <c r="CL1200" s="2"/>
      <c r="CN1200" s="2"/>
      <c r="CQ1200" s="2"/>
      <c r="CT1200" s="2"/>
      <c r="CW1200" s="2"/>
    </row>
    <row r="1201" spans="1:101" x14ac:dyDescent="0.25">
      <c r="A1201" s="1" t="s">
        <v>163</v>
      </c>
      <c r="B1201" s="75" t="s">
        <v>164</v>
      </c>
      <c r="C1201">
        <v>0</v>
      </c>
      <c r="D1201">
        <v>0</v>
      </c>
      <c r="E1201">
        <v>0</v>
      </c>
      <c r="F1201">
        <v>604324.56000000006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3.91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7490</v>
      </c>
      <c r="AW1201">
        <v>3350</v>
      </c>
      <c r="AX1201">
        <v>1219</v>
      </c>
      <c r="AY1201">
        <v>12059</v>
      </c>
      <c r="AZ1201">
        <v>4202</v>
      </c>
      <c r="BA1201">
        <v>7438</v>
      </c>
      <c r="BB1201">
        <v>1432</v>
      </c>
      <c r="BC1201">
        <v>13072</v>
      </c>
      <c r="BD1201">
        <v>9486</v>
      </c>
      <c r="BE1201">
        <v>9222</v>
      </c>
      <c r="BF1201">
        <v>1768</v>
      </c>
      <c r="BG1201">
        <v>20476</v>
      </c>
      <c r="BH1201">
        <v>0</v>
      </c>
      <c r="BI1201">
        <v>0</v>
      </c>
      <c r="BJ1201">
        <v>0</v>
      </c>
      <c r="BK1201">
        <v>0</v>
      </c>
      <c r="BL1201" s="2">
        <v>24.82</v>
      </c>
      <c r="BM1201" s="2">
        <v>42005.095138888886</v>
      </c>
      <c r="BN1201" s="2">
        <v>5.4</v>
      </c>
      <c r="BO1201" s="2">
        <v>42005.092361111114</v>
      </c>
      <c r="BP1201" s="2">
        <v>6.92</v>
      </c>
      <c r="BQ1201" s="2">
        <v>42005.092361111114</v>
      </c>
      <c r="BR1201" s="2">
        <v>11.07</v>
      </c>
      <c r="BS1201" s="2">
        <v>42005.092361111114</v>
      </c>
      <c r="BT1201">
        <v>0</v>
      </c>
      <c r="BU1201">
        <v>0</v>
      </c>
      <c r="BV1201" t="s">
        <v>135</v>
      </c>
      <c r="BW1201">
        <v>0</v>
      </c>
      <c r="BX1201">
        <v>0</v>
      </c>
      <c r="BY1201" t="s">
        <v>135</v>
      </c>
      <c r="BZ1201">
        <v>0</v>
      </c>
      <c r="CA1201">
        <v>0</v>
      </c>
      <c r="CB1201" t="s">
        <v>135</v>
      </c>
      <c r="CH1201" s="2"/>
      <c r="CJ1201" s="2"/>
      <c r="CL1201" s="2"/>
      <c r="CN1201" s="2"/>
      <c r="CQ1201" s="2"/>
      <c r="CT1201" s="2"/>
      <c r="CW1201" s="2"/>
    </row>
    <row r="1202" spans="1:101" x14ac:dyDescent="0.25">
      <c r="A1202" s="1" t="s">
        <v>163</v>
      </c>
      <c r="B1202" s="75" t="s">
        <v>164</v>
      </c>
      <c r="C1202">
        <v>0</v>
      </c>
      <c r="D1202">
        <v>0</v>
      </c>
      <c r="E1202">
        <v>0</v>
      </c>
      <c r="F1202">
        <v>604324.56000000006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3.91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7490</v>
      </c>
      <c r="AW1202">
        <v>3350</v>
      </c>
      <c r="AX1202">
        <v>1219</v>
      </c>
      <c r="AY1202">
        <v>12059</v>
      </c>
      <c r="AZ1202">
        <v>4202</v>
      </c>
      <c r="BA1202">
        <v>7438</v>
      </c>
      <c r="BB1202">
        <v>1432</v>
      </c>
      <c r="BC1202">
        <v>13072</v>
      </c>
      <c r="BD1202">
        <v>9486</v>
      </c>
      <c r="BE1202">
        <v>9222</v>
      </c>
      <c r="BF1202">
        <v>1768</v>
      </c>
      <c r="BG1202">
        <v>20476</v>
      </c>
      <c r="BH1202">
        <v>0</v>
      </c>
      <c r="BI1202">
        <v>0</v>
      </c>
      <c r="BJ1202">
        <v>0</v>
      </c>
      <c r="BK1202">
        <v>0</v>
      </c>
      <c r="BL1202" s="2">
        <v>24.82</v>
      </c>
      <c r="BM1202" s="2">
        <v>42005.095138888886</v>
      </c>
      <c r="BN1202" s="2">
        <v>5.4</v>
      </c>
      <c r="BO1202" s="2">
        <v>42005.092361111114</v>
      </c>
      <c r="BP1202" s="2">
        <v>6.92</v>
      </c>
      <c r="BQ1202" s="2">
        <v>42005.092361111114</v>
      </c>
      <c r="BR1202" s="2">
        <v>11.07</v>
      </c>
      <c r="BS1202" s="2">
        <v>42005.092361111114</v>
      </c>
      <c r="BT1202">
        <v>0</v>
      </c>
      <c r="BU1202">
        <v>0</v>
      </c>
      <c r="BV1202" t="s">
        <v>135</v>
      </c>
      <c r="BW1202">
        <v>0</v>
      </c>
      <c r="BX1202">
        <v>0</v>
      </c>
      <c r="BY1202" t="s">
        <v>135</v>
      </c>
      <c r="BZ1202">
        <v>0</v>
      </c>
      <c r="CA1202">
        <v>0</v>
      </c>
      <c r="CB1202" t="s">
        <v>135</v>
      </c>
      <c r="CH1202" s="2"/>
      <c r="CJ1202" s="2"/>
      <c r="CL1202" s="2"/>
      <c r="CN1202" s="2"/>
      <c r="CQ1202" s="2"/>
      <c r="CT1202" s="2"/>
      <c r="CW1202" s="2"/>
    </row>
    <row r="1203" spans="1:101" x14ac:dyDescent="0.25">
      <c r="A1203" s="1" t="s">
        <v>163</v>
      </c>
      <c r="B1203" s="75" t="s">
        <v>164</v>
      </c>
      <c r="C1203">
        <v>0</v>
      </c>
      <c r="D1203">
        <v>0</v>
      </c>
      <c r="E1203">
        <v>0</v>
      </c>
      <c r="F1203">
        <v>604324.56000000006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3.91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7490</v>
      </c>
      <c r="AW1203">
        <v>3350</v>
      </c>
      <c r="AX1203">
        <v>1219</v>
      </c>
      <c r="AY1203">
        <v>12059</v>
      </c>
      <c r="AZ1203">
        <v>4202</v>
      </c>
      <c r="BA1203">
        <v>7438</v>
      </c>
      <c r="BB1203">
        <v>1432</v>
      </c>
      <c r="BC1203">
        <v>13072</v>
      </c>
      <c r="BD1203">
        <v>9486</v>
      </c>
      <c r="BE1203">
        <v>9222</v>
      </c>
      <c r="BF1203">
        <v>1768</v>
      </c>
      <c r="BG1203">
        <v>20476</v>
      </c>
      <c r="BH1203">
        <v>0</v>
      </c>
      <c r="BI1203">
        <v>0</v>
      </c>
      <c r="BJ1203">
        <v>0</v>
      </c>
      <c r="BK1203">
        <v>0</v>
      </c>
      <c r="BL1203" s="2">
        <v>24.82</v>
      </c>
      <c r="BM1203" s="2">
        <v>42005.095138888886</v>
      </c>
      <c r="BN1203" s="2">
        <v>5.4</v>
      </c>
      <c r="BO1203" s="2">
        <v>42005.092361111114</v>
      </c>
      <c r="BP1203" s="2">
        <v>6.92</v>
      </c>
      <c r="BQ1203" s="2">
        <v>42005.092361111114</v>
      </c>
      <c r="BR1203" s="2">
        <v>11.07</v>
      </c>
      <c r="BS1203" s="2">
        <v>42005.092361111114</v>
      </c>
      <c r="BT1203">
        <v>0</v>
      </c>
      <c r="BU1203">
        <v>0</v>
      </c>
      <c r="BV1203" t="s">
        <v>135</v>
      </c>
      <c r="BW1203">
        <v>0</v>
      </c>
      <c r="BX1203">
        <v>0</v>
      </c>
      <c r="BY1203" t="s">
        <v>135</v>
      </c>
      <c r="BZ1203">
        <v>0</v>
      </c>
      <c r="CA1203">
        <v>0</v>
      </c>
      <c r="CB1203" t="s">
        <v>135</v>
      </c>
      <c r="CH1203" s="2"/>
      <c r="CJ1203" s="2"/>
      <c r="CL1203" s="2"/>
      <c r="CN1203" s="2"/>
      <c r="CQ1203" s="2"/>
      <c r="CT1203" s="2"/>
      <c r="CW1203" s="2"/>
    </row>
    <row r="1204" spans="1:101" x14ac:dyDescent="0.25">
      <c r="A1204" s="1" t="s">
        <v>163</v>
      </c>
      <c r="B1204" s="75" t="s">
        <v>164</v>
      </c>
      <c r="C1204">
        <v>0</v>
      </c>
      <c r="D1204">
        <v>0</v>
      </c>
      <c r="E1204">
        <v>0</v>
      </c>
      <c r="F1204">
        <v>604324.56000000006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3.91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7490</v>
      </c>
      <c r="AW1204">
        <v>3350</v>
      </c>
      <c r="AX1204">
        <v>1219</v>
      </c>
      <c r="AY1204">
        <v>12059</v>
      </c>
      <c r="AZ1204">
        <v>4202</v>
      </c>
      <c r="BA1204">
        <v>7438</v>
      </c>
      <c r="BB1204">
        <v>1432</v>
      </c>
      <c r="BC1204">
        <v>13072</v>
      </c>
      <c r="BD1204">
        <v>9486</v>
      </c>
      <c r="BE1204">
        <v>9222</v>
      </c>
      <c r="BF1204">
        <v>1768</v>
      </c>
      <c r="BG1204">
        <v>20476</v>
      </c>
      <c r="BH1204">
        <v>0</v>
      </c>
      <c r="BI1204">
        <v>0</v>
      </c>
      <c r="BJ1204">
        <v>0</v>
      </c>
      <c r="BK1204">
        <v>0</v>
      </c>
      <c r="BL1204" s="2">
        <v>24.82</v>
      </c>
      <c r="BM1204" s="2">
        <v>42005.095138888886</v>
      </c>
      <c r="BN1204" s="2">
        <v>5.4</v>
      </c>
      <c r="BO1204" s="2">
        <v>42005.092361111114</v>
      </c>
      <c r="BP1204" s="2">
        <v>6.92</v>
      </c>
      <c r="BQ1204" s="2">
        <v>42005.092361111114</v>
      </c>
      <c r="BR1204" s="2">
        <v>11.07</v>
      </c>
      <c r="BS1204" s="2">
        <v>42005.092361111114</v>
      </c>
      <c r="BT1204">
        <v>0</v>
      </c>
      <c r="BU1204">
        <v>0</v>
      </c>
      <c r="BV1204" t="s">
        <v>135</v>
      </c>
      <c r="BW1204">
        <v>0</v>
      </c>
      <c r="BX1204">
        <v>0</v>
      </c>
      <c r="BY1204" t="s">
        <v>135</v>
      </c>
      <c r="BZ1204">
        <v>0</v>
      </c>
      <c r="CA1204">
        <v>0</v>
      </c>
      <c r="CB1204" t="s">
        <v>135</v>
      </c>
      <c r="CH1204" s="2"/>
      <c r="CJ1204" s="2"/>
      <c r="CL1204" s="2"/>
      <c r="CN1204" s="2"/>
      <c r="CQ1204" s="2"/>
      <c r="CT1204" s="2"/>
      <c r="CW1204" s="2"/>
    </row>
    <row r="1205" spans="1:101" x14ac:dyDescent="0.25">
      <c r="A1205" s="1" t="s">
        <v>163</v>
      </c>
      <c r="B1205" s="75" t="s">
        <v>164</v>
      </c>
      <c r="C1205">
        <v>0</v>
      </c>
      <c r="D1205">
        <v>0</v>
      </c>
      <c r="E1205">
        <v>0</v>
      </c>
      <c r="F1205">
        <v>604324.56000000006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3.91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7490</v>
      </c>
      <c r="AW1205">
        <v>3350</v>
      </c>
      <c r="AX1205">
        <v>1219</v>
      </c>
      <c r="AY1205">
        <v>12059</v>
      </c>
      <c r="AZ1205">
        <v>4202</v>
      </c>
      <c r="BA1205">
        <v>7438</v>
      </c>
      <c r="BB1205">
        <v>1432</v>
      </c>
      <c r="BC1205">
        <v>13072</v>
      </c>
      <c r="BD1205">
        <v>9486</v>
      </c>
      <c r="BE1205">
        <v>9222</v>
      </c>
      <c r="BF1205">
        <v>1768</v>
      </c>
      <c r="BG1205">
        <v>20476</v>
      </c>
      <c r="BH1205">
        <v>0</v>
      </c>
      <c r="BI1205">
        <v>0</v>
      </c>
      <c r="BJ1205">
        <v>0</v>
      </c>
      <c r="BK1205">
        <v>0</v>
      </c>
      <c r="BL1205" s="2">
        <v>24.82</v>
      </c>
      <c r="BM1205" s="2">
        <v>42005.095138888886</v>
      </c>
      <c r="BN1205" s="2">
        <v>5.4</v>
      </c>
      <c r="BO1205" s="2">
        <v>42005.092361111114</v>
      </c>
      <c r="BP1205" s="2">
        <v>6.92</v>
      </c>
      <c r="BQ1205" s="2">
        <v>42005.092361111114</v>
      </c>
      <c r="BR1205" s="2">
        <v>11.07</v>
      </c>
      <c r="BS1205" s="2">
        <v>42005.092361111114</v>
      </c>
      <c r="BT1205">
        <v>0</v>
      </c>
      <c r="BU1205">
        <v>0</v>
      </c>
      <c r="BV1205" t="s">
        <v>135</v>
      </c>
      <c r="BW1205">
        <v>0</v>
      </c>
      <c r="BX1205">
        <v>0</v>
      </c>
      <c r="BY1205" t="s">
        <v>135</v>
      </c>
      <c r="BZ1205">
        <v>0</v>
      </c>
      <c r="CA1205">
        <v>0</v>
      </c>
      <c r="CB1205" t="s">
        <v>135</v>
      </c>
      <c r="CH1205" s="2"/>
      <c r="CJ1205" s="2"/>
      <c r="CL1205" s="2"/>
      <c r="CN1205" s="2"/>
      <c r="CQ1205" s="2"/>
      <c r="CT1205" s="2"/>
      <c r="CW1205" s="2"/>
    </row>
    <row r="1206" spans="1:101" x14ac:dyDescent="0.25">
      <c r="A1206" s="1" t="s">
        <v>163</v>
      </c>
      <c r="B1206" s="75" t="s">
        <v>164</v>
      </c>
      <c r="C1206">
        <v>0</v>
      </c>
      <c r="D1206">
        <v>0</v>
      </c>
      <c r="E1206">
        <v>0</v>
      </c>
      <c r="F1206">
        <v>604324.56000000006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3.91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7490</v>
      </c>
      <c r="AW1206">
        <v>3350</v>
      </c>
      <c r="AX1206">
        <v>1219</v>
      </c>
      <c r="AY1206">
        <v>12059</v>
      </c>
      <c r="AZ1206">
        <v>4202</v>
      </c>
      <c r="BA1206">
        <v>7438</v>
      </c>
      <c r="BB1206">
        <v>1432</v>
      </c>
      <c r="BC1206">
        <v>13072</v>
      </c>
      <c r="BD1206">
        <v>9486</v>
      </c>
      <c r="BE1206">
        <v>9222</v>
      </c>
      <c r="BF1206">
        <v>1768</v>
      </c>
      <c r="BG1206">
        <v>20476</v>
      </c>
      <c r="BH1206">
        <v>0</v>
      </c>
      <c r="BI1206">
        <v>0</v>
      </c>
      <c r="BJ1206">
        <v>0</v>
      </c>
      <c r="BK1206">
        <v>0</v>
      </c>
      <c r="BL1206" s="2">
        <v>24.82</v>
      </c>
      <c r="BM1206" s="2">
        <v>42005.095138888886</v>
      </c>
      <c r="BN1206" s="2">
        <v>5.4</v>
      </c>
      <c r="BO1206" s="2">
        <v>42005.092361111114</v>
      </c>
      <c r="BP1206" s="2">
        <v>6.92</v>
      </c>
      <c r="BQ1206" s="2">
        <v>42005.092361111114</v>
      </c>
      <c r="BR1206" s="2">
        <v>11.07</v>
      </c>
      <c r="BS1206" s="2">
        <v>42005.092361111114</v>
      </c>
      <c r="BT1206">
        <v>0</v>
      </c>
      <c r="BU1206">
        <v>0</v>
      </c>
      <c r="BV1206" t="s">
        <v>135</v>
      </c>
      <c r="BW1206">
        <v>0</v>
      </c>
      <c r="BX1206">
        <v>0</v>
      </c>
      <c r="BY1206" t="s">
        <v>135</v>
      </c>
      <c r="BZ1206">
        <v>0</v>
      </c>
      <c r="CA1206">
        <v>0</v>
      </c>
      <c r="CB1206" t="s">
        <v>135</v>
      </c>
      <c r="CH1206" s="2"/>
      <c r="CJ1206" s="2"/>
      <c r="CL1206" s="2"/>
      <c r="CN1206" s="2"/>
      <c r="CQ1206" s="2"/>
      <c r="CT1206" s="2"/>
      <c r="CW1206" s="2"/>
    </row>
    <row r="1207" spans="1:101" x14ac:dyDescent="0.25">
      <c r="A1207" s="1" t="s">
        <v>163</v>
      </c>
      <c r="B1207" s="75" t="s">
        <v>164</v>
      </c>
      <c r="C1207">
        <v>0</v>
      </c>
      <c r="D1207">
        <v>0</v>
      </c>
      <c r="E1207">
        <v>0</v>
      </c>
      <c r="F1207">
        <v>604324.56000000006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3.91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7490</v>
      </c>
      <c r="AW1207">
        <v>3350</v>
      </c>
      <c r="AX1207">
        <v>1219</v>
      </c>
      <c r="AY1207">
        <v>12059</v>
      </c>
      <c r="AZ1207">
        <v>4202</v>
      </c>
      <c r="BA1207">
        <v>7438</v>
      </c>
      <c r="BB1207">
        <v>1432</v>
      </c>
      <c r="BC1207">
        <v>13072</v>
      </c>
      <c r="BD1207">
        <v>9486</v>
      </c>
      <c r="BE1207">
        <v>9222</v>
      </c>
      <c r="BF1207">
        <v>1768</v>
      </c>
      <c r="BG1207">
        <v>20476</v>
      </c>
      <c r="BH1207">
        <v>0</v>
      </c>
      <c r="BI1207">
        <v>0</v>
      </c>
      <c r="BJ1207">
        <v>0</v>
      </c>
      <c r="BK1207">
        <v>0</v>
      </c>
      <c r="BL1207" s="2">
        <v>24.82</v>
      </c>
      <c r="BM1207" s="2">
        <v>42005.095138888886</v>
      </c>
      <c r="BN1207" s="2">
        <v>5.4</v>
      </c>
      <c r="BO1207" s="2">
        <v>42005.092361111114</v>
      </c>
      <c r="BP1207" s="2">
        <v>6.92</v>
      </c>
      <c r="BQ1207" s="2">
        <v>42005.092361111114</v>
      </c>
      <c r="BR1207" s="2">
        <v>11.07</v>
      </c>
      <c r="BS1207" s="2">
        <v>42005.092361111114</v>
      </c>
      <c r="BT1207">
        <v>0</v>
      </c>
      <c r="BU1207">
        <v>0</v>
      </c>
      <c r="BV1207" t="s">
        <v>135</v>
      </c>
      <c r="BW1207">
        <v>0</v>
      </c>
      <c r="BX1207">
        <v>0</v>
      </c>
      <c r="BY1207" t="s">
        <v>135</v>
      </c>
      <c r="BZ1207">
        <v>0</v>
      </c>
      <c r="CA1207">
        <v>0</v>
      </c>
      <c r="CB1207" t="s">
        <v>135</v>
      </c>
      <c r="CH1207" s="2"/>
      <c r="CJ1207" s="2"/>
      <c r="CL1207" s="2"/>
      <c r="CN1207" s="2"/>
      <c r="CQ1207" s="2"/>
      <c r="CT1207" s="2"/>
      <c r="CW1207" s="2"/>
    </row>
    <row r="1208" spans="1:101" x14ac:dyDescent="0.25">
      <c r="A1208" s="1" t="s">
        <v>163</v>
      </c>
      <c r="B1208" s="75" t="s">
        <v>164</v>
      </c>
      <c r="C1208">
        <v>0</v>
      </c>
      <c r="D1208">
        <v>0</v>
      </c>
      <c r="E1208">
        <v>0</v>
      </c>
      <c r="F1208">
        <v>604324.56000000006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3.91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7490</v>
      </c>
      <c r="AW1208">
        <v>3350</v>
      </c>
      <c r="AX1208">
        <v>1219</v>
      </c>
      <c r="AY1208">
        <v>12059</v>
      </c>
      <c r="AZ1208">
        <v>4202</v>
      </c>
      <c r="BA1208">
        <v>7438</v>
      </c>
      <c r="BB1208">
        <v>1432</v>
      </c>
      <c r="BC1208">
        <v>13072</v>
      </c>
      <c r="BD1208">
        <v>9486</v>
      </c>
      <c r="BE1208">
        <v>9222</v>
      </c>
      <c r="BF1208">
        <v>1768</v>
      </c>
      <c r="BG1208">
        <v>20476</v>
      </c>
      <c r="BH1208">
        <v>0</v>
      </c>
      <c r="BI1208">
        <v>0</v>
      </c>
      <c r="BJ1208">
        <v>0</v>
      </c>
      <c r="BK1208">
        <v>0</v>
      </c>
      <c r="BL1208" s="2">
        <v>24.82</v>
      </c>
      <c r="BM1208" s="2">
        <v>42005.095138888886</v>
      </c>
      <c r="BN1208" s="2">
        <v>5.4</v>
      </c>
      <c r="BO1208" s="2">
        <v>42005.092361111114</v>
      </c>
      <c r="BP1208" s="2">
        <v>6.92</v>
      </c>
      <c r="BQ1208" s="2">
        <v>42005.092361111114</v>
      </c>
      <c r="BR1208" s="2">
        <v>11.07</v>
      </c>
      <c r="BS1208" s="2">
        <v>42005.092361111114</v>
      </c>
      <c r="BT1208">
        <v>0</v>
      </c>
      <c r="BU1208">
        <v>0</v>
      </c>
      <c r="BV1208" t="s">
        <v>135</v>
      </c>
      <c r="BW1208">
        <v>0</v>
      </c>
      <c r="BX1208">
        <v>0</v>
      </c>
      <c r="BY1208" t="s">
        <v>135</v>
      </c>
      <c r="BZ1208">
        <v>0</v>
      </c>
      <c r="CA1208">
        <v>0</v>
      </c>
      <c r="CB1208" t="s">
        <v>135</v>
      </c>
      <c r="CH1208" s="2"/>
      <c r="CJ1208" s="2"/>
      <c r="CL1208" s="2"/>
      <c r="CN1208" s="2"/>
      <c r="CQ1208" s="2"/>
      <c r="CT1208" s="2"/>
      <c r="CW1208" s="2"/>
    </row>
    <row r="1209" spans="1:101" x14ac:dyDescent="0.25">
      <c r="A1209" s="1" t="s">
        <v>163</v>
      </c>
      <c r="B1209" s="75" t="s">
        <v>164</v>
      </c>
      <c r="C1209">
        <v>0</v>
      </c>
      <c r="D1209">
        <v>0</v>
      </c>
      <c r="E1209">
        <v>0</v>
      </c>
      <c r="F1209">
        <v>604324.56000000006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3.91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7490</v>
      </c>
      <c r="AW1209">
        <v>3350</v>
      </c>
      <c r="AX1209">
        <v>1219</v>
      </c>
      <c r="AY1209">
        <v>12059</v>
      </c>
      <c r="AZ1209">
        <v>4202</v>
      </c>
      <c r="BA1209">
        <v>7438</v>
      </c>
      <c r="BB1209">
        <v>1432</v>
      </c>
      <c r="BC1209">
        <v>13072</v>
      </c>
      <c r="BD1209">
        <v>9486</v>
      </c>
      <c r="BE1209">
        <v>9222</v>
      </c>
      <c r="BF1209">
        <v>1768</v>
      </c>
      <c r="BG1209">
        <v>20476</v>
      </c>
      <c r="BH1209">
        <v>0</v>
      </c>
      <c r="BI1209">
        <v>0</v>
      </c>
      <c r="BJ1209">
        <v>0</v>
      </c>
      <c r="BK1209">
        <v>0</v>
      </c>
      <c r="BL1209" s="2">
        <v>24.82</v>
      </c>
      <c r="BM1209" s="2">
        <v>42005.095138888886</v>
      </c>
      <c r="BN1209" s="2">
        <v>5.4</v>
      </c>
      <c r="BO1209" s="2">
        <v>42005.092361111114</v>
      </c>
      <c r="BP1209" s="2">
        <v>6.92</v>
      </c>
      <c r="BQ1209" s="2">
        <v>42005.092361111114</v>
      </c>
      <c r="BR1209" s="2">
        <v>11.07</v>
      </c>
      <c r="BS1209" s="2">
        <v>42005.092361111114</v>
      </c>
      <c r="BT1209">
        <v>0</v>
      </c>
      <c r="BU1209">
        <v>0</v>
      </c>
      <c r="BV1209" t="s">
        <v>135</v>
      </c>
      <c r="BW1209">
        <v>0</v>
      </c>
      <c r="BX1209">
        <v>0</v>
      </c>
      <c r="BY1209" t="s">
        <v>135</v>
      </c>
      <c r="BZ1209">
        <v>0</v>
      </c>
      <c r="CA1209">
        <v>0</v>
      </c>
      <c r="CB1209" t="s">
        <v>135</v>
      </c>
      <c r="CH1209" s="2"/>
      <c r="CJ1209" s="2"/>
      <c r="CL1209" s="2"/>
      <c r="CN1209" s="2"/>
      <c r="CQ1209" s="2"/>
      <c r="CT1209" s="2"/>
      <c r="CW1209" s="2"/>
    </row>
    <row r="1210" spans="1:101" x14ac:dyDescent="0.25">
      <c r="A1210" s="1" t="s">
        <v>163</v>
      </c>
      <c r="B1210" s="75" t="s">
        <v>164</v>
      </c>
      <c r="C1210">
        <v>0</v>
      </c>
      <c r="D1210">
        <v>0</v>
      </c>
      <c r="E1210">
        <v>0</v>
      </c>
      <c r="F1210">
        <v>604324.56000000006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3.91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7490</v>
      </c>
      <c r="AW1210">
        <v>3350</v>
      </c>
      <c r="AX1210">
        <v>1219</v>
      </c>
      <c r="AY1210">
        <v>12059</v>
      </c>
      <c r="AZ1210">
        <v>4202</v>
      </c>
      <c r="BA1210">
        <v>7438</v>
      </c>
      <c r="BB1210">
        <v>1432</v>
      </c>
      <c r="BC1210">
        <v>13072</v>
      </c>
      <c r="BD1210">
        <v>9486</v>
      </c>
      <c r="BE1210">
        <v>9222</v>
      </c>
      <c r="BF1210">
        <v>1768</v>
      </c>
      <c r="BG1210">
        <v>20476</v>
      </c>
      <c r="BH1210">
        <v>0</v>
      </c>
      <c r="BI1210">
        <v>0</v>
      </c>
      <c r="BJ1210">
        <v>0</v>
      </c>
      <c r="BK1210">
        <v>0</v>
      </c>
      <c r="BL1210" s="2">
        <v>24.82</v>
      </c>
      <c r="BM1210" s="2">
        <v>42005.095138888886</v>
      </c>
      <c r="BN1210" s="2">
        <v>5.4</v>
      </c>
      <c r="BO1210" s="2">
        <v>42005.092361111114</v>
      </c>
      <c r="BP1210" s="2">
        <v>6.92</v>
      </c>
      <c r="BQ1210" s="2">
        <v>42005.092361111114</v>
      </c>
      <c r="BR1210" s="2">
        <v>11.07</v>
      </c>
      <c r="BS1210" s="2">
        <v>42005.092361111114</v>
      </c>
      <c r="BT1210">
        <v>0</v>
      </c>
      <c r="BU1210">
        <v>0</v>
      </c>
      <c r="BV1210" t="s">
        <v>135</v>
      </c>
      <c r="BW1210">
        <v>0</v>
      </c>
      <c r="BX1210">
        <v>0</v>
      </c>
      <c r="BY1210" t="s">
        <v>135</v>
      </c>
      <c r="BZ1210">
        <v>0</v>
      </c>
      <c r="CA1210">
        <v>0</v>
      </c>
      <c r="CB1210" t="s">
        <v>135</v>
      </c>
      <c r="CH1210" s="2"/>
      <c r="CJ1210" s="2"/>
      <c r="CL1210" s="2"/>
      <c r="CN1210" s="2"/>
      <c r="CQ1210" s="2"/>
      <c r="CT1210" s="2"/>
      <c r="CW1210" s="2"/>
    </row>
    <row r="1211" spans="1:101" x14ac:dyDescent="0.25">
      <c r="A1211" s="1" t="s">
        <v>163</v>
      </c>
      <c r="B1211" s="75" t="s">
        <v>164</v>
      </c>
      <c r="C1211">
        <v>0</v>
      </c>
      <c r="D1211">
        <v>0</v>
      </c>
      <c r="E1211">
        <v>0</v>
      </c>
      <c r="F1211">
        <v>604324.56000000006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3.91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7490</v>
      </c>
      <c r="AW1211">
        <v>3350</v>
      </c>
      <c r="AX1211">
        <v>1219</v>
      </c>
      <c r="AY1211">
        <v>12059</v>
      </c>
      <c r="AZ1211">
        <v>4202</v>
      </c>
      <c r="BA1211">
        <v>7438</v>
      </c>
      <c r="BB1211">
        <v>1432</v>
      </c>
      <c r="BC1211">
        <v>13072</v>
      </c>
      <c r="BD1211">
        <v>9486</v>
      </c>
      <c r="BE1211">
        <v>9222</v>
      </c>
      <c r="BF1211">
        <v>1768</v>
      </c>
      <c r="BG1211">
        <v>20476</v>
      </c>
      <c r="BH1211">
        <v>0</v>
      </c>
      <c r="BI1211">
        <v>0</v>
      </c>
      <c r="BJ1211">
        <v>0</v>
      </c>
      <c r="BK1211">
        <v>0</v>
      </c>
      <c r="BL1211" s="2">
        <v>24.82</v>
      </c>
      <c r="BM1211" s="2">
        <v>42005.095138888886</v>
      </c>
      <c r="BN1211" s="2">
        <v>5.4</v>
      </c>
      <c r="BO1211" s="2">
        <v>42005.092361111114</v>
      </c>
      <c r="BP1211" s="2">
        <v>6.92</v>
      </c>
      <c r="BQ1211" s="2">
        <v>42005.092361111114</v>
      </c>
      <c r="BR1211" s="2">
        <v>11.07</v>
      </c>
      <c r="BS1211" s="2">
        <v>42005.092361111114</v>
      </c>
      <c r="BT1211">
        <v>0</v>
      </c>
      <c r="BU1211">
        <v>0</v>
      </c>
      <c r="BV1211" t="s">
        <v>135</v>
      </c>
      <c r="BW1211">
        <v>0</v>
      </c>
      <c r="BX1211">
        <v>0</v>
      </c>
      <c r="BY1211" t="s">
        <v>135</v>
      </c>
      <c r="BZ1211">
        <v>0</v>
      </c>
      <c r="CA1211">
        <v>0</v>
      </c>
      <c r="CB1211" t="s">
        <v>135</v>
      </c>
      <c r="CH1211" s="2"/>
      <c r="CJ1211" s="2"/>
      <c r="CL1211" s="2"/>
      <c r="CN1211" s="2"/>
      <c r="CQ1211" s="2"/>
      <c r="CT1211" s="2"/>
      <c r="CW1211" s="2"/>
    </row>
    <row r="1212" spans="1:101" x14ac:dyDescent="0.25">
      <c r="A1212" s="1" t="s">
        <v>163</v>
      </c>
      <c r="B1212" s="75" t="s">
        <v>164</v>
      </c>
      <c r="C1212">
        <v>0</v>
      </c>
      <c r="D1212">
        <v>0</v>
      </c>
      <c r="E1212">
        <v>0</v>
      </c>
      <c r="F1212">
        <v>604324.56000000006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3.91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7490</v>
      </c>
      <c r="AW1212">
        <v>3350</v>
      </c>
      <c r="AX1212">
        <v>1219</v>
      </c>
      <c r="AY1212">
        <v>12059</v>
      </c>
      <c r="AZ1212">
        <v>4202</v>
      </c>
      <c r="BA1212">
        <v>7438</v>
      </c>
      <c r="BB1212">
        <v>1432</v>
      </c>
      <c r="BC1212">
        <v>13072</v>
      </c>
      <c r="BD1212">
        <v>9486</v>
      </c>
      <c r="BE1212">
        <v>9222</v>
      </c>
      <c r="BF1212">
        <v>1768</v>
      </c>
      <c r="BG1212">
        <v>20476</v>
      </c>
      <c r="BH1212">
        <v>0</v>
      </c>
      <c r="BI1212">
        <v>0</v>
      </c>
      <c r="BJ1212">
        <v>0</v>
      </c>
      <c r="BK1212">
        <v>0</v>
      </c>
      <c r="BL1212" s="2">
        <v>24.82</v>
      </c>
      <c r="BM1212" s="2">
        <v>42005.095138888886</v>
      </c>
      <c r="BN1212" s="2">
        <v>5.4</v>
      </c>
      <c r="BO1212" s="2">
        <v>42005.092361111114</v>
      </c>
      <c r="BP1212" s="2">
        <v>6.92</v>
      </c>
      <c r="BQ1212" s="2">
        <v>42005.092361111114</v>
      </c>
      <c r="BR1212" s="2">
        <v>11.07</v>
      </c>
      <c r="BS1212" s="2">
        <v>42005.092361111114</v>
      </c>
      <c r="BT1212">
        <v>0</v>
      </c>
      <c r="BU1212">
        <v>0</v>
      </c>
      <c r="BV1212" t="s">
        <v>135</v>
      </c>
      <c r="BW1212">
        <v>0</v>
      </c>
      <c r="BX1212">
        <v>0</v>
      </c>
      <c r="BY1212" t="s">
        <v>135</v>
      </c>
      <c r="BZ1212">
        <v>0</v>
      </c>
      <c r="CA1212">
        <v>0</v>
      </c>
      <c r="CB1212" t="s">
        <v>135</v>
      </c>
      <c r="CH1212" s="2"/>
      <c r="CJ1212" s="2"/>
      <c r="CL1212" s="2"/>
      <c r="CN1212" s="2"/>
      <c r="CQ1212" s="2"/>
      <c r="CT1212" s="2"/>
      <c r="CW1212" s="2"/>
    </row>
    <row r="1213" spans="1:101" x14ac:dyDescent="0.25">
      <c r="A1213" s="1" t="s">
        <v>163</v>
      </c>
      <c r="B1213" s="75" t="s">
        <v>164</v>
      </c>
      <c r="C1213">
        <v>0</v>
      </c>
      <c r="D1213">
        <v>0</v>
      </c>
      <c r="E1213">
        <v>0</v>
      </c>
      <c r="F1213">
        <v>604324.56000000006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3.91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7490</v>
      </c>
      <c r="AW1213">
        <v>3350</v>
      </c>
      <c r="AX1213">
        <v>1219</v>
      </c>
      <c r="AY1213">
        <v>12059</v>
      </c>
      <c r="AZ1213">
        <v>4202</v>
      </c>
      <c r="BA1213">
        <v>7438</v>
      </c>
      <c r="BB1213">
        <v>1432</v>
      </c>
      <c r="BC1213">
        <v>13072</v>
      </c>
      <c r="BD1213">
        <v>9486</v>
      </c>
      <c r="BE1213">
        <v>9222</v>
      </c>
      <c r="BF1213">
        <v>1768</v>
      </c>
      <c r="BG1213">
        <v>20476</v>
      </c>
      <c r="BH1213">
        <v>0</v>
      </c>
      <c r="BI1213">
        <v>0</v>
      </c>
      <c r="BJ1213">
        <v>0</v>
      </c>
      <c r="BK1213">
        <v>0</v>
      </c>
      <c r="BL1213" s="2">
        <v>24.82</v>
      </c>
      <c r="BM1213" s="2">
        <v>42005.095138888886</v>
      </c>
      <c r="BN1213" s="2">
        <v>5.4</v>
      </c>
      <c r="BO1213" s="2">
        <v>42005.092361111114</v>
      </c>
      <c r="BP1213" s="2">
        <v>6.92</v>
      </c>
      <c r="BQ1213" s="2">
        <v>42005.092361111114</v>
      </c>
      <c r="BR1213" s="2">
        <v>11.07</v>
      </c>
      <c r="BS1213" s="2">
        <v>42005.092361111114</v>
      </c>
      <c r="BT1213">
        <v>0</v>
      </c>
      <c r="BU1213">
        <v>0</v>
      </c>
      <c r="BV1213" t="s">
        <v>135</v>
      </c>
      <c r="BW1213">
        <v>0</v>
      </c>
      <c r="BX1213">
        <v>0</v>
      </c>
      <c r="BY1213" t="s">
        <v>135</v>
      </c>
      <c r="BZ1213">
        <v>0</v>
      </c>
      <c r="CA1213">
        <v>0</v>
      </c>
      <c r="CB1213" t="s">
        <v>135</v>
      </c>
      <c r="CH1213" s="2"/>
      <c r="CJ1213" s="2"/>
      <c r="CL1213" s="2"/>
      <c r="CN1213" s="2"/>
      <c r="CQ1213" s="2"/>
      <c r="CT1213" s="2"/>
      <c r="CW1213" s="2"/>
    </row>
    <row r="1214" spans="1:101" x14ac:dyDescent="0.25">
      <c r="A1214" s="1" t="s">
        <v>163</v>
      </c>
      <c r="B1214" s="75" t="s">
        <v>164</v>
      </c>
      <c r="C1214">
        <v>0</v>
      </c>
      <c r="D1214">
        <v>0</v>
      </c>
      <c r="E1214">
        <v>0</v>
      </c>
      <c r="F1214">
        <v>604324.56000000006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3.91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7490</v>
      </c>
      <c r="AW1214">
        <v>3350</v>
      </c>
      <c r="AX1214">
        <v>1219</v>
      </c>
      <c r="AY1214">
        <v>12059</v>
      </c>
      <c r="AZ1214">
        <v>4202</v>
      </c>
      <c r="BA1214">
        <v>7438</v>
      </c>
      <c r="BB1214">
        <v>1432</v>
      </c>
      <c r="BC1214">
        <v>13072</v>
      </c>
      <c r="BD1214">
        <v>9486</v>
      </c>
      <c r="BE1214">
        <v>9222</v>
      </c>
      <c r="BF1214">
        <v>1768</v>
      </c>
      <c r="BG1214">
        <v>20476</v>
      </c>
      <c r="BH1214">
        <v>0</v>
      </c>
      <c r="BI1214">
        <v>0</v>
      </c>
      <c r="BJ1214">
        <v>0</v>
      </c>
      <c r="BK1214">
        <v>0</v>
      </c>
      <c r="BL1214" s="2">
        <v>24.82</v>
      </c>
      <c r="BM1214" s="2">
        <v>42005.095138888886</v>
      </c>
      <c r="BN1214" s="2">
        <v>5.4</v>
      </c>
      <c r="BO1214" s="2">
        <v>42005.092361111114</v>
      </c>
      <c r="BP1214" s="2">
        <v>6.92</v>
      </c>
      <c r="BQ1214" s="2">
        <v>42005.092361111114</v>
      </c>
      <c r="BR1214" s="2">
        <v>11.07</v>
      </c>
      <c r="BS1214" s="2">
        <v>42005.092361111114</v>
      </c>
      <c r="BT1214">
        <v>0</v>
      </c>
      <c r="BU1214">
        <v>0</v>
      </c>
      <c r="BV1214" t="s">
        <v>135</v>
      </c>
      <c r="BW1214">
        <v>0</v>
      </c>
      <c r="BX1214">
        <v>0</v>
      </c>
      <c r="BY1214" t="s">
        <v>135</v>
      </c>
      <c r="BZ1214">
        <v>0</v>
      </c>
      <c r="CA1214">
        <v>0</v>
      </c>
      <c r="CB1214" t="s">
        <v>135</v>
      </c>
      <c r="CH1214" s="2"/>
      <c r="CJ1214" s="2"/>
      <c r="CL1214" s="2"/>
      <c r="CN1214" s="2"/>
      <c r="CQ1214" s="2"/>
      <c r="CT1214" s="2"/>
      <c r="CW1214" s="2"/>
    </row>
    <row r="1215" spans="1:101" x14ac:dyDescent="0.25">
      <c r="A1215" s="1" t="s">
        <v>163</v>
      </c>
      <c r="B1215" s="75" t="s">
        <v>164</v>
      </c>
      <c r="C1215">
        <v>0</v>
      </c>
      <c r="D1215">
        <v>0</v>
      </c>
      <c r="E1215">
        <v>0</v>
      </c>
      <c r="F1215">
        <v>604324.56000000006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3.91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7490</v>
      </c>
      <c r="AW1215">
        <v>3350</v>
      </c>
      <c r="AX1215">
        <v>1219</v>
      </c>
      <c r="AY1215">
        <v>12059</v>
      </c>
      <c r="AZ1215">
        <v>4202</v>
      </c>
      <c r="BA1215">
        <v>7438</v>
      </c>
      <c r="BB1215">
        <v>1432</v>
      </c>
      <c r="BC1215">
        <v>13072</v>
      </c>
      <c r="BD1215">
        <v>9486</v>
      </c>
      <c r="BE1215">
        <v>9222</v>
      </c>
      <c r="BF1215">
        <v>1768</v>
      </c>
      <c r="BG1215">
        <v>20476</v>
      </c>
      <c r="BH1215">
        <v>0</v>
      </c>
      <c r="BI1215">
        <v>0</v>
      </c>
      <c r="BJ1215">
        <v>0</v>
      </c>
      <c r="BK1215">
        <v>0</v>
      </c>
      <c r="BL1215" s="2">
        <v>24.82</v>
      </c>
      <c r="BM1215" s="2">
        <v>42005.095138888886</v>
      </c>
      <c r="BN1215" s="2">
        <v>5.4</v>
      </c>
      <c r="BO1215" s="2">
        <v>42005.092361111114</v>
      </c>
      <c r="BP1215" s="2">
        <v>6.92</v>
      </c>
      <c r="BQ1215" s="2">
        <v>42005.092361111114</v>
      </c>
      <c r="BR1215" s="2">
        <v>11.07</v>
      </c>
      <c r="BS1215" s="2">
        <v>42005.092361111114</v>
      </c>
      <c r="BT1215">
        <v>0</v>
      </c>
      <c r="BU1215">
        <v>0</v>
      </c>
      <c r="BV1215" t="s">
        <v>135</v>
      </c>
      <c r="BW1215">
        <v>0</v>
      </c>
      <c r="BX1215">
        <v>0</v>
      </c>
      <c r="BY1215" t="s">
        <v>135</v>
      </c>
      <c r="BZ1215">
        <v>0</v>
      </c>
      <c r="CA1215">
        <v>0</v>
      </c>
      <c r="CB1215" t="s">
        <v>135</v>
      </c>
      <c r="CH1215" s="2"/>
      <c r="CJ1215" s="2"/>
      <c r="CL1215" s="2"/>
      <c r="CN1215" s="2"/>
      <c r="CQ1215" s="2"/>
      <c r="CT1215" s="2"/>
      <c r="CW1215" s="2"/>
    </row>
    <row r="1216" spans="1:101" x14ac:dyDescent="0.25">
      <c r="A1216" s="1" t="s">
        <v>163</v>
      </c>
      <c r="B1216" s="75" t="s">
        <v>164</v>
      </c>
      <c r="C1216">
        <v>0</v>
      </c>
      <c r="D1216">
        <v>0</v>
      </c>
      <c r="E1216">
        <v>0</v>
      </c>
      <c r="F1216">
        <v>604324.56000000006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3.91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7490</v>
      </c>
      <c r="AW1216">
        <v>3350</v>
      </c>
      <c r="AX1216">
        <v>1219</v>
      </c>
      <c r="AY1216">
        <v>12059</v>
      </c>
      <c r="AZ1216">
        <v>4202</v>
      </c>
      <c r="BA1216">
        <v>7438</v>
      </c>
      <c r="BB1216">
        <v>1432</v>
      </c>
      <c r="BC1216">
        <v>13072</v>
      </c>
      <c r="BD1216">
        <v>9486</v>
      </c>
      <c r="BE1216">
        <v>9222</v>
      </c>
      <c r="BF1216">
        <v>1768</v>
      </c>
      <c r="BG1216">
        <v>20476</v>
      </c>
      <c r="BH1216">
        <v>0</v>
      </c>
      <c r="BI1216">
        <v>0</v>
      </c>
      <c r="BJ1216">
        <v>0</v>
      </c>
      <c r="BK1216">
        <v>0</v>
      </c>
      <c r="BL1216" s="2">
        <v>24.82</v>
      </c>
      <c r="BM1216" s="2">
        <v>42005.095138888886</v>
      </c>
      <c r="BN1216" s="2">
        <v>5.4</v>
      </c>
      <c r="BO1216" s="2">
        <v>42005.092361111114</v>
      </c>
      <c r="BP1216" s="2">
        <v>6.92</v>
      </c>
      <c r="BQ1216" s="2">
        <v>42005.092361111114</v>
      </c>
      <c r="BR1216" s="2">
        <v>11.07</v>
      </c>
      <c r="BS1216" s="2">
        <v>42005.092361111114</v>
      </c>
      <c r="BT1216">
        <v>0</v>
      </c>
      <c r="BU1216">
        <v>0</v>
      </c>
      <c r="BV1216" t="s">
        <v>135</v>
      </c>
      <c r="BW1216">
        <v>0</v>
      </c>
      <c r="BX1216">
        <v>0</v>
      </c>
      <c r="BY1216" t="s">
        <v>135</v>
      </c>
      <c r="BZ1216">
        <v>0</v>
      </c>
      <c r="CA1216">
        <v>0</v>
      </c>
      <c r="CB1216" t="s">
        <v>135</v>
      </c>
      <c r="CH1216" s="2"/>
      <c r="CJ1216" s="2"/>
      <c r="CL1216" s="2"/>
      <c r="CN1216" s="2"/>
      <c r="CQ1216" s="2"/>
      <c r="CT1216" s="2"/>
      <c r="CW1216" s="2"/>
    </row>
    <row r="1217" spans="1:101" x14ac:dyDescent="0.25">
      <c r="A1217" s="1" t="s">
        <v>163</v>
      </c>
      <c r="B1217" s="75" t="s">
        <v>164</v>
      </c>
      <c r="C1217">
        <v>0</v>
      </c>
      <c r="D1217">
        <v>0</v>
      </c>
      <c r="E1217">
        <v>0</v>
      </c>
      <c r="F1217">
        <v>604324.56000000006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3.91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7490</v>
      </c>
      <c r="AW1217">
        <v>3350</v>
      </c>
      <c r="AX1217">
        <v>1219</v>
      </c>
      <c r="AY1217">
        <v>12059</v>
      </c>
      <c r="AZ1217">
        <v>4202</v>
      </c>
      <c r="BA1217">
        <v>7438</v>
      </c>
      <c r="BB1217">
        <v>1432</v>
      </c>
      <c r="BC1217">
        <v>13072</v>
      </c>
      <c r="BD1217">
        <v>9486</v>
      </c>
      <c r="BE1217">
        <v>9222</v>
      </c>
      <c r="BF1217">
        <v>1768</v>
      </c>
      <c r="BG1217">
        <v>20476</v>
      </c>
      <c r="BH1217">
        <v>0</v>
      </c>
      <c r="BI1217">
        <v>0</v>
      </c>
      <c r="BJ1217">
        <v>0</v>
      </c>
      <c r="BK1217">
        <v>0</v>
      </c>
      <c r="BL1217" s="2">
        <v>24.82</v>
      </c>
      <c r="BM1217" s="2">
        <v>42005.095138888886</v>
      </c>
      <c r="BN1217" s="2">
        <v>5.4</v>
      </c>
      <c r="BO1217" s="2">
        <v>42005.092361111114</v>
      </c>
      <c r="BP1217" s="2">
        <v>6.92</v>
      </c>
      <c r="BQ1217" s="2">
        <v>42005.092361111114</v>
      </c>
      <c r="BR1217" s="2">
        <v>11.07</v>
      </c>
      <c r="BS1217" s="2">
        <v>42005.092361111114</v>
      </c>
      <c r="BT1217">
        <v>0</v>
      </c>
      <c r="BU1217">
        <v>0</v>
      </c>
      <c r="BV1217" t="s">
        <v>135</v>
      </c>
      <c r="BW1217">
        <v>0</v>
      </c>
      <c r="BX1217">
        <v>0</v>
      </c>
      <c r="BY1217" t="s">
        <v>135</v>
      </c>
      <c r="BZ1217">
        <v>0</v>
      </c>
      <c r="CA1217">
        <v>0</v>
      </c>
      <c r="CB1217" t="s">
        <v>135</v>
      </c>
      <c r="CH1217" s="2"/>
      <c r="CJ1217" s="2"/>
      <c r="CL1217" s="2"/>
      <c r="CN1217" s="2"/>
      <c r="CQ1217" s="2"/>
      <c r="CT1217" s="2"/>
      <c r="CW1217" s="2"/>
    </row>
    <row r="1218" spans="1:101" x14ac:dyDescent="0.25">
      <c r="A1218" s="1" t="s">
        <v>163</v>
      </c>
      <c r="B1218" s="75" t="s">
        <v>164</v>
      </c>
      <c r="C1218">
        <v>0</v>
      </c>
      <c r="D1218">
        <v>0</v>
      </c>
      <c r="E1218">
        <v>0</v>
      </c>
      <c r="F1218">
        <v>604324.56000000006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3.91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7490</v>
      </c>
      <c r="AW1218">
        <v>3350</v>
      </c>
      <c r="AX1218">
        <v>1219</v>
      </c>
      <c r="AY1218">
        <v>12059</v>
      </c>
      <c r="AZ1218">
        <v>4202</v>
      </c>
      <c r="BA1218">
        <v>7438</v>
      </c>
      <c r="BB1218">
        <v>1432</v>
      </c>
      <c r="BC1218">
        <v>13072</v>
      </c>
      <c r="BD1218">
        <v>9486</v>
      </c>
      <c r="BE1218">
        <v>9222</v>
      </c>
      <c r="BF1218">
        <v>1768</v>
      </c>
      <c r="BG1218">
        <v>20476</v>
      </c>
      <c r="BH1218">
        <v>0</v>
      </c>
      <c r="BI1218">
        <v>0</v>
      </c>
      <c r="BJ1218">
        <v>0</v>
      </c>
      <c r="BK1218">
        <v>0</v>
      </c>
      <c r="BL1218" s="2">
        <v>24.82</v>
      </c>
      <c r="BM1218" s="2">
        <v>42005.095138888886</v>
      </c>
      <c r="BN1218" s="2">
        <v>5.4</v>
      </c>
      <c r="BO1218" s="2">
        <v>42005.092361111114</v>
      </c>
      <c r="BP1218" s="2">
        <v>6.92</v>
      </c>
      <c r="BQ1218" s="2">
        <v>42005.092361111114</v>
      </c>
      <c r="BR1218" s="2">
        <v>11.07</v>
      </c>
      <c r="BS1218" s="2">
        <v>42005.092361111114</v>
      </c>
      <c r="BT1218">
        <v>0</v>
      </c>
      <c r="BU1218">
        <v>0</v>
      </c>
      <c r="BV1218" t="s">
        <v>135</v>
      </c>
      <c r="BW1218">
        <v>0</v>
      </c>
      <c r="BX1218">
        <v>0</v>
      </c>
      <c r="BY1218" t="s">
        <v>135</v>
      </c>
      <c r="BZ1218">
        <v>0</v>
      </c>
      <c r="CA1218">
        <v>0</v>
      </c>
      <c r="CB1218" t="s">
        <v>135</v>
      </c>
      <c r="CH1218" s="2"/>
      <c r="CJ1218" s="2"/>
      <c r="CL1218" s="2"/>
      <c r="CN1218" s="2"/>
      <c r="CQ1218" s="2"/>
      <c r="CT1218" s="2"/>
      <c r="CW1218" s="2"/>
    </row>
    <row r="1219" spans="1:101" x14ac:dyDescent="0.25">
      <c r="A1219" s="1" t="s">
        <v>163</v>
      </c>
      <c r="B1219" s="75" t="s">
        <v>164</v>
      </c>
      <c r="C1219">
        <v>0</v>
      </c>
      <c r="D1219">
        <v>0</v>
      </c>
      <c r="E1219">
        <v>0</v>
      </c>
      <c r="F1219">
        <v>604324.56000000006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3.91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7490</v>
      </c>
      <c r="AW1219">
        <v>3350</v>
      </c>
      <c r="AX1219">
        <v>1219</v>
      </c>
      <c r="AY1219">
        <v>12059</v>
      </c>
      <c r="AZ1219">
        <v>4202</v>
      </c>
      <c r="BA1219">
        <v>7438</v>
      </c>
      <c r="BB1219">
        <v>1432</v>
      </c>
      <c r="BC1219">
        <v>13072</v>
      </c>
      <c r="BD1219">
        <v>9486</v>
      </c>
      <c r="BE1219">
        <v>9222</v>
      </c>
      <c r="BF1219">
        <v>1768</v>
      </c>
      <c r="BG1219">
        <v>20476</v>
      </c>
      <c r="BH1219">
        <v>0</v>
      </c>
      <c r="BI1219">
        <v>0</v>
      </c>
      <c r="BJ1219">
        <v>0</v>
      </c>
      <c r="BK1219">
        <v>0</v>
      </c>
      <c r="BL1219" s="2">
        <v>24.82</v>
      </c>
      <c r="BM1219" s="2">
        <v>42005.095138888886</v>
      </c>
      <c r="BN1219" s="2">
        <v>5.4</v>
      </c>
      <c r="BO1219" s="2">
        <v>42005.092361111114</v>
      </c>
      <c r="BP1219" s="2">
        <v>6.92</v>
      </c>
      <c r="BQ1219" s="2">
        <v>42005.092361111114</v>
      </c>
      <c r="BR1219" s="2">
        <v>11.07</v>
      </c>
      <c r="BS1219" s="2">
        <v>42005.092361111114</v>
      </c>
      <c r="BT1219">
        <v>0</v>
      </c>
      <c r="BU1219">
        <v>0</v>
      </c>
      <c r="BV1219" t="s">
        <v>135</v>
      </c>
      <c r="BW1219">
        <v>0</v>
      </c>
      <c r="BX1219">
        <v>0</v>
      </c>
      <c r="BY1219" t="s">
        <v>135</v>
      </c>
      <c r="BZ1219">
        <v>0</v>
      </c>
      <c r="CA1219">
        <v>0</v>
      </c>
      <c r="CB1219" t="s">
        <v>135</v>
      </c>
      <c r="CH1219" s="2"/>
      <c r="CJ1219" s="2"/>
      <c r="CL1219" s="2"/>
      <c r="CN1219" s="2"/>
      <c r="CQ1219" s="2"/>
      <c r="CT1219" s="2"/>
      <c r="CW1219" s="2"/>
    </row>
    <row r="1220" spans="1:101" x14ac:dyDescent="0.25">
      <c r="A1220" s="1" t="s">
        <v>163</v>
      </c>
      <c r="B1220" s="75" t="s">
        <v>164</v>
      </c>
      <c r="C1220">
        <v>0</v>
      </c>
      <c r="D1220">
        <v>0</v>
      </c>
      <c r="E1220">
        <v>0</v>
      </c>
      <c r="F1220">
        <v>604324.56000000006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3.91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7490</v>
      </c>
      <c r="AW1220">
        <v>3350</v>
      </c>
      <c r="AX1220">
        <v>1219</v>
      </c>
      <c r="AY1220">
        <v>12059</v>
      </c>
      <c r="AZ1220">
        <v>4202</v>
      </c>
      <c r="BA1220">
        <v>7438</v>
      </c>
      <c r="BB1220">
        <v>1432</v>
      </c>
      <c r="BC1220">
        <v>13072</v>
      </c>
      <c r="BD1220">
        <v>9486</v>
      </c>
      <c r="BE1220">
        <v>9222</v>
      </c>
      <c r="BF1220">
        <v>1768</v>
      </c>
      <c r="BG1220">
        <v>20476</v>
      </c>
      <c r="BH1220">
        <v>0</v>
      </c>
      <c r="BI1220">
        <v>0</v>
      </c>
      <c r="BJ1220">
        <v>0</v>
      </c>
      <c r="BK1220">
        <v>0</v>
      </c>
      <c r="BL1220" s="2">
        <v>24.82</v>
      </c>
      <c r="BM1220" s="2">
        <v>42005.095138888886</v>
      </c>
      <c r="BN1220" s="2">
        <v>5.4</v>
      </c>
      <c r="BO1220" s="2">
        <v>42005.092361111114</v>
      </c>
      <c r="BP1220" s="2">
        <v>6.92</v>
      </c>
      <c r="BQ1220" s="2">
        <v>42005.092361111114</v>
      </c>
      <c r="BR1220" s="2">
        <v>11.07</v>
      </c>
      <c r="BS1220" s="2">
        <v>42005.092361111114</v>
      </c>
      <c r="BT1220">
        <v>0</v>
      </c>
      <c r="BU1220">
        <v>0</v>
      </c>
      <c r="BV1220" t="s">
        <v>135</v>
      </c>
      <c r="BW1220">
        <v>0</v>
      </c>
      <c r="BX1220">
        <v>0</v>
      </c>
      <c r="BY1220" t="s">
        <v>135</v>
      </c>
      <c r="BZ1220">
        <v>0</v>
      </c>
      <c r="CA1220">
        <v>0</v>
      </c>
      <c r="CB1220" t="s">
        <v>135</v>
      </c>
      <c r="CH1220" s="2"/>
      <c r="CJ1220" s="2"/>
      <c r="CL1220" s="2"/>
      <c r="CN1220" s="2"/>
      <c r="CQ1220" s="2"/>
      <c r="CT1220" s="2"/>
      <c r="CW1220" s="2"/>
    </row>
    <row r="1221" spans="1:101" x14ac:dyDescent="0.25">
      <c r="A1221" s="1" t="s">
        <v>163</v>
      </c>
      <c r="B1221" s="75" t="s">
        <v>164</v>
      </c>
      <c r="C1221">
        <v>0</v>
      </c>
      <c r="D1221">
        <v>0</v>
      </c>
      <c r="E1221">
        <v>0</v>
      </c>
      <c r="F1221">
        <v>604324.56000000006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3.91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7490</v>
      </c>
      <c r="AW1221">
        <v>3350</v>
      </c>
      <c r="AX1221">
        <v>1219</v>
      </c>
      <c r="AY1221">
        <v>12059</v>
      </c>
      <c r="AZ1221">
        <v>4202</v>
      </c>
      <c r="BA1221">
        <v>7438</v>
      </c>
      <c r="BB1221">
        <v>1432</v>
      </c>
      <c r="BC1221">
        <v>13072</v>
      </c>
      <c r="BD1221">
        <v>9486</v>
      </c>
      <c r="BE1221">
        <v>9222</v>
      </c>
      <c r="BF1221">
        <v>1768</v>
      </c>
      <c r="BG1221">
        <v>20476</v>
      </c>
      <c r="BH1221">
        <v>0</v>
      </c>
      <c r="BI1221">
        <v>0</v>
      </c>
      <c r="BJ1221">
        <v>0</v>
      </c>
      <c r="BK1221">
        <v>0</v>
      </c>
      <c r="BL1221" s="2">
        <v>24.82</v>
      </c>
      <c r="BM1221" s="2">
        <v>42005.095138888886</v>
      </c>
      <c r="BN1221" s="2">
        <v>5.4</v>
      </c>
      <c r="BO1221" s="2">
        <v>42005.092361111114</v>
      </c>
      <c r="BP1221" s="2">
        <v>6.92</v>
      </c>
      <c r="BQ1221" s="2">
        <v>42005.092361111114</v>
      </c>
      <c r="BR1221" s="2">
        <v>11.07</v>
      </c>
      <c r="BS1221" s="2">
        <v>42005.092361111114</v>
      </c>
      <c r="BT1221">
        <v>0</v>
      </c>
      <c r="BU1221">
        <v>0</v>
      </c>
      <c r="BV1221" t="s">
        <v>135</v>
      </c>
      <c r="BW1221">
        <v>0</v>
      </c>
      <c r="BX1221">
        <v>0</v>
      </c>
      <c r="BY1221" t="s">
        <v>135</v>
      </c>
      <c r="BZ1221">
        <v>0</v>
      </c>
      <c r="CA1221">
        <v>0</v>
      </c>
      <c r="CB1221" t="s">
        <v>135</v>
      </c>
      <c r="CH1221" s="2"/>
      <c r="CJ1221" s="2"/>
      <c r="CL1221" s="2"/>
      <c r="CN1221" s="2"/>
      <c r="CQ1221" s="2"/>
      <c r="CT1221" s="2"/>
      <c r="CW1221" s="2"/>
    </row>
    <row r="1222" spans="1:101" x14ac:dyDescent="0.25">
      <c r="A1222" s="1" t="s">
        <v>163</v>
      </c>
      <c r="B1222" s="75" t="s">
        <v>164</v>
      </c>
      <c r="C1222">
        <v>0</v>
      </c>
      <c r="D1222">
        <v>0</v>
      </c>
      <c r="E1222">
        <v>0</v>
      </c>
      <c r="F1222">
        <v>604324.56000000006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3.91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7490</v>
      </c>
      <c r="AW1222">
        <v>3350</v>
      </c>
      <c r="AX1222">
        <v>1219</v>
      </c>
      <c r="AY1222">
        <v>12059</v>
      </c>
      <c r="AZ1222">
        <v>4202</v>
      </c>
      <c r="BA1222">
        <v>7438</v>
      </c>
      <c r="BB1222">
        <v>1432</v>
      </c>
      <c r="BC1222">
        <v>13072</v>
      </c>
      <c r="BD1222">
        <v>9486</v>
      </c>
      <c r="BE1222">
        <v>9222</v>
      </c>
      <c r="BF1222">
        <v>1768</v>
      </c>
      <c r="BG1222">
        <v>20476</v>
      </c>
      <c r="BH1222">
        <v>0</v>
      </c>
      <c r="BI1222">
        <v>0</v>
      </c>
      <c r="BJ1222">
        <v>0</v>
      </c>
      <c r="BK1222">
        <v>0</v>
      </c>
      <c r="BL1222" s="2">
        <v>24.82</v>
      </c>
      <c r="BM1222" s="2">
        <v>42005.095138888886</v>
      </c>
      <c r="BN1222" s="2">
        <v>5.4</v>
      </c>
      <c r="BO1222" s="2">
        <v>42005.092361111114</v>
      </c>
      <c r="BP1222" s="2">
        <v>6.92</v>
      </c>
      <c r="BQ1222" s="2">
        <v>42005.092361111114</v>
      </c>
      <c r="BR1222" s="2">
        <v>11.07</v>
      </c>
      <c r="BS1222" s="2">
        <v>42005.092361111114</v>
      </c>
      <c r="BT1222">
        <v>0</v>
      </c>
      <c r="BU1222">
        <v>0</v>
      </c>
      <c r="BV1222" t="s">
        <v>135</v>
      </c>
      <c r="BW1222">
        <v>0</v>
      </c>
      <c r="BX1222">
        <v>0</v>
      </c>
      <c r="BY1222" t="s">
        <v>135</v>
      </c>
      <c r="BZ1222">
        <v>0</v>
      </c>
      <c r="CA1222">
        <v>0</v>
      </c>
      <c r="CB1222" t="s">
        <v>135</v>
      </c>
      <c r="CH1222" s="2"/>
      <c r="CJ1222" s="2"/>
      <c r="CL1222" s="2"/>
      <c r="CN1222" s="2"/>
      <c r="CQ1222" s="2"/>
      <c r="CT1222" s="2"/>
      <c r="CW1222" s="2"/>
    </row>
    <row r="1223" spans="1:101" x14ac:dyDescent="0.25">
      <c r="A1223" s="1" t="s">
        <v>163</v>
      </c>
      <c r="B1223" s="75" t="s">
        <v>164</v>
      </c>
      <c r="C1223">
        <v>0</v>
      </c>
      <c r="D1223">
        <v>0</v>
      </c>
      <c r="E1223">
        <v>0</v>
      </c>
      <c r="F1223">
        <v>604324.56000000006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3.91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7490</v>
      </c>
      <c r="AW1223">
        <v>3350</v>
      </c>
      <c r="AX1223">
        <v>1219</v>
      </c>
      <c r="AY1223">
        <v>12059</v>
      </c>
      <c r="AZ1223">
        <v>4202</v>
      </c>
      <c r="BA1223">
        <v>7438</v>
      </c>
      <c r="BB1223">
        <v>1432</v>
      </c>
      <c r="BC1223">
        <v>13072</v>
      </c>
      <c r="BD1223">
        <v>9486</v>
      </c>
      <c r="BE1223">
        <v>9222</v>
      </c>
      <c r="BF1223">
        <v>1768</v>
      </c>
      <c r="BG1223">
        <v>20476</v>
      </c>
      <c r="BH1223">
        <v>0</v>
      </c>
      <c r="BI1223">
        <v>0</v>
      </c>
      <c r="BJ1223">
        <v>0</v>
      </c>
      <c r="BK1223">
        <v>0</v>
      </c>
      <c r="BL1223" s="2">
        <v>24.82</v>
      </c>
      <c r="BM1223" s="2">
        <v>42005.095138888886</v>
      </c>
      <c r="BN1223" s="2">
        <v>5.4</v>
      </c>
      <c r="BO1223" s="2">
        <v>42005.092361111114</v>
      </c>
      <c r="BP1223" s="2">
        <v>6.92</v>
      </c>
      <c r="BQ1223" s="2">
        <v>42005.092361111114</v>
      </c>
      <c r="BR1223" s="2">
        <v>11.07</v>
      </c>
      <c r="BS1223" s="2">
        <v>42005.092361111114</v>
      </c>
      <c r="BT1223">
        <v>0</v>
      </c>
      <c r="BU1223">
        <v>0</v>
      </c>
      <c r="BV1223" t="s">
        <v>135</v>
      </c>
      <c r="BW1223">
        <v>0</v>
      </c>
      <c r="BX1223">
        <v>0</v>
      </c>
      <c r="BY1223" t="s">
        <v>135</v>
      </c>
      <c r="BZ1223">
        <v>0</v>
      </c>
      <c r="CA1223">
        <v>0</v>
      </c>
      <c r="CB1223" t="s">
        <v>135</v>
      </c>
      <c r="CH1223" s="2"/>
      <c r="CJ1223" s="2"/>
      <c r="CL1223" s="2"/>
      <c r="CN1223" s="2"/>
      <c r="CQ1223" s="2"/>
      <c r="CT1223" s="2"/>
      <c r="CW1223" s="2"/>
    </row>
    <row r="1224" spans="1:101" x14ac:dyDescent="0.25">
      <c r="A1224" s="1" t="s">
        <v>163</v>
      </c>
      <c r="B1224" s="75" t="s">
        <v>164</v>
      </c>
      <c r="C1224">
        <v>0</v>
      </c>
      <c r="D1224">
        <v>0</v>
      </c>
      <c r="E1224">
        <v>0</v>
      </c>
      <c r="F1224">
        <v>604324.56000000006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3.91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7490</v>
      </c>
      <c r="AW1224">
        <v>3350</v>
      </c>
      <c r="AX1224">
        <v>1219</v>
      </c>
      <c r="AY1224">
        <v>12059</v>
      </c>
      <c r="AZ1224">
        <v>4202</v>
      </c>
      <c r="BA1224">
        <v>7438</v>
      </c>
      <c r="BB1224">
        <v>1432</v>
      </c>
      <c r="BC1224">
        <v>13072</v>
      </c>
      <c r="BD1224">
        <v>9486</v>
      </c>
      <c r="BE1224">
        <v>9222</v>
      </c>
      <c r="BF1224">
        <v>1768</v>
      </c>
      <c r="BG1224">
        <v>20476</v>
      </c>
      <c r="BH1224">
        <v>0</v>
      </c>
      <c r="BI1224">
        <v>0</v>
      </c>
      <c r="BJ1224">
        <v>0</v>
      </c>
      <c r="BK1224">
        <v>0</v>
      </c>
      <c r="BL1224" s="2">
        <v>24.82</v>
      </c>
      <c r="BM1224" s="2">
        <v>42005.095138888886</v>
      </c>
      <c r="BN1224" s="2">
        <v>5.4</v>
      </c>
      <c r="BO1224" s="2">
        <v>42005.092361111114</v>
      </c>
      <c r="BP1224" s="2">
        <v>6.92</v>
      </c>
      <c r="BQ1224" s="2">
        <v>42005.092361111114</v>
      </c>
      <c r="BR1224" s="2">
        <v>11.07</v>
      </c>
      <c r="BS1224" s="2">
        <v>42005.092361111114</v>
      </c>
      <c r="BT1224">
        <v>0</v>
      </c>
      <c r="BU1224">
        <v>0</v>
      </c>
      <c r="BV1224" t="s">
        <v>135</v>
      </c>
      <c r="BW1224">
        <v>0</v>
      </c>
      <c r="BX1224">
        <v>0</v>
      </c>
      <c r="BY1224" t="s">
        <v>135</v>
      </c>
      <c r="BZ1224">
        <v>0</v>
      </c>
      <c r="CA1224">
        <v>0</v>
      </c>
      <c r="CB1224" t="s">
        <v>135</v>
      </c>
      <c r="CH1224" s="2"/>
      <c r="CJ1224" s="2"/>
      <c r="CL1224" s="2"/>
      <c r="CN1224" s="2"/>
      <c r="CQ1224" s="2"/>
      <c r="CT1224" s="2"/>
      <c r="CW1224" s="2"/>
    </row>
    <row r="1225" spans="1:101" x14ac:dyDescent="0.25">
      <c r="A1225" s="1" t="s">
        <v>163</v>
      </c>
      <c r="B1225" s="75" t="s">
        <v>164</v>
      </c>
      <c r="C1225">
        <v>0</v>
      </c>
      <c r="D1225">
        <v>0</v>
      </c>
      <c r="E1225">
        <v>0</v>
      </c>
      <c r="F1225">
        <v>604324.56000000006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3.91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7490</v>
      </c>
      <c r="AW1225">
        <v>3350</v>
      </c>
      <c r="AX1225">
        <v>1219</v>
      </c>
      <c r="AY1225">
        <v>12059</v>
      </c>
      <c r="AZ1225">
        <v>4202</v>
      </c>
      <c r="BA1225">
        <v>7438</v>
      </c>
      <c r="BB1225">
        <v>1432</v>
      </c>
      <c r="BC1225">
        <v>13072</v>
      </c>
      <c r="BD1225">
        <v>9486</v>
      </c>
      <c r="BE1225">
        <v>9222</v>
      </c>
      <c r="BF1225">
        <v>1768</v>
      </c>
      <c r="BG1225">
        <v>20476</v>
      </c>
      <c r="BH1225">
        <v>0</v>
      </c>
      <c r="BI1225">
        <v>0</v>
      </c>
      <c r="BJ1225">
        <v>0</v>
      </c>
      <c r="BK1225">
        <v>0</v>
      </c>
      <c r="BL1225" s="2">
        <v>24.82</v>
      </c>
      <c r="BM1225" s="2">
        <v>42005.095138888886</v>
      </c>
      <c r="BN1225" s="2">
        <v>5.4</v>
      </c>
      <c r="BO1225" s="2">
        <v>42005.092361111114</v>
      </c>
      <c r="BP1225" s="2">
        <v>6.92</v>
      </c>
      <c r="BQ1225" s="2">
        <v>42005.092361111114</v>
      </c>
      <c r="BR1225" s="2">
        <v>11.07</v>
      </c>
      <c r="BS1225" s="2">
        <v>42005.092361111114</v>
      </c>
      <c r="BT1225">
        <v>0</v>
      </c>
      <c r="BU1225">
        <v>0</v>
      </c>
      <c r="BV1225" t="s">
        <v>135</v>
      </c>
      <c r="BW1225">
        <v>0</v>
      </c>
      <c r="BX1225">
        <v>0</v>
      </c>
      <c r="BY1225" t="s">
        <v>135</v>
      </c>
      <c r="BZ1225">
        <v>0</v>
      </c>
      <c r="CA1225">
        <v>0</v>
      </c>
      <c r="CB1225" t="s">
        <v>135</v>
      </c>
      <c r="CH1225" s="2"/>
      <c r="CJ1225" s="2"/>
      <c r="CL1225" s="2"/>
      <c r="CN1225" s="2"/>
      <c r="CQ1225" s="2"/>
      <c r="CT1225" s="2"/>
      <c r="CW1225" s="2"/>
    </row>
    <row r="1226" spans="1:101" x14ac:dyDescent="0.25">
      <c r="A1226" s="1" t="s">
        <v>163</v>
      </c>
      <c r="B1226" s="75" t="s">
        <v>164</v>
      </c>
      <c r="C1226">
        <v>0</v>
      </c>
      <c r="D1226">
        <v>0</v>
      </c>
      <c r="E1226">
        <v>0</v>
      </c>
      <c r="F1226">
        <v>604324.56000000006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3.91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7490</v>
      </c>
      <c r="AW1226">
        <v>3350</v>
      </c>
      <c r="AX1226">
        <v>1219</v>
      </c>
      <c r="AY1226">
        <v>12059</v>
      </c>
      <c r="AZ1226">
        <v>4202</v>
      </c>
      <c r="BA1226">
        <v>7438</v>
      </c>
      <c r="BB1226">
        <v>1432</v>
      </c>
      <c r="BC1226">
        <v>13072</v>
      </c>
      <c r="BD1226">
        <v>9486</v>
      </c>
      <c r="BE1226">
        <v>9222</v>
      </c>
      <c r="BF1226">
        <v>1768</v>
      </c>
      <c r="BG1226">
        <v>20476</v>
      </c>
      <c r="BH1226">
        <v>0</v>
      </c>
      <c r="BI1226">
        <v>0</v>
      </c>
      <c r="BJ1226">
        <v>0</v>
      </c>
      <c r="BK1226">
        <v>0</v>
      </c>
      <c r="BL1226" s="2">
        <v>24.82</v>
      </c>
      <c r="BM1226" s="2">
        <v>42005.095138888886</v>
      </c>
      <c r="BN1226" s="2">
        <v>5.4</v>
      </c>
      <c r="BO1226" s="2">
        <v>42005.092361111114</v>
      </c>
      <c r="BP1226" s="2">
        <v>6.92</v>
      </c>
      <c r="BQ1226" s="2">
        <v>42005.092361111114</v>
      </c>
      <c r="BR1226" s="2">
        <v>11.07</v>
      </c>
      <c r="BS1226" s="2">
        <v>42005.092361111114</v>
      </c>
      <c r="BT1226">
        <v>0</v>
      </c>
      <c r="BU1226">
        <v>0</v>
      </c>
      <c r="BV1226" t="s">
        <v>135</v>
      </c>
      <c r="BW1226">
        <v>0</v>
      </c>
      <c r="BX1226">
        <v>0</v>
      </c>
      <c r="BY1226" t="s">
        <v>135</v>
      </c>
      <c r="BZ1226">
        <v>0</v>
      </c>
      <c r="CA1226">
        <v>0</v>
      </c>
      <c r="CB1226" t="s">
        <v>135</v>
      </c>
      <c r="CH1226" s="2"/>
      <c r="CJ1226" s="2"/>
      <c r="CL1226" s="2"/>
      <c r="CN1226" s="2"/>
      <c r="CQ1226" s="2"/>
      <c r="CT1226" s="2"/>
      <c r="CW1226" s="2"/>
    </row>
    <row r="1227" spans="1:101" x14ac:dyDescent="0.25">
      <c r="A1227" s="1" t="s">
        <v>163</v>
      </c>
      <c r="B1227" s="75" t="s">
        <v>164</v>
      </c>
      <c r="C1227">
        <v>0</v>
      </c>
      <c r="D1227">
        <v>0</v>
      </c>
      <c r="E1227">
        <v>0</v>
      </c>
      <c r="F1227">
        <v>604324.56000000006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3.91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7490</v>
      </c>
      <c r="AW1227">
        <v>3350</v>
      </c>
      <c r="AX1227">
        <v>1219</v>
      </c>
      <c r="AY1227">
        <v>12059</v>
      </c>
      <c r="AZ1227">
        <v>4202</v>
      </c>
      <c r="BA1227">
        <v>7438</v>
      </c>
      <c r="BB1227">
        <v>1432</v>
      </c>
      <c r="BC1227">
        <v>13072</v>
      </c>
      <c r="BD1227">
        <v>9486</v>
      </c>
      <c r="BE1227">
        <v>9222</v>
      </c>
      <c r="BF1227">
        <v>1768</v>
      </c>
      <c r="BG1227">
        <v>20476</v>
      </c>
      <c r="BH1227">
        <v>0</v>
      </c>
      <c r="BI1227">
        <v>0</v>
      </c>
      <c r="BJ1227">
        <v>0</v>
      </c>
      <c r="BK1227">
        <v>0</v>
      </c>
      <c r="BL1227" s="2">
        <v>24.82</v>
      </c>
      <c r="BM1227" s="2">
        <v>42005.095138888886</v>
      </c>
      <c r="BN1227" s="2">
        <v>5.4</v>
      </c>
      <c r="BO1227" s="2">
        <v>42005.092361111114</v>
      </c>
      <c r="BP1227" s="2">
        <v>6.92</v>
      </c>
      <c r="BQ1227" s="2">
        <v>42005.092361111114</v>
      </c>
      <c r="BR1227" s="2">
        <v>11.07</v>
      </c>
      <c r="BS1227" s="2">
        <v>42005.092361111114</v>
      </c>
      <c r="BT1227">
        <v>0</v>
      </c>
      <c r="BU1227">
        <v>0</v>
      </c>
      <c r="BV1227" t="s">
        <v>135</v>
      </c>
      <c r="BW1227">
        <v>0</v>
      </c>
      <c r="BX1227">
        <v>0</v>
      </c>
      <c r="BY1227" t="s">
        <v>135</v>
      </c>
      <c r="BZ1227">
        <v>0</v>
      </c>
      <c r="CA1227">
        <v>0</v>
      </c>
      <c r="CB1227" t="s">
        <v>135</v>
      </c>
      <c r="CH1227" s="2"/>
      <c r="CJ1227" s="2"/>
      <c r="CL1227" s="2"/>
      <c r="CN1227" s="2"/>
      <c r="CQ1227" s="2"/>
      <c r="CT1227" s="2"/>
      <c r="CW1227" s="2"/>
    </row>
    <row r="1228" spans="1:101" x14ac:dyDescent="0.25">
      <c r="A1228" s="1" t="s">
        <v>163</v>
      </c>
      <c r="B1228" s="75" t="s">
        <v>164</v>
      </c>
      <c r="C1228">
        <v>0</v>
      </c>
      <c r="D1228">
        <v>0</v>
      </c>
      <c r="E1228">
        <v>0</v>
      </c>
      <c r="F1228">
        <v>604324.56000000006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3.91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7490</v>
      </c>
      <c r="AW1228">
        <v>3350</v>
      </c>
      <c r="AX1228">
        <v>1219</v>
      </c>
      <c r="AY1228">
        <v>12059</v>
      </c>
      <c r="AZ1228">
        <v>4202</v>
      </c>
      <c r="BA1228">
        <v>7438</v>
      </c>
      <c r="BB1228">
        <v>1432</v>
      </c>
      <c r="BC1228">
        <v>13072</v>
      </c>
      <c r="BD1228">
        <v>9486</v>
      </c>
      <c r="BE1228">
        <v>9222</v>
      </c>
      <c r="BF1228">
        <v>1768</v>
      </c>
      <c r="BG1228">
        <v>20476</v>
      </c>
      <c r="BH1228">
        <v>0</v>
      </c>
      <c r="BI1228">
        <v>0</v>
      </c>
      <c r="BJ1228">
        <v>0</v>
      </c>
      <c r="BK1228">
        <v>0</v>
      </c>
      <c r="BL1228" s="2">
        <v>24.82</v>
      </c>
      <c r="BM1228" s="2">
        <v>42005.095138888886</v>
      </c>
      <c r="BN1228" s="2">
        <v>5.4</v>
      </c>
      <c r="BO1228" s="2">
        <v>42005.092361111114</v>
      </c>
      <c r="BP1228" s="2">
        <v>6.92</v>
      </c>
      <c r="BQ1228" s="2">
        <v>42005.092361111114</v>
      </c>
      <c r="BR1228" s="2">
        <v>11.07</v>
      </c>
      <c r="BS1228" s="2">
        <v>42005.092361111114</v>
      </c>
      <c r="BT1228">
        <v>0</v>
      </c>
      <c r="BU1228">
        <v>0</v>
      </c>
      <c r="BV1228" t="s">
        <v>135</v>
      </c>
      <c r="BW1228">
        <v>0</v>
      </c>
      <c r="BX1228">
        <v>0</v>
      </c>
      <c r="BY1228" t="s">
        <v>135</v>
      </c>
      <c r="BZ1228">
        <v>0</v>
      </c>
      <c r="CA1228">
        <v>0</v>
      </c>
      <c r="CB1228" t="s">
        <v>135</v>
      </c>
      <c r="CH1228" s="2"/>
      <c r="CJ1228" s="2"/>
      <c r="CL1228" s="2"/>
      <c r="CN1228" s="2"/>
      <c r="CQ1228" s="2"/>
      <c r="CT1228" s="2"/>
      <c r="CW1228" s="2"/>
    </row>
    <row r="1229" spans="1:101" x14ac:dyDescent="0.25">
      <c r="A1229" s="1" t="s">
        <v>163</v>
      </c>
      <c r="B1229" s="75" t="s">
        <v>164</v>
      </c>
      <c r="C1229">
        <v>0</v>
      </c>
      <c r="D1229">
        <v>0</v>
      </c>
      <c r="E1229">
        <v>0</v>
      </c>
      <c r="F1229">
        <v>604324.56000000006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3.91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7490</v>
      </c>
      <c r="AW1229">
        <v>3350</v>
      </c>
      <c r="AX1229">
        <v>1219</v>
      </c>
      <c r="AY1229">
        <v>12059</v>
      </c>
      <c r="AZ1229">
        <v>4202</v>
      </c>
      <c r="BA1229">
        <v>7438</v>
      </c>
      <c r="BB1229">
        <v>1432</v>
      </c>
      <c r="BC1229">
        <v>13072</v>
      </c>
      <c r="BD1229">
        <v>9486</v>
      </c>
      <c r="BE1229">
        <v>9222</v>
      </c>
      <c r="BF1229">
        <v>1768</v>
      </c>
      <c r="BG1229">
        <v>20476</v>
      </c>
      <c r="BH1229">
        <v>0</v>
      </c>
      <c r="BI1229">
        <v>0</v>
      </c>
      <c r="BJ1229">
        <v>0</v>
      </c>
      <c r="BK1229">
        <v>0</v>
      </c>
      <c r="BL1229" s="2">
        <v>24.82</v>
      </c>
      <c r="BM1229" s="2">
        <v>42005.095138888886</v>
      </c>
      <c r="BN1229" s="2">
        <v>5.4</v>
      </c>
      <c r="BO1229" s="2">
        <v>42005.092361111114</v>
      </c>
      <c r="BP1229" s="2">
        <v>6.92</v>
      </c>
      <c r="BQ1229" s="2">
        <v>42005.092361111114</v>
      </c>
      <c r="BR1229" s="2">
        <v>11.07</v>
      </c>
      <c r="BS1229" s="2">
        <v>42005.092361111114</v>
      </c>
      <c r="BT1229">
        <v>0</v>
      </c>
      <c r="BU1229">
        <v>0</v>
      </c>
      <c r="BV1229" t="s">
        <v>135</v>
      </c>
      <c r="BW1229">
        <v>0</v>
      </c>
      <c r="BX1229">
        <v>0</v>
      </c>
      <c r="BY1229" t="s">
        <v>135</v>
      </c>
      <c r="BZ1229">
        <v>0</v>
      </c>
      <c r="CA1229">
        <v>0</v>
      </c>
      <c r="CB1229" t="s">
        <v>135</v>
      </c>
      <c r="CH1229" s="2"/>
      <c r="CJ1229" s="2"/>
      <c r="CL1229" s="2"/>
      <c r="CN1229" s="2"/>
      <c r="CQ1229" s="2"/>
      <c r="CT1229" s="2"/>
      <c r="CW1229" s="2"/>
    </row>
    <row r="1230" spans="1:101" x14ac:dyDescent="0.25">
      <c r="A1230" s="1" t="s">
        <v>163</v>
      </c>
      <c r="B1230" s="75" t="s">
        <v>164</v>
      </c>
      <c r="C1230">
        <v>0</v>
      </c>
      <c r="D1230">
        <v>0</v>
      </c>
      <c r="E1230">
        <v>0</v>
      </c>
      <c r="F1230">
        <v>604324.56000000006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3.91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7490</v>
      </c>
      <c r="AW1230">
        <v>3350</v>
      </c>
      <c r="AX1230">
        <v>1219</v>
      </c>
      <c r="AY1230">
        <v>12059</v>
      </c>
      <c r="AZ1230">
        <v>4202</v>
      </c>
      <c r="BA1230">
        <v>7438</v>
      </c>
      <c r="BB1230">
        <v>1432</v>
      </c>
      <c r="BC1230">
        <v>13072</v>
      </c>
      <c r="BD1230">
        <v>9486</v>
      </c>
      <c r="BE1230">
        <v>9222</v>
      </c>
      <c r="BF1230">
        <v>1768</v>
      </c>
      <c r="BG1230">
        <v>20476</v>
      </c>
      <c r="BH1230">
        <v>0</v>
      </c>
      <c r="BI1230">
        <v>0</v>
      </c>
      <c r="BJ1230">
        <v>0</v>
      </c>
      <c r="BK1230">
        <v>0</v>
      </c>
      <c r="BL1230" s="2">
        <v>24.82</v>
      </c>
      <c r="BM1230" s="2">
        <v>42005.095138888886</v>
      </c>
      <c r="BN1230" s="2">
        <v>5.4</v>
      </c>
      <c r="BO1230" s="2">
        <v>42005.092361111114</v>
      </c>
      <c r="BP1230" s="2">
        <v>6.92</v>
      </c>
      <c r="BQ1230" s="2">
        <v>42005.092361111114</v>
      </c>
      <c r="BR1230" s="2">
        <v>11.07</v>
      </c>
      <c r="BS1230" s="2">
        <v>42005.092361111114</v>
      </c>
      <c r="BT1230">
        <v>0</v>
      </c>
      <c r="BU1230">
        <v>0</v>
      </c>
      <c r="BV1230" t="s">
        <v>135</v>
      </c>
      <c r="BW1230">
        <v>0</v>
      </c>
      <c r="BX1230">
        <v>0</v>
      </c>
      <c r="BY1230" t="s">
        <v>135</v>
      </c>
      <c r="BZ1230">
        <v>0</v>
      </c>
      <c r="CA1230">
        <v>0</v>
      </c>
      <c r="CB1230" t="s">
        <v>135</v>
      </c>
      <c r="CH1230" s="2"/>
      <c r="CJ1230" s="2"/>
      <c r="CL1230" s="2"/>
      <c r="CN1230" s="2"/>
      <c r="CQ1230" s="2"/>
      <c r="CT1230" s="2"/>
      <c r="CW1230" s="2"/>
    </row>
    <row r="1231" spans="1:101" x14ac:dyDescent="0.25">
      <c r="A1231" s="1" t="s">
        <v>163</v>
      </c>
      <c r="B1231" s="75" t="s">
        <v>164</v>
      </c>
      <c r="C1231">
        <v>0</v>
      </c>
      <c r="D1231">
        <v>0</v>
      </c>
      <c r="E1231">
        <v>0</v>
      </c>
      <c r="F1231">
        <v>604324.56000000006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3.91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7490</v>
      </c>
      <c r="AW1231">
        <v>3350</v>
      </c>
      <c r="AX1231">
        <v>1219</v>
      </c>
      <c r="AY1231">
        <v>12059</v>
      </c>
      <c r="AZ1231">
        <v>4202</v>
      </c>
      <c r="BA1231">
        <v>7438</v>
      </c>
      <c r="BB1231">
        <v>1432</v>
      </c>
      <c r="BC1231">
        <v>13072</v>
      </c>
      <c r="BD1231">
        <v>9486</v>
      </c>
      <c r="BE1231">
        <v>9222</v>
      </c>
      <c r="BF1231">
        <v>1768</v>
      </c>
      <c r="BG1231">
        <v>20476</v>
      </c>
      <c r="BH1231">
        <v>0</v>
      </c>
      <c r="BI1231">
        <v>0</v>
      </c>
      <c r="BJ1231">
        <v>0</v>
      </c>
      <c r="BK1231">
        <v>0</v>
      </c>
      <c r="BL1231" s="2">
        <v>24.82</v>
      </c>
      <c r="BM1231" s="2">
        <v>42005.095138888886</v>
      </c>
      <c r="BN1231" s="2">
        <v>5.4</v>
      </c>
      <c r="BO1231" s="2">
        <v>42005.092361111114</v>
      </c>
      <c r="BP1231" s="2">
        <v>6.92</v>
      </c>
      <c r="BQ1231" s="2">
        <v>42005.092361111114</v>
      </c>
      <c r="BR1231" s="2">
        <v>11.07</v>
      </c>
      <c r="BS1231" s="2">
        <v>42005.092361111114</v>
      </c>
      <c r="BT1231">
        <v>0</v>
      </c>
      <c r="BU1231">
        <v>0</v>
      </c>
      <c r="BV1231" t="s">
        <v>135</v>
      </c>
      <c r="BW1231">
        <v>0</v>
      </c>
      <c r="BX1231">
        <v>0</v>
      </c>
      <c r="BY1231" t="s">
        <v>135</v>
      </c>
      <c r="BZ1231">
        <v>0</v>
      </c>
      <c r="CA1231">
        <v>0</v>
      </c>
      <c r="CB1231" t="s">
        <v>135</v>
      </c>
      <c r="CH1231" s="2"/>
      <c r="CJ1231" s="2"/>
      <c r="CL1231" s="2"/>
      <c r="CN1231" s="2"/>
      <c r="CQ1231" s="2"/>
      <c r="CT1231" s="2"/>
      <c r="CW1231" s="2"/>
    </row>
    <row r="1232" spans="1:101" x14ac:dyDescent="0.25">
      <c r="A1232" s="1" t="s">
        <v>163</v>
      </c>
      <c r="B1232" s="75" t="s">
        <v>164</v>
      </c>
      <c r="C1232">
        <v>0</v>
      </c>
      <c r="D1232">
        <v>0</v>
      </c>
      <c r="E1232">
        <v>0</v>
      </c>
      <c r="F1232">
        <v>604324.56000000006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3.91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7490</v>
      </c>
      <c r="AW1232">
        <v>3350</v>
      </c>
      <c r="AX1232">
        <v>1219</v>
      </c>
      <c r="AY1232">
        <v>12059</v>
      </c>
      <c r="AZ1232">
        <v>4202</v>
      </c>
      <c r="BA1232">
        <v>7438</v>
      </c>
      <c r="BB1232">
        <v>1432</v>
      </c>
      <c r="BC1232">
        <v>13072</v>
      </c>
      <c r="BD1232">
        <v>9486</v>
      </c>
      <c r="BE1232">
        <v>9222</v>
      </c>
      <c r="BF1232">
        <v>1768</v>
      </c>
      <c r="BG1232">
        <v>20476</v>
      </c>
      <c r="BH1232">
        <v>0</v>
      </c>
      <c r="BI1232">
        <v>0</v>
      </c>
      <c r="BJ1232">
        <v>0</v>
      </c>
      <c r="BK1232">
        <v>0</v>
      </c>
      <c r="BL1232" s="2">
        <v>24.82</v>
      </c>
      <c r="BM1232" s="2">
        <v>42005.095138888886</v>
      </c>
      <c r="BN1232" s="2">
        <v>5.4</v>
      </c>
      <c r="BO1232" s="2">
        <v>42005.092361111114</v>
      </c>
      <c r="BP1232" s="2">
        <v>6.92</v>
      </c>
      <c r="BQ1232" s="2">
        <v>42005.092361111114</v>
      </c>
      <c r="BR1232" s="2">
        <v>11.07</v>
      </c>
      <c r="BS1232" s="2">
        <v>42005.092361111114</v>
      </c>
      <c r="BT1232">
        <v>0</v>
      </c>
      <c r="BU1232">
        <v>0</v>
      </c>
      <c r="BV1232" t="s">
        <v>135</v>
      </c>
      <c r="BW1232">
        <v>0</v>
      </c>
      <c r="BX1232">
        <v>0</v>
      </c>
      <c r="BY1232" t="s">
        <v>135</v>
      </c>
      <c r="BZ1232">
        <v>0</v>
      </c>
      <c r="CA1232">
        <v>0</v>
      </c>
      <c r="CB1232" t="s">
        <v>135</v>
      </c>
      <c r="CH1232" s="2"/>
      <c r="CJ1232" s="2"/>
      <c r="CL1232" s="2"/>
      <c r="CN1232" s="2"/>
      <c r="CQ1232" s="2"/>
      <c r="CT1232" s="2"/>
      <c r="CW1232" s="2"/>
    </row>
    <row r="1233" spans="1:101" x14ac:dyDescent="0.25">
      <c r="A1233" s="1" t="s">
        <v>163</v>
      </c>
      <c r="B1233" s="75" t="s">
        <v>164</v>
      </c>
      <c r="C1233">
        <v>0</v>
      </c>
      <c r="D1233">
        <v>0</v>
      </c>
      <c r="E1233">
        <v>0</v>
      </c>
      <c r="F1233">
        <v>604324.56000000006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3.91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7490</v>
      </c>
      <c r="AW1233">
        <v>3350</v>
      </c>
      <c r="AX1233">
        <v>1219</v>
      </c>
      <c r="AY1233">
        <v>12059</v>
      </c>
      <c r="AZ1233">
        <v>4202</v>
      </c>
      <c r="BA1233">
        <v>7438</v>
      </c>
      <c r="BB1233">
        <v>1432</v>
      </c>
      <c r="BC1233">
        <v>13072</v>
      </c>
      <c r="BD1233">
        <v>9486</v>
      </c>
      <c r="BE1233">
        <v>9222</v>
      </c>
      <c r="BF1233">
        <v>1768</v>
      </c>
      <c r="BG1233">
        <v>20476</v>
      </c>
      <c r="BH1233">
        <v>0</v>
      </c>
      <c r="BI1233">
        <v>0</v>
      </c>
      <c r="BJ1233">
        <v>0</v>
      </c>
      <c r="BK1233">
        <v>0</v>
      </c>
      <c r="BL1233" s="2">
        <v>24.82</v>
      </c>
      <c r="BM1233" s="2">
        <v>42005.095138888886</v>
      </c>
      <c r="BN1233" s="2">
        <v>5.4</v>
      </c>
      <c r="BO1233" s="2">
        <v>42005.092361111114</v>
      </c>
      <c r="BP1233" s="2">
        <v>6.92</v>
      </c>
      <c r="BQ1233" s="2">
        <v>42005.092361111114</v>
      </c>
      <c r="BR1233" s="2">
        <v>11.07</v>
      </c>
      <c r="BS1233" s="2">
        <v>42005.092361111114</v>
      </c>
      <c r="BT1233">
        <v>0</v>
      </c>
      <c r="BU1233">
        <v>0</v>
      </c>
      <c r="BV1233" t="s">
        <v>135</v>
      </c>
      <c r="BW1233">
        <v>0</v>
      </c>
      <c r="BX1233">
        <v>0</v>
      </c>
      <c r="BY1233" t="s">
        <v>135</v>
      </c>
      <c r="BZ1233">
        <v>0</v>
      </c>
      <c r="CA1233">
        <v>0</v>
      </c>
      <c r="CB1233" t="s">
        <v>135</v>
      </c>
      <c r="CH1233" s="2"/>
      <c r="CJ1233" s="2"/>
      <c r="CL1233" s="2"/>
      <c r="CN1233" s="2"/>
      <c r="CQ1233" s="2"/>
      <c r="CT1233" s="2"/>
      <c r="CW1233" s="2"/>
    </row>
    <row r="1234" spans="1:101" x14ac:dyDescent="0.25">
      <c r="A1234" s="1" t="s">
        <v>163</v>
      </c>
      <c r="B1234" s="75" t="s">
        <v>164</v>
      </c>
      <c r="C1234">
        <v>0</v>
      </c>
      <c r="D1234">
        <v>0</v>
      </c>
      <c r="E1234">
        <v>0</v>
      </c>
      <c r="F1234">
        <v>604324.56000000006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3.91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7490</v>
      </c>
      <c r="AW1234">
        <v>3350</v>
      </c>
      <c r="AX1234">
        <v>1219</v>
      </c>
      <c r="AY1234">
        <v>12059</v>
      </c>
      <c r="AZ1234">
        <v>4202</v>
      </c>
      <c r="BA1234">
        <v>7438</v>
      </c>
      <c r="BB1234">
        <v>1432</v>
      </c>
      <c r="BC1234">
        <v>13072</v>
      </c>
      <c r="BD1234">
        <v>9486</v>
      </c>
      <c r="BE1234">
        <v>9222</v>
      </c>
      <c r="BF1234">
        <v>1768</v>
      </c>
      <c r="BG1234">
        <v>20476</v>
      </c>
      <c r="BH1234">
        <v>0</v>
      </c>
      <c r="BI1234">
        <v>0</v>
      </c>
      <c r="BJ1234">
        <v>0</v>
      </c>
      <c r="BK1234">
        <v>0</v>
      </c>
      <c r="BL1234" s="2">
        <v>24.82</v>
      </c>
      <c r="BM1234" s="2">
        <v>42005.095138888886</v>
      </c>
      <c r="BN1234" s="2">
        <v>5.4</v>
      </c>
      <c r="BO1234" s="2">
        <v>42005.092361111114</v>
      </c>
      <c r="BP1234" s="2">
        <v>6.92</v>
      </c>
      <c r="BQ1234" s="2">
        <v>42005.092361111114</v>
      </c>
      <c r="BR1234" s="2">
        <v>11.07</v>
      </c>
      <c r="BS1234" s="2">
        <v>42005.092361111114</v>
      </c>
      <c r="BT1234">
        <v>0</v>
      </c>
      <c r="BU1234">
        <v>0</v>
      </c>
      <c r="BV1234" t="s">
        <v>135</v>
      </c>
      <c r="BW1234">
        <v>0</v>
      </c>
      <c r="BX1234">
        <v>0</v>
      </c>
      <c r="BY1234" t="s">
        <v>135</v>
      </c>
      <c r="BZ1234">
        <v>0</v>
      </c>
      <c r="CA1234">
        <v>0</v>
      </c>
      <c r="CB1234" t="s">
        <v>135</v>
      </c>
      <c r="CH1234" s="2"/>
      <c r="CJ1234" s="2"/>
      <c r="CL1234" s="2"/>
      <c r="CN1234" s="2"/>
      <c r="CQ1234" s="2"/>
      <c r="CT1234" s="2"/>
      <c r="CW1234" s="2"/>
    </row>
    <row r="1235" spans="1:101" x14ac:dyDescent="0.25">
      <c r="A1235" s="1" t="s">
        <v>163</v>
      </c>
      <c r="B1235" s="75" t="s">
        <v>164</v>
      </c>
      <c r="C1235">
        <v>0</v>
      </c>
      <c r="D1235">
        <v>0</v>
      </c>
      <c r="E1235">
        <v>0</v>
      </c>
      <c r="F1235">
        <v>604324.56000000006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3.91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7490</v>
      </c>
      <c r="AW1235">
        <v>3350</v>
      </c>
      <c r="AX1235">
        <v>1219</v>
      </c>
      <c r="AY1235">
        <v>12059</v>
      </c>
      <c r="AZ1235">
        <v>4202</v>
      </c>
      <c r="BA1235">
        <v>7438</v>
      </c>
      <c r="BB1235">
        <v>1432</v>
      </c>
      <c r="BC1235">
        <v>13072</v>
      </c>
      <c r="BD1235">
        <v>9486</v>
      </c>
      <c r="BE1235">
        <v>9222</v>
      </c>
      <c r="BF1235">
        <v>1768</v>
      </c>
      <c r="BG1235">
        <v>20476</v>
      </c>
      <c r="BH1235">
        <v>0</v>
      </c>
      <c r="BI1235">
        <v>0</v>
      </c>
      <c r="BJ1235">
        <v>0</v>
      </c>
      <c r="BK1235">
        <v>0</v>
      </c>
      <c r="BL1235" s="2">
        <v>24.82</v>
      </c>
      <c r="BM1235" s="2">
        <v>42005.095138888886</v>
      </c>
      <c r="BN1235" s="2">
        <v>5.4</v>
      </c>
      <c r="BO1235" s="2">
        <v>42005.092361111114</v>
      </c>
      <c r="BP1235" s="2">
        <v>6.92</v>
      </c>
      <c r="BQ1235" s="2">
        <v>42005.092361111114</v>
      </c>
      <c r="BR1235" s="2">
        <v>11.07</v>
      </c>
      <c r="BS1235" s="2">
        <v>42005.092361111114</v>
      </c>
      <c r="BT1235">
        <v>0</v>
      </c>
      <c r="BU1235">
        <v>0</v>
      </c>
      <c r="BV1235" t="s">
        <v>135</v>
      </c>
      <c r="BW1235">
        <v>0</v>
      </c>
      <c r="BX1235">
        <v>0</v>
      </c>
      <c r="BY1235" t="s">
        <v>135</v>
      </c>
      <c r="BZ1235">
        <v>0</v>
      </c>
      <c r="CA1235">
        <v>0</v>
      </c>
      <c r="CB1235" t="s">
        <v>135</v>
      </c>
      <c r="CH1235" s="2"/>
      <c r="CJ1235" s="2"/>
      <c r="CL1235" s="2"/>
      <c r="CN1235" s="2"/>
      <c r="CQ1235" s="2"/>
      <c r="CT1235" s="2"/>
      <c r="CW1235" s="2"/>
    </row>
    <row r="1236" spans="1:101" x14ac:dyDescent="0.25">
      <c r="A1236" s="1" t="s">
        <v>163</v>
      </c>
      <c r="B1236" s="75" t="s">
        <v>164</v>
      </c>
      <c r="C1236">
        <v>0</v>
      </c>
      <c r="D1236">
        <v>0</v>
      </c>
      <c r="E1236">
        <v>0</v>
      </c>
      <c r="F1236">
        <v>604324.56000000006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3.91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7490</v>
      </c>
      <c r="AW1236">
        <v>3350</v>
      </c>
      <c r="AX1236">
        <v>1219</v>
      </c>
      <c r="AY1236">
        <v>12059</v>
      </c>
      <c r="AZ1236">
        <v>4202</v>
      </c>
      <c r="BA1236">
        <v>7438</v>
      </c>
      <c r="BB1236">
        <v>1432</v>
      </c>
      <c r="BC1236">
        <v>13072</v>
      </c>
      <c r="BD1236">
        <v>9486</v>
      </c>
      <c r="BE1236">
        <v>9222</v>
      </c>
      <c r="BF1236">
        <v>1768</v>
      </c>
      <c r="BG1236">
        <v>20476</v>
      </c>
      <c r="BH1236">
        <v>0</v>
      </c>
      <c r="BI1236">
        <v>0</v>
      </c>
      <c r="BJ1236">
        <v>0</v>
      </c>
      <c r="BK1236">
        <v>0</v>
      </c>
      <c r="BL1236" s="2">
        <v>24.82</v>
      </c>
      <c r="BM1236" s="2">
        <v>42005.095138888886</v>
      </c>
      <c r="BN1236" s="2">
        <v>5.4</v>
      </c>
      <c r="BO1236" s="2">
        <v>42005.092361111114</v>
      </c>
      <c r="BP1236" s="2">
        <v>6.92</v>
      </c>
      <c r="BQ1236" s="2">
        <v>42005.092361111114</v>
      </c>
      <c r="BR1236" s="2">
        <v>11.07</v>
      </c>
      <c r="BS1236" s="2">
        <v>42005.092361111114</v>
      </c>
      <c r="BT1236">
        <v>0</v>
      </c>
      <c r="BU1236">
        <v>0</v>
      </c>
      <c r="BV1236" t="s">
        <v>135</v>
      </c>
      <c r="BW1236">
        <v>0</v>
      </c>
      <c r="BX1236">
        <v>0</v>
      </c>
      <c r="BY1236" t="s">
        <v>135</v>
      </c>
      <c r="BZ1236">
        <v>0</v>
      </c>
      <c r="CA1236">
        <v>0</v>
      </c>
      <c r="CB1236" t="s">
        <v>135</v>
      </c>
      <c r="CH1236" s="2"/>
      <c r="CJ1236" s="2"/>
      <c r="CL1236" s="2"/>
      <c r="CN1236" s="2"/>
      <c r="CQ1236" s="2"/>
      <c r="CT1236" s="2"/>
      <c r="CW1236" s="2"/>
    </row>
    <row r="1237" spans="1:101" x14ac:dyDescent="0.25">
      <c r="A1237" s="1" t="s">
        <v>163</v>
      </c>
      <c r="B1237" s="75" t="s">
        <v>164</v>
      </c>
      <c r="C1237">
        <v>0</v>
      </c>
      <c r="D1237">
        <v>0</v>
      </c>
      <c r="E1237">
        <v>0</v>
      </c>
      <c r="F1237">
        <v>604324.56000000006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3.91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7490</v>
      </c>
      <c r="AW1237">
        <v>3350</v>
      </c>
      <c r="AX1237">
        <v>1219</v>
      </c>
      <c r="AY1237">
        <v>12059</v>
      </c>
      <c r="AZ1237">
        <v>4202</v>
      </c>
      <c r="BA1237">
        <v>7438</v>
      </c>
      <c r="BB1237">
        <v>1432</v>
      </c>
      <c r="BC1237">
        <v>13072</v>
      </c>
      <c r="BD1237">
        <v>9486</v>
      </c>
      <c r="BE1237">
        <v>9222</v>
      </c>
      <c r="BF1237">
        <v>1768</v>
      </c>
      <c r="BG1237">
        <v>20476</v>
      </c>
      <c r="BH1237">
        <v>0</v>
      </c>
      <c r="BI1237">
        <v>0</v>
      </c>
      <c r="BJ1237">
        <v>0</v>
      </c>
      <c r="BK1237">
        <v>0</v>
      </c>
      <c r="BL1237" s="2">
        <v>24.82</v>
      </c>
      <c r="BM1237" s="2">
        <v>42005.095138888886</v>
      </c>
      <c r="BN1237" s="2">
        <v>5.4</v>
      </c>
      <c r="BO1237" s="2">
        <v>42005.092361111114</v>
      </c>
      <c r="BP1237" s="2">
        <v>6.92</v>
      </c>
      <c r="BQ1237" s="2">
        <v>42005.092361111114</v>
      </c>
      <c r="BR1237" s="2">
        <v>11.07</v>
      </c>
      <c r="BS1237" s="2">
        <v>42005.092361111114</v>
      </c>
      <c r="BT1237">
        <v>0</v>
      </c>
      <c r="BU1237">
        <v>0</v>
      </c>
      <c r="BV1237" t="s">
        <v>135</v>
      </c>
      <c r="BW1237">
        <v>0</v>
      </c>
      <c r="BX1237">
        <v>0</v>
      </c>
      <c r="BY1237" t="s">
        <v>135</v>
      </c>
      <c r="BZ1237">
        <v>0</v>
      </c>
      <c r="CA1237">
        <v>0</v>
      </c>
      <c r="CB1237" t="s">
        <v>135</v>
      </c>
      <c r="CH1237" s="2"/>
      <c r="CJ1237" s="2"/>
      <c r="CL1237" s="2"/>
      <c r="CN1237" s="2"/>
      <c r="CQ1237" s="2"/>
      <c r="CT1237" s="2"/>
      <c r="CW1237" s="2"/>
    </row>
    <row r="1238" spans="1:101" x14ac:dyDescent="0.25">
      <c r="A1238" s="1" t="s">
        <v>163</v>
      </c>
      <c r="B1238" s="75" t="s">
        <v>164</v>
      </c>
      <c r="C1238">
        <v>0</v>
      </c>
      <c r="D1238">
        <v>0</v>
      </c>
      <c r="E1238">
        <v>0</v>
      </c>
      <c r="F1238">
        <v>604324.56000000006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3.91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7490</v>
      </c>
      <c r="AW1238">
        <v>3350</v>
      </c>
      <c r="AX1238">
        <v>1219</v>
      </c>
      <c r="AY1238">
        <v>12059</v>
      </c>
      <c r="AZ1238">
        <v>4202</v>
      </c>
      <c r="BA1238">
        <v>7438</v>
      </c>
      <c r="BB1238">
        <v>1432</v>
      </c>
      <c r="BC1238">
        <v>13072</v>
      </c>
      <c r="BD1238">
        <v>9486</v>
      </c>
      <c r="BE1238">
        <v>9222</v>
      </c>
      <c r="BF1238">
        <v>1768</v>
      </c>
      <c r="BG1238">
        <v>20476</v>
      </c>
      <c r="BH1238">
        <v>0</v>
      </c>
      <c r="BI1238">
        <v>0</v>
      </c>
      <c r="BJ1238">
        <v>0</v>
      </c>
      <c r="BK1238">
        <v>0</v>
      </c>
      <c r="BL1238" s="2">
        <v>24.82</v>
      </c>
      <c r="BM1238" s="2">
        <v>42005.095138888886</v>
      </c>
      <c r="BN1238" s="2">
        <v>5.4</v>
      </c>
      <c r="BO1238" s="2">
        <v>42005.092361111114</v>
      </c>
      <c r="BP1238" s="2">
        <v>6.92</v>
      </c>
      <c r="BQ1238" s="2">
        <v>42005.092361111114</v>
      </c>
      <c r="BR1238" s="2">
        <v>11.07</v>
      </c>
      <c r="BS1238" s="2">
        <v>42005.092361111114</v>
      </c>
      <c r="BT1238">
        <v>0</v>
      </c>
      <c r="BU1238">
        <v>0</v>
      </c>
      <c r="BV1238" t="s">
        <v>135</v>
      </c>
      <c r="BW1238">
        <v>0</v>
      </c>
      <c r="BX1238">
        <v>0</v>
      </c>
      <c r="BY1238" t="s">
        <v>135</v>
      </c>
      <c r="BZ1238">
        <v>0</v>
      </c>
      <c r="CA1238">
        <v>0</v>
      </c>
      <c r="CB1238" t="s">
        <v>135</v>
      </c>
      <c r="CH1238" s="2"/>
      <c r="CJ1238" s="2"/>
      <c r="CL1238" s="2"/>
      <c r="CN1238" s="2"/>
      <c r="CQ1238" s="2"/>
      <c r="CT1238" s="2"/>
      <c r="CW1238" s="2"/>
    </row>
    <row r="1239" spans="1:101" x14ac:dyDescent="0.25">
      <c r="A1239" s="1" t="s">
        <v>163</v>
      </c>
      <c r="B1239" s="75" t="s">
        <v>164</v>
      </c>
      <c r="C1239">
        <v>0</v>
      </c>
      <c r="D1239">
        <v>0</v>
      </c>
      <c r="E1239">
        <v>0</v>
      </c>
      <c r="F1239">
        <v>604324.56000000006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3.91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7490</v>
      </c>
      <c r="AW1239">
        <v>3350</v>
      </c>
      <c r="AX1239">
        <v>1219</v>
      </c>
      <c r="AY1239">
        <v>12059</v>
      </c>
      <c r="AZ1239">
        <v>4202</v>
      </c>
      <c r="BA1239">
        <v>7438</v>
      </c>
      <c r="BB1239">
        <v>1432</v>
      </c>
      <c r="BC1239">
        <v>13072</v>
      </c>
      <c r="BD1239">
        <v>9486</v>
      </c>
      <c r="BE1239">
        <v>9222</v>
      </c>
      <c r="BF1239">
        <v>1768</v>
      </c>
      <c r="BG1239">
        <v>20476</v>
      </c>
      <c r="BH1239">
        <v>0</v>
      </c>
      <c r="BI1239">
        <v>0</v>
      </c>
      <c r="BJ1239">
        <v>0</v>
      </c>
      <c r="BK1239">
        <v>0</v>
      </c>
      <c r="BL1239" s="2">
        <v>24.82</v>
      </c>
      <c r="BM1239" s="2">
        <v>42005.095138888886</v>
      </c>
      <c r="BN1239" s="2">
        <v>5.4</v>
      </c>
      <c r="BO1239" s="2">
        <v>42005.092361111114</v>
      </c>
      <c r="BP1239" s="2">
        <v>6.92</v>
      </c>
      <c r="BQ1239" s="2">
        <v>42005.092361111114</v>
      </c>
      <c r="BR1239" s="2">
        <v>11.07</v>
      </c>
      <c r="BS1239" s="2">
        <v>42005.092361111114</v>
      </c>
      <c r="BT1239">
        <v>0</v>
      </c>
      <c r="BU1239">
        <v>0</v>
      </c>
      <c r="BV1239" t="s">
        <v>135</v>
      </c>
      <c r="BW1239">
        <v>0</v>
      </c>
      <c r="BX1239">
        <v>0</v>
      </c>
      <c r="BY1239" t="s">
        <v>135</v>
      </c>
      <c r="BZ1239">
        <v>0</v>
      </c>
      <c r="CA1239">
        <v>0</v>
      </c>
      <c r="CB1239" t="s">
        <v>135</v>
      </c>
      <c r="CH1239" s="2"/>
      <c r="CJ1239" s="2"/>
      <c r="CL1239" s="2"/>
      <c r="CN1239" s="2"/>
      <c r="CQ1239" s="2"/>
      <c r="CT1239" s="2"/>
      <c r="CW1239" s="2"/>
    </row>
    <row r="1240" spans="1:101" x14ac:dyDescent="0.25">
      <c r="A1240" s="1" t="s">
        <v>163</v>
      </c>
      <c r="B1240" s="75" t="s">
        <v>164</v>
      </c>
      <c r="C1240">
        <v>0</v>
      </c>
      <c r="D1240">
        <v>0</v>
      </c>
      <c r="E1240">
        <v>0</v>
      </c>
      <c r="F1240">
        <v>604324.56000000006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3.91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7490</v>
      </c>
      <c r="AW1240">
        <v>3350</v>
      </c>
      <c r="AX1240">
        <v>1219</v>
      </c>
      <c r="AY1240">
        <v>12059</v>
      </c>
      <c r="AZ1240">
        <v>4202</v>
      </c>
      <c r="BA1240">
        <v>7438</v>
      </c>
      <c r="BB1240">
        <v>1432</v>
      </c>
      <c r="BC1240">
        <v>13072</v>
      </c>
      <c r="BD1240">
        <v>9486</v>
      </c>
      <c r="BE1240">
        <v>9222</v>
      </c>
      <c r="BF1240">
        <v>1768</v>
      </c>
      <c r="BG1240">
        <v>20476</v>
      </c>
      <c r="BH1240">
        <v>0</v>
      </c>
      <c r="BI1240">
        <v>0</v>
      </c>
      <c r="BJ1240">
        <v>0</v>
      </c>
      <c r="BK1240">
        <v>0</v>
      </c>
      <c r="BL1240" s="2">
        <v>24.82</v>
      </c>
      <c r="BM1240" s="2">
        <v>42005.095138888886</v>
      </c>
      <c r="BN1240" s="2">
        <v>5.4</v>
      </c>
      <c r="BO1240" s="2">
        <v>42005.092361111114</v>
      </c>
      <c r="BP1240" s="2">
        <v>6.92</v>
      </c>
      <c r="BQ1240" s="2">
        <v>42005.092361111114</v>
      </c>
      <c r="BR1240" s="2">
        <v>11.07</v>
      </c>
      <c r="BS1240" s="2">
        <v>42005.092361111114</v>
      </c>
      <c r="BT1240">
        <v>0</v>
      </c>
      <c r="BU1240">
        <v>0</v>
      </c>
      <c r="BV1240" t="s">
        <v>135</v>
      </c>
      <c r="BW1240">
        <v>0</v>
      </c>
      <c r="BX1240">
        <v>0</v>
      </c>
      <c r="BY1240" t="s">
        <v>135</v>
      </c>
      <c r="BZ1240">
        <v>0</v>
      </c>
      <c r="CA1240">
        <v>0</v>
      </c>
      <c r="CB1240" t="s">
        <v>135</v>
      </c>
      <c r="CH1240" s="2"/>
      <c r="CJ1240" s="2"/>
      <c r="CL1240" s="2"/>
      <c r="CN1240" s="2"/>
      <c r="CQ1240" s="2"/>
      <c r="CT1240" s="2"/>
      <c r="CW1240" s="2"/>
    </row>
    <row r="1241" spans="1:101" x14ac:dyDescent="0.25">
      <c r="A1241" s="1" t="s">
        <v>163</v>
      </c>
      <c r="B1241" s="75" t="s">
        <v>164</v>
      </c>
      <c r="C1241">
        <v>0</v>
      </c>
      <c r="D1241">
        <v>0</v>
      </c>
      <c r="E1241">
        <v>0</v>
      </c>
      <c r="F1241">
        <v>604324.56000000006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3.91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7490</v>
      </c>
      <c r="AW1241">
        <v>3350</v>
      </c>
      <c r="AX1241">
        <v>1219</v>
      </c>
      <c r="AY1241">
        <v>12059</v>
      </c>
      <c r="AZ1241">
        <v>4202</v>
      </c>
      <c r="BA1241">
        <v>7438</v>
      </c>
      <c r="BB1241">
        <v>1432</v>
      </c>
      <c r="BC1241">
        <v>13072</v>
      </c>
      <c r="BD1241">
        <v>9486</v>
      </c>
      <c r="BE1241">
        <v>9222</v>
      </c>
      <c r="BF1241">
        <v>1768</v>
      </c>
      <c r="BG1241">
        <v>20476</v>
      </c>
      <c r="BH1241">
        <v>0</v>
      </c>
      <c r="BI1241">
        <v>0</v>
      </c>
      <c r="BJ1241">
        <v>0</v>
      </c>
      <c r="BK1241">
        <v>0</v>
      </c>
      <c r="BL1241" s="2">
        <v>24.82</v>
      </c>
      <c r="BM1241" s="2">
        <v>42005.095138888886</v>
      </c>
      <c r="BN1241" s="2">
        <v>5.4</v>
      </c>
      <c r="BO1241" s="2">
        <v>42005.092361111114</v>
      </c>
      <c r="BP1241" s="2">
        <v>6.92</v>
      </c>
      <c r="BQ1241" s="2">
        <v>42005.092361111114</v>
      </c>
      <c r="BR1241" s="2">
        <v>11.07</v>
      </c>
      <c r="BS1241" s="2">
        <v>42005.092361111114</v>
      </c>
      <c r="BT1241">
        <v>0</v>
      </c>
      <c r="BU1241">
        <v>0</v>
      </c>
      <c r="BV1241" t="s">
        <v>135</v>
      </c>
      <c r="BW1241">
        <v>0</v>
      </c>
      <c r="BX1241">
        <v>0</v>
      </c>
      <c r="BY1241" t="s">
        <v>135</v>
      </c>
      <c r="BZ1241">
        <v>0</v>
      </c>
      <c r="CA1241">
        <v>0</v>
      </c>
      <c r="CB1241" t="s">
        <v>135</v>
      </c>
      <c r="CH1241" s="2"/>
      <c r="CJ1241" s="2"/>
      <c r="CL1241" s="2"/>
      <c r="CN1241" s="2"/>
      <c r="CQ1241" s="2"/>
      <c r="CT1241" s="2"/>
      <c r="CW1241" s="2"/>
    </row>
    <row r="1242" spans="1:101" x14ac:dyDescent="0.25">
      <c r="A1242" s="1" t="s">
        <v>163</v>
      </c>
      <c r="B1242" s="75" t="s">
        <v>164</v>
      </c>
      <c r="C1242">
        <v>0</v>
      </c>
      <c r="D1242">
        <v>0</v>
      </c>
      <c r="E1242">
        <v>0</v>
      </c>
      <c r="F1242">
        <v>604324.56000000006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3.91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7490</v>
      </c>
      <c r="AW1242">
        <v>3350</v>
      </c>
      <c r="AX1242">
        <v>1219</v>
      </c>
      <c r="AY1242">
        <v>12059</v>
      </c>
      <c r="AZ1242">
        <v>4202</v>
      </c>
      <c r="BA1242">
        <v>7438</v>
      </c>
      <c r="BB1242">
        <v>1432</v>
      </c>
      <c r="BC1242">
        <v>13072</v>
      </c>
      <c r="BD1242">
        <v>9486</v>
      </c>
      <c r="BE1242">
        <v>9222</v>
      </c>
      <c r="BF1242">
        <v>1768</v>
      </c>
      <c r="BG1242">
        <v>20476</v>
      </c>
      <c r="BH1242">
        <v>0</v>
      </c>
      <c r="BI1242">
        <v>0</v>
      </c>
      <c r="BJ1242">
        <v>0</v>
      </c>
      <c r="BK1242">
        <v>0</v>
      </c>
      <c r="BL1242" s="2">
        <v>24.82</v>
      </c>
      <c r="BM1242" s="2">
        <v>42005.095138888886</v>
      </c>
      <c r="BN1242" s="2">
        <v>5.4</v>
      </c>
      <c r="BO1242" s="2">
        <v>42005.092361111114</v>
      </c>
      <c r="BP1242" s="2">
        <v>6.92</v>
      </c>
      <c r="BQ1242" s="2">
        <v>42005.092361111114</v>
      </c>
      <c r="BR1242" s="2">
        <v>11.07</v>
      </c>
      <c r="BS1242" s="2">
        <v>42005.092361111114</v>
      </c>
      <c r="BT1242">
        <v>0</v>
      </c>
      <c r="BU1242">
        <v>0</v>
      </c>
      <c r="BV1242" t="s">
        <v>135</v>
      </c>
      <c r="BW1242">
        <v>0</v>
      </c>
      <c r="BX1242">
        <v>0</v>
      </c>
      <c r="BY1242" t="s">
        <v>135</v>
      </c>
      <c r="BZ1242">
        <v>0</v>
      </c>
      <c r="CA1242">
        <v>0</v>
      </c>
      <c r="CB1242" t="s">
        <v>135</v>
      </c>
      <c r="CH1242" s="2"/>
      <c r="CJ1242" s="2"/>
      <c r="CL1242" s="2"/>
      <c r="CN1242" s="2"/>
      <c r="CQ1242" s="2"/>
      <c r="CT1242" s="2"/>
      <c r="CW1242" s="2"/>
    </row>
    <row r="1243" spans="1:101" x14ac:dyDescent="0.25">
      <c r="A1243" s="1" t="s">
        <v>163</v>
      </c>
      <c r="B1243" s="75" t="s">
        <v>164</v>
      </c>
      <c r="C1243">
        <v>0</v>
      </c>
      <c r="D1243">
        <v>0</v>
      </c>
      <c r="E1243">
        <v>0</v>
      </c>
      <c r="F1243">
        <v>604324.56000000006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3.91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7490</v>
      </c>
      <c r="AW1243">
        <v>3350</v>
      </c>
      <c r="AX1243">
        <v>1219</v>
      </c>
      <c r="AY1243">
        <v>12059</v>
      </c>
      <c r="AZ1243">
        <v>4202</v>
      </c>
      <c r="BA1243">
        <v>7438</v>
      </c>
      <c r="BB1243">
        <v>1432</v>
      </c>
      <c r="BC1243">
        <v>13072</v>
      </c>
      <c r="BD1243">
        <v>9486</v>
      </c>
      <c r="BE1243">
        <v>9222</v>
      </c>
      <c r="BF1243">
        <v>1768</v>
      </c>
      <c r="BG1243">
        <v>20476</v>
      </c>
      <c r="BH1243">
        <v>0</v>
      </c>
      <c r="BI1243">
        <v>0</v>
      </c>
      <c r="BJ1243">
        <v>0</v>
      </c>
      <c r="BK1243">
        <v>0</v>
      </c>
      <c r="BL1243" s="2">
        <v>24.82</v>
      </c>
      <c r="BM1243" s="2">
        <v>42005.095138888886</v>
      </c>
      <c r="BN1243" s="2">
        <v>5.4</v>
      </c>
      <c r="BO1243" s="2">
        <v>42005.092361111114</v>
      </c>
      <c r="BP1243" s="2">
        <v>6.92</v>
      </c>
      <c r="BQ1243" s="2">
        <v>42005.092361111114</v>
      </c>
      <c r="BR1243" s="2">
        <v>11.07</v>
      </c>
      <c r="BS1243" s="2">
        <v>42005.092361111114</v>
      </c>
      <c r="BT1243">
        <v>0</v>
      </c>
      <c r="BU1243">
        <v>0</v>
      </c>
      <c r="BV1243" t="s">
        <v>135</v>
      </c>
      <c r="BW1243">
        <v>0</v>
      </c>
      <c r="BX1243">
        <v>0</v>
      </c>
      <c r="BY1243" t="s">
        <v>135</v>
      </c>
      <c r="BZ1243">
        <v>0</v>
      </c>
      <c r="CA1243">
        <v>0</v>
      </c>
      <c r="CB1243" t="s">
        <v>135</v>
      </c>
      <c r="CH1243" s="2"/>
      <c r="CJ1243" s="2"/>
      <c r="CL1243" s="2"/>
      <c r="CN1243" s="2"/>
      <c r="CQ1243" s="2"/>
      <c r="CT1243" s="2"/>
      <c r="CW1243" s="2"/>
    </row>
    <row r="1244" spans="1:101" x14ac:dyDescent="0.25">
      <c r="A1244" s="1" t="s">
        <v>163</v>
      </c>
      <c r="B1244" s="75" t="s">
        <v>164</v>
      </c>
      <c r="C1244">
        <v>0</v>
      </c>
      <c r="D1244">
        <v>0</v>
      </c>
      <c r="E1244">
        <v>0</v>
      </c>
      <c r="F1244">
        <v>604324.56000000006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3.91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7490</v>
      </c>
      <c r="AW1244">
        <v>3350</v>
      </c>
      <c r="AX1244">
        <v>1219</v>
      </c>
      <c r="AY1244">
        <v>12059</v>
      </c>
      <c r="AZ1244">
        <v>4202</v>
      </c>
      <c r="BA1244">
        <v>7438</v>
      </c>
      <c r="BB1244">
        <v>1432</v>
      </c>
      <c r="BC1244">
        <v>13072</v>
      </c>
      <c r="BD1244">
        <v>9486</v>
      </c>
      <c r="BE1244">
        <v>9222</v>
      </c>
      <c r="BF1244">
        <v>1768</v>
      </c>
      <c r="BG1244">
        <v>20476</v>
      </c>
      <c r="BH1244">
        <v>0</v>
      </c>
      <c r="BI1244">
        <v>0</v>
      </c>
      <c r="BJ1244">
        <v>0</v>
      </c>
      <c r="BK1244">
        <v>0</v>
      </c>
      <c r="BL1244" s="2">
        <v>24.82</v>
      </c>
      <c r="BM1244" s="2">
        <v>42005.095138888886</v>
      </c>
      <c r="BN1244" s="2">
        <v>5.4</v>
      </c>
      <c r="BO1244" s="2">
        <v>42005.092361111114</v>
      </c>
      <c r="BP1244" s="2">
        <v>6.92</v>
      </c>
      <c r="BQ1244" s="2">
        <v>42005.092361111114</v>
      </c>
      <c r="BR1244" s="2">
        <v>11.07</v>
      </c>
      <c r="BS1244" s="2">
        <v>42005.092361111114</v>
      </c>
      <c r="BT1244">
        <v>0</v>
      </c>
      <c r="BU1244">
        <v>0</v>
      </c>
      <c r="BV1244" t="s">
        <v>135</v>
      </c>
      <c r="BW1244">
        <v>0</v>
      </c>
      <c r="BX1244">
        <v>0</v>
      </c>
      <c r="BY1244" t="s">
        <v>135</v>
      </c>
      <c r="BZ1244">
        <v>0</v>
      </c>
      <c r="CA1244">
        <v>0</v>
      </c>
      <c r="CB1244" t="s">
        <v>135</v>
      </c>
      <c r="CH1244" s="2"/>
      <c r="CJ1244" s="2"/>
      <c r="CL1244" s="2"/>
      <c r="CN1244" s="2"/>
      <c r="CQ1244" s="2"/>
      <c r="CT1244" s="2"/>
      <c r="CW1244" s="2"/>
    </row>
    <row r="1245" spans="1:101" x14ac:dyDescent="0.25">
      <c r="A1245" s="1" t="s">
        <v>163</v>
      </c>
      <c r="B1245" s="75" t="s">
        <v>164</v>
      </c>
      <c r="C1245">
        <v>0</v>
      </c>
      <c r="D1245">
        <v>0</v>
      </c>
      <c r="E1245">
        <v>0</v>
      </c>
      <c r="F1245">
        <v>604324.56000000006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3.91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7490</v>
      </c>
      <c r="AW1245">
        <v>3350</v>
      </c>
      <c r="AX1245">
        <v>1219</v>
      </c>
      <c r="AY1245">
        <v>12059</v>
      </c>
      <c r="AZ1245">
        <v>4202</v>
      </c>
      <c r="BA1245">
        <v>7438</v>
      </c>
      <c r="BB1245">
        <v>1432</v>
      </c>
      <c r="BC1245">
        <v>13072</v>
      </c>
      <c r="BD1245">
        <v>9486</v>
      </c>
      <c r="BE1245">
        <v>9222</v>
      </c>
      <c r="BF1245">
        <v>1768</v>
      </c>
      <c r="BG1245">
        <v>20476</v>
      </c>
      <c r="BH1245">
        <v>0</v>
      </c>
      <c r="BI1245">
        <v>0</v>
      </c>
      <c r="BJ1245">
        <v>0</v>
      </c>
      <c r="BK1245">
        <v>0</v>
      </c>
      <c r="BL1245" s="2">
        <v>24.82</v>
      </c>
      <c r="BM1245" s="2">
        <v>42005.095138888886</v>
      </c>
      <c r="BN1245" s="2">
        <v>5.4</v>
      </c>
      <c r="BO1245" s="2">
        <v>42005.092361111114</v>
      </c>
      <c r="BP1245" s="2">
        <v>6.92</v>
      </c>
      <c r="BQ1245" s="2">
        <v>42005.092361111114</v>
      </c>
      <c r="BR1245" s="2">
        <v>11.07</v>
      </c>
      <c r="BS1245" s="2">
        <v>42005.092361111114</v>
      </c>
      <c r="BT1245">
        <v>0</v>
      </c>
      <c r="BU1245">
        <v>0</v>
      </c>
      <c r="BV1245" t="s">
        <v>135</v>
      </c>
      <c r="BW1245">
        <v>0</v>
      </c>
      <c r="BX1245">
        <v>0</v>
      </c>
      <c r="BY1245" t="s">
        <v>135</v>
      </c>
      <c r="BZ1245">
        <v>0</v>
      </c>
      <c r="CA1245">
        <v>0</v>
      </c>
      <c r="CB1245" t="s">
        <v>135</v>
      </c>
      <c r="CH1245" s="2"/>
      <c r="CJ1245" s="2"/>
      <c r="CL1245" s="2"/>
      <c r="CN1245" s="2"/>
      <c r="CQ1245" s="2"/>
      <c r="CT1245" s="2"/>
      <c r="CW1245" s="2"/>
    </row>
    <row r="1246" spans="1:101" x14ac:dyDescent="0.25">
      <c r="A1246" s="1" t="s">
        <v>163</v>
      </c>
      <c r="B1246" s="75" t="s">
        <v>164</v>
      </c>
      <c r="C1246">
        <v>0</v>
      </c>
      <c r="D1246">
        <v>0</v>
      </c>
      <c r="E1246">
        <v>0</v>
      </c>
      <c r="F1246">
        <v>604324.56000000006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3.91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7490</v>
      </c>
      <c r="AW1246">
        <v>3350</v>
      </c>
      <c r="AX1246">
        <v>1219</v>
      </c>
      <c r="AY1246">
        <v>12059</v>
      </c>
      <c r="AZ1246">
        <v>4202</v>
      </c>
      <c r="BA1246">
        <v>7438</v>
      </c>
      <c r="BB1246">
        <v>1432</v>
      </c>
      <c r="BC1246">
        <v>13072</v>
      </c>
      <c r="BD1246">
        <v>9486</v>
      </c>
      <c r="BE1246">
        <v>9222</v>
      </c>
      <c r="BF1246">
        <v>1768</v>
      </c>
      <c r="BG1246">
        <v>20476</v>
      </c>
      <c r="BH1246">
        <v>0</v>
      </c>
      <c r="BI1246">
        <v>0</v>
      </c>
      <c r="BJ1246">
        <v>0</v>
      </c>
      <c r="BK1246">
        <v>0</v>
      </c>
      <c r="BL1246" s="2">
        <v>24.82</v>
      </c>
      <c r="BM1246" s="2">
        <v>42005.095138888886</v>
      </c>
      <c r="BN1246" s="2">
        <v>5.4</v>
      </c>
      <c r="BO1246" s="2">
        <v>42005.092361111114</v>
      </c>
      <c r="BP1246" s="2">
        <v>6.92</v>
      </c>
      <c r="BQ1246" s="2">
        <v>42005.092361111114</v>
      </c>
      <c r="BR1246" s="2">
        <v>11.07</v>
      </c>
      <c r="BS1246" s="2">
        <v>42005.092361111114</v>
      </c>
      <c r="BT1246">
        <v>0</v>
      </c>
      <c r="BU1246">
        <v>0</v>
      </c>
      <c r="BV1246" t="s">
        <v>135</v>
      </c>
      <c r="BW1246">
        <v>0</v>
      </c>
      <c r="BX1246">
        <v>0</v>
      </c>
      <c r="BY1246" t="s">
        <v>135</v>
      </c>
      <c r="BZ1246">
        <v>0</v>
      </c>
      <c r="CA1246">
        <v>0</v>
      </c>
      <c r="CB1246" t="s">
        <v>135</v>
      </c>
      <c r="CH1246" s="2"/>
      <c r="CJ1246" s="2"/>
      <c r="CL1246" s="2"/>
      <c r="CN1246" s="2"/>
      <c r="CQ1246" s="2"/>
      <c r="CT1246" s="2"/>
      <c r="CW1246" s="2"/>
    </row>
    <row r="1247" spans="1:101" x14ac:dyDescent="0.25">
      <c r="A1247" s="1" t="s">
        <v>163</v>
      </c>
      <c r="B1247" s="75" t="s">
        <v>164</v>
      </c>
      <c r="C1247">
        <v>0</v>
      </c>
      <c r="D1247">
        <v>0</v>
      </c>
      <c r="E1247">
        <v>0</v>
      </c>
      <c r="F1247">
        <v>604324.56000000006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3.91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7490</v>
      </c>
      <c r="AW1247">
        <v>3350</v>
      </c>
      <c r="AX1247">
        <v>1219</v>
      </c>
      <c r="AY1247">
        <v>12059</v>
      </c>
      <c r="AZ1247">
        <v>4202</v>
      </c>
      <c r="BA1247">
        <v>7438</v>
      </c>
      <c r="BB1247">
        <v>1432</v>
      </c>
      <c r="BC1247">
        <v>13072</v>
      </c>
      <c r="BD1247">
        <v>9486</v>
      </c>
      <c r="BE1247">
        <v>9222</v>
      </c>
      <c r="BF1247">
        <v>1768</v>
      </c>
      <c r="BG1247">
        <v>20476</v>
      </c>
      <c r="BH1247">
        <v>0</v>
      </c>
      <c r="BI1247">
        <v>0</v>
      </c>
      <c r="BJ1247">
        <v>0</v>
      </c>
      <c r="BK1247">
        <v>0</v>
      </c>
      <c r="BL1247" s="2">
        <v>24.82</v>
      </c>
      <c r="BM1247" s="2">
        <v>42005.095138888886</v>
      </c>
      <c r="BN1247" s="2">
        <v>5.4</v>
      </c>
      <c r="BO1247" s="2">
        <v>42005.092361111114</v>
      </c>
      <c r="BP1247" s="2">
        <v>6.92</v>
      </c>
      <c r="BQ1247" s="2">
        <v>42005.092361111114</v>
      </c>
      <c r="BR1247" s="2">
        <v>11.07</v>
      </c>
      <c r="BS1247" s="2">
        <v>42005.092361111114</v>
      </c>
      <c r="BT1247">
        <v>0</v>
      </c>
      <c r="BU1247">
        <v>0</v>
      </c>
      <c r="BV1247" t="s">
        <v>135</v>
      </c>
      <c r="BW1247">
        <v>0</v>
      </c>
      <c r="BX1247">
        <v>0</v>
      </c>
      <c r="BY1247" t="s">
        <v>135</v>
      </c>
      <c r="BZ1247">
        <v>0</v>
      </c>
      <c r="CA1247">
        <v>0</v>
      </c>
      <c r="CB1247" t="s">
        <v>135</v>
      </c>
      <c r="CH1247" s="2"/>
      <c r="CJ1247" s="2"/>
      <c r="CL1247" s="2"/>
      <c r="CN1247" s="2"/>
      <c r="CQ1247" s="2"/>
      <c r="CT1247" s="2"/>
      <c r="CW1247" s="2"/>
    </row>
    <row r="1248" spans="1:101" x14ac:dyDescent="0.25">
      <c r="A1248" s="1" t="s">
        <v>163</v>
      </c>
      <c r="B1248" s="75" t="s">
        <v>164</v>
      </c>
      <c r="C1248">
        <v>0</v>
      </c>
      <c r="D1248">
        <v>0</v>
      </c>
      <c r="E1248">
        <v>0</v>
      </c>
      <c r="F1248">
        <v>604324.56000000006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3.91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7490</v>
      </c>
      <c r="AW1248">
        <v>3350</v>
      </c>
      <c r="AX1248">
        <v>1219</v>
      </c>
      <c r="AY1248">
        <v>12059</v>
      </c>
      <c r="AZ1248">
        <v>4202</v>
      </c>
      <c r="BA1248">
        <v>7438</v>
      </c>
      <c r="BB1248">
        <v>1432</v>
      </c>
      <c r="BC1248">
        <v>13072</v>
      </c>
      <c r="BD1248">
        <v>9486</v>
      </c>
      <c r="BE1248">
        <v>9222</v>
      </c>
      <c r="BF1248">
        <v>1768</v>
      </c>
      <c r="BG1248">
        <v>20476</v>
      </c>
      <c r="BH1248">
        <v>0</v>
      </c>
      <c r="BI1248">
        <v>0</v>
      </c>
      <c r="BJ1248">
        <v>0</v>
      </c>
      <c r="BK1248">
        <v>0</v>
      </c>
      <c r="BL1248" s="2">
        <v>24.82</v>
      </c>
      <c r="BM1248" s="2">
        <v>42005.095138888886</v>
      </c>
      <c r="BN1248" s="2">
        <v>5.4</v>
      </c>
      <c r="BO1248" s="2">
        <v>42005.092361111114</v>
      </c>
      <c r="BP1248" s="2">
        <v>6.92</v>
      </c>
      <c r="BQ1248" s="2">
        <v>42005.092361111114</v>
      </c>
      <c r="BR1248" s="2">
        <v>11.07</v>
      </c>
      <c r="BS1248" s="2">
        <v>42005.092361111114</v>
      </c>
      <c r="BT1248">
        <v>0</v>
      </c>
      <c r="BU1248">
        <v>0</v>
      </c>
      <c r="BV1248" t="s">
        <v>135</v>
      </c>
      <c r="BW1248">
        <v>0</v>
      </c>
      <c r="BX1248">
        <v>0</v>
      </c>
      <c r="BY1248" t="s">
        <v>135</v>
      </c>
      <c r="BZ1248">
        <v>0</v>
      </c>
      <c r="CA1248">
        <v>0</v>
      </c>
      <c r="CB1248" t="s">
        <v>135</v>
      </c>
      <c r="CH1248" s="2"/>
      <c r="CJ1248" s="2"/>
      <c r="CL1248" s="2"/>
      <c r="CN1248" s="2"/>
      <c r="CQ1248" s="2"/>
      <c r="CT1248" s="2"/>
      <c r="CW1248" s="2"/>
    </row>
    <row r="1249" spans="1:101" x14ac:dyDescent="0.25">
      <c r="A1249" s="1" t="s">
        <v>163</v>
      </c>
      <c r="B1249" s="75" t="s">
        <v>164</v>
      </c>
      <c r="C1249">
        <v>0</v>
      </c>
      <c r="D1249">
        <v>0</v>
      </c>
      <c r="E1249">
        <v>0</v>
      </c>
      <c r="F1249">
        <v>604324.56000000006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3.91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7490</v>
      </c>
      <c r="AW1249">
        <v>3350</v>
      </c>
      <c r="AX1249">
        <v>1219</v>
      </c>
      <c r="AY1249">
        <v>12059</v>
      </c>
      <c r="AZ1249">
        <v>4202</v>
      </c>
      <c r="BA1249">
        <v>7438</v>
      </c>
      <c r="BB1249">
        <v>1432</v>
      </c>
      <c r="BC1249">
        <v>13072</v>
      </c>
      <c r="BD1249">
        <v>9486</v>
      </c>
      <c r="BE1249">
        <v>9222</v>
      </c>
      <c r="BF1249">
        <v>1768</v>
      </c>
      <c r="BG1249">
        <v>20476</v>
      </c>
      <c r="BH1249">
        <v>0</v>
      </c>
      <c r="BI1249">
        <v>0</v>
      </c>
      <c r="BJ1249">
        <v>0</v>
      </c>
      <c r="BK1249">
        <v>0</v>
      </c>
      <c r="BL1249" s="2">
        <v>24.82</v>
      </c>
      <c r="BM1249" s="2">
        <v>42005.095138888886</v>
      </c>
      <c r="BN1249" s="2">
        <v>5.4</v>
      </c>
      <c r="BO1249" s="2">
        <v>42005.092361111114</v>
      </c>
      <c r="BP1249" s="2">
        <v>6.92</v>
      </c>
      <c r="BQ1249" s="2">
        <v>42005.092361111114</v>
      </c>
      <c r="BR1249" s="2">
        <v>11.07</v>
      </c>
      <c r="BS1249" s="2">
        <v>42005.092361111114</v>
      </c>
      <c r="BT1249">
        <v>0</v>
      </c>
      <c r="BU1249">
        <v>0</v>
      </c>
      <c r="BV1249" t="s">
        <v>135</v>
      </c>
      <c r="BW1249">
        <v>0</v>
      </c>
      <c r="BX1249">
        <v>0</v>
      </c>
      <c r="BY1249" t="s">
        <v>135</v>
      </c>
      <c r="BZ1249">
        <v>0</v>
      </c>
      <c r="CA1249">
        <v>0</v>
      </c>
      <c r="CB1249" t="s">
        <v>135</v>
      </c>
      <c r="CH1249" s="2"/>
      <c r="CJ1249" s="2"/>
      <c r="CL1249" s="2"/>
      <c r="CN1249" s="2"/>
      <c r="CQ1249" s="2"/>
      <c r="CT1249" s="2"/>
      <c r="CW1249" s="2"/>
    </row>
    <row r="1250" spans="1:101" x14ac:dyDescent="0.25">
      <c r="A1250" s="1" t="s">
        <v>163</v>
      </c>
      <c r="B1250" s="75" t="s">
        <v>164</v>
      </c>
      <c r="C1250">
        <v>0</v>
      </c>
      <c r="D1250">
        <v>0</v>
      </c>
      <c r="E1250">
        <v>0</v>
      </c>
      <c r="F1250">
        <v>604324.56000000006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3.91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7490</v>
      </c>
      <c r="AW1250">
        <v>3350</v>
      </c>
      <c r="AX1250">
        <v>1219</v>
      </c>
      <c r="AY1250">
        <v>12059</v>
      </c>
      <c r="AZ1250">
        <v>4202</v>
      </c>
      <c r="BA1250">
        <v>7438</v>
      </c>
      <c r="BB1250">
        <v>1432</v>
      </c>
      <c r="BC1250">
        <v>13072</v>
      </c>
      <c r="BD1250">
        <v>9486</v>
      </c>
      <c r="BE1250">
        <v>9222</v>
      </c>
      <c r="BF1250">
        <v>1768</v>
      </c>
      <c r="BG1250">
        <v>20476</v>
      </c>
      <c r="BH1250">
        <v>0</v>
      </c>
      <c r="BI1250">
        <v>0</v>
      </c>
      <c r="BJ1250">
        <v>0</v>
      </c>
      <c r="BK1250">
        <v>0</v>
      </c>
      <c r="BL1250" s="2">
        <v>24.82</v>
      </c>
      <c r="BM1250" s="2">
        <v>42005.095138888886</v>
      </c>
      <c r="BN1250" s="2">
        <v>5.4</v>
      </c>
      <c r="BO1250" s="2">
        <v>42005.092361111114</v>
      </c>
      <c r="BP1250" s="2">
        <v>6.92</v>
      </c>
      <c r="BQ1250" s="2">
        <v>42005.092361111114</v>
      </c>
      <c r="BR1250" s="2">
        <v>11.07</v>
      </c>
      <c r="BS1250" s="2">
        <v>42005.092361111114</v>
      </c>
      <c r="BT1250">
        <v>0</v>
      </c>
      <c r="BU1250">
        <v>0</v>
      </c>
      <c r="BV1250" t="s">
        <v>135</v>
      </c>
      <c r="BW1250">
        <v>0</v>
      </c>
      <c r="BX1250">
        <v>0</v>
      </c>
      <c r="BY1250" t="s">
        <v>135</v>
      </c>
      <c r="BZ1250">
        <v>0</v>
      </c>
      <c r="CA1250">
        <v>0</v>
      </c>
      <c r="CB1250" t="s">
        <v>135</v>
      </c>
      <c r="CH1250" s="2"/>
      <c r="CJ1250" s="2"/>
      <c r="CL1250" s="2"/>
      <c r="CN1250" s="2"/>
      <c r="CQ1250" s="2"/>
      <c r="CT1250" s="2"/>
      <c r="CW1250" s="2"/>
    </row>
    <row r="1251" spans="1:101" x14ac:dyDescent="0.25">
      <c r="A1251" s="1" t="s">
        <v>163</v>
      </c>
      <c r="B1251" s="75" t="s">
        <v>164</v>
      </c>
      <c r="C1251">
        <v>0</v>
      </c>
      <c r="D1251">
        <v>0</v>
      </c>
      <c r="E1251">
        <v>0</v>
      </c>
      <c r="F1251">
        <v>604324.56000000006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3.91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7490</v>
      </c>
      <c r="AW1251">
        <v>3350</v>
      </c>
      <c r="AX1251">
        <v>1219</v>
      </c>
      <c r="AY1251">
        <v>12059</v>
      </c>
      <c r="AZ1251">
        <v>4202</v>
      </c>
      <c r="BA1251">
        <v>7438</v>
      </c>
      <c r="BB1251">
        <v>1432</v>
      </c>
      <c r="BC1251">
        <v>13072</v>
      </c>
      <c r="BD1251">
        <v>9486</v>
      </c>
      <c r="BE1251">
        <v>9222</v>
      </c>
      <c r="BF1251">
        <v>1768</v>
      </c>
      <c r="BG1251">
        <v>20476</v>
      </c>
      <c r="BH1251">
        <v>0</v>
      </c>
      <c r="BI1251">
        <v>0</v>
      </c>
      <c r="BJ1251">
        <v>0</v>
      </c>
      <c r="BK1251">
        <v>0</v>
      </c>
      <c r="BL1251" s="2">
        <v>24.82</v>
      </c>
      <c r="BM1251" s="2">
        <v>42005.095138888886</v>
      </c>
      <c r="BN1251" s="2">
        <v>5.4</v>
      </c>
      <c r="BO1251" s="2">
        <v>42005.092361111114</v>
      </c>
      <c r="BP1251" s="2">
        <v>6.92</v>
      </c>
      <c r="BQ1251" s="2">
        <v>42005.092361111114</v>
      </c>
      <c r="BR1251" s="2">
        <v>11.07</v>
      </c>
      <c r="BS1251" s="2">
        <v>42005.092361111114</v>
      </c>
      <c r="BT1251">
        <v>0</v>
      </c>
      <c r="BU1251">
        <v>0</v>
      </c>
      <c r="BV1251" t="s">
        <v>135</v>
      </c>
      <c r="BW1251">
        <v>0</v>
      </c>
      <c r="BX1251">
        <v>0</v>
      </c>
      <c r="BY1251" t="s">
        <v>135</v>
      </c>
      <c r="BZ1251">
        <v>0</v>
      </c>
      <c r="CA1251">
        <v>0</v>
      </c>
      <c r="CB1251" t="s">
        <v>135</v>
      </c>
      <c r="CH1251" s="2"/>
      <c r="CJ1251" s="2"/>
      <c r="CL1251" s="2"/>
      <c r="CN1251" s="2"/>
      <c r="CQ1251" s="2"/>
      <c r="CT1251" s="2"/>
      <c r="CW1251" s="2"/>
    </row>
    <row r="1252" spans="1:101" x14ac:dyDescent="0.25">
      <c r="A1252" s="1" t="s">
        <v>163</v>
      </c>
      <c r="B1252" s="75" t="s">
        <v>164</v>
      </c>
      <c r="C1252">
        <v>0</v>
      </c>
      <c r="D1252">
        <v>0</v>
      </c>
      <c r="E1252">
        <v>0</v>
      </c>
      <c r="F1252">
        <v>604324.56000000006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3.91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7490</v>
      </c>
      <c r="AW1252">
        <v>3350</v>
      </c>
      <c r="AX1252">
        <v>1219</v>
      </c>
      <c r="AY1252">
        <v>12059</v>
      </c>
      <c r="AZ1252">
        <v>4202</v>
      </c>
      <c r="BA1252">
        <v>7438</v>
      </c>
      <c r="BB1252">
        <v>1432</v>
      </c>
      <c r="BC1252">
        <v>13072</v>
      </c>
      <c r="BD1252">
        <v>9486</v>
      </c>
      <c r="BE1252">
        <v>9222</v>
      </c>
      <c r="BF1252">
        <v>1768</v>
      </c>
      <c r="BG1252">
        <v>20476</v>
      </c>
      <c r="BH1252">
        <v>0</v>
      </c>
      <c r="BI1252">
        <v>0</v>
      </c>
      <c r="BJ1252">
        <v>0</v>
      </c>
      <c r="BK1252">
        <v>0</v>
      </c>
      <c r="BL1252" s="2">
        <v>24.82</v>
      </c>
      <c r="BM1252" s="2">
        <v>42005.095138888886</v>
      </c>
      <c r="BN1252" s="2">
        <v>5.4</v>
      </c>
      <c r="BO1252" s="2">
        <v>42005.092361111114</v>
      </c>
      <c r="BP1252" s="2">
        <v>6.92</v>
      </c>
      <c r="BQ1252" s="2">
        <v>42005.092361111114</v>
      </c>
      <c r="BR1252" s="2">
        <v>11.07</v>
      </c>
      <c r="BS1252" s="2">
        <v>42005.092361111114</v>
      </c>
      <c r="BT1252">
        <v>0</v>
      </c>
      <c r="BU1252">
        <v>0</v>
      </c>
      <c r="BV1252" t="s">
        <v>135</v>
      </c>
      <c r="BW1252">
        <v>0</v>
      </c>
      <c r="BX1252">
        <v>0</v>
      </c>
      <c r="BY1252" t="s">
        <v>135</v>
      </c>
      <c r="BZ1252">
        <v>0</v>
      </c>
      <c r="CA1252">
        <v>0</v>
      </c>
      <c r="CB1252" t="s">
        <v>135</v>
      </c>
      <c r="CH1252" s="2"/>
      <c r="CJ1252" s="2"/>
      <c r="CL1252" s="2"/>
      <c r="CN1252" s="2"/>
      <c r="CQ1252" s="2"/>
      <c r="CT1252" s="2"/>
      <c r="CW1252" s="2"/>
    </row>
    <row r="1253" spans="1:101" x14ac:dyDescent="0.25">
      <c r="A1253" s="1" t="s">
        <v>163</v>
      </c>
      <c r="B1253" s="75" t="s">
        <v>164</v>
      </c>
      <c r="C1253">
        <v>0</v>
      </c>
      <c r="D1253">
        <v>0</v>
      </c>
      <c r="E1253">
        <v>0</v>
      </c>
      <c r="F1253">
        <v>604324.56000000006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3.91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7490</v>
      </c>
      <c r="AW1253">
        <v>3350</v>
      </c>
      <c r="AX1253">
        <v>1219</v>
      </c>
      <c r="AY1253">
        <v>12059</v>
      </c>
      <c r="AZ1253">
        <v>4202</v>
      </c>
      <c r="BA1253">
        <v>7438</v>
      </c>
      <c r="BB1253">
        <v>1432</v>
      </c>
      <c r="BC1253">
        <v>13072</v>
      </c>
      <c r="BD1253">
        <v>9486</v>
      </c>
      <c r="BE1253">
        <v>9222</v>
      </c>
      <c r="BF1253">
        <v>1768</v>
      </c>
      <c r="BG1253">
        <v>20476</v>
      </c>
      <c r="BH1253">
        <v>0</v>
      </c>
      <c r="BI1253">
        <v>0</v>
      </c>
      <c r="BJ1253">
        <v>0</v>
      </c>
      <c r="BK1253">
        <v>0</v>
      </c>
      <c r="BL1253" s="2">
        <v>24.82</v>
      </c>
      <c r="BM1253" s="2">
        <v>42005.095138888886</v>
      </c>
      <c r="BN1253" s="2">
        <v>5.4</v>
      </c>
      <c r="BO1253" s="2">
        <v>42005.092361111114</v>
      </c>
      <c r="BP1253" s="2">
        <v>6.92</v>
      </c>
      <c r="BQ1253" s="2">
        <v>42005.092361111114</v>
      </c>
      <c r="BR1253" s="2">
        <v>11.07</v>
      </c>
      <c r="BS1253" s="2">
        <v>42005.092361111114</v>
      </c>
      <c r="BT1253">
        <v>0</v>
      </c>
      <c r="BU1253">
        <v>0</v>
      </c>
      <c r="BV1253" t="s">
        <v>135</v>
      </c>
      <c r="BW1253">
        <v>0</v>
      </c>
      <c r="BX1253">
        <v>0</v>
      </c>
      <c r="BY1253" t="s">
        <v>135</v>
      </c>
      <c r="BZ1253">
        <v>0</v>
      </c>
      <c r="CA1253">
        <v>0</v>
      </c>
      <c r="CB1253" t="s">
        <v>135</v>
      </c>
      <c r="CH1253" s="2"/>
      <c r="CJ1253" s="2"/>
      <c r="CL1253" s="2"/>
      <c r="CN1253" s="2"/>
      <c r="CQ1253" s="2"/>
      <c r="CT1253" s="2"/>
      <c r="CW1253" s="2"/>
    </row>
    <row r="1254" spans="1:101" x14ac:dyDescent="0.25">
      <c r="A1254" s="1" t="s">
        <v>163</v>
      </c>
      <c r="B1254" s="75" t="s">
        <v>164</v>
      </c>
      <c r="C1254">
        <v>0</v>
      </c>
      <c r="D1254">
        <v>0</v>
      </c>
      <c r="E1254">
        <v>0</v>
      </c>
      <c r="F1254">
        <v>604324.56000000006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3.91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7490</v>
      </c>
      <c r="AW1254">
        <v>3350</v>
      </c>
      <c r="AX1254">
        <v>1219</v>
      </c>
      <c r="AY1254">
        <v>12059</v>
      </c>
      <c r="AZ1254">
        <v>4202</v>
      </c>
      <c r="BA1254">
        <v>7438</v>
      </c>
      <c r="BB1254">
        <v>1432</v>
      </c>
      <c r="BC1254">
        <v>13072</v>
      </c>
      <c r="BD1254">
        <v>9486</v>
      </c>
      <c r="BE1254">
        <v>9222</v>
      </c>
      <c r="BF1254">
        <v>1768</v>
      </c>
      <c r="BG1254">
        <v>20476</v>
      </c>
      <c r="BH1254">
        <v>0</v>
      </c>
      <c r="BI1254">
        <v>0</v>
      </c>
      <c r="BJ1254">
        <v>0</v>
      </c>
      <c r="BK1254">
        <v>0</v>
      </c>
      <c r="BL1254" s="2">
        <v>24.82</v>
      </c>
      <c r="BM1254" s="2">
        <v>42005.095138888886</v>
      </c>
      <c r="BN1254" s="2">
        <v>5.4</v>
      </c>
      <c r="BO1254" s="2">
        <v>42005.092361111114</v>
      </c>
      <c r="BP1254" s="2">
        <v>6.92</v>
      </c>
      <c r="BQ1254" s="2">
        <v>42005.092361111114</v>
      </c>
      <c r="BR1254" s="2">
        <v>11.07</v>
      </c>
      <c r="BS1254" s="2">
        <v>42005.092361111114</v>
      </c>
      <c r="BT1254">
        <v>0</v>
      </c>
      <c r="BU1254">
        <v>0</v>
      </c>
      <c r="BV1254" t="s">
        <v>135</v>
      </c>
      <c r="BW1254">
        <v>0</v>
      </c>
      <c r="BX1254">
        <v>0</v>
      </c>
      <c r="BY1254" t="s">
        <v>135</v>
      </c>
      <c r="BZ1254">
        <v>0</v>
      </c>
      <c r="CA1254">
        <v>0</v>
      </c>
      <c r="CB1254" t="s">
        <v>135</v>
      </c>
      <c r="CH1254" s="2"/>
      <c r="CJ1254" s="2"/>
      <c r="CL1254" s="2"/>
      <c r="CN1254" s="2"/>
      <c r="CQ1254" s="2"/>
      <c r="CT1254" s="2"/>
      <c r="CW1254" s="2"/>
    </row>
    <row r="1255" spans="1:101" x14ac:dyDescent="0.25">
      <c r="A1255" s="1" t="s">
        <v>163</v>
      </c>
      <c r="B1255" s="75" t="s">
        <v>164</v>
      </c>
      <c r="C1255">
        <v>0</v>
      </c>
      <c r="D1255">
        <v>0</v>
      </c>
      <c r="E1255">
        <v>0</v>
      </c>
      <c r="F1255">
        <v>604324.56000000006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3.91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7490</v>
      </c>
      <c r="AW1255">
        <v>3350</v>
      </c>
      <c r="AX1255">
        <v>1219</v>
      </c>
      <c r="AY1255">
        <v>12059</v>
      </c>
      <c r="AZ1255">
        <v>4202</v>
      </c>
      <c r="BA1255">
        <v>7438</v>
      </c>
      <c r="BB1255">
        <v>1432</v>
      </c>
      <c r="BC1255">
        <v>13072</v>
      </c>
      <c r="BD1255">
        <v>9486</v>
      </c>
      <c r="BE1255">
        <v>9222</v>
      </c>
      <c r="BF1255">
        <v>1768</v>
      </c>
      <c r="BG1255">
        <v>20476</v>
      </c>
      <c r="BH1255">
        <v>0</v>
      </c>
      <c r="BI1255">
        <v>0</v>
      </c>
      <c r="BJ1255">
        <v>0</v>
      </c>
      <c r="BK1255">
        <v>0</v>
      </c>
      <c r="BL1255" s="2">
        <v>24.82</v>
      </c>
      <c r="BM1255" s="2">
        <v>42005.095138888886</v>
      </c>
      <c r="BN1255" s="2">
        <v>5.4</v>
      </c>
      <c r="BO1255" s="2">
        <v>42005.092361111114</v>
      </c>
      <c r="BP1255" s="2">
        <v>6.92</v>
      </c>
      <c r="BQ1255" s="2">
        <v>42005.092361111114</v>
      </c>
      <c r="BR1255" s="2">
        <v>11.07</v>
      </c>
      <c r="BS1255" s="2">
        <v>42005.092361111114</v>
      </c>
      <c r="BT1255">
        <v>0</v>
      </c>
      <c r="BU1255">
        <v>0</v>
      </c>
      <c r="BV1255" t="s">
        <v>135</v>
      </c>
      <c r="BW1255">
        <v>0</v>
      </c>
      <c r="BX1255">
        <v>0</v>
      </c>
      <c r="BY1255" t="s">
        <v>135</v>
      </c>
      <c r="BZ1255">
        <v>0</v>
      </c>
      <c r="CA1255">
        <v>0</v>
      </c>
      <c r="CB1255" t="s">
        <v>135</v>
      </c>
      <c r="CH1255" s="2"/>
      <c r="CJ1255" s="2"/>
      <c r="CL1255" s="2"/>
      <c r="CN1255" s="2"/>
      <c r="CQ1255" s="2"/>
      <c r="CT1255" s="2"/>
      <c r="CW1255" s="2"/>
    </row>
    <row r="1256" spans="1:101" x14ac:dyDescent="0.25">
      <c r="A1256" s="1" t="s">
        <v>163</v>
      </c>
      <c r="B1256" s="75" t="s">
        <v>164</v>
      </c>
      <c r="C1256">
        <v>0</v>
      </c>
      <c r="D1256">
        <v>0</v>
      </c>
      <c r="E1256">
        <v>0</v>
      </c>
      <c r="F1256">
        <v>604324.56000000006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3.91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7490</v>
      </c>
      <c r="AW1256">
        <v>3350</v>
      </c>
      <c r="AX1256">
        <v>1219</v>
      </c>
      <c r="AY1256">
        <v>12059</v>
      </c>
      <c r="AZ1256">
        <v>4202</v>
      </c>
      <c r="BA1256">
        <v>7438</v>
      </c>
      <c r="BB1256">
        <v>1432</v>
      </c>
      <c r="BC1256">
        <v>13072</v>
      </c>
      <c r="BD1256">
        <v>9486</v>
      </c>
      <c r="BE1256">
        <v>9222</v>
      </c>
      <c r="BF1256">
        <v>1768</v>
      </c>
      <c r="BG1256">
        <v>20476</v>
      </c>
      <c r="BH1256">
        <v>0</v>
      </c>
      <c r="BI1256">
        <v>0</v>
      </c>
      <c r="BJ1256">
        <v>0</v>
      </c>
      <c r="BK1256">
        <v>0</v>
      </c>
      <c r="BL1256" s="2">
        <v>24.82</v>
      </c>
      <c r="BM1256" s="2">
        <v>42005.095138888886</v>
      </c>
      <c r="BN1256" s="2">
        <v>5.4</v>
      </c>
      <c r="BO1256" s="2">
        <v>42005.092361111114</v>
      </c>
      <c r="BP1256" s="2">
        <v>6.92</v>
      </c>
      <c r="BQ1256" s="2">
        <v>42005.092361111114</v>
      </c>
      <c r="BR1256" s="2">
        <v>11.07</v>
      </c>
      <c r="BS1256" s="2">
        <v>42005.092361111114</v>
      </c>
      <c r="BT1256">
        <v>0</v>
      </c>
      <c r="BU1256">
        <v>0</v>
      </c>
      <c r="BV1256" t="s">
        <v>135</v>
      </c>
      <c r="BW1256">
        <v>0</v>
      </c>
      <c r="BX1256">
        <v>0</v>
      </c>
      <c r="BY1256" t="s">
        <v>135</v>
      </c>
      <c r="BZ1256">
        <v>0</v>
      </c>
      <c r="CA1256">
        <v>0</v>
      </c>
      <c r="CB1256" t="s">
        <v>135</v>
      </c>
      <c r="CH1256" s="2"/>
      <c r="CJ1256" s="2"/>
      <c r="CL1256" s="2"/>
      <c r="CN1256" s="2"/>
      <c r="CQ1256" s="2"/>
      <c r="CT1256" s="2"/>
      <c r="CW1256" s="2"/>
    </row>
    <row r="1257" spans="1:101" x14ac:dyDescent="0.25">
      <c r="A1257" s="1" t="s">
        <v>163</v>
      </c>
      <c r="B1257" s="75" t="s">
        <v>164</v>
      </c>
      <c r="C1257">
        <v>0</v>
      </c>
      <c r="D1257">
        <v>0</v>
      </c>
      <c r="E1257">
        <v>0</v>
      </c>
      <c r="F1257">
        <v>604324.56000000006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3.91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7490</v>
      </c>
      <c r="AW1257">
        <v>3350</v>
      </c>
      <c r="AX1257">
        <v>1219</v>
      </c>
      <c r="AY1257">
        <v>12059</v>
      </c>
      <c r="AZ1257">
        <v>4202</v>
      </c>
      <c r="BA1257">
        <v>7438</v>
      </c>
      <c r="BB1257">
        <v>1432</v>
      </c>
      <c r="BC1257">
        <v>13072</v>
      </c>
      <c r="BD1257">
        <v>9486</v>
      </c>
      <c r="BE1257">
        <v>9222</v>
      </c>
      <c r="BF1257">
        <v>1768</v>
      </c>
      <c r="BG1257">
        <v>20476</v>
      </c>
      <c r="BH1257">
        <v>0</v>
      </c>
      <c r="BI1257">
        <v>0</v>
      </c>
      <c r="BJ1257">
        <v>0</v>
      </c>
      <c r="BK1257">
        <v>0</v>
      </c>
      <c r="BL1257" s="2">
        <v>24.82</v>
      </c>
      <c r="BM1257" s="2">
        <v>42005.095138888886</v>
      </c>
      <c r="BN1257" s="2">
        <v>5.4</v>
      </c>
      <c r="BO1257" s="2">
        <v>42005.092361111114</v>
      </c>
      <c r="BP1257" s="2">
        <v>6.92</v>
      </c>
      <c r="BQ1257" s="2">
        <v>42005.092361111114</v>
      </c>
      <c r="BR1257" s="2">
        <v>11.07</v>
      </c>
      <c r="BS1257" s="2">
        <v>42005.092361111114</v>
      </c>
      <c r="BT1257">
        <v>0</v>
      </c>
      <c r="BU1257">
        <v>0</v>
      </c>
      <c r="BV1257" t="s">
        <v>135</v>
      </c>
      <c r="BW1257">
        <v>0</v>
      </c>
      <c r="BX1257">
        <v>0</v>
      </c>
      <c r="BY1257" t="s">
        <v>135</v>
      </c>
      <c r="BZ1257">
        <v>0</v>
      </c>
      <c r="CA1257">
        <v>0</v>
      </c>
      <c r="CB1257" t="s">
        <v>135</v>
      </c>
      <c r="CH1257" s="2"/>
      <c r="CJ1257" s="2"/>
      <c r="CL1257" s="2"/>
      <c r="CN1257" s="2"/>
      <c r="CQ1257" s="2"/>
      <c r="CT1257" s="2"/>
      <c r="CW1257" s="2"/>
    </row>
    <row r="1258" spans="1:101" x14ac:dyDescent="0.25">
      <c r="A1258" s="1" t="s">
        <v>163</v>
      </c>
      <c r="B1258" s="75" t="s">
        <v>164</v>
      </c>
      <c r="C1258">
        <v>0</v>
      </c>
      <c r="D1258">
        <v>0</v>
      </c>
      <c r="E1258">
        <v>0</v>
      </c>
      <c r="F1258">
        <v>604324.56000000006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3.91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7490</v>
      </c>
      <c r="AW1258">
        <v>3350</v>
      </c>
      <c r="AX1258">
        <v>1219</v>
      </c>
      <c r="AY1258">
        <v>12059</v>
      </c>
      <c r="AZ1258">
        <v>4202</v>
      </c>
      <c r="BA1258">
        <v>7438</v>
      </c>
      <c r="BB1258">
        <v>1432</v>
      </c>
      <c r="BC1258">
        <v>13072</v>
      </c>
      <c r="BD1258">
        <v>9486</v>
      </c>
      <c r="BE1258">
        <v>9222</v>
      </c>
      <c r="BF1258">
        <v>1768</v>
      </c>
      <c r="BG1258">
        <v>20476</v>
      </c>
      <c r="BH1258">
        <v>0</v>
      </c>
      <c r="BI1258">
        <v>0</v>
      </c>
      <c r="BJ1258">
        <v>0</v>
      </c>
      <c r="BK1258">
        <v>0</v>
      </c>
      <c r="BL1258" s="2">
        <v>24.82</v>
      </c>
      <c r="BM1258" s="2">
        <v>42005.095138888886</v>
      </c>
      <c r="BN1258" s="2">
        <v>5.4</v>
      </c>
      <c r="BO1258" s="2">
        <v>42005.092361111114</v>
      </c>
      <c r="BP1258" s="2">
        <v>6.92</v>
      </c>
      <c r="BQ1258" s="2">
        <v>42005.092361111114</v>
      </c>
      <c r="BR1258" s="2">
        <v>11.07</v>
      </c>
      <c r="BS1258" s="2">
        <v>42005.092361111114</v>
      </c>
      <c r="BT1258">
        <v>0</v>
      </c>
      <c r="BU1258">
        <v>0</v>
      </c>
      <c r="BV1258" t="s">
        <v>135</v>
      </c>
      <c r="BW1258">
        <v>0</v>
      </c>
      <c r="BX1258">
        <v>0</v>
      </c>
      <c r="BY1258" t="s">
        <v>135</v>
      </c>
      <c r="BZ1258">
        <v>0</v>
      </c>
      <c r="CA1258">
        <v>0</v>
      </c>
      <c r="CB1258" t="s">
        <v>135</v>
      </c>
      <c r="CH1258" s="2"/>
      <c r="CJ1258" s="2"/>
      <c r="CL1258" s="2"/>
      <c r="CN1258" s="2"/>
      <c r="CQ1258" s="2"/>
      <c r="CT1258" s="2"/>
      <c r="CW1258" s="2"/>
    </row>
    <row r="1259" spans="1:101" x14ac:dyDescent="0.25">
      <c r="A1259" s="1" t="s">
        <v>163</v>
      </c>
      <c r="B1259" s="75" t="s">
        <v>164</v>
      </c>
      <c r="C1259">
        <v>0</v>
      </c>
      <c r="D1259">
        <v>0</v>
      </c>
      <c r="E1259">
        <v>0</v>
      </c>
      <c r="F1259">
        <v>604324.56000000006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3.91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7490</v>
      </c>
      <c r="AW1259">
        <v>3350</v>
      </c>
      <c r="AX1259">
        <v>1219</v>
      </c>
      <c r="AY1259">
        <v>12059</v>
      </c>
      <c r="AZ1259">
        <v>4202</v>
      </c>
      <c r="BA1259">
        <v>7438</v>
      </c>
      <c r="BB1259">
        <v>1432</v>
      </c>
      <c r="BC1259">
        <v>13072</v>
      </c>
      <c r="BD1259">
        <v>9486</v>
      </c>
      <c r="BE1259">
        <v>9222</v>
      </c>
      <c r="BF1259">
        <v>1768</v>
      </c>
      <c r="BG1259">
        <v>20476</v>
      </c>
      <c r="BH1259">
        <v>0</v>
      </c>
      <c r="BI1259">
        <v>0</v>
      </c>
      <c r="BJ1259">
        <v>0</v>
      </c>
      <c r="BK1259">
        <v>0</v>
      </c>
      <c r="BL1259" s="2">
        <v>24.82</v>
      </c>
      <c r="BM1259" s="2">
        <v>42005.095138888886</v>
      </c>
      <c r="BN1259" s="2">
        <v>5.4</v>
      </c>
      <c r="BO1259" s="2">
        <v>42005.092361111114</v>
      </c>
      <c r="BP1259" s="2">
        <v>6.92</v>
      </c>
      <c r="BQ1259" s="2">
        <v>42005.092361111114</v>
      </c>
      <c r="BR1259" s="2">
        <v>11.07</v>
      </c>
      <c r="BS1259" s="2">
        <v>42005.092361111114</v>
      </c>
      <c r="BT1259">
        <v>0</v>
      </c>
      <c r="BU1259">
        <v>0</v>
      </c>
      <c r="BV1259" t="s">
        <v>135</v>
      </c>
      <c r="BW1259">
        <v>0</v>
      </c>
      <c r="BX1259">
        <v>0</v>
      </c>
      <c r="BY1259" t="s">
        <v>135</v>
      </c>
      <c r="BZ1259">
        <v>0</v>
      </c>
      <c r="CA1259">
        <v>0</v>
      </c>
      <c r="CB1259" t="s">
        <v>135</v>
      </c>
      <c r="CH1259" s="2"/>
      <c r="CJ1259" s="2"/>
      <c r="CL1259" s="2"/>
      <c r="CN1259" s="2"/>
      <c r="CQ1259" s="2"/>
      <c r="CT1259" s="2"/>
      <c r="CW1259" s="2"/>
    </row>
    <row r="1260" spans="1:101" x14ac:dyDescent="0.25">
      <c r="A1260" s="1" t="s">
        <v>163</v>
      </c>
      <c r="B1260" s="75" t="s">
        <v>164</v>
      </c>
      <c r="C1260">
        <v>0</v>
      </c>
      <c r="D1260">
        <v>0</v>
      </c>
      <c r="E1260">
        <v>0</v>
      </c>
      <c r="F1260">
        <v>604324.56000000006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3.91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7490</v>
      </c>
      <c r="AW1260">
        <v>3350</v>
      </c>
      <c r="AX1260">
        <v>1219</v>
      </c>
      <c r="AY1260">
        <v>12059</v>
      </c>
      <c r="AZ1260">
        <v>4202</v>
      </c>
      <c r="BA1260">
        <v>7438</v>
      </c>
      <c r="BB1260">
        <v>1432</v>
      </c>
      <c r="BC1260">
        <v>13072</v>
      </c>
      <c r="BD1260">
        <v>9486</v>
      </c>
      <c r="BE1260">
        <v>9222</v>
      </c>
      <c r="BF1260">
        <v>1768</v>
      </c>
      <c r="BG1260">
        <v>20476</v>
      </c>
      <c r="BH1260">
        <v>0</v>
      </c>
      <c r="BI1260">
        <v>0</v>
      </c>
      <c r="BJ1260">
        <v>0</v>
      </c>
      <c r="BK1260">
        <v>0</v>
      </c>
      <c r="BL1260" s="2">
        <v>24.82</v>
      </c>
      <c r="BM1260" s="2">
        <v>42005.095138888886</v>
      </c>
      <c r="BN1260" s="2">
        <v>5.4</v>
      </c>
      <c r="BO1260" s="2">
        <v>42005.092361111114</v>
      </c>
      <c r="BP1260" s="2">
        <v>6.92</v>
      </c>
      <c r="BQ1260" s="2">
        <v>42005.092361111114</v>
      </c>
      <c r="BR1260" s="2">
        <v>11.07</v>
      </c>
      <c r="BS1260" s="2">
        <v>42005.092361111114</v>
      </c>
      <c r="BT1260">
        <v>0</v>
      </c>
      <c r="BU1260">
        <v>0</v>
      </c>
      <c r="BV1260" t="s">
        <v>135</v>
      </c>
      <c r="BW1260">
        <v>0</v>
      </c>
      <c r="BX1260">
        <v>0</v>
      </c>
      <c r="BY1260" t="s">
        <v>135</v>
      </c>
      <c r="BZ1260">
        <v>0</v>
      </c>
      <c r="CA1260">
        <v>0</v>
      </c>
      <c r="CB1260" t="s">
        <v>135</v>
      </c>
      <c r="CH1260" s="2"/>
      <c r="CJ1260" s="2"/>
      <c r="CL1260" s="2"/>
      <c r="CN1260" s="2"/>
      <c r="CQ1260" s="2"/>
      <c r="CT1260" s="2"/>
      <c r="CW1260" s="2"/>
    </row>
    <row r="1261" spans="1:101" x14ac:dyDescent="0.25">
      <c r="A1261" s="1" t="s">
        <v>163</v>
      </c>
      <c r="B1261" s="75" t="s">
        <v>164</v>
      </c>
      <c r="C1261">
        <v>0</v>
      </c>
      <c r="D1261">
        <v>0</v>
      </c>
      <c r="E1261">
        <v>0</v>
      </c>
      <c r="F1261">
        <v>604324.56000000006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3.91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7490</v>
      </c>
      <c r="AW1261">
        <v>3350</v>
      </c>
      <c r="AX1261">
        <v>1219</v>
      </c>
      <c r="AY1261">
        <v>12059</v>
      </c>
      <c r="AZ1261">
        <v>4202</v>
      </c>
      <c r="BA1261">
        <v>7438</v>
      </c>
      <c r="BB1261">
        <v>1432</v>
      </c>
      <c r="BC1261">
        <v>13072</v>
      </c>
      <c r="BD1261">
        <v>9486</v>
      </c>
      <c r="BE1261">
        <v>9222</v>
      </c>
      <c r="BF1261">
        <v>1768</v>
      </c>
      <c r="BG1261">
        <v>20476</v>
      </c>
      <c r="BH1261">
        <v>0</v>
      </c>
      <c r="BI1261">
        <v>0</v>
      </c>
      <c r="BJ1261">
        <v>0</v>
      </c>
      <c r="BK1261">
        <v>0</v>
      </c>
      <c r="BL1261" s="2">
        <v>24.82</v>
      </c>
      <c r="BM1261" s="2">
        <v>42005.095138888886</v>
      </c>
      <c r="BN1261" s="2">
        <v>5.4</v>
      </c>
      <c r="BO1261" s="2">
        <v>42005.092361111114</v>
      </c>
      <c r="BP1261" s="2">
        <v>6.92</v>
      </c>
      <c r="BQ1261" s="2">
        <v>42005.092361111114</v>
      </c>
      <c r="BR1261" s="2">
        <v>11.07</v>
      </c>
      <c r="BS1261" s="2">
        <v>42005.092361111114</v>
      </c>
      <c r="BT1261">
        <v>0</v>
      </c>
      <c r="BU1261">
        <v>0</v>
      </c>
      <c r="BV1261" t="s">
        <v>135</v>
      </c>
      <c r="BW1261">
        <v>0</v>
      </c>
      <c r="BX1261">
        <v>0</v>
      </c>
      <c r="BY1261" t="s">
        <v>135</v>
      </c>
      <c r="BZ1261">
        <v>0</v>
      </c>
      <c r="CA1261">
        <v>0</v>
      </c>
      <c r="CB1261" t="s">
        <v>135</v>
      </c>
      <c r="CH1261" s="2"/>
      <c r="CJ1261" s="2"/>
      <c r="CL1261" s="2"/>
      <c r="CN1261" s="2"/>
      <c r="CQ1261" s="2"/>
      <c r="CT1261" s="2"/>
      <c r="CW1261" s="2"/>
    </row>
    <row r="1262" spans="1:101" x14ac:dyDescent="0.25">
      <c r="A1262" s="1" t="s">
        <v>163</v>
      </c>
      <c r="B1262" s="75" t="s">
        <v>164</v>
      </c>
      <c r="C1262">
        <v>0</v>
      </c>
      <c r="D1262">
        <v>0</v>
      </c>
      <c r="E1262">
        <v>0</v>
      </c>
      <c r="F1262">
        <v>604324.56000000006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3.91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7490</v>
      </c>
      <c r="AW1262">
        <v>3350</v>
      </c>
      <c r="AX1262">
        <v>1219</v>
      </c>
      <c r="AY1262">
        <v>12059</v>
      </c>
      <c r="AZ1262">
        <v>4202</v>
      </c>
      <c r="BA1262">
        <v>7438</v>
      </c>
      <c r="BB1262">
        <v>1432</v>
      </c>
      <c r="BC1262">
        <v>13072</v>
      </c>
      <c r="BD1262">
        <v>9486</v>
      </c>
      <c r="BE1262">
        <v>9222</v>
      </c>
      <c r="BF1262">
        <v>1768</v>
      </c>
      <c r="BG1262">
        <v>20476</v>
      </c>
      <c r="BH1262">
        <v>0</v>
      </c>
      <c r="BI1262">
        <v>0</v>
      </c>
      <c r="BJ1262">
        <v>0</v>
      </c>
      <c r="BK1262">
        <v>0</v>
      </c>
      <c r="BL1262" s="2">
        <v>24.82</v>
      </c>
      <c r="BM1262" s="2">
        <v>42005.095138888886</v>
      </c>
      <c r="BN1262" s="2">
        <v>5.4</v>
      </c>
      <c r="BO1262" s="2">
        <v>42005.092361111114</v>
      </c>
      <c r="BP1262" s="2">
        <v>6.92</v>
      </c>
      <c r="BQ1262" s="2">
        <v>42005.092361111114</v>
      </c>
      <c r="BR1262" s="2">
        <v>11.07</v>
      </c>
      <c r="BS1262" s="2">
        <v>42005.092361111114</v>
      </c>
      <c r="BT1262">
        <v>0</v>
      </c>
      <c r="BU1262">
        <v>0</v>
      </c>
      <c r="BV1262" t="s">
        <v>135</v>
      </c>
      <c r="BW1262">
        <v>0</v>
      </c>
      <c r="BX1262">
        <v>0</v>
      </c>
      <c r="BY1262" t="s">
        <v>135</v>
      </c>
      <c r="BZ1262">
        <v>0</v>
      </c>
      <c r="CA1262">
        <v>0</v>
      </c>
      <c r="CB1262" t="s">
        <v>135</v>
      </c>
      <c r="CH1262" s="2"/>
      <c r="CJ1262" s="2"/>
      <c r="CL1262" s="2"/>
      <c r="CN1262" s="2"/>
      <c r="CQ1262" s="2"/>
      <c r="CT1262" s="2"/>
      <c r="CW1262" s="2"/>
    </row>
    <row r="1263" spans="1:101" x14ac:dyDescent="0.25">
      <c r="A1263" s="1" t="s">
        <v>163</v>
      </c>
      <c r="B1263" s="75" t="s">
        <v>164</v>
      </c>
      <c r="C1263">
        <v>0</v>
      </c>
      <c r="D1263">
        <v>0</v>
      </c>
      <c r="E1263">
        <v>0</v>
      </c>
      <c r="F1263">
        <v>604324.56000000006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3.91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7490</v>
      </c>
      <c r="AW1263">
        <v>3350</v>
      </c>
      <c r="AX1263">
        <v>1219</v>
      </c>
      <c r="AY1263">
        <v>12059</v>
      </c>
      <c r="AZ1263">
        <v>4202</v>
      </c>
      <c r="BA1263">
        <v>7438</v>
      </c>
      <c r="BB1263">
        <v>1432</v>
      </c>
      <c r="BC1263">
        <v>13072</v>
      </c>
      <c r="BD1263">
        <v>9486</v>
      </c>
      <c r="BE1263">
        <v>9222</v>
      </c>
      <c r="BF1263">
        <v>1768</v>
      </c>
      <c r="BG1263">
        <v>20476</v>
      </c>
      <c r="BH1263">
        <v>0</v>
      </c>
      <c r="BI1263">
        <v>0</v>
      </c>
      <c r="BJ1263">
        <v>0</v>
      </c>
      <c r="BK1263">
        <v>0</v>
      </c>
      <c r="BL1263" s="2">
        <v>24.82</v>
      </c>
      <c r="BM1263" s="2">
        <v>42005.095138888886</v>
      </c>
      <c r="BN1263" s="2">
        <v>5.4</v>
      </c>
      <c r="BO1263" s="2">
        <v>42005.092361111114</v>
      </c>
      <c r="BP1263" s="2">
        <v>6.92</v>
      </c>
      <c r="BQ1263" s="2">
        <v>42005.092361111114</v>
      </c>
      <c r="BR1263" s="2">
        <v>11.07</v>
      </c>
      <c r="BS1263" s="2">
        <v>42005.092361111114</v>
      </c>
      <c r="BT1263">
        <v>0</v>
      </c>
      <c r="BU1263">
        <v>0</v>
      </c>
      <c r="BV1263" t="s">
        <v>135</v>
      </c>
      <c r="BW1263">
        <v>0</v>
      </c>
      <c r="BX1263">
        <v>0</v>
      </c>
      <c r="BY1263" t="s">
        <v>135</v>
      </c>
      <c r="BZ1263">
        <v>0</v>
      </c>
      <c r="CA1263">
        <v>0</v>
      </c>
      <c r="CB1263" t="s">
        <v>135</v>
      </c>
      <c r="CH1263" s="2"/>
      <c r="CJ1263" s="2"/>
      <c r="CL1263" s="2"/>
      <c r="CN1263" s="2"/>
      <c r="CQ1263" s="2"/>
      <c r="CT1263" s="2"/>
      <c r="CW1263" s="2"/>
    </row>
    <row r="1264" spans="1:101" x14ac:dyDescent="0.25">
      <c r="A1264" s="1" t="s">
        <v>163</v>
      </c>
      <c r="B1264" s="75" t="s">
        <v>164</v>
      </c>
      <c r="C1264">
        <v>0</v>
      </c>
      <c r="D1264">
        <v>0</v>
      </c>
      <c r="E1264">
        <v>0</v>
      </c>
      <c r="F1264">
        <v>604324.56000000006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3.91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7490</v>
      </c>
      <c r="AW1264">
        <v>3350</v>
      </c>
      <c r="AX1264">
        <v>1219</v>
      </c>
      <c r="AY1264">
        <v>12059</v>
      </c>
      <c r="AZ1264">
        <v>4202</v>
      </c>
      <c r="BA1264">
        <v>7438</v>
      </c>
      <c r="BB1264">
        <v>1432</v>
      </c>
      <c r="BC1264">
        <v>13072</v>
      </c>
      <c r="BD1264">
        <v>9486</v>
      </c>
      <c r="BE1264">
        <v>9222</v>
      </c>
      <c r="BF1264">
        <v>1768</v>
      </c>
      <c r="BG1264">
        <v>20476</v>
      </c>
      <c r="BH1264">
        <v>0</v>
      </c>
      <c r="BI1264">
        <v>0</v>
      </c>
      <c r="BJ1264">
        <v>0</v>
      </c>
      <c r="BK1264">
        <v>0</v>
      </c>
      <c r="BL1264" s="2">
        <v>24.82</v>
      </c>
      <c r="BM1264" s="2">
        <v>42005.095138888886</v>
      </c>
      <c r="BN1264" s="2">
        <v>5.4</v>
      </c>
      <c r="BO1264" s="2">
        <v>42005.092361111114</v>
      </c>
      <c r="BP1264" s="2">
        <v>6.92</v>
      </c>
      <c r="BQ1264" s="2">
        <v>42005.092361111114</v>
      </c>
      <c r="BR1264" s="2">
        <v>11.07</v>
      </c>
      <c r="BS1264" s="2">
        <v>42005.092361111114</v>
      </c>
      <c r="BT1264">
        <v>0</v>
      </c>
      <c r="BU1264">
        <v>0</v>
      </c>
      <c r="BV1264" t="s">
        <v>135</v>
      </c>
      <c r="BW1264">
        <v>0</v>
      </c>
      <c r="BX1264">
        <v>0</v>
      </c>
      <c r="BY1264" t="s">
        <v>135</v>
      </c>
      <c r="BZ1264">
        <v>0</v>
      </c>
      <c r="CA1264">
        <v>0</v>
      </c>
      <c r="CB1264" t="s">
        <v>135</v>
      </c>
      <c r="CH1264" s="2"/>
      <c r="CJ1264" s="2"/>
      <c r="CL1264" s="2"/>
      <c r="CN1264" s="2"/>
      <c r="CQ1264" s="2"/>
      <c r="CT1264" s="2"/>
      <c r="CW1264" s="2"/>
    </row>
    <row r="1265" spans="1:101" x14ac:dyDescent="0.25">
      <c r="A1265" s="1" t="s">
        <v>163</v>
      </c>
      <c r="B1265" s="75" t="s">
        <v>164</v>
      </c>
      <c r="C1265">
        <v>0</v>
      </c>
      <c r="D1265">
        <v>0</v>
      </c>
      <c r="E1265">
        <v>0</v>
      </c>
      <c r="F1265">
        <v>604324.56000000006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3.91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7490</v>
      </c>
      <c r="AW1265">
        <v>3350</v>
      </c>
      <c r="AX1265">
        <v>1219</v>
      </c>
      <c r="AY1265">
        <v>12059</v>
      </c>
      <c r="AZ1265">
        <v>4202</v>
      </c>
      <c r="BA1265">
        <v>7438</v>
      </c>
      <c r="BB1265">
        <v>1432</v>
      </c>
      <c r="BC1265">
        <v>13072</v>
      </c>
      <c r="BD1265">
        <v>9486</v>
      </c>
      <c r="BE1265">
        <v>9222</v>
      </c>
      <c r="BF1265">
        <v>1768</v>
      </c>
      <c r="BG1265">
        <v>20476</v>
      </c>
      <c r="BH1265">
        <v>0</v>
      </c>
      <c r="BI1265">
        <v>0</v>
      </c>
      <c r="BJ1265">
        <v>0</v>
      </c>
      <c r="BK1265">
        <v>0</v>
      </c>
      <c r="BL1265" s="2">
        <v>24.82</v>
      </c>
      <c r="BM1265" s="2">
        <v>42005.095138888886</v>
      </c>
      <c r="BN1265" s="2">
        <v>5.4</v>
      </c>
      <c r="BO1265" s="2">
        <v>42005.092361111114</v>
      </c>
      <c r="BP1265" s="2">
        <v>6.92</v>
      </c>
      <c r="BQ1265" s="2">
        <v>42005.092361111114</v>
      </c>
      <c r="BR1265" s="2">
        <v>11.07</v>
      </c>
      <c r="BS1265" s="2">
        <v>42005.092361111114</v>
      </c>
      <c r="BT1265">
        <v>0</v>
      </c>
      <c r="BU1265">
        <v>0</v>
      </c>
      <c r="BV1265" t="s">
        <v>135</v>
      </c>
      <c r="BW1265">
        <v>0</v>
      </c>
      <c r="BX1265">
        <v>0</v>
      </c>
      <c r="BY1265" t="s">
        <v>135</v>
      </c>
      <c r="BZ1265">
        <v>0</v>
      </c>
      <c r="CA1265">
        <v>0</v>
      </c>
      <c r="CB1265" t="s">
        <v>135</v>
      </c>
      <c r="CH1265" s="2"/>
      <c r="CJ1265" s="2"/>
      <c r="CL1265" s="2"/>
      <c r="CN1265" s="2"/>
      <c r="CQ1265" s="2"/>
      <c r="CT1265" s="2"/>
      <c r="CW1265" s="2"/>
    </row>
    <row r="1266" spans="1:101" x14ac:dyDescent="0.25">
      <c r="A1266" s="1" t="s">
        <v>163</v>
      </c>
      <c r="B1266" s="75" t="s">
        <v>164</v>
      </c>
      <c r="C1266">
        <v>0</v>
      </c>
      <c r="D1266">
        <v>0</v>
      </c>
      <c r="E1266">
        <v>0</v>
      </c>
      <c r="F1266">
        <v>604324.56000000006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3.91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7490</v>
      </c>
      <c r="AW1266">
        <v>3350</v>
      </c>
      <c r="AX1266">
        <v>1219</v>
      </c>
      <c r="AY1266">
        <v>12059</v>
      </c>
      <c r="AZ1266">
        <v>4202</v>
      </c>
      <c r="BA1266">
        <v>7438</v>
      </c>
      <c r="BB1266">
        <v>1432</v>
      </c>
      <c r="BC1266">
        <v>13072</v>
      </c>
      <c r="BD1266">
        <v>9486</v>
      </c>
      <c r="BE1266">
        <v>9222</v>
      </c>
      <c r="BF1266">
        <v>1768</v>
      </c>
      <c r="BG1266">
        <v>20476</v>
      </c>
      <c r="BH1266">
        <v>0</v>
      </c>
      <c r="BI1266">
        <v>0</v>
      </c>
      <c r="BJ1266">
        <v>0</v>
      </c>
      <c r="BK1266">
        <v>0</v>
      </c>
      <c r="BL1266" s="2">
        <v>24.82</v>
      </c>
      <c r="BM1266" s="2">
        <v>42005.095138888886</v>
      </c>
      <c r="BN1266" s="2">
        <v>5.4</v>
      </c>
      <c r="BO1266" s="2">
        <v>42005.092361111114</v>
      </c>
      <c r="BP1266" s="2">
        <v>6.92</v>
      </c>
      <c r="BQ1266" s="2">
        <v>42005.092361111114</v>
      </c>
      <c r="BR1266" s="2">
        <v>11.07</v>
      </c>
      <c r="BS1266" s="2">
        <v>42005.092361111114</v>
      </c>
      <c r="BT1266">
        <v>0</v>
      </c>
      <c r="BU1266">
        <v>0</v>
      </c>
      <c r="BV1266" t="s">
        <v>135</v>
      </c>
      <c r="BW1266">
        <v>0</v>
      </c>
      <c r="BX1266">
        <v>0</v>
      </c>
      <c r="BY1266" t="s">
        <v>135</v>
      </c>
      <c r="BZ1266">
        <v>0</v>
      </c>
      <c r="CA1266">
        <v>0</v>
      </c>
      <c r="CB1266" t="s">
        <v>135</v>
      </c>
      <c r="CH1266" s="2"/>
      <c r="CJ1266" s="2"/>
      <c r="CL1266" s="2"/>
      <c r="CN1266" s="2"/>
      <c r="CQ1266" s="2"/>
      <c r="CT1266" s="2"/>
      <c r="CW1266" s="2"/>
    </row>
    <row r="1267" spans="1:101" x14ac:dyDescent="0.25">
      <c r="A1267" s="1" t="s">
        <v>163</v>
      </c>
      <c r="B1267" s="75" t="s">
        <v>164</v>
      </c>
      <c r="C1267">
        <v>0</v>
      </c>
      <c r="D1267">
        <v>0</v>
      </c>
      <c r="E1267">
        <v>0</v>
      </c>
      <c r="F1267">
        <v>604324.56000000006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3.91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7490</v>
      </c>
      <c r="AW1267">
        <v>3350</v>
      </c>
      <c r="AX1267">
        <v>1219</v>
      </c>
      <c r="AY1267">
        <v>12059</v>
      </c>
      <c r="AZ1267">
        <v>4202</v>
      </c>
      <c r="BA1267">
        <v>7438</v>
      </c>
      <c r="BB1267">
        <v>1432</v>
      </c>
      <c r="BC1267">
        <v>13072</v>
      </c>
      <c r="BD1267">
        <v>9486</v>
      </c>
      <c r="BE1267">
        <v>9222</v>
      </c>
      <c r="BF1267">
        <v>1768</v>
      </c>
      <c r="BG1267">
        <v>20476</v>
      </c>
      <c r="BH1267">
        <v>0</v>
      </c>
      <c r="BI1267">
        <v>0</v>
      </c>
      <c r="BJ1267">
        <v>0</v>
      </c>
      <c r="BK1267">
        <v>0</v>
      </c>
      <c r="BL1267" s="2">
        <v>24.82</v>
      </c>
      <c r="BM1267" s="2">
        <v>42005.095138888886</v>
      </c>
      <c r="BN1267" s="2">
        <v>5.4</v>
      </c>
      <c r="BO1267" s="2">
        <v>42005.092361111114</v>
      </c>
      <c r="BP1267" s="2">
        <v>6.92</v>
      </c>
      <c r="BQ1267" s="2">
        <v>42005.092361111114</v>
      </c>
      <c r="BR1267" s="2">
        <v>11.07</v>
      </c>
      <c r="BS1267" s="2">
        <v>42005.092361111114</v>
      </c>
      <c r="BT1267">
        <v>0</v>
      </c>
      <c r="BU1267">
        <v>0</v>
      </c>
      <c r="BV1267" t="s">
        <v>135</v>
      </c>
      <c r="BW1267">
        <v>0</v>
      </c>
      <c r="BX1267">
        <v>0</v>
      </c>
      <c r="BY1267" t="s">
        <v>135</v>
      </c>
      <c r="BZ1267">
        <v>0</v>
      </c>
      <c r="CA1267">
        <v>0</v>
      </c>
      <c r="CB1267" t="s">
        <v>135</v>
      </c>
      <c r="CH1267" s="2"/>
      <c r="CJ1267" s="2"/>
      <c r="CL1267" s="2"/>
      <c r="CN1267" s="2"/>
      <c r="CQ1267" s="2"/>
      <c r="CT1267" s="2"/>
      <c r="CW1267" s="2"/>
    </row>
    <row r="1268" spans="1:101" x14ac:dyDescent="0.25">
      <c r="A1268" s="1" t="s">
        <v>163</v>
      </c>
      <c r="B1268" s="75" t="s">
        <v>164</v>
      </c>
      <c r="C1268">
        <v>0</v>
      </c>
      <c r="D1268">
        <v>0</v>
      </c>
      <c r="E1268">
        <v>0</v>
      </c>
      <c r="F1268">
        <v>604324.56000000006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3.91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7490</v>
      </c>
      <c r="AW1268">
        <v>3350</v>
      </c>
      <c r="AX1268">
        <v>1219</v>
      </c>
      <c r="AY1268">
        <v>12059</v>
      </c>
      <c r="AZ1268">
        <v>4202</v>
      </c>
      <c r="BA1268">
        <v>7438</v>
      </c>
      <c r="BB1268">
        <v>1432</v>
      </c>
      <c r="BC1268">
        <v>13072</v>
      </c>
      <c r="BD1268">
        <v>9486</v>
      </c>
      <c r="BE1268">
        <v>9222</v>
      </c>
      <c r="BF1268">
        <v>1768</v>
      </c>
      <c r="BG1268">
        <v>20476</v>
      </c>
      <c r="BH1268">
        <v>0</v>
      </c>
      <c r="BI1268">
        <v>0</v>
      </c>
      <c r="BJ1268">
        <v>0</v>
      </c>
      <c r="BK1268">
        <v>0</v>
      </c>
      <c r="BL1268" s="2">
        <v>24.82</v>
      </c>
      <c r="BM1268" s="2">
        <v>42005.095138888886</v>
      </c>
      <c r="BN1268" s="2">
        <v>5.4</v>
      </c>
      <c r="BO1268" s="2">
        <v>42005.092361111114</v>
      </c>
      <c r="BP1268" s="2">
        <v>6.92</v>
      </c>
      <c r="BQ1268" s="2">
        <v>42005.092361111114</v>
      </c>
      <c r="BR1268" s="2">
        <v>11.07</v>
      </c>
      <c r="BS1268" s="2">
        <v>42005.092361111114</v>
      </c>
      <c r="BT1268">
        <v>0</v>
      </c>
      <c r="BU1268">
        <v>0</v>
      </c>
      <c r="BV1268" t="s">
        <v>135</v>
      </c>
      <c r="BW1268">
        <v>0</v>
      </c>
      <c r="BX1268">
        <v>0</v>
      </c>
      <c r="BY1268" t="s">
        <v>135</v>
      </c>
      <c r="BZ1268">
        <v>0</v>
      </c>
      <c r="CA1268">
        <v>0</v>
      </c>
      <c r="CB1268" t="s">
        <v>135</v>
      </c>
      <c r="CH1268" s="2"/>
      <c r="CJ1268" s="2"/>
      <c r="CL1268" s="2"/>
      <c r="CN1268" s="2"/>
      <c r="CQ1268" s="2"/>
      <c r="CT1268" s="2"/>
      <c r="CW1268" s="2"/>
    </row>
    <row r="1269" spans="1:101" x14ac:dyDescent="0.25">
      <c r="A1269" s="1" t="s">
        <v>163</v>
      </c>
      <c r="B1269" s="75" t="s">
        <v>164</v>
      </c>
      <c r="C1269">
        <v>0</v>
      </c>
      <c r="D1269">
        <v>0</v>
      </c>
      <c r="E1269">
        <v>0</v>
      </c>
      <c r="F1269">
        <v>604324.56000000006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3.91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7490</v>
      </c>
      <c r="AW1269">
        <v>3350</v>
      </c>
      <c r="AX1269">
        <v>1219</v>
      </c>
      <c r="AY1269">
        <v>12059</v>
      </c>
      <c r="AZ1269">
        <v>4202</v>
      </c>
      <c r="BA1269">
        <v>7438</v>
      </c>
      <c r="BB1269">
        <v>1432</v>
      </c>
      <c r="BC1269">
        <v>13072</v>
      </c>
      <c r="BD1269">
        <v>9486</v>
      </c>
      <c r="BE1269">
        <v>9222</v>
      </c>
      <c r="BF1269">
        <v>1768</v>
      </c>
      <c r="BG1269">
        <v>20476</v>
      </c>
      <c r="BH1269">
        <v>0</v>
      </c>
      <c r="BI1269">
        <v>0</v>
      </c>
      <c r="BJ1269">
        <v>0</v>
      </c>
      <c r="BK1269">
        <v>0</v>
      </c>
      <c r="BL1269" s="2">
        <v>24.82</v>
      </c>
      <c r="BM1269" s="2">
        <v>42005.095138888886</v>
      </c>
      <c r="BN1269" s="2">
        <v>5.4</v>
      </c>
      <c r="BO1269" s="2">
        <v>42005.092361111114</v>
      </c>
      <c r="BP1269" s="2">
        <v>6.92</v>
      </c>
      <c r="BQ1269" s="2">
        <v>42005.092361111114</v>
      </c>
      <c r="BR1269" s="2">
        <v>11.07</v>
      </c>
      <c r="BS1269" s="2">
        <v>42005.092361111114</v>
      </c>
      <c r="BT1269">
        <v>0</v>
      </c>
      <c r="BU1269">
        <v>0</v>
      </c>
      <c r="BV1269" t="s">
        <v>135</v>
      </c>
      <c r="BW1269">
        <v>0</v>
      </c>
      <c r="BX1269">
        <v>0</v>
      </c>
      <c r="BY1269" t="s">
        <v>135</v>
      </c>
      <c r="BZ1269">
        <v>0</v>
      </c>
      <c r="CA1269">
        <v>0</v>
      </c>
      <c r="CB1269" t="s">
        <v>135</v>
      </c>
      <c r="CH1269" s="2"/>
      <c r="CJ1269" s="2"/>
      <c r="CL1269" s="2"/>
      <c r="CN1269" s="2"/>
      <c r="CQ1269" s="2"/>
      <c r="CT1269" s="2"/>
      <c r="CW1269" s="2"/>
    </row>
    <row r="1270" spans="1:101" x14ac:dyDescent="0.25">
      <c r="A1270" s="1" t="s">
        <v>163</v>
      </c>
      <c r="B1270" s="75" t="s">
        <v>164</v>
      </c>
      <c r="C1270">
        <v>0</v>
      </c>
      <c r="D1270">
        <v>0</v>
      </c>
      <c r="E1270">
        <v>0</v>
      </c>
      <c r="F1270">
        <v>604324.56000000006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3.91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7490</v>
      </c>
      <c r="AW1270">
        <v>3350</v>
      </c>
      <c r="AX1270">
        <v>1219</v>
      </c>
      <c r="AY1270">
        <v>12059</v>
      </c>
      <c r="AZ1270">
        <v>4202</v>
      </c>
      <c r="BA1270">
        <v>7438</v>
      </c>
      <c r="BB1270">
        <v>1432</v>
      </c>
      <c r="BC1270">
        <v>13072</v>
      </c>
      <c r="BD1270">
        <v>9486</v>
      </c>
      <c r="BE1270">
        <v>9222</v>
      </c>
      <c r="BF1270">
        <v>1768</v>
      </c>
      <c r="BG1270">
        <v>20476</v>
      </c>
      <c r="BH1270">
        <v>0</v>
      </c>
      <c r="BI1270">
        <v>0</v>
      </c>
      <c r="BJ1270">
        <v>0</v>
      </c>
      <c r="BK1270">
        <v>0</v>
      </c>
      <c r="BL1270" s="2">
        <v>24.82</v>
      </c>
      <c r="BM1270" s="2">
        <v>42005.095138888886</v>
      </c>
      <c r="BN1270" s="2">
        <v>5.4</v>
      </c>
      <c r="BO1270" s="2">
        <v>42005.092361111114</v>
      </c>
      <c r="BP1270" s="2">
        <v>6.92</v>
      </c>
      <c r="BQ1270" s="2">
        <v>42005.092361111114</v>
      </c>
      <c r="BR1270" s="2">
        <v>11.07</v>
      </c>
      <c r="BS1270" s="2">
        <v>42005.092361111114</v>
      </c>
      <c r="BT1270">
        <v>0</v>
      </c>
      <c r="BU1270">
        <v>0</v>
      </c>
      <c r="BV1270" t="s">
        <v>135</v>
      </c>
      <c r="BW1270">
        <v>0</v>
      </c>
      <c r="BX1270">
        <v>0</v>
      </c>
      <c r="BY1270" t="s">
        <v>135</v>
      </c>
      <c r="BZ1270">
        <v>0</v>
      </c>
      <c r="CA1270">
        <v>0</v>
      </c>
      <c r="CB1270" t="s">
        <v>135</v>
      </c>
      <c r="CH1270" s="2"/>
      <c r="CJ1270" s="2"/>
      <c r="CL1270" s="2"/>
      <c r="CN1270" s="2"/>
      <c r="CQ1270" s="2"/>
      <c r="CT1270" s="2"/>
      <c r="CW1270" s="2"/>
    </row>
    <row r="1271" spans="1:101" x14ac:dyDescent="0.25">
      <c r="A1271" s="1" t="s">
        <v>163</v>
      </c>
      <c r="B1271" s="75" t="s">
        <v>164</v>
      </c>
      <c r="C1271">
        <v>0</v>
      </c>
      <c r="D1271">
        <v>0</v>
      </c>
      <c r="E1271">
        <v>0</v>
      </c>
      <c r="F1271">
        <v>604324.56000000006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3.91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7490</v>
      </c>
      <c r="AW1271">
        <v>3350</v>
      </c>
      <c r="AX1271">
        <v>1219</v>
      </c>
      <c r="AY1271">
        <v>12059</v>
      </c>
      <c r="AZ1271">
        <v>4202</v>
      </c>
      <c r="BA1271">
        <v>7438</v>
      </c>
      <c r="BB1271">
        <v>1432</v>
      </c>
      <c r="BC1271">
        <v>13072</v>
      </c>
      <c r="BD1271">
        <v>9486</v>
      </c>
      <c r="BE1271">
        <v>9222</v>
      </c>
      <c r="BF1271">
        <v>1768</v>
      </c>
      <c r="BG1271">
        <v>20476</v>
      </c>
      <c r="BH1271">
        <v>0</v>
      </c>
      <c r="BI1271">
        <v>0</v>
      </c>
      <c r="BJ1271">
        <v>0</v>
      </c>
      <c r="BK1271">
        <v>0</v>
      </c>
      <c r="BL1271" s="2">
        <v>24.82</v>
      </c>
      <c r="BM1271" s="2">
        <v>42005.095138888886</v>
      </c>
      <c r="BN1271" s="2">
        <v>5.4</v>
      </c>
      <c r="BO1271" s="2">
        <v>42005.092361111114</v>
      </c>
      <c r="BP1271" s="2">
        <v>6.92</v>
      </c>
      <c r="BQ1271" s="2">
        <v>42005.092361111114</v>
      </c>
      <c r="BR1271" s="2">
        <v>11.07</v>
      </c>
      <c r="BS1271" s="2">
        <v>42005.092361111114</v>
      </c>
      <c r="BT1271">
        <v>0</v>
      </c>
      <c r="BU1271">
        <v>0</v>
      </c>
      <c r="BV1271" t="s">
        <v>135</v>
      </c>
      <c r="BW1271">
        <v>0</v>
      </c>
      <c r="BX1271">
        <v>0</v>
      </c>
      <c r="BY1271" t="s">
        <v>135</v>
      </c>
      <c r="BZ1271">
        <v>0</v>
      </c>
      <c r="CA1271">
        <v>0</v>
      </c>
      <c r="CB1271" t="s">
        <v>135</v>
      </c>
      <c r="CH1271" s="2"/>
      <c r="CJ1271" s="2"/>
      <c r="CL1271" s="2"/>
      <c r="CN1271" s="2"/>
      <c r="CQ1271" s="2"/>
      <c r="CT1271" s="2"/>
      <c r="CW1271" s="2"/>
    </row>
    <row r="1272" spans="1:101" x14ac:dyDescent="0.25">
      <c r="A1272" s="1" t="s">
        <v>163</v>
      </c>
      <c r="B1272" s="75" t="s">
        <v>164</v>
      </c>
      <c r="C1272">
        <v>0</v>
      </c>
      <c r="D1272">
        <v>0</v>
      </c>
      <c r="E1272">
        <v>0</v>
      </c>
      <c r="F1272">
        <v>604324.56000000006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3.91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7490</v>
      </c>
      <c r="AW1272">
        <v>3350</v>
      </c>
      <c r="AX1272">
        <v>1219</v>
      </c>
      <c r="AY1272">
        <v>12059</v>
      </c>
      <c r="AZ1272">
        <v>4202</v>
      </c>
      <c r="BA1272">
        <v>7438</v>
      </c>
      <c r="BB1272">
        <v>1432</v>
      </c>
      <c r="BC1272">
        <v>13072</v>
      </c>
      <c r="BD1272">
        <v>9486</v>
      </c>
      <c r="BE1272">
        <v>9222</v>
      </c>
      <c r="BF1272">
        <v>1768</v>
      </c>
      <c r="BG1272">
        <v>20476</v>
      </c>
      <c r="BH1272">
        <v>0</v>
      </c>
      <c r="BI1272">
        <v>0</v>
      </c>
      <c r="BJ1272">
        <v>0</v>
      </c>
      <c r="BK1272">
        <v>0</v>
      </c>
      <c r="BL1272" s="2">
        <v>24.82</v>
      </c>
      <c r="BM1272" s="2">
        <v>42005.095138888886</v>
      </c>
      <c r="BN1272" s="2">
        <v>5.4</v>
      </c>
      <c r="BO1272" s="2">
        <v>42005.092361111114</v>
      </c>
      <c r="BP1272" s="2">
        <v>6.92</v>
      </c>
      <c r="BQ1272" s="2">
        <v>42005.092361111114</v>
      </c>
      <c r="BR1272" s="2">
        <v>11.07</v>
      </c>
      <c r="BS1272" s="2">
        <v>42005.092361111114</v>
      </c>
      <c r="BT1272">
        <v>0</v>
      </c>
      <c r="BU1272">
        <v>0</v>
      </c>
      <c r="BV1272" t="s">
        <v>135</v>
      </c>
      <c r="BW1272">
        <v>0</v>
      </c>
      <c r="BX1272">
        <v>0</v>
      </c>
      <c r="BY1272" t="s">
        <v>135</v>
      </c>
      <c r="BZ1272">
        <v>0</v>
      </c>
      <c r="CA1272">
        <v>0</v>
      </c>
      <c r="CB1272" t="s">
        <v>135</v>
      </c>
      <c r="CH1272" s="2"/>
      <c r="CJ1272" s="2"/>
      <c r="CL1272" s="2"/>
      <c r="CN1272" s="2"/>
      <c r="CQ1272" s="2"/>
      <c r="CT1272" s="2"/>
      <c r="CW1272" s="2"/>
    </row>
    <row r="1273" spans="1:101" x14ac:dyDescent="0.25">
      <c r="A1273" s="1" t="s">
        <v>163</v>
      </c>
      <c r="B1273" s="75" t="s">
        <v>164</v>
      </c>
      <c r="C1273">
        <v>0</v>
      </c>
      <c r="D1273">
        <v>0</v>
      </c>
      <c r="E1273">
        <v>0</v>
      </c>
      <c r="F1273">
        <v>604324.56000000006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3.91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7490</v>
      </c>
      <c r="AW1273">
        <v>3350</v>
      </c>
      <c r="AX1273">
        <v>1219</v>
      </c>
      <c r="AY1273">
        <v>12059</v>
      </c>
      <c r="AZ1273">
        <v>4202</v>
      </c>
      <c r="BA1273">
        <v>7438</v>
      </c>
      <c r="BB1273">
        <v>1432</v>
      </c>
      <c r="BC1273">
        <v>13072</v>
      </c>
      <c r="BD1273">
        <v>9486</v>
      </c>
      <c r="BE1273">
        <v>9222</v>
      </c>
      <c r="BF1273">
        <v>1768</v>
      </c>
      <c r="BG1273">
        <v>20476</v>
      </c>
      <c r="BH1273">
        <v>0</v>
      </c>
      <c r="BI1273">
        <v>0</v>
      </c>
      <c r="BJ1273">
        <v>0</v>
      </c>
      <c r="BK1273">
        <v>0</v>
      </c>
      <c r="BL1273" s="2">
        <v>24.82</v>
      </c>
      <c r="BM1273" s="2">
        <v>42005.095138888886</v>
      </c>
      <c r="BN1273" s="2">
        <v>5.4</v>
      </c>
      <c r="BO1273" s="2">
        <v>42005.092361111114</v>
      </c>
      <c r="BP1273" s="2">
        <v>6.92</v>
      </c>
      <c r="BQ1273" s="2">
        <v>42005.092361111114</v>
      </c>
      <c r="BR1273" s="2">
        <v>11.07</v>
      </c>
      <c r="BS1273" s="2">
        <v>42005.092361111114</v>
      </c>
      <c r="BT1273">
        <v>0</v>
      </c>
      <c r="BU1273">
        <v>0</v>
      </c>
      <c r="BV1273" t="s">
        <v>135</v>
      </c>
      <c r="BW1273">
        <v>0</v>
      </c>
      <c r="BX1273">
        <v>0</v>
      </c>
      <c r="BY1273" t="s">
        <v>135</v>
      </c>
      <c r="BZ1273">
        <v>0</v>
      </c>
      <c r="CA1273">
        <v>0</v>
      </c>
      <c r="CB1273" t="s">
        <v>135</v>
      </c>
      <c r="CH1273" s="2"/>
      <c r="CJ1273" s="2"/>
      <c r="CL1273" s="2"/>
      <c r="CN1273" s="2"/>
      <c r="CQ1273" s="2"/>
      <c r="CT1273" s="2"/>
      <c r="CW1273" s="2"/>
    </row>
    <row r="1274" spans="1:101" x14ac:dyDescent="0.25">
      <c r="A1274" s="1" t="s">
        <v>163</v>
      </c>
      <c r="B1274" s="75" t="s">
        <v>164</v>
      </c>
      <c r="C1274">
        <v>0</v>
      </c>
      <c r="D1274">
        <v>0</v>
      </c>
      <c r="E1274">
        <v>0</v>
      </c>
      <c r="F1274">
        <v>604324.56000000006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3.91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7490</v>
      </c>
      <c r="AW1274">
        <v>3350</v>
      </c>
      <c r="AX1274">
        <v>1219</v>
      </c>
      <c r="AY1274">
        <v>12059</v>
      </c>
      <c r="AZ1274">
        <v>4202</v>
      </c>
      <c r="BA1274">
        <v>7438</v>
      </c>
      <c r="BB1274">
        <v>1432</v>
      </c>
      <c r="BC1274">
        <v>13072</v>
      </c>
      <c r="BD1274">
        <v>9486</v>
      </c>
      <c r="BE1274">
        <v>9222</v>
      </c>
      <c r="BF1274">
        <v>1768</v>
      </c>
      <c r="BG1274">
        <v>20476</v>
      </c>
      <c r="BH1274">
        <v>0</v>
      </c>
      <c r="BI1274">
        <v>0</v>
      </c>
      <c r="BJ1274">
        <v>0</v>
      </c>
      <c r="BK1274">
        <v>0</v>
      </c>
      <c r="BL1274" s="2">
        <v>24.82</v>
      </c>
      <c r="BM1274" s="2">
        <v>42005.095138888886</v>
      </c>
      <c r="BN1274" s="2">
        <v>5.4</v>
      </c>
      <c r="BO1274" s="2">
        <v>42005.092361111114</v>
      </c>
      <c r="BP1274" s="2">
        <v>6.92</v>
      </c>
      <c r="BQ1274" s="2">
        <v>42005.092361111114</v>
      </c>
      <c r="BR1274" s="2">
        <v>11.07</v>
      </c>
      <c r="BS1274" s="2">
        <v>42005.092361111114</v>
      </c>
      <c r="BT1274">
        <v>0</v>
      </c>
      <c r="BU1274">
        <v>0</v>
      </c>
      <c r="BV1274" t="s">
        <v>135</v>
      </c>
      <c r="BW1274">
        <v>0</v>
      </c>
      <c r="BX1274">
        <v>0</v>
      </c>
      <c r="BY1274" t="s">
        <v>135</v>
      </c>
      <c r="BZ1274">
        <v>0</v>
      </c>
      <c r="CA1274">
        <v>0</v>
      </c>
      <c r="CB1274" t="s">
        <v>135</v>
      </c>
      <c r="CH1274" s="2"/>
      <c r="CJ1274" s="2"/>
      <c r="CL1274" s="2"/>
      <c r="CN1274" s="2"/>
      <c r="CQ1274" s="2"/>
      <c r="CT1274" s="2"/>
      <c r="CW1274" s="2"/>
    </row>
    <row r="1275" spans="1:101" x14ac:dyDescent="0.25">
      <c r="A1275" s="1" t="s">
        <v>163</v>
      </c>
      <c r="B1275" s="75" t="s">
        <v>164</v>
      </c>
      <c r="C1275">
        <v>0</v>
      </c>
      <c r="D1275">
        <v>0</v>
      </c>
      <c r="E1275">
        <v>0</v>
      </c>
      <c r="F1275">
        <v>604324.56000000006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3.91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7490</v>
      </c>
      <c r="AW1275">
        <v>3350</v>
      </c>
      <c r="AX1275">
        <v>1219</v>
      </c>
      <c r="AY1275">
        <v>12059</v>
      </c>
      <c r="AZ1275">
        <v>4202</v>
      </c>
      <c r="BA1275">
        <v>7438</v>
      </c>
      <c r="BB1275">
        <v>1432</v>
      </c>
      <c r="BC1275">
        <v>13072</v>
      </c>
      <c r="BD1275">
        <v>9486</v>
      </c>
      <c r="BE1275">
        <v>9222</v>
      </c>
      <c r="BF1275">
        <v>1768</v>
      </c>
      <c r="BG1275">
        <v>20476</v>
      </c>
      <c r="BH1275">
        <v>0</v>
      </c>
      <c r="BI1275">
        <v>0</v>
      </c>
      <c r="BJ1275">
        <v>0</v>
      </c>
      <c r="BK1275">
        <v>0</v>
      </c>
      <c r="BL1275" s="2">
        <v>24.82</v>
      </c>
      <c r="BM1275" s="2">
        <v>42005.095138888886</v>
      </c>
      <c r="BN1275" s="2">
        <v>5.4</v>
      </c>
      <c r="BO1275" s="2">
        <v>42005.092361111114</v>
      </c>
      <c r="BP1275" s="2">
        <v>6.92</v>
      </c>
      <c r="BQ1275" s="2">
        <v>42005.092361111114</v>
      </c>
      <c r="BR1275" s="2">
        <v>11.07</v>
      </c>
      <c r="BS1275" s="2">
        <v>42005.092361111114</v>
      </c>
      <c r="BT1275">
        <v>0</v>
      </c>
      <c r="BU1275">
        <v>0</v>
      </c>
      <c r="BV1275" t="s">
        <v>135</v>
      </c>
      <c r="BW1275">
        <v>0</v>
      </c>
      <c r="BX1275">
        <v>0</v>
      </c>
      <c r="BY1275" t="s">
        <v>135</v>
      </c>
      <c r="BZ1275">
        <v>0</v>
      </c>
      <c r="CA1275">
        <v>0</v>
      </c>
      <c r="CB1275" t="s">
        <v>135</v>
      </c>
      <c r="CH1275" s="2"/>
      <c r="CJ1275" s="2"/>
      <c r="CL1275" s="2"/>
      <c r="CN1275" s="2"/>
      <c r="CQ1275" s="2"/>
      <c r="CT1275" s="2"/>
      <c r="CW1275" s="2"/>
    </row>
    <row r="1276" spans="1:101" x14ac:dyDescent="0.25">
      <c r="A1276" s="1" t="s">
        <v>163</v>
      </c>
      <c r="B1276" s="75" t="s">
        <v>164</v>
      </c>
      <c r="C1276">
        <v>0</v>
      </c>
      <c r="D1276">
        <v>0</v>
      </c>
      <c r="E1276">
        <v>0</v>
      </c>
      <c r="F1276">
        <v>604324.56000000006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3.91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7490</v>
      </c>
      <c r="AW1276">
        <v>3350</v>
      </c>
      <c r="AX1276">
        <v>1219</v>
      </c>
      <c r="AY1276">
        <v>12059</v>
      </c>
      <c r="AZ1276">
        <v>4202</v>
      </c>
      <c r="BA1276">
        <v>7438</v>
      </c>
      <c r="BB1276">
        <v>1432</v>
      </c>
      <c r="BC1276">
        <v>13072</v>
      </c>
      <c r="BD1276">
        <v>9486</v>
      </c>
      <c r="BE1276">
        <v>9222</v>
      </c>
      <c r="BF1276">
        <v>1768</v>
      </c>
      <c r="BG1276">
        <v>20476</v>
      </c>
      <c r="BH1276">
        <v>0</v>
      </c>
      <c r="BI1276">
        <v>0</v>
      </c>
      <c r="BJ1276">
        <v>0</v>
      </c>
      <c r="BK1276">
        <v>0</v>
      </c>
      <c r="BL1276" s="2">
        <v>24.82</v>
      </c>
      <c r="BM1276" s="2">
        <v>42005.095138888886</v>
      </c>
      <c r="BN1276" s="2">
        <v>5.4</v>
      </c>
      <c r="BO1276" s="2">
        <v>42005.092361111114</v>
      </c>
      <c r="BP1276" s="2">
        <v>6.92</v>
      </c>
      <c r="BQ1276" s="2">
        <v>42005.092361111114</v>
      </c>
      <c r="BR1276" s="2">
        <v>11.07</v>
      </c>
      <c r="BS1276" s="2">
        <v>42005.092361111114</v>
      </c>
      <c r="BT1276">
        <v>0</v>
      </c>
      <c r="BU1276">
        <v>0</v>
      </c>
      <c r="BV1276" t="s">
        <v>135</v>
      </c>
      <c r="BW1276">
        <v>0</v>
      </c>
      <c r="BX1276">
        <v>0</v>
      </c>
      <c r="BY1276" t="s">
        <v>135</v>
      </c>
      <c r="BZ1276">
        <v>0</v>
      </c>
      <c r="CA1276">
        <v>0</v>
      </c>
      <c r="CB1276" t="s">
        <v>135</v>
      </c>
      <c r="CH1276" s="2"/>
      <c r="CJ1276" s="2"/>
      <c r="CL1276" s="2"/>
      <c r="CN1276" s="2"/>
      <c r="CQ1276" s="2"/>
      <c r="CT1276" s="2"/>
      <c r="CW1276" s="2"/>
    </row>
    <row r="1277" spans="1:101" x14ac:dyDescent="0.25">
      <c r="A1277" s="1" t="s">
        <v>163</v>
      </c>
      <c r="B1277" s="75" t="s">
        <v>164</v>
      </c>
      <c r="C1277">
        <v>0</v>
      </c>
      <c r="D1277">
        <v>0</v>
      </c>
      <c r="E1277">
        <v>0</v>
      </c>
      <c r="F1277">
        <v>604324.56000000006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3.91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7490</v>
      </c>
      <c r="AW1277">
        <v>3350</v>
      </c>
      <c r="AX1277">
        <v>1219</v>
      </c>
      <c r="AY1277">
        <v>12059</v>
      </c>
      <c r="AZ1277">
        <v>4202</v>
      </c>
      <c r="BA1277">
        <v>7438</v>
      </c>
      <c r="BB1277">
        <v>1432</v>
      </c>
      <c r="BC1277">
        <v>13072</v>
      </c>
      <c r="BD1277">
        <v>9486</v>
      </c>
      <c r="BE1277">
        <v>9222</v>
      </c>
      <c r="BF1277">
        <v>1768</v>
      </c>
      <c r="BG1277">
        <v>20476</v>
      </c>
      <c r="BH1277">
        <v>0</v>
      </c>
      <c r="BI1277">
        <v>0</v>
      </c>
      <c r="BJ1277">
        <v>0</v>
      </c>
      <c r="BK1277">
        <v>0</v>
      </c>
      <c r="BL1277" s="2">
        <v>24.82</v>
      </c>
      <c r="BM1277" s="2">
        <v>42005.095138888886</v>
      </c>
      <c r="BN1277" s="2">
        <v>5.4</v>
      </c>
      <c r="BO1277" s="2">
        <v>42005.092361111114</v>
      </c>
      <c r="BP1277" s="2">
        <v>6.92</v>
      </c>
      <c r="BQ1277" s="2">
        <v>42005.092361111114</v>
      </c>
      <c r="BR1277" s="2">
        <v>11.07</v>
      </c>
      <c r="BS1277" s="2">
        <v>42005.092361111114</v>
      </c>
      <c r="BT1277">
        <v>0</v>
      </c>
      <c r="BU1277">
        <v>0</v>
      </c>
      <c r="BV1277" t="s">
        <v>135</v>
      </c>
      <c r="BW1277">
        <v>0</v>
      </c>
      <c r="BX1277">
        <v>0</v>
      </c>
      <c r="BY1277" t="s">
        <v>135</v>
      </c>
      <c r="BZ1277">
        <v>0</v>
      </c>
      <c r="CA1277">
        <v>0</v>
      </c>
      <c r="CB1277" t="s">
        <v>135</v>
      </c>
      <c r="CH1277" s="2"/>
      <c r="CJ1277" s="2"/>
      <c r="CL1277" s="2"/>
      <c r="CN1277" s="2"/>
      <c r="CQ1277" s="2"/>
      <c r="CT1277" s="2"/>
      <c r="CW1277" s="2"/>
    </row>
    <row r="1278" spans="1:101" x14ac:dyDescent="0.25">
      <c r="A1278" s="1" t="s">
        <v>163</v>
      </c>
      <c r="B1278" s="75" t="s">
        <v>164</v>
      </c>
      <c r="C1278">
        <v>0</v>
      </c>
      <c r="D1278">
        <v>0</v>
      </c>
      <c r="E1278">
        <v>0</v>
      </c>
      <c r="F1278">
        <v>604324.56000000006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3.91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7490</v>
      </c>
      <c r="AW1278">
        <v>3350</v>
      </c>
      <c r="AX1278">
        <v>1219</v>
      </c>
      <c r="AY1278">
        <v>12059</v>
      </c>
      <c r="AZ1278">
        <v>4202</v>
      </c>
      <c r="BA1278">
        <v>7438</v>
      </c>
      <c r="BB1278">
        <v>1432</v>
      </c>
      <c r="BC1278">
        <v>13072</v>
      </c>
      <c r="BD1278">
        <v>9486</v>
      </c>
      <c r="BE1278">
        <v>9222</v>
      </c>
      <c r="BF1278">
        <v>1768</v>
      </c>
      <c r="BG1278">
        <v>20476</v>
      </c>
      <c r="BH1278">
        <v>0</v>
      </c>
      <c r="BI1278">
        <v>0</v>
      </c>
      <c r="BJ1278">
        <v>0</v>
      </c>
      <c r="BK1278">
        <v>0</v>
      </c>
      <c r="BL1278" s="2">
        <v>24.82</v>
      </c>
      <c r="BM1278" s="2">
        <v>42005.095138888886</v>
      </c>
      <c r="BN1278" s="2">
        <v>5.4</v>
      </c>
      <c r="BO1278" s="2">
        <v>42005.092361111114</v>
      </c>
      <c r="BP1278" s="2">
        <v>6.92</v>
      </c>
      <c r="BQ1278" s="2">
        <v>42005.092361111114</v>
      </c>
      <c r="BR1278" s="2">
        <v>11.07</v>
      </c>
      <c r="BS1278" s="2">
        <v>42005.092361111114</v>
      </c>
      <c r="BT1278">
        <v>0</v>
      </c>
      <c r="BU1278">
        <v>0</v>
      </c>
      <c r="BV1278" t="s">
        <v>135</v>
      </c>
      <c r="BW1278">
        <v>0</v>
      </c>
      <c r="BX1278">
        <v>0</v>
      </c>
      <c r="BY1278" t="s">
        <v>135</v>
      </c>
      <c r="BZ1278">
        <v>0</v>
      </c>
      <c r="CA1278">
        <v>0</v>
      </c>
      <c r="CB1278" t="s">
        <v>135</v>
      </c>
      <c r="CH1278" s="2"/>
      <c r="CJ1278" s="2"/>
      <c r="CL1278" s="2"/>
      <c r="CN1278" s="2"/>
      <c r="CQ1278" s="2"/>
      <c r="CT1278" s="2"/>
      <c r="CW1278" s="2"/>
    </row>
    <row r="1279" spans="1:101" x14ac:dyDescent="0.25">
      <c r="A1279" s="1" t="s">
        <v>163</v>
      </c>
      <c r="B1279" s="75" t="s">
        <v>164</v>
      </c>
      <c r="C1279">
        <v>0</v>
      </c>
      <c r="D1279">
        <v>0</v>
      </c>
      <c r="E1279">
        <v>0</v>
      </c>
      <c r="F1279">
        <v>604324.56000000006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3.91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7490</v>
      </c>
      <c r="AW1279">
        <v>3350</v>
      </c>
      <c r="AX1279">
        <v>1219</v>
      </c>
      <c r="AY1279">
        <v>12059</v>
      </c>
      <c r="AZ1279">
        <v>4202</v>
      </c>
      <c r="BA1279">
        <v>7438</v>
      </c>
      <c r="BB1279">
        <v>1432</v>
      </c>
      <c r="BC1279">
        <v>13072</v>
      </c>
      <c r="BD1279">
        <v>9486</v>
      </c>
      <c r="BE1279">
        <v>9222</v>
      </c>
      <c r="BF1279">
        <v>1768</v>
      </c>
      <c r="BG1279">
        <v>20476</v>
      </c>
      <c r="BH1279">
        <v>0</v>
      </c>
      <c r="BI1279">
        <v>0</v>
      </c>
      <c r="BJ1279">
        <v>0</v>
      </c>
      <c r="BK1279">
        <v>0</v>
      </c>
      <c r="BL1279" s="2">
        <v>24.82</v>
      </c>
      <c r="BM1279" s="2">
        <v>42005.095138888886</v>
      </c>
      <c r="BN1279" s="2">
        <v>5.4</v>
      </c>
      <c r="BO1279" s="2">
        <v>42005.092361111114</v>
      </c>
      <c r="BP1279" s="2">
        <v>6.92</v>
      </c>
      <c r="BQ1279" s="2">
        <v>42005.092361111114</v>
      </c>
      <c r="BR1279" s="2">
        <v>11.07</v>
      </c>
      <c r="BS1279" s="2">
        <v>42005.092361111114</v>
      </c>
      <c r="BT1279">
        <v>0</v>
      </c>
      <c r="BU1279">
        <v>0</v>
      </c>
      <c r="BV1279" t="s">
        <v>135</v>
      </c>
      <c r="BW1279">
        <v>0</v>
      </c>
      <c r="BX1279">
        <v>0</v>
      </c>
      <c r="BY1279" t="s">
        <v>135</v>
      </c>
      <c r="BZ1279">
        <v>0</v>
      </c>
      <c r="CA1279">
        <v>0</v>
      </c>
      <c r="CB1279" t="s">
        <v>135</v>
      </c>
      <c r="CH1279" s="2"/>
      <c r="CJ1279" s="2"/>
      <c r="CL1279" s="2"/>
      <c r="CN1279" s="2"/>
      <c r="CQ1279" s="2"/>
      <c r="CT1279" s="2"/>
      <c r="CW1279" s="2"/>
    </row>
    <row r="1280" spans="1:101" x14ac:dyDescent="0.25">
      <c r="A1280" s="1" t="s">
        <v>163</v>
      </c>
      <c r="B1280" s="75" t="s">
        <v>164</v>
      </c>
      <c r="C1280">
        <v>0</v>
      </c>
      <c r="D1280">
        <v>0</v>
      </c>
      <c r="E1280">
        <v>0</v>
      </c>
      <c r="F1280">
        <v>604324.56000000006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3.91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7490</v>
      </c>
      <c r="AW1280">
        <v>3350</v>
      </c>
      <c r="AX1280">
        <v>1219</v>
      </c>
      <c r="AY1280">
        <v>12059</v>
      </c>
      <c r="AZ1280">
        <v>4202</v>
      </c>
      <c r="BA1280">
        <v>7438</v>
      </c>
      <c r="BB1280">
        <v>1432</v>
      </c>
      <c r="BC1280">
        <v>13072</v>
      </c>
      <c r="BD1280">
        <v>9486</v>
      </c>
      <c r="BE1280">
        <v>9222</v>
      </c>
      <c r="BF1280">
        <v>1768</v>
      </c>
      <c r="BG1280">
        <v>20476</v>
      </c>
      <c r="BH1280">
        <v>0</v>
      </c>
      <c r="BI1280">
        <v>0</v>
      </c>
      <c r="BJ1280">
        <v>0</v>
      </c>
      <c r="BK1280">
        <v>0</v>
      </c>
      <c r="BL1280" s="2">
        <v>24.82</v>
      </c>
      <c r="BM1280" s="2">
        <v>42005.095138888886</v>
      </c>
      <c r="BN1280" s="2">
        <v>5.4</v>
      </c>
      <c r="BO1280" s="2">
        <v>42005.092361111114</v>
      </c>
      <c r="BP1280" s="2">
        <v>6.92</v>
      </c>
      <c r="BQ1280" s="2">
        <v>42005.092361111114</v>
      </c>
      <c r="BR1280" s="2">
        <v>11.07</v>
      </c>
      <c r="BS1280" s="2">
        <v>42005.092361111114</v>
      </c>
      <c r="BT1280">
        <v>0</v>
      </c>
      <c r="BU1280">
        <v>0</v>
      </c>
      <c r="BV1280" t="s">
        <v>135</v>
      </c>
      <c r="BW1280">
        <v>0</v>
      </c>
      <c r="BX1280">
        <v>0</v>
      </c>
      <c r="BY1280" t="s">
        <v>135</v>
      </c>
      <c r="BZ1280">
        <v>0</v>
      </c>
      <c r="CA1280">
        <v>0</v>
      </c>
      <c r="CB1280" t="s">
        <v>135</v>
      </c>
      <c r="CH1280" s="2"/>
      <c r="CJ1280" s="2"/>
      <c r="CL1280" s="2"/>
      <c r="CN1280" s="2"/>
      <c r="CQ1280" s="2"/>
      <c r="CT1280" s="2"/>
      <c r="CW1280" s="2"/>
    </row>
    <row r="1281" spans="1:101" x14ac:dyDescent="0.25">
      <c r="A1281" s="1" t="s">
        <v>163</v>
      </c>
      <c r="B1281" s="75" t="s">
        <v>164</v>
      </c>
      <c r="C1281">
        <v>0</v>
      </c>
      <c r="D1281">
        <v>0</v>
      </c>
      <c r="E1281">
        <v>0</v>
      </c>
      <c r="F1281">
        <v>604324.56000000006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3.91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7490</v>
      </c>
      <c r="AW1281">
        <v>3350</v>
      </c>
      <c r="AX1281">
        <v>1219</v>
      </c>
      <c r="AY1281">
        <v>12059</v>
      </c>
      <c r="AZ1281">
        <v>4202</v>
      </c>
      <c r="BA1281">
        <v>7438</v>
      </c>
      <c r="BB1281">
        <v>1432</v>
      </c>
      <c r="BC1281">
        <v>13072</v>
      </c>
      <c r="BD1281">
        <v>9486</v>
      </c>
      <c r="BE1281">
        <v>9222</v>
      </c>
      <c r="BF1281">
        <v>1768</v>
      </c>
      <c r="BG1281">
        <v>20476</v>
      </c>
      <c r="BH1281">
        <v>0</v>
      </c>
      <c r="BI1281">
        <v>0</v>
      </c>
      <c r="BJ1281">
        <v>0</v>
      </c>
      <c r="BK1281">
        <v>0</v>
      </c>
      <c r="BL1281" s="2">
        <v>24.82</v>
      </c>
      <c r="BM1281" s="2">
        <v>42005.095138888886</v>
      </c>
      <c r="BN1281" s="2">
        <v>5.4</v>
      </c>
      <c r="BO1281" s="2">
        <v>42005.092361111114</v>
      </c>
      <c r="BP1281" s="2">
        <v>6.92</v>
      </c>
      <c r="BQ1281" s="2">
        <v>42005.092361111114</v>
      </c>
      <c r="BR1281" s="2">
        <v>11.07</v>
      </c>
      <c r="BS1281" s="2">
        <v>42005.092361111114</v>
      </c>
      <c r="BT1281">
        <v>0</v>
      </c>
      <c r="BU1281">
        <v>0</v>
      </c>
      <c r="BV1281" t="s">
        <v>135</v>
      </c>
      <c r="BW1281">
        <v>0</v>
      </c>
      <c r="BX1281">
        <v>0</v>
      </c>
      <c r="BY1281" t="s">
        <v>135</v>
      </c>
      <c r="BZ1281">
        <v>0</v>
      </c>
      <c r="CA1281">
        <v>0</v>
      </c>
      <c r="CB1281" t="s">
        <v>135</v>
      </c>
      <c r="CH1281" s="2"/>
      <c r="CJ1281" s="2"/>
      <c r="CL1281" s="2"/>
      <c r="CN1281" s="2"/>
      <c r="CQ1281" s="2"/>
      <c r="CT1281" s="2"/>
      <c r="CW1281" s="2"/>
    </row>
    <row r="1282" spans="1:101" x14ac:dyDescent="0.25">
      <c r="A1282" s="1" t="s">
        <v>163</v>
      </c>
      <c r="B1282" s="75" t="s">
        <v>164</v>
      </c>
      <c r="C1282">
        <v>0</v>
      </c>
      <c r="D1282">
        <v>0</v>
      </c>
      <c r="E1282">
        <v>0</v>
      </c>
      <c r="F1282">
        <v>604324.56000000006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3.91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7490</v>
      </c>
      <c r="AW1282">
        <v>3350</v>
      </c>
      <c r="AX1282">
        <v>1219</v>
      </c>
      <c r="AY1282">
        <v>12059</v>
      </c>
      <c r="AZ1282">
        <v>4202</v>
      </c>
      <c r="BA1282">
        <v>7438</v>
      </c>
      <c r="BB1282">
        <v>1432</v>
      </c>
      <c r="BC1282">
        <v>13072</v>
      </c>
      <c r="BD1282">
        <v>9486</v>
      </c>
      <c r="BE1282">
        <v>9222</v>
      </c>
      <c r="BF1282">
        <v>1768</v>
      </c>
      <c r="BG1282">
        <v>20476</v>
      </c>
      <c r="BH1282">
        <v>0</v>
      </c>
      <c r="BI1282">
        <v>0</v>
      </c>
      <c r="BJ1282">
        <v>0</v>
      </c>
      <c r="BK1282">
        <v>0</v>
      </c>
      <c r="BL1282" s="2">
        <v>24.82</v>
      </c>
      <c r="BM1282" s="2">
        <v>42005.095138888886</v>
      </c>
      <c r="BN1282" s="2">
        <v>5.4</v>
      </c>
      <c r="BO1282" s="2">
        <v>42005.092361111114</v>
      </c>
      <c r="BP1282" s="2">
        <v>6.92</v>
      </c>
      <c r="BQ1282" s="2">
        <v>42005.092361111114</v>
      </c>
      <c r="BR1282" s="2">
        <v>11.07</v>
      </c>
      <c r="BS1282" s="2">
        <v>42005.092361111114</v>
      </c>
      <c r="BT1282">
        <v>0</v>
      </c>
      <c r="BU1282">
        <v>0</v>
      </c>
      <c r="BV1282" t="s">
        <v>135</v>
      </c>
      <c r="BW1282">
        <v>0</v>
      </c>
      <c r="BX1282">
        <v>0</v>
      </c>
      <c r="BY1282" t="s">
        <v>135</v>
      </c>
      <c r="BZ1282">
        <v>0</v>
      </c>
      <c r="CA1282">
        <v>0</v>
      </c>
      <c r="CB1282" t="s">
        <v>135</v>
      </c>
      <c r="CH1282" s="2"/>
      <c r="CJ1282" s="2"/>
      <c r="CL1282" s="2"/>
      <c r="CN1282" s="2"/>
      <c r="CQ1282" s="2"/>
      <c r="CT1282" s="2"/>
      <c r="CW1282" s="2"/>
    </row>
    <row r="1283" spans="1:101" x14ac:dyDescent="0.25">
      <c r="A1283" s="1" t="s">
        <v>163</v>
      </c>
      <c r="B1283" s="75" t="s">
        <v>164</v>
      </c>
      <c r="C1283">
        <v>0</v>
      </c>
      <c r="D1283">
        <v>0</v>
      </c>
      <c r="E1283">
        <v>0</v>
      </c>
      <c r="F1283">
        <v>604324.56000000006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3.91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7490</v>
      </c>
      <c r="AW1283">
        <v>3350</v>
      </c>
      <c r="AX1283">
        <v>1219</v>
      </c>
      <c r="AY1283">
        <v>12059</v>
      </c>
      <c r="AZ1283">
        <v>4202</v>
      </c>
      <c r="BA1283">
        <v>7438</v>
      </c>
      <c r="BB1283">
        <v>1432</v>
      </c>
      <c r="BC1283">
        <v>13072</v>
      </c>
      <c r="BD1283">
        <v>9486</v>
      </c>
      <c r="BE1283">
        <v>9222</v>
      </c>
      <c r="BF1283">
        <v>1768</v>
      </c>
      <c r="BG1283">
        <v>20476</v>
      </c>
      <c r="BH1283">
        <v>0</v>
      </c>
      <c r="BI1283">
        <v>0</v>
      </c>
      <c r="BJ1283">
        <v>0</v>
      </c>
      <c r="BK1283">
        <v>0</v>
      </c>
      <c r="BL1283" s="2">
        <v>24.82</v>
      </c>
      <c r="BM1283" s="2">
        <v>42005.095138888886</v>
      </c>
      <c r="BN1283" s="2">
        <v>5.4</v>
      </c>
      <c r="BO1283" s="2">
        <v>42005.092361111114</v>
      </c>
      <c r="BP1283" s="2">
        <v>6.92</v>
      </c>
      <c r="BQ1283" s="2">
        <v>42005.092361111114</v>
      </c>
      <c r="BR1283" s="2">
        <v>11.07</v>
      </c>
      <c r="BS1283" s="2">
        <v>42005.092361111114</v>
      </c>
      <c r="BT1283">
        <v>0</v>
      </c>
      <c r="BU1283">
        <v>0</v>
      </c>
      <c r="BV1283" t="s">
        <v>135</v>
      </c>
      <c r="BW1283">
        <v>0</v>
      </c>
      <c r="BX1283">
        <v>0</v>
      </c>
      <c r="BY1283" t="s">
        <v>135</v>
      </c>
      <c r="BZ1283">
        <v>0</v>
      </c>
      <c r="CA1283">
        <v>0</v>
      </c>
      <c r="CB1283" t="s">
        <v>135</v>
      </c>
      <c r="CH1283" s="2"/>
      <c r="CJ1283" s="2"/>
      <c r="CL1283" s="2"/>
      <c r="CN1283" s="2"/>
      <c r="CQ1283" s="2"/>
      <c r="CT1283" s="2"/>
      <c r="CW1283" s="2"/>
    </row>
    <row r="1284" spans="1:101" x14ac:dyDescent="0.25">
      <c r="A1284" s="1" t="s">
        <v>163</v>
      </c>
      <c r="B1284" s="75" t="s">
        <v>164</v>
      </c>
      <c r="C1284">
        <v>0</v>
      </c>
      <c r="D1284">
        <v>0</v>
      </c>
      <c r="E1284">
        <v>0</v>
      </c>
      <c r="F1284">
        <v>604324.56000000006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3.91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7490</v>
      </c>
      <c r="AW1284">
        <v>3350</v>
      </c>
      <c r="AX1284">
        <v>1219</v>
      </c>
      <c r="AY1284">
        <v>12059</v>
      </c>
      <c r="AZ1284">
        <v>4202</v>
      </c>
      <c r="BA1284">
        <v>7438</v>
      </c>
      <c r="BB1284">
        <v>1432</v>
      </c>
      <c r="BC1284">
        <v>13072</v>
      </c>
      <c r="BD1284">
        <v>9486</v>
      </c>
      <c r="BE1284">
        <v>9222</v>
      </c>
      <c r="BF1284">
        <v>1768</v>
      </c>
      <c r="BG1284">
        <v>20476</v>
      </c>
      <c r="BH1284">
        <v>0</v>
      </c>
      <c r="BI1284">
        <v>0</v>
      </c>
      <c r="BJ1284">
        <v>0</v>
      </c>
      <c r="BK1284">
        <v>0</v>
      </c>
      <c r="BL1284" s="2">
        <v>24.82</v>
      </c>
      <c r="BM1284" s="2">
        <v>42005.095138888886</v>
      </c>
      <c r="BN1284" s="2">
        <v>5.4</v>
      </c>
      <c r="BO1284" s="2">
        <v>42005.092361111114</v>
      </c>
      <c r="BP1284" s="2">
        <v>6.92</v>
      </c>
      <c r="BQ1284" s="2">
        <v>42005.092361111114</v>
      </c>
      <c r="BR1284" s="2">
        <v>11.07</v>
      </c>
      <c r="BS1284" s="2">
        <v>42005.092361111114</v>
      </c>
      <c r="BT1284">
        <v>0</v>
      </c>
      <c r="BU1284">
        <v>0</v>
      </c>
      <c r="BV1284" t="s">
        <v>135</v>
      </c>
      <c r="BW1284">
        <v>0</v>
      </c>
      <c r="BX1284">
        <v>0</v>
      </c>
      <c r="BY1284" t="s">
        <v>135</v>
      </c>
      <c r="BZ1284">
        <v>0</v>
      </c>
      <c r="CA1284">
        <v>0</v>
      </c>
      <c r="CB1284" t="s">
        <v>135</v>
      </c>
      <c r="CH1284" s="2"/>
      <c r="CJ1284" s="2"/>
      <c r="CL1284" s="2"/>
      <c r="CN1284" s="2"/>
      <c r="CQ1284" s="2"/>
      <c r="CT1284" s="2"/>
      <c r="CW1284" s="2"/>
    </row>
    <row r="1285" spans="1:101" x14ac:dyDescent="0.25">
      <c r="A1285" s="1" t="s">
        <v>163</v>
      </c>
      <c r="B1285" s="75" t="s">
        <v>164</v>
      </c>
      <c r="C1285">
        <v>0</v>
      </c>
      <c r="D1285">
        <v>0</v>
      </c>
      <c r="E1285">
        <v>0</v>
      </c>
      <c r="F1285">
        <v>604324.56000000006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3.91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7490</v>
      </c>
      <c r="AW1285">
        <v>3350</v>
      </c>
      <c r="AX1285">
        <v>1219</v>
      </c>
      <c r="AY1285">
        <v>12059</v>
      </c>
      <c r="AZ1285">
        <v>4202</v>
      </c>
      <c r="BA1285">
        <v>7438</v>
      </c>
      <c r="BB1285">
        <v>1432</v>
      </c>
      <c r="BC1285">
        <v>13072</v>
      </c>
      <c r="BD1285">
        <v>9486</v>
      </c>
      <c r="BE1285">
        <v>9222</v>
      </c>
      <c r="BF1285">
        <v>1768</v>
      </c>
      <c r="BG1285">
        <v>20476</v>
      </c>
      <c r="BH1285">
        <v>0</v>
      </c>
      <c r="BI1285">
        <v>0</v>
      </c>
      <c r="BJ1285">
        <v>0</v>
      </c>
      <c r="BK1285">
        <v>0</v>
      </c>
      <c r="BL1285" s="2">
        <v>24.82</v>
      </c>
      <c r="BM1285" s="2">
        <v>42005.095138888886</v>
      </c>
      <c r="BN1285" s="2">
        <v>5.4</v>
      </c>
      <c r="BO1285" s="2">
        <v>42005.092361111114</v>
      </c>
      <c r="BP1285" s="2">
        <v>6.92</v>
      </c>
      <c r="BQ1285" s="2">
        <v>42005.092361111114</v>
      </c>
      <c r="BR1285" s="2">
        <v>11.07</v>
      </c>
      <c r="BS1285" s="2">
        <v>42005.092361111114</v>
      </c>
      <c r="BT1285">
        <v>0</v>
      </c>
      <c r="BU1285">
        <v>0</v>
      </c>
      <c r="BV1285" t="s">
        <v>135</v>
      </c>
      <c r="BW1285">
        <v>0</v>
      </c>
      <c r="BX1285">
        <v>0</v>
      </c>
      <c r="BY1285" t="s">
        <v>135</v>
      </c>
      <c r="BZ1285">
        <v>0</v>
      </c>
      <c r="CA1285">
        <v>0</v>
      </c>
      <c r="CB1285" t="s">
        <v>135</v>
      </c>
      <c r="CH1285" s="2"/>
      <c r="CJ1285" s="2"/>
      <c r="CL1285" s="2"/>
      <c r="CN1285" s="2"/>
      <c r="CQ1285" s="2"/>
      <c r="CT1285" s="2"/>
      <c r="CW1285" s="2"/>
    </row>
    <row r="1286" spans="1:101" x14ac:dyDescent="0.25">
      <c r="A1286" s="1" t="s">
        <v>163</v>
      </c>
      <c r="B1286" s="75" t="s">
        <v>164</v>
      </c>
      <c r="C1286">
        <v>0</v>
      </c>
      <c r="D1286">
        <v>0</v>
      </c>
      <c r="E1286">
        <v>0</v>
      </c>
      <c r="F1286">
        <v>604324.56000000006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3.91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7490</v>
      </c>
      <c r="AW1286">
        <v>3350</v>
      </c>
      <c r="AX1286">
        <v>1219</v>
      </c>
      <c r="AY1286">
        <v>12059</v>
      </c>
      <c r="AZ1286">
        <v>4202</v>
      </c>
      <c r="BA1286">
        <v>7438</v>
      </c>
      <c r="BB1286">
        <v>1432</v>
      </c>
      <c r="BC1286">
        <v>13072</v>
      </c>
      <c r="BD1286">
        <v>9486</v>
      </c>
      <c r="BE1286">
        <v>9222</v>
      </c>
      <c r="BF1286">
        <v>1768</v>
      </c>
      <c r="BG1286">
        <v>20476</v>
      </c>
      <c r="BH1286">
        <v>0</v>
      </c>
      <c r="BI1286">
        <v>0</v>
      </c>
      <c r="BJ1286">
        <v>0</v>
      </c>
      <c r="BK1286">
        <v>0</v>
      </c>
      <c r="BL1286" s="2">
        <v>24.82</v>
      </c>
      <c r="BM1286" s="2">
        <v>42005.095138888886</v>
      </c>
      <c r="BN1286" s="2">
        <v>5.4</v>
      </c>
      <c r="BO1286" s="2">
        <v>42005.092361111114</v>
      </c>
      <c r="BP1286" s="2">
        <v>6.92</v>
      </c>
      <c r="BQ1286" s="2">
        <v>42005.092361111114</v>
      </c>
      <c r="BR1286" s="2">
        <v>11.07</v>
      </c>
      <c r="BS1286" s="2">
        <v>42005.092361111114</v>
      </c>
      <c r="BT1286">
        <v>0</v>
      </c>
      <c r="BU1286">
        <v>0</v>
      </c>
      <c r="BV1286" t="s">
        <v>135</v>
      </c>
      <c r="BW1286">
        <v>0</v>
      </c>
      <c r="BX1286">
        <v>0</v>
      </c>
      <c r="BY1286" t="s">
        <v>135</v>
      </c>
      <c r="BZ1286">
        <v>0</v>
      </c>
      <c r="CA1286">
        <v>0</v>
      </c>
      <c r="CB1286" t="s">
        <v>135</v>
      </c>
      <c r="CH1286" s="2"/>
      <c r="CJ1286" s="2"/>
      <c r="CL1286" s="2"/>
      <c r="CN1286" s="2"/>
      <c r="CQ1286" s="2"/>
      <c r="CT1286" s="2"/>
      <c r="CW1286" s="2"/>
    </row>
    <row r="1287" spans="1:101" x14ac:dyDescent="0.25">
      <c r="A1287" s="1" t="s">
        <v>163</v>
      </c>
      <c r="B1287" s="75" t="s">
        <v>164</v>
      </c>
      <c r="C1287">
        <v>0</v>
      </c>
      <c r="D1287">
        <v>0</v>
      </c>
      <c r="E1287">
        <v>0</v>
      </c>
      <c r="F1287">
        <v>604324.56000000006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3.91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7490</v>
      </c>
      <c r="AW1287">
        <v>3350</v>
      </c>
      <c r="AX1287">
        <v>1219</v>
      </c>
      <c r="AY1287">
        <v>12059</v>
      </c>
      <c r="AZ1287">
        <v>4202</v>
      </c>
      <c r="BA1287">
        <v>7438</v>
      </c>
      <c r="BB1287">
        <v>1432</v>
      </c>
      <c r="BC1287">
        <v>13072</v>
      </c>
      <c r="BD1287">
        <v>9486</v>
      </c>
      <c r="BE1287">
        <v>9222</v>
      </c>
      <c r="BF1287">
        <v>1768</v>
      </c>
      <c r="BG1287">
        <v>20476</v>
      </c>
      <c r="BH1287">
        <v>0</v>
      </c>
      <c r="BI1287">
        <v>0</v>
      </c>
      <c r="BJ1287">
        <v>0</v>
      </c>
      <c r="BK1287">
        <v>0</v>
      </c>
      <c r="BL1287" s="2">
        <v>24.82</v>
      </c>
      <c r="BM1287" s="2">
        <v>42005.095138888886</v>
      </c>
      <c r="BN1287" s="2">
        <v>5.4</v>
      </c>
      <c r="BO1287" s="2">
        <v>42005.092361111114</v>
      </c>
      <c r="BP1287" s="2">
        <v>6.92</v>
      </c>
      <c r="BQ1287" s="2">
        <v>42005.092361111114</v>
      </c>
      <c r="BR1287" s="2">
        <v>11.07</v>
      </c>
      <c r="BS1287" s="2">
        <v>42005.092361111114</v>
      </c>
      <c r="BT1287">
        <v>0</v>
      </c>
      <c r="BU1287">
        <v>0</v>
      </c>
      <c r="BV1287" t="s">
        <v>135</v>
      </c>
      <c r="BW1287">
        <v>0</v>
      </c>
      <c r="BX1287">
        <v>0</v>
      </c>
      <c r="BY1287" t="s">
        <v>135</v>
      </c>
      <c r="BZ1287">
        <v>0</v>
      </c>
      <c r="CA1287">
        <v>0</v>
      </c>
      <c r="CB1287" t="s">
        <v>135</v>
      </c>
      <c r="CH1287" s="2"/>
      <c r="CJ1287" s="2"/>
      <c r="CL1287" s="2"/>
      <c r="CN1287" s="2"/>
      <c r="CQ1287" s="2"/>
      <c r="CT1287" s="2"/>
      <c r="CW1287" s="2"/>
    </row>
    <row r="1288" spans="1:101" x14ac:dyDescent="0.25">
      <c r="A1288" s="1" t="s">
        <v>163</v>
      </c>
      <c r="B1288" s="75" t="s">
        <v>164</v>
      </c>
      <c r="C1288">
        <v>0</v>
      </c>
      <c r="D1288">
        <v>0</v>
      </c>
      <c r="E1288">
        <v>0</v>
      </c>
      <c r="F1288">
        <v>604324.56000000006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3.91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7490</v>
      </c>
      <c r="AW1288">
        <v>3350</v>
      </c>
      <c r="AX1288">
        <v>1219</v>
      </c>
      <c r="AY1288">
        <v>12059</v>
      </c>
      <c r="AZ1288">
        <v>4202</v>
      </c>
      <c r="BA1288">
        <v>7438</v>
      </c>
      <c r="BB1288">
        <v>1432</v>
      </c>
      <c r="BC1288">
        <v>13072</v>
      </c>
      <c r="BD1288">
        <v>9486</v>
      </c>
      <c r="BE1288">
        <v>9222</v>
      </c>
      <c r="BF1288">
        <v>1768</v>
      </c>
      <c r="BG1288">
        <v>20476</v>
      </c>
      <c r="BH1288">
        <v>0</v>
      </c>
      <c r="BI1288">
        <v>0</v>
      </c>
      <c r="BJ1288">
        <v>0</v>
      </c>
      <c r="BK1288">
        <v>0</v>
      </c>
      <c r="BL1288" s="2">
        <v>24.82</v>
      </c>
      <c r="BM1288" s="2">
        <v>42005.095138888886</v>
      </c>
      <c r="BN1288" s="2">
        <v>5.4</v>
      </c>
      <c r="BO1288" s="2">
        <v>42005.092361111114</v>
      </c>
      <c r="BP1288" s="2">
        <v>6.92</v>
      </c>
      <c r="BQ1288" s="2">
        <v>42005.092361111114</v>
      </c>
      <c r="BR1288" s="2">
        <v>11.07</v>
      </c>
      <c r="BS1288" s="2">
        <v>42005.092361111114</v>
      </c>
      <c r="BT1288">
        <v>0</v>
      </c>
      <c r="BU1288">
        <v>0</v>
      </c>
      <c r="BV1288" t="s">
        <v>135</v>
      </c>
      <c r="BW1288">
        <v>0</v>
      </c>
      <c r="BX1288">
        <v>0</v>
      </c>
      <c r="BY1288" t="s">
        <v>135</v>
      </c>
      <c r="BZ1288">
        <v>0</v>
      </c>
      <c r="CA1288">
        <v>0</v>
      </c>
      <c r="CB1288" t="s">
        <v>135</v>
      </c>
      <c r="CH1288" s="2"/>
      <c r="CJ1288" s="2"/>
      <c r="CL1288" s="2"/>
      <c r="CN1288" s="2"/>
      <c r="CQ1288" s="2"/>
      <c r="CT1288" s="2"/>
      <c r="CW1288" s="2"/>
    </row>
    <row r="1289" spans="1:101" x14ac:dyDescent="0.25">
      <c r="A1289" s="1" t="s">
        <v>163</v>
      </c>
      <c r="B1289" s="75" t="s">
        <v>164</v>
      </c>
      <c r="C1289">
        <v>0</v>
      </c>
      <c r="D1289">
        <v>0</v>
      </c>
      <c r="E1289">
        <v>0</v>
      </c>
      <c r="F1289">
        <v>604324.56000000006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3.91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7490</v>
      </c>
      <c r="AW1289">
        <v>3350</v>
      </c>
      <c r="AX1289">
        <v>1219</v>
      </c>
      <c r="AY1289">
        <v>12059</v>
      </c>
      <c r="AZ1289">
        <v>4202</v>
      </c>
      <c r="BA1289">
        <v>7438</v>
      </c>
      <c r="BB1289">
        <v>1432</v>
      </c>
      <c r="BC1289">
        <v>13072</v>
      </c>
      <c r="BD1289">
        <v>9486</v>
      </c>
      <c r="BE1289">
        <v>9222</v>
      </c>
      <c r="BF1289">
        <v>1768</v>
      </c>
      <c r="BG1289">
        <v>20476</v>
      </c>
      <c r="BH1289">
        <v>0</v>
      </c>
      <c r="BI1289">
        <v>0</v>
      </c>
      <c r="BJ1289">
        <v>0</v>
      </c>
      <c r="BK1289">
        <v>0</v>
      </c>
      <c r="BL1289" s="2">
        <v>24.82</v>
      </c>
      <c r="BM1289" s="2">
        <v>42005.095138888886</v>
      </c>
      <c r="BN1289" s="2">
        <v>5.4</v>
      </c>
      <c r="BO1289" s="2">
        <v>42005.092361111114</v>
      </c>
      <c r="BP1289" s="2">
        <v>6.92</v>
      </c>
      <c r="BQ1289" s="2">
        <v>42005.092361111114</v>
      </c>
      <c r="BR1289" s="2">
        <v>11.07</v>
      </c>
      <c r="BS1289" s="2">
        <v>42005.092361111114</v>
      </c>
      <c r="BT1289">
        <v>0</v>
      </c>
      <c r="BU1289">
        <v>0</v>
      </c>
      <c r="BV1289" t="s">
        <v>135</v>
      </c>
      <c r="BW1289">
        <v>0</v>
      </c>
      <c r="BX1289">
        <v>0</v>
      </c>
      <c r="BY1289" t="s">
        <v>135</v>
      </c>
      <c r="BZ1289">
        <v>0</v>
      </c>
      <c r="CA1289">
        <v>0</v>
      </c>
      <c r="CB1289" t="s">
        <v>135</v>
      </c>
      <c r="CH1289" s="2"/>
      <c r="CJ1289" s="2"/>
      <c r="CL1289" s="2"/>
      <c r="CN1289" s="2"/>
      <c r="CQ1289" s="2"/>
      <c r="CT1289" s="2"/>
      <c r="CW1289" s="2"/>
    </row>
    <row r="1290" spans="1:101" x14ac:dyDescent="0.25">
      <c r="A1290" s="1" t="s">
        <v>163</v>
      </c>
      <c r="B1290" s="75" t="s">
        <v>164</v>
      </c>
      <c r="C1290">
        <v>0</v>
      </c>
      <c r="D1290">
        <v>0</v>
      </c>
      <c r="E1290">
        <v>0</v>
      </c>
      <c r="F1290">
        <v>604324.56000000006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3.91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7490</v>
      </c>
      <c r="AW1290">
        <v>3350</v>
      </c>
      <c r="AX1290">
        <v>1219</v>
      </c>
      <c r="AY1290">
        <v>12059</v>
      </c>
      <c r="AZ1290">
        <v>4202</v>
      </c>
      <c r="BA1290">
        <v>7438</v>
      </c>
      <c r="BB1290">
        <v>1432</v>
      </c>
      <c r="BC1290">
        <v>13072</v>
      </c>
      <c r="BD1290">
        <v>9486</v>
      </c>
      <c r="BE1290">
        <v>9222</v>
      </c>
      <c r="BF1290">
        <v>1768</v>
      </c>
      <c r="BG1290">
        <v>20476</v>
      </c>
      <c r="BH1290">
        <v>0</v>
      </c>
      <c r="BI1290">
        <v>0</v>
      </c>
      <c r="BJ1290">
        <v>0</v>
      </c>
      <c r="BK1290">
        <v>0</v>
      </c>
      <c r="BL1290" s="2">
        <v>24.82</v>
      </c>
      <c r="BM1290" s="2">
        <v>42005.095138888886</v>
      </c>
      <c r="BN1290" s="2">
        <v>5.4</v>
      </c>
      <c r="BO1290" s="2">
        <v>42005.092361111114</v>
      </c>
      <c r="BP1290" s="2">
        <v>6.92</v>
      </c>
      <c r="BQ1290" s="2">
        <v>42005.092361111114</v>
      </c>
      <c r="BR1290" s="2">
        <v>11.07</v>
      </c>
      <c r="BS1290" s="2">
        <v>42005.092361111114</v>
      </c>
      <c r="BT1290">
        <v>0</v>
      </c>
      <c r="BU1290">
        <v>0</v>
      </c>
      <c r="BV1290" t="s">
        <v>135</v>
      </c>
      <c r="BW1290">
        <v>0</v>
      </c>
      <c r="BX1290">
        <v>0</v>
      </c>
      <c r="BY1290" t="s">
        <v>135</v>
      </c>
      <c r="BZ1290">
        <v>0</v>
      </c>
      <c r="CA1290">
        <v>0</v>
      </c>
      <c r="CB1290" t="s">
        <v>135</v>
      </c>
      <c r="CH1290" s="2"/>
      <c r="CJ1290" s="2"/>
      <c r="CL1290" s="2"/>
      <c r="CN1290" s="2"/>
      <c r="CQ1290" s="2"/>
      <c r="CT1290" s="2"/>
      <c r="CW1290" s="2"/>
    </row>
    <row r="1291" spans="1:101" x14ac:dyDescent="0.25">
      <c r="A1291" s="1" t="s">
        <v>163</v>
      </c>
      <c r="B1291" s="75" t="s">
        <v>164</v>
      </c>
      <c r="C1291">
        <v>0</v>
      </c>
      <c r="D1291">
        <v>0</v>
      </c>
      <c r="E1291">
        <v>0</v>
      </c>
      <c r="F1291">
        <v>604324.56000000006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3.91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7490</v>
      </c>
      <c r="AW1291">
        <v>3350</v>
      </c>
      <c r="AX1291">
        <v>1219</v>
      </c>
      <c r="AY1291">
        <v>12059</v>
      </c>
      <c r="AZ1291">
        <v>4202</v>
      </c>
      <c r="BA1291">
        <v>7438</v>
      </c>
      <c r="BB1291">
        <v>1432</v>
      </c>
      <c r="BC1291">
        <v>13072</v>
      </c>
      <c r="BD1291">
        <v>9486</v>
      </c>
      <c r="BE1291">
        <v>9222</v>
      </c>
      <c r="BF1291">
        <v>1768</v>
      </c>
      <c r="BG1291">
        <v>20476</v>
      </c>
      <c r="BH1291">
        <v>0</v>
      </c>
      <c r="BI1291">
        <v>0</v>
      </c>
      <c r="BJ1291">
        <v>0</v>
      </c>
      <c r="BK1291">
        <v>0</v>
      </c>
      <c r="BL1291" s="2">
        <v>24.82</v>
      </c>
      <c r="BM1291" s="2">
        <v>42005.095138888886</v>
      </c>
      <c r="BN1291" s="2">
        <v>5.4</v>
      </c>
      <c r="BO1291" s="2">
        <v>42005.092361111114</v>
      </c>
      <c r="BP1291" s="2">
        <v>6.92</v>
      </c>
      <c r="BQ1291" s="2">
        <v>42005.092361111114</v>
      </c>
      <c r="BR1291" s="2">
        <v>11.07</v>
      </c>
      <c r="BS1291" s="2">
        <v>42005.092361111114</v>
      </c>
      <c r="BT1291">
        <v>0</v>
      </c>
      <c r="BU1291">
        <v>0</v>
      </c>
      <c r="BV1291" t="s">
        <v>135</v>
      </c>
      <c r="BW1291">
        <v>0</v>
      </c>
      <c r="BX1291">
        <v>0</v>
      </c>
      <c r="BY1291" t="s">
        <v>135</v>
      </c>
      <c r="BZ1291">
        <v>0</v>
      </c>
      <c r="CA1291">
        <v>0</v>
      </c>
      <c r="CB1291" t="s">
        <v>135</v>
      </c>
      <c r="CH1291" s="2"/>
      <c r="CJ1291" s="2"/>
      <c r="CL1291" s="2"/>
      <c r="CN1291" s="2"/>
      <c r="CQ1291" s="2"/>
      <c r="CT1291" s="2"/>
      <c r="CW1291" s="2"/>
    </row>
    <row r="1292" spans="1:101" x14ac:dyDescent="0.25">
      <c r="A1292" s="1" t="s">
        <v>163</v>
      </c>
      <c r="B1292" s="75" t="s">
        <v>164</v>
      </c>
      <c r="C1292">
        <v>0</v>
      </c>
      <c r="D1292">
        <v>0</v>
      </c>
      <c r="E1292">
        <v>0</v>
      </c>
      <c r="F1292">
        <v>604324.56000000006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3.91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7490</v>
      </c>
      <c r="AW1292">
        <v>3350</v>
      </c>
      <c r="AX1292">
        <v>1219</v>
      </c>
      <c r="AY1292">
        <v>12059</v>
      </c>
      <c r="AZ1292">
        <v>4202</v>
      </c>
      <c r="BA1292">
        <v>7438</v>
      </c>
      <c r="BB1292">
        <v>1432</v>
      </c>
      <c r="BC1292">
        <v>13072</v>
      </c>
      <c r="BD1292">
        <v>9486</v>
      </c>
      <c r="BE1292">
        <v>9222</v>
      </c>
      <c r="BF1292">
        <v>1768</v>
      </c>
      <c r="BG1292">
        <v>20476</v>
      </c>
      <c r="BH1292">
        <v>0</v>
      </c>
      <c r="BI1292">
        <v>0</v>
      </c>
      <c r="BJ1292">
        <v>0</v>
      </c>
      <c r="BK1292">
        <v>0</v>
      </c>
      <c r="BL1292" s="2">
        <v>24.82</v>
      </c>
      <c r="BM1292" s="2">
        <v>42005.095138888886</v>
      </c>
      <c r="BN1292" s="2">
        <v>5.4</v>
      </c>
      <c r="BO1292" s="2">
        <v>42005.092361111114</v>
      </c>
      <c r="BP1292" s="2">
        <v>6.92</v>
      </c>
      <c r="BQ1292" s="2">
        <v>42005.092361111114</v>
      </c>
      <c r="BR1292" s="2">
        <v>11.07</v>
      </c>
      <c r="BS1292" s="2">
        <v>42005.092361111114</v>
      </c>
      <c r="BT1292">
        <v>0</v>
      </c>
      <c r="BU1292">
        <v>0</v>
      </c>
      <c r="BV1292" t="s">
        <v>135</v>
      </c>
      <c r="BW1292">
        <v>0</v>
      </c>
      <c r="BX1292">
        <v>0</v>
      </c>
      <c r="BY1292" t="s">
        <v>135</v>
      </c>
      <c r="BZ1292">
        <v>0</v>
      </c>
      <c r="CA1292">
        <v>0</v>
      </c>
      <c r="CB1292" t="s">
        <v>135</v>
      </c>
      <c r="CH1292" s="2"/>
      <c r="CJ1292" s="2"/>
      <c r="CL1292" s="2"/>
      <c r="CN1292" s="2"/>
      <c r="CQ1292" s="2"/>
      <c r="CT1292" s="2"/>
      <c r="CW1292" s="2"/>
    </row>
    <row r="1293" spans="1:101" x14ac:dyDescent="0.25">
      <c r="A1293" s="1" t="s">
        <v>163</v>
      </c>
      <c r="B1293" s="75" t="s">
        <v>164</v>
      </c>
      <c r="C1293">
        <v>0</v>
      </c>
      <c r="D1293">
        <v>0</v>
      </c>
      <c r="E1293">
        <v>0</v>
      </c>
      <c r="F1293">
        <v>604324.56000000006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3.91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7490</v>
      </c>
      <c r="AW1293">
        <v>3350</v>
      </c>
      <c r="AX1293">
        <v>1219</v>
      </c>
      <c r="AY1293">
        <v>12059</v>
      </c>
      <c r="AZ1293">
        <v>4202</v>
      </c>
      <c r="BA1293">
        <v>7438</v>
      </c>
      <c r="BB1293">
        <v>1432</v>
      </c>
      <c r="BC1293">
        <v>13072</v>
      </c>
      <c r="BD1293">
        <v>9486</v>
      </c>
      <c r="BE1293">
        <v>9222</v>
      </c>
      <c r="BF1293">
        <v>1768</v>
      </c>
      <c r="BG1293">
        <v>20476</v>
      </c>
      <c r="BH1293">
        <v>0</v>
      </c>
      <c r="BI1293">
        <v>0</v>
      </c>
      <c r="BJ1293">
        <v>0</v>
      </c>
      <c r="BK1293">
        <v>0</v>
      </c>
      <c r="BL1293" s="2">
        <v>24.82</v>
      </c>
      <c r="BM1293" s="2">
        <v>42005.095138888886</v>
      </c>
      <c r="BN1293" s="2">
        <v>5.4</v>
      </c>
      <c r="BO1293" s="2">
        <v>42005.092361111114</v>
      </c>
      <c r="BP1293" s="2">
        <v>6.92</v>
      </c>
      <c r="BQ1293" s="2">
        <v>42005.092361111114</v>
      </c>
      <c r="BR1293" s="2">
        <v>11.07</v>
      </c>
      <c r="BS1293" s="2">
        <v>42005.092361111114</v>
      </c>
      <c r="BT1293">
        <v>0</v>
      </c>
      <c r="BU1293">
        <v>0</v>
      </c>
      <c r="BV1293" t="s">
        <v>135</v>
      </c>
      <c r="BW1293">
        <v>0</v>
      </c>
      <c r="BX1293">
        <v>0</v>
      </c>
      <c r="BY1293" t="s">
        <v>135</v>
      </c>
      <c r="BZ1293">
        <v>0</v>
      </c>
      <c r="CA1293">
        <v>0</v>
      </c>
      <c r="CB1293" t="s">
        <v>135</v>
      </c>
      <c r="CH1293" s="2"/>
      <c r="CJ1293" s="2"/>
      <c r="CL1293" s="2"/>
      <c r="CN1293" s="2"/>
      <c r="CQ1293" s="2"/>
      <c r="CT1293" s="2"/>
      <c r="CW1293" s="2"/>
    </row>
    <row r="1294" spans="1:101" x14ac:dyDescent="0.25">
      <c r="A1294" s="1" t="s">
        <v>163</v>
      </c>
      <c r="B1294" s="75" t="s">
        <v>164</v>
      </c>
      <c r="C1294">
        <v>0</v>
      </c>
      <c r="D1294">
        <v>0</v>
      </c>
      <c r="E1294">
        <v>0</v>
      </c>
      <c r="F1294">
        <v>604324.56000000006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3.91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7490</v>
      </c>
      <c r="AW1294">
        <v>3350</v>
      </c>
      <c r="AX1294">
        <v>1219</v>
      </c>
      <c r="AY1294">
        <v>12059</v>
      </c>
      <c r="AZ1294">
        <v>4202</v>
      </c>
      <c r="BA1294">
        <v>7438</v>
      </c>
      <c r="BB1294">
        <v>1432</v>
      </c>
      <c r="BC1294">
        <v>13072</v>
      </c>
      <c r="BD1294">
        <v>9486</v>
      </c>
      <c r="BE1294">
        <v>9222</v>
      </c>
      <c r="BF1294">
        <v>1768</v>
      </c>
      <c r="BG1294">
        <v>20476</v>
      </c>
      <c r="BH1294">
        <v>0</v>
      </c>
      <c r="BI1294">
        <v>0</v>
      </c>
      <c r="BJ1294">
        <v>0</v>
      </c>
      <c r="BK1294">
        <v>0</v>
      </c>
      <c r="BL1294" s="2">
        <v>24.82</v>
      </c>
      <c r="BM1294" s="2">
        <v>42005.095138888886</v>
      </c>
      <c r="BN1294" s="2">
        <v>5.4</v>
      </c>
      <c r="BO1294" s="2">
        <v>42005.092361111114</v>
      </c>
      <c r="BP1294" s="2">
        <v>6.92</v>
      </c>
      <c r="BQ1294" s="2">
        <v>42005.092361111114</v>
      </c>
      <c r="BR1294" s="2">
        <v>11.07</v>
      </c>
      <c r="BS1294" s="2">
        <v>42005.092361111114</v>
      </c>
      <c r="BT1294">
        <v>0</v>
      </c>
      <c r="BU1294">
        <v>0</v>
      </c>
      <c r="BV1294" t="s">
        <v>135</v>
      </c>
      <c r="BW1294">
        <v>0</v>
      </c>
      <c r="BX1294">
        <v>0</v>
      </c>
      <c r="BY1294" t="s">
        <v>135</v>
      </c>
      <c r="BZ1294">
        <v>0</v>
      </c>
      <c r="CA1294">
        <v>0</v>
      </c>
      <c r="CB1294" t="s">
        <v>135</v>
      </c>
      <c r="CH1294" s="2"/>
      <c r="CJ1294" s="2"/>
      <c r="CL1294" s="2"/>
      <c r="CN1294" s="2"/>
      <c r="CQ1294" s="2"/>
      <c r="CT1294" s="2"/>
      <c r="CW1294" s="2"/>
    </row>
    <row r="1295" spans="1:101" x14ac:dyDescent="0.25">
      <c r="A1295" s="1" t="s">
        <v>163</v>
      </c>
      <c r="B1295" s="75" t="s">
        <v>164</v>
      </c>
      <c r="C1295">
        <v>0</v>
      </c>
      <c r="D1295">
        <v>0</v>
      </c>
      <c r="E1295">
        <v>0</v>
      </c>
      <c r="F1295">
        <v>604324.56000000006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3.91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7490</v>
      </c>
      <c r="AW1295">
        <v>3350</v>
      </c>
      <c r="AX1295">
        <v>1219</v>
      </c>
      <c r="AY1295">
        <v>12059</v>
      </c>
      <c r="AZ1295">
        <v>4202</v>
      </c>
      <c r="BA1295">
        <v>7438</v>
      </c>
      <c r="BB1295">
        <v>1432</v>
      </c>
      <c r="BC1295">
        <v>13072</v>
      </c>
      <c r="BD1295">
        <v>9486</v>
      </c>
      <c r="BE1295">
        <v>9222</v>
      </c>
      <c r="BF1295">
        <v>1768</v>
      </c>
      <c r="BG1295">
        <v>20476</v>
      </c>
      <c r="BH1295">
        <v>0</v>
      </c>
      <c r="BI1295">
        <v>0</v>
      </c>
      <c r="BJ1295">
        <v>0</v>
      </c>
      <c r="BK1295">
        <v>0</v>
      </c>
      <c r="BL1295" s="2">
        <v>24.82</v>
      </c>
      <c r="BM1295" s="2">
        <v>42005.095138888886</v>
      </c>
      <c r="BN1295" s="2">
        <v>5.4</v>
      </c>
      <c r="BO1295" s="2">
        <v>42005.092361111114</v>
      </c>
      <c r="BP1295" s="2">
        <v>6.92</v>
      </c>
      <c r="BQ1295" s="2">
        <v>42005.092361111114</v>
      </c>
      <c r="BR1295" s="2">
        <v>11.07</v>
      </c>
      <c r="BS1295" s="2">
        <v>42005.092361111114</v>
      </c>
      <c r="BT1295">
        <v>0</v>
      </c>
      <c r="BU1295">
        <v>0</v>
      </c>
      <c r="BV1295" t="s">
        <v>135</v>
      </c>
      <c r="BW1295">
        <v>0</v>
      </c>
      <c r="BX1295">
        <v>0</v>
      </c>
      <c r="BY1295" t="s">
        <v>135</v>
      </c>
      <c r="BZ1295">
        <v>0</v>
      </c>
      <c r="CA1295">
        <v>0</v>
      </c>
      <c r="CB1295" t="s">
        <v>135</v>
      </c>
      <c r="CH1295" s="2"/>
      <c r="CJ1295" s="2"/>
      <c r="CL1295" s="2"/>
      <c r="CN1295" s="2"/>
      <c r="CQ1295" s="2"/>
      <c r="CT1295" s="2"/>
      <c r="CW1295" s="2"/>
    </row>
    <row r="1296" spans="1:101" x14ac:dyDescent="0.25">
      <c r="A1296" s="1" t="s">
        <v>163</v>
      </c>
      <c r="B1296" s="75" t="s">
        <v>164</v>
      </c>
      <c r="C1296">
        <v>0</v>
      </c>
      <c r="D1296">
        <v>0</v>
      </c>
      <c r="E1296">
        <v>0</v>
      </c>
      <c r="F1296">
        <v>604324.56000000006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3.91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7490</v>
      </c>
      <c r="AW1296">
        <v>3350</v>
      </c>
      <c r="AX1296">
        <v>1219</v>
      </c>
      <c r="AY1296">
        <v>12059</v>
      </c>
      <c r="AZ1296">
        <v>4202</v>
      </c>
      <c r="BA1296">
        <v>7438</v>
      </c>
      <c r="BB1296">
        <v>1432</v>
      </c>
      <c r="BC1296">
        <v>13072</v>
      </c>
      <c r="BD1296">
        <v>9486</v>
      </c>
      <c r="BE1296">
        <v>9222</v>
      </c>
      <c r="BF1296">
        <v>1768</v>
      </c>
      <c r="BG1296">
        <v>20476</v>
      </c>
      <c r="BH1296">
        <v>0</v>
      </c>
      <c r="BI1296">
        <v>0</v>
      </c>
      <c r="BJ1296">
        <v>0</v>
      </c>
      <c r="BK1296">
        <v>0</v>
      </c>
      <c r="BL1296" s="2">
        <v>24.82</v>
      </c>
      <c r="BM1296" s="2">
        <v>42005.095138888886</v>
      </c>
      <c r="BN1296" s="2">
        <v>5.4</v>
      </c>
      <c r="BO1296" s="2">
        <v>42005.092361111114</v>
      </c>
      <c r="BP1296" s="2">
        <v>6.92</v>
      </c>
      <c r="BQ1296" s="2">
        <v>42005.092361111114</v>
      </c>
      <c r="BR1296" s="2">
        <v>11.07</v>
      </c>
      <c r="BS1296" s="2">
        <v>42005.092361111114</v>
      </c>
      <c r="BT1296">
        <v>0</v>
      </c>
      <c r="BU1296">
        <v>0</v>
      </c>
      <c r="BV1296" t="s">
        <v>135</v>
      </c>
      <c r="BW1296">
        <v>0</v>
      </c>
      <c r="BX1296">
        <v>0</v>
      </c>
      <c r="BY1296" t="s">
        <v>135</v>
      </c>
      <c r="BZ1296">
        <v>0</v>
      </c>
      <c r="CA1296">
        <v>0</v>
      </c>
      <c r="CB1296" t="s">
        <v>135</v>
      </c>
      <c r="CH1296" s="2"/>
      <c r="CJ1296" s="2"/>
      <c r="CL1296" s="2"/>
      <c r="CN1296" s="2"/>
      <c r="CQ1296" s="2"/>
      <c r="CT1296" s="2"/>
      <c r="CW1296" s="2"/>
    </row>
    <row r="1297" spans="1:101" x14ac:dyDescent="0.25">
      <c r="A1297" s="1" t="s">
        <v>163</v>
      </c>
      <c r="B1297" s="75" t="s">
        <v>164</v>
      </c>
      <c r="C1297">
        <v>0</v>
      </c>
      <c r="D1297">
        <v>0</v>
      </c>
      <c r="E1297">
        <v>0</v>
      </c>
      <c r="F1297">
        <v>604324.56000000006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3.91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7490</v>
      </c>
      <c r="AW1297">
        <v>3350</v>
      </c>
      <c r="AX1297">
        <v>1219</v>
      </c>
      <c r="AY1297">
        <v>12059</v>
      </c>
      <c r="AZ1297">
        <v>4202</v>
      </c>
      <c r="BA1297">
        <v>7438</v>
      </c>
      <c r="BB1297">
        <v>1432</v>
      </c>
      <c r="BC1297">
        <v>13072</v>
      </c>
      <c r="BD1297">
        <v>9486</v>
      </c>
      <c r="BE1297">
        <v>9222</v>
      </c>
      <c r="BF1297">
        <v>1768</v>
      </c>
      <c r="BG1297">
        <v>20476</v>
      </c>
      <c r="BH1297">
        <v>0</v>
      </c>
      <c r="BI1297">
        <v>0</v>
      </c>
      <c r="BJ1297">
        <v>0</v>
      </c>
      <c r="BK1297">
        <v>0</v>
      </c>
      <c r="BL1297" s="2">
        <v>24.82</v>
      </c>
      <c r="BM1297" s="2">
        <v>42005.095138888886</v>
      </c>
      <c r="BN1297" s="2">
        <v>5.4</v>
      </c>
      <c r="BO1297" s="2">
        <v>42005.092361111114</v>
      </c>
      <c r="BP1297" s="2">
        <v>6.92</v>
      </c>
      <c r="BQ1297" s="2">
        <v>42005.092361111114</v>
      </c>
      <c r="BR1297" s="2">
        <v>11.07</v>
      </c>
      <c r="BS1297" s="2">
        <v>42005.092361111114</v>
      </c>
      <c r="BT1297">
        <v>0</v>
      </c>
      <c r="BU1297">
        <v>0</v>
      </c>
      <c r="BV1297" t="s">
        <v>135</v>
      </c>
      <c r="BW1297">
        <v>0</v>
      </c>
      <c r="BX1297">
        <v>0</v>
      </c>
      <c r="BY1297" t="s">
        <v>135</v>
      </c>
      <c r="BZ1297">
        <v>0</v>
      </c>
      <c r="CA1297">
        <v>0</v>
      </c>
      <c r="CB1297" t="s">
        <v>135</v>
      </c>
      <c r="CH1297" s="2"/>
      <c r="CJ1297" s="2"/>
      <c r="CL1297" s="2"/>
      <c r="CN1297" s="2"/>
      <c r="CQ1297" s="2"/>
      <c r="CT1297" s="2"/>
      <c r="CW1297" s="2"/>
    </row>
    <row r="1298" spans="1:101" x14ac:dyDescent="0.25">
      <c r="A1298" s="1" t="s">
        <v>163</v>
      </c>
      <c r="B1298" s="75" t="s">
        <v>164</v>
      </c>
      <c r="C1298">
        <v>0</v>
      </c>
      <c r="D1298">
        <v>0</v>
      </c>
      <c r="E1298">
        <v>0</v>
      </c>
      <c r="F1298">
        <v>604324.56000000006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3.91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7490</v>
      </c>
      <c r="AW1298">
        <v>3350</v>
      </c>
      <c r="AX1298">
        <v>1219</v>
      </c>
      <c r="AY1298">
        <v>12059</v>
      </c>
      <c r="AZ1298">
        <v>4202</v>
      </c>
      <c r="BA1298">
        <v>7438</v>
      </c>
      <c r="BB1298">
        <v>1432</v>
      </c>
      <c r="BC1298">
        <v>13072</v>
      </c>
      <c r="BD1298">
        <v>9486</v>
      </c>
      <c r="BE1298">
        <v>9222</v>
      </c>
      <c r="BF1298">
        <v>1768</v>
      </c>
      <c r="BG1298">
        <v>20476</v>
      </c>
      <c r="BH1298">
        <v>0</v>
      </c>
      <c r="BI1298">
        <v>0</v>
      </c>
      <c r="BJ1298">
        <v>0</v>
      </c>
      <c r="BK1298">
        <v>0</v>
      </c>
      <c r="BL1298" s="2">
        <v>24.82</v>
      </c>
      <c r="BM1298" s="2">
        <v>42005.095138888886</v>
      </c>
      <c r="BN1298" s="2">
        <v>5.4</v>
      </c>
      <c r="BO1298" s="2">
        <v>42005.092361111114</v>
      </c>
      <c r="BP1298" s="2">
        <v>6.92</v>
      </c>
      <c r="BQ1298" s="2">
        <v>42005.092361111114</v>
      </c>
      <c r="BR1298" s="2">
        <v>11.07</v>
      </c>
      <c r="BS1298" s="2">
        <v>42005.092361111114</v>
      </c>
      <c r="BT1298">
        <v>0</v>
      </c>
      <c r="BU1298">
        <v>0</v>
      </c>
      <c r="BV1298" t="s">
        <v>135</v>
      </c>
      <c r="BW1298">
        <v>0</v>
      </c>
      <c r="BX1298">
        <v>0</v>
      </c>
      <c r="BY1298" t="s">
        <v>135</v>
      </c>
      <c r="BZ1298">
        <v>0</v>
      </c>
      <c r="CA1298">
        <v>0</v>
      </c>
      <c r="CB1298" t="s">
        <v>135</v>
      </c>
      <c r="CH1298" s="2"/>
      <c r="CJ1298" s="2"/>
      <c r="CL1298" s="2"/>
      <c r="CN1298" s="2"/>
      <c r="CQ1298" s="2"/>
      <c r="CT1298" s="2"/>
      <c r="CW1298" s="2"/>
    </row>
    <row r="1299" spans="1:101" x14ac:dyDescent="0.25">
      <c r="A1299" s="1" t="s">
        <v>163</v>
      </c>
      <c r="B1299" s="75" t="s">
        <v>164</v>
      </c>
      <c r="C1299">
        <v>0</v>
      </c>
      <c r="D1299">
        <v>0</v>
      </c>
      <c r="E1299">
        <v>0</v>
      </c>
      <c r="F1299">
        <v>604324.56000000006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3.91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7490</v>
      </c>
      <c r="AW1299">
        <v>3350</v>
      </c>
      <c r="AX1299">
        <v>1219</v>
      </c>
      <c r="AY1299">
        <v>12059</v>
      </c>
      <c r="AZ1299">
        <v>4202</v>
      </c>
      <c r="BA1299">
        <v>7438</v>
      </c>
      <c r="BB1299">
        <v>1432</v>
      </c>
      <c r="BC1299">
        <v>13072</v>
      </c>
      <c r="BD1299">
        <v>9486</v>
      </c>
      <c r="BE1299">
        <v>9222</v>
      </c>
      <c r="BF1299">
        <v>1768</v>
      </c>
      <c r="BG1299">
        <v>20476</v>
      </c>
      <c r="BH1299">
        <v>0</v>
      </c>
      <c r="BI1299">
        <v>0</v>
      </c>
      <c r="BJ1299">
        <v>0</v>
      </c>
      <c r="BK1299">
        <v>0</v>
      </c>
      <c r="BL1299" s="2">
        <v>24.82</v>
      </c>
      <c r="BM1299" s="2">
        <v>42005.095138888886</v>
      </c>
      <c r="BN1299" s="2">
        <v>5.4</v>
      </c>
      <c r="BO1299" s="2">
        <v>42005.092361111114</v>
      </c>
      <c r="BP1299" s="2">
        <v>6.92</v>
      </c>
      <c r="BQ1299" s="2">
        <v>42005.092361111114</v>
      </c>
      <c r="BR1299" s="2">
        <v>11.07</v>
      </c>
      <c r="BS1299" s="2">
        <v>42005.092361111114</v>
      </c>
      <c r="BT1299">
        <v>0</v>
      </c>
      <c r="BU1299">
        <v>0</v>
      </c>
      <c r="BV1299" t="s">
        <v>135</v>
      </c>
      <c r="BW1299">
        <v>0</v>
      </c>
      <c r="BX1299">
        <v>0</v>
      </c>
      <c r="BY1299" t="s">
        <v>135</v>
      </c>
      <c r="BZ1299">
        <v>0</v>
      </c>
      <c r="CA1299">
        <v>0</v>
      </c>
      <c r="CB1299" t="s">
        <v>135</v>
      </c>
      <c r="CH1299" s="2"/>
      <c r="CJ1299" s="2"/>
      <c r="CL1299" s="2"/>
      <c r="CN1299" s="2"/>
      <c r="CQ1299" s="2"/>
      <c r="CT1299" s="2"/>
      <c r="CW1299" s="2"/>
    </row>
    <row r="1300" spans="1:101" x14ac:dyDescent="0.25">
      <c r="A1300" s="1" t="s">
        <v>163</v>
      </c>
      <c r="B1300" s="75" t="s">
        <v>164</v>
      </c>
      <c r="C1300">
        <v>0</v>
      </c>
      <c r="D1300">
        <v>0</v>
      </c>
      <c r="E1300">
        <v>0</v>
      </c>
      <c r="F1300">
        <v>604324.56000000006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3.91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7490</v>
      </c>
      <c r="AW1300">
        <v>3350</v>
      </c>
      <c r="AX1300">
        <v>1219</v>
      </c>
      <c r="AY1300">
        <v>12059</v>
      </c>
      <c r="AZ1300">
        <v>4202</v>
      </c>
      <c r="BA1300">
        <v>7438</v>
      </c>
      <c r="BB1300">
        <v>1432</v>
      </c>
      <c r="BC1300">
        <v>13072</v>
      </c>
      <c r="BD1300">
        <v>9486</v>
      </c>
      <c r="BE1300">
        <v>9222</v>
      </c>
      <c r="BF1300">
        <v>1768</v>
      </c>
      <c r="BG1300">
        <v>20476</v>
      </c>
      <c r="BH1300">
        <v>0</v>
      </c>
      <c r="BI1300">
        <v>0</v>
      </c>
      <c r="BJ1300">
        <v>0</v>
      </c>
      <c r="BK1300">
        <v>0</v>
      </c>
      <c r="BL1300" s="2">
        <v>24.82</v>
      </c>
      <c r="BM1300" s="2">
        <v>42005.095138888886</v>
      </c>
      <c r="BN1300" s="2">
        <v>5.4</v>
      </c>
      <c r="BO1300" s="2">
        <v>42005.092361111114</v>
      </c>
      <c r="BP1300" s="2">
        <v>6.92</v>
      </c>
      <c r="BQ1300" s="2">
        <v>42005.092361111114</v>
      </c>
      <c r="BR1300" s="2">
        <v>11.07</v>
      </c>
      <c r="BS1300" s="2">
        <v>42005.092361111114</v>
      </c>
      <c r="BT1300">
        <v>0</v>
      </c>
      <c r="BU1300">
        <v>0</v>
      </c>
      <c r="BV1300" t="s">
        <v>135</v>
      </c>
      <c r="BW1300">
        <v>0</v>
      </c>
      <c r="BX1300">
        <v>0</v>
      </c>
      <c r="BY1300" t="s">
        <v>135</v>
      </c>
      <c r="BZ1300">
        <v>0</v>
      </c>
      <c r="CA1300">
        <v>0</v>
      </c>
      <c r="CB1300" t="s">
        <v>135</v>
      </c>
      <c r="CH1300" s="2"/>
      <c r="CJ1300" s="2"/>
      <c r="CL1300" s="2"/>
      <c r="CN1300" s="2"/>
      <c r="CQ1300" s="2"/>
      <c r="CT1300" s="2"/>
      <c r="CW1300" s="2"/>
    </row>
    <row r="1301" spans="1:101" x14ac:dyDescent="0.25">
      <c r="A1301" s="1" t="s">
        <v>163</v>
      </c>
      <c r="B1301" s="75" t="s">
        <v>164</v>
      </c>
      <c r="C1301">
        <v>0</v>
      </c>
      <c r="D1301">
        <v>0</v>
      </c>
      <c r="E1301">
        <v>0</v>
      </c>
      <c r="F1301">
        <v>604324.56000000006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3.91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7490</v>
      </c>
      <c r="AW1301">
        <v>3350</v>
      </c>
      <c r="AX1301">
        <v>1219</v>
      </c>
      <c r="AY1301">
        <v>12059</v>
      </c>
      <c r="AZ1301">
        <v>4202</v>
      </c>
      <c r="BA1301">
        <v>7438</v>
      </c>
      <c r="BB1301">
        <v>1432</v>
      </c>
      <c r="BC1301">
        <v>13072</v>
      </c>
      <c r="BD1301">
        <v>9486</v>
      </c>
      <c r="BE1301">
        <v>9222</v>
      </c>
      <c r="BF1301">
        <v>1768</v>
      </c>
      <c r="BG1301">
        <v>20476</v>
      </c>
      <c r="BH1301">
        <v>0</v>
      </c>
      <c r="BI1301">
        <v>0</v>
      </c>
      <c r="BJ1301">
        <v>0</v>
      </c>
      <c r="BK1301">
        <v>0</v>
      </c>
      <c r="BL1301" s="2">
        <v>24.82</v>
      </c>
      <c r="BM1301" s="2">
        <v>42005.095138888886</v>
      </c>
      <c r="BN1301" s="2">
        <v>5.4</v>
      </c>
      <c r="BO1301" s="2">
        <v>42005.092361111114</v>
      </c>
      <c r="BP1301" s="2">
        <v>6.92</v>
      </c>
      <c r="BQ1301" s="2">
        <v>42005.092361111114</v>
      </c>
      <c r="BR1301" s="2">
        <v>11.07</v>
      </c>
      <c r="BS1301" s="2">
        <v>42005.092361111114</v>
      </c>
      <c r="BT1301">
        <v>0</v>
      </c>
      <c r="BU1301">
        <v>0</v>
      </c>
      <c r="BV1301" t="s">
        <v>135</v>
      </c>
      <c r="BW1301">
        <v>0</v>
      </c>
      <c r="BX1301">
        <v>0</v>
      </c>
      <c r="BY1301" t="s">
        <v>135</v>
      </c>
      <c r="BZ1301">
        <v>0</v>
      </c>
      <c r="CA1301">
        <v>0</v>
      </c>
      <c r="CB1301" t="s">
        <v>135</v>
      </c>
      <c r="CH1301" s="2"/>
      <c r="CJ1301" s="2"/>
      <c r="CL1301" s="2"/>
      <c r="CN1301" s="2"/>
      <c r="CQ1301" s="2"/>
      <c r="CT1301" s="2"/>
      <c r="CW1301" s="2"/>
    </row>
    <row r="1302" spans="1:101" x14ac:dyDescent="0.25">
      <c r="A1302" s="1" t="s">
        <v>163</v>
      </c>
      <c r="B1302" s="75" t="s">
        <v>164</v>
      </c>
      <c r="C1302">
        <v>0</v>
      </c>
      <c r="D1302">
        <v>0</v>
      </c>
      <c r="E1302">
        <v>0</v>
      </c>
      <c r="F1302">
        <v>604324.56000000006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3.91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7490</v>
      </c>
      <c r="AW1302">
        <v>3350</v>
      </c>
      <c r="AX1302">
        <v>1219</v>
      </c>
      <c r="AY1302">
        <v>12059</v>
      </c>
      <c r="AZ1302">
        <v>4202</v>
      </c>
      <c r="BA1302">
        <v>7438</v>
      </c>
      <c r="BB1302">
        <v>1432</v>
      </c>
      <c r="BC1302">
        <v>13072</v>
      </c>
      <c r="BD1302">
        <v>9486</v>
      </c>
      <c r="BE1302">
        <v>9222</v>
      </c>
      <c r="BF1302">
        <v>1768</v>
      </c>
      <c r="BG1302">
        <v>20476</v>
      </c>
      <c r="BH1302">
        <v>0</v>
      </c>
      <c r="BI1302">
        <v>0</v>
      </c>
      <c r="BJ1302">
        <v>0</v>
      </c>
      <c r="BK1302">
        <v>0</v>
      </c>
      <c r="BL1302" s="2">
        <v>24.82</v>
      </c>
      <c r="BM1302" s="2">
        <v>42005.095138888886</v>
      </c>
      <c r="BN1302" s="2">
        <v>5.4</v>
      </c>
      <c r="BO1302" s="2">
        <v>42005.092361111114</v>
      </c>
      <c r="BP1302" s="2">
        <v>6.92</v>
      </c>
      <c r="BQ1302" s="2">
        <v>42005.092361111114</v>
      </c>
      <c r="BR1302" s="2">
        <v>11.07</v>
      </c>
      <c r="BS1302" s="2">
        <v>42005.092361111114</v>
      </c>
      <c r="BT1302">
        <v>0</v>
      </c>
      <c r="BU1302">
        <v>0</v>
      </c>
      <c r="BV1302" t="s">
        <v>135</v>
      </c>
      <c r="BW1302">
        <v>0</v>
      </c>
      <c r="BX1302">
        <v>0</v>
      </c>
      <c r="BY1302" t="s">
        <v>135</v>
      </c>
      <c r="BZ1302">
        <v>0</v>
      </c>
      <c r="CA1302">
        <v>0</v>
      </c>
      <c r="CB1302" t="s">
        <v>135</v>
      </c>
      <c r="CH1302" s="2"/>
      <c r="CJ1302" s="2"/>
      <c r="CL1302" s="2"/>
      <c r="CN1302" s="2"/>
      <c r="CQ1302" s="2"/>
      <c r="CT1302" s="2"/>
      <c r="CW1302" s="2"/>
    </row>
    <row r="1303" spans="1:101" x14ac:dyDescent="0.25">
      <c r="A1303" s="1" t="s">
        <v>163</v>
      </c>
      <c r="B1303" s="75" t="s">
        <v>164</v>
      </c>
      <c r="C1303">
        <v>0</v>
      </c>
      <c r="D1303">
        <v>0</v>
      </c>
      <c r="E1303">
        <v>0</v>
      </c>
      <c r="F1303">
        <v>604324.56000000006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3.91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7490</v>
      </c>
      <c r="AW1303">
        <v>3350</v>
      </c>
      <c r="AX1303">
        <v>1219</v>
      </c>
      <c r="AY1303">
        <v>12059</v>
      </c>
      <c r="AZ1303">
        <v>4202</v>
      </c>
      <c r="BA1303">
        <v>7438</v>
      </c>
      <c r="BB1303">
        <v>1432</v>
      </c>
      <c r="BC1303">
        <v>13072</v>
      </c>
      <c r="BD1303">
        <v>9486</v>
      </c>
      <c r="BE1303">
        <v>9222</v>
      </c>
      <c r="BF1303">
        <v>1768</v>
      </c>
      <c r="BG1303">
        <v>20476</v>
      </c>
      <c r="BH1303">
        <v>0</v>
      </c>
      <c r="BI1303">
        <v>0</v>
      </c>
      <c r="BJ1303">
        <v>0</v>
      </c>
      <c r="BK1303">
        <v>0</v>
      </c>
      <c r="BL1303" s="2">
        <v>24.82</v>
      </c>
      <c r="BM1303" s="2">
        <v>42005.095138888886</v>
      </c>
      <c r="BN1303" s="2">
        <v>5.4</v>
      </c>
      <c r="BO1303" s="2">
        <v>42005.092361111114</v>
      </c>
      <c r="BP1303" s="2">
        <v>6.92</v>
      </c>
      <c r="BQ1303" s="2">
        <v>42005.092361111114</v>
      </c>
      <c r="BR1303" s="2">
        <v>11.07</v>
      </c>
      <c r="BS1303" s="2">
        <v>42005.092361111114</v>
      </c>
      <c r="BT1303">
        <v>0</v>
      </c>
      <c r="BU1303">
        <v>0</v>
      </c>
      <c r="BV1303" t="s">
        <v>135</v>
      </c>
      <c r="BW1303">
        <v>0</v>
      </c>
      <c r="BX1303">
        <v>0</v>
      </c>
      <c r="BY1303" t="s">
        <v>135</v>
      </c>
      <c r="BZ1303">
        <v>0</v>
      </c>
      <c r="CA1303">
        <v>0</v>
      </c>
      <c r="CB1303" t="s">
        <v>135</v>
      </c>
      <c r="CH1303" s="2"/>
      <c r="CJ1303" s="2"/>
      <c r="CL1303" s="2"/>
      <c r="CN1303" s="2"/>
      <c r="CQ1303" s="2"/>
      <c r="CT1303" s="2"/>
      <c r="CW1303" s="2"/>
    </row>
    <row r="1304" spans="1:101" x14ac:dyDescent="0.25">
      <c r="A1304" s="1" t="s">
        <v>163</v>
      </c>
      <c r="B1304" s="75" t="s">
        <v>164</v>
      </c>
      <c r="C1304">
        <v>0</v>
      </c>
      <c r="D1304">
        <v>0</v>
      </c>
      <c r="E1304">
        <v>0</v>
      </c>
      <c r="F1304">
        <v>604324.56000000006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3.91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7490</v>
      </c>
      <c r="AW1304">
        <v>3350</v>
      </c>
      <c r="AX1304">
        <v>1219</v>
      </c>
      <c r="AY1304">
        <v>12059</v>
      </c>
      <c r="AZ1304">
        <v>4202</v>
      </c>
      <c r="BA1304">
        <v>7438</v>
      </c>
      <c r="BB1304">
        <v>1432</v>
      </c>
      <c r="BC1304">
        <v>13072</v>
      </c>
      <c r="BD1304">
        <v>9486</v>
      </c>
      <c r="BE1304">
        <v>9222</v>
      </c>
      <c r="BF1304">
        <v>1768</v>
      </c>
      <c r="BG1304">
        <v>20476</v>
      </c>
      <c r="BH1304">
        <v>0</v>
      </c>
      <c r="BI1304">
        <v>0</v>
      </c>
      <c r="BJ1304">
        <v>0</v>
      </c>
      <c r="BK1304">
        <v>0</v>
      </c>
      <c r="BL1304" s="2">
        <v>24.82</v>
      </c>
      <c r="BM1304" s="2">
        <v>42005.095138888886</v>
      </c>
      <c r="BN1304" s="2">
        <v>5.4</v>
      </c>
      <c r="BO1304" s="2">
        <v>42005.092361111114</v>
      </c>
      <c r="BP1304" s="2">
        <v>6.92</v>
      </c>
      <c r="BQ1304" s="2">
        <v>42005.092361111114</v>
      </c>
      <c r="BR1304" s="2">
        <v>11.07</v>
      </c>
      <c r="BS1304" s="2">
        <v>42005.092361111114</v>
      </c>
      <c r="BT1304">
        <v>0</v>
      </c>
      <c r="BU1304">
        <v>0</v>
      </c>
      <c r="BV1304" t="s">
        <v>135</v>
      </c>
      <c r="BW1304">
        <v>0</v>
      </c>
      <c r="BX1304">
        <v>0</v>
      </c>
      <c r="BY1304" t="s">
        <v>135</v>
      </c>
      <c r="BZ1304">
        <v>0</v>
      </c>
      <c r="CA1304">
        <v>0</v>
      </c>
      <c r="CB1304" t="s">
        <v>135</v>
      </c>
      <c r="CH1304" s="2"/>
      <c r="CJ1304" s="2"/>
      <c r="CL1304" s="2"/>
      <c r="CN1304" s="2"/>
      <c r="CQ1304" s="2"/>
      <c r="CT1304" s="2"/>
      <c r="CW1304" s="2"/>
    </row>
    <row r="1305" spans="1:101" x14ac:dyDescent="0.25">
      <c r="A1305" s="1" t="s">
        <v>163</v>
      </c>
      <c r="B1305" s="75" t="s">
        <v>164</v>
      </c>
      <c r="C1305">
        <v>0</v>
      </c>
      <c r="D1305">
        <v>0</v>
      </c>
      <c r="E1305">
        <v>0</v>
      </c>
      <c r="F1305">
        <v>604324.56000000006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3.91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7490</v>
      </c>
      <c r="AW1305">
        <v>3350</v>
      </c>
      <c r="AX1305">
        <v>1219</v>
      </c>
      <c r="AY1305">
        <v>12059</v>
      </c>
      <c r="AZ1305">
        <v>4202</v>
      </c>
      <c r="BA1305">
        <v>7438</v>
      </c>
      <c r="BB1305">
        <v>1432</v>
      </c>
      <c r="BC1305">
        <v>13072</v>
      </c>
      <c r="BD1305">
        <v>9486</v>
      </c>
      <c r="BE1305">
        <v>9222</v>
      </c>
      <c r="BF1305">
        <v>1768</v>
      </c>
      <c r="BG1305">
        <v>20476</v>
      </c>
      <c r="BH1305">
        <v>0</v>
      </c>
      <c r="BI1305">
        <v>0</v>
      </c>
      <c r="BJ1305">
        <v>0</v>
      </c>
      <c r="BK1305">
        <v>0</v>
      </c>
      <c r="BL1305" s="2">
        <v>24.82</v>
      </c>
      <c r="BM1305" s="2">
        <v>42005.095138888886</v>
      </c>
      <c r="BN1305" s="2">
        <v>5.4</v>
      </c>
      <c r="BO1305" s="2">
        <v>42005.092361111114</v>
      </c>
      <c r="BP1305" s="2">
        <v>6.92</v>
      </c>
      <c r="BQ1305" s="2">
        <v>42005.092361111114</v>
      </c>
      <c r="BR1305" s="2">
        <v>11.07</v>
      </c>
      <c r="BS1305" s="2">
        <v>42005.092361111114</v>
      </c>
      <c r="BT1305">
        <v>0</v>
      </c>
      <c r="BU1305">
        <v>0</v>
      </c>
      <c r="BV1305" t="s">
        <v>135</v>
      </c>
      <c r="BW1305">
        <v>0</v>
      </c>
      <c r="BX1305">
        <v>0</v>
      </c>
      <c r="BY1305" t="s">
        <v>135</v>
      </c>
      <c r="BZ1305">
        <v>0</v>
      </c>
      <c r="CA1305">
        <v>0</v>
      </c>
      <c r="CB1305" t="s">
        <v>135</v>
      </c>
      <c r="CH1305" s="2"/>
      <c r="CJ1305" s="2"/>
      <c r="CL1305" s="2"/>
      <c r="CN1305" s="2"/>
      <c r="CQ1305" s="2"/>
      <c r="CT1305" s="2"/>
      <c r="CW1305" s="2"/>
    </row>
    <row r="1306" spans="1:101" x14ac:dyDescent="0.25">
      <c r="A1306" s="1" t="s">
        <v>163</v>
      </c>
      <c r="B1306" s="75" t="s">
        <v>164</v>
      </c>
      <c r="C1306">
        <v>0</v>
      </c>
      <c r="D1306">
        <v>0</v>
      </c>
      <c r="E1306">
        <v>0</v>
      </c>
      <c r="F1306">
        <v>604324.56000000006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3.91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7490</v>
      </c>
      <c r="AW1306">
        <v>3350</v>
      </c>
      <c r="AX1306">
        <v>1219</v>
      </c>
      <c r="AY1306">
        <v>12059</v>
      </c>
      <c r="AZ1306">
        <v>4202</v>
      </c>
      <c r="BA1306">
        <v>7438</v>
      </c>
      <c r="BB1306">
        <v>1432</v>
      </c>
      <c r="BC1306">
        <v>13072</v>
      </c>
      <c r="BD1306">
        <v>9486</v>
      </c>
      <c r="BE1306">
        <v>9222</v>
      </c>
      <c r="BF1306">
        <v>1768</v>
      </c>
      <c r="BG1306">
        <v>20476</v>
      </c>
      <c r="BH1306">
        <v>0</v>
      </c>
      <c r="BI1306">
        <v>0</v>
      </c>
      <c r="BJ1306">
        <v>0</v>
      </c>
      <c r="BK1306">
        <v>0</v>
      </c>
      <c r="BL1306" s="2">
        <v>24.82</v>
      </c>
      <c r="BM1306" s="2">
        <v>42005.095138888886</v>
      </c>
      <c r="BN1306" s="2">
        <v>5.4</v>
      </c>
      <c r="BO1306" s="2">
        <v>42005.092361111114</v>
      </c>
      <c r="BP1306" s="2">
        <v>6.92</v>
      </c>
      <c r="BQ1306" s="2">
        <v>42005.092361111114</v>
      </c>
      <c r="BR1306" s="2">
        <v>11.07</v>
      </c>
      <c r="BS1306" s="2">
        <v>42005.092361111114</v>
      </c>
      <c r="BT1306">
        <v>0</v>
      </c>
      <c r="BU1306">
        <v>0</v>
      </c>
      <c r="BV1306" t="s">
        <v>135</v>
      </c>
      <c r="BW1306">
        <v>0</v>
      </c>
      <c r="BX1306">
        <v>0</v>
      </c>
      <c r="BY1306" t="s">
        <v>135</v>
      </c>
      <c r="BZ1306">
        <v>0</v>
      </c>
      <c r="CA1306">
        <v>0</v>
      </c>
      <c r="CB1306" t="s">
        <v>135</v>
      </c>
      <c r="CH1306" s="2"/>
      <c r="CJ1306" s="2"/>
      <c r="CL1306" s="2"/>
      <c r="CN1306" s="2"/>
      <c r="CQ1306" s="2"/>
      <c r="CT1306" s="2"/>
      <c r="CW1306" s="2"/>
    </row>
    <row r="1307" spans="1:101" x14ac:dyDescent="0.25">
      <c r="A1307" s="1" t="s">
        <v>163</v>
      </c>
      <c r="B1307" s="75" t="s">
        <v>164</v>
      </c>
      <c r="C1307">
        <v>0</v>
      </c>
      <c r="D1307">
        <v>0</v>
      </c>
      <c r="E1307">
        <v>0</v>
      </c>
      <c r="F1307">
        <v>604324.56000000006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3.91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7490</v>
      </c>
      <c r="AW1307">
        <v>3350</v>
      </c>
      <c r="AX1307">
        <v>1219</v>
      </c>
      <c r="AY1307">
        <v>12059</v>
      </c>
      <c r="AZ1307">
        <v>4202</v>
      </c>
      <c r="BA1307">
        <v>7438</v>
      </c>
      <c r="BB1307">
        <v>1432</v>
      </c>
      <c r="BC1307">
        <v>13072</v>
      </c>
      <c r="BD1307">
        <v>9486</v>
      </c>
      <c r="BE1307">
        <v>9222</v>
      </c>
      <c r="BF1307">
        <v>1768</v>
      </c>
      <c r="BG1307">
        <v>20476</v>
      </c>
      <c r="BH1307">
        <v>0</v>
      </c>
      <c r="BI1307">
        <v>0</v>
      </c>
      <c r="BJ1307">
        <v>0</v>
      </c>
      <c r="BK1307">
        <v>0</v>
      </c>
      <c r="BL1307" s="2">
        <v>24.82</v>
      </c>
      <c r="BM1307" s="2">
        <v>42005.095138888886</v>
      </c>
      <c r="BN1307" s="2">
        <v>5.4</v>
      </c>
      <c r="BO1307" s="2">
        <v>42005.092361111114</v>
      </c>
      <c r="BP1307" s="2">
        <v>6.92</v>
      </c>
      <c r="BQ1307" s="2">
        <v>42005.092361111114</v>
      </c>
      <c r="BR1307" s="2">
        <v>11.07</v>
      </c>
      <c r="BS1307" s="2">
        <v>42005.092361111114</v>
      </c>
      <c r="BT1307">
        <v>0</v>
      </c>
      <c r="BU1307">
        <v>0</v>
      </c>
      <c r="BV1307" t="s">
        <v>135</v>
      </c>
      <c r="BW1307">
        <v>0</v>
      </c>
      <c r="BX1307">
        <v>0</v>
      </c>
      <c r="BY1307" t="s">
        <v>135</v>
      </c>
      <c r="BZ1307">
        <v>0</v>
      </c>
      <c r="CA1307">
        <v>0</v>
      </c>
      <c r="CB1307" t="s">
        <v>135</v>
      </c>
      <c r="CH1307" s="2"/>
      <c r="CJ1307" s="2"/>
      <c r="CL1307" s="2"/>
      <c r="CN1307" s="2"/>
      <c r="CQ1307" s="2"/>
      <c r="CT1307" s="2"/>
      <c r="CW1307" s="2"/>
    </row>
    <row r="1308" spans="1:101" x14ac:dyDescent="0.25">
      <c r="A1308" s="1" t="s">
        <v>163</v>
      </c>
      <c r="B1308" s="75" t="s">
        <v>164</v>
      </c>
      <c r="C1308">
        <v>0</v>
      </c>
      <c r="D1308">
        <v>0</v>
      </c>
      <c r="E1308">
        <v>0</v>
      </c>
      <c r="F1308">
        <v>604324.56000000006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3.91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7490</v>
      </c>
      <c r="AW1308">
        <v>3350</v>
      </c>
      <c r="AX1308">
        <v>1219</v>
      </c>
      <c r="AY1308">
        <v>12059</v>
      </c>
      <c r="AZ1308">
        <v>4202</v>
      </c>
      <c r="BA1308">
        <v>7438</v>
      </c>
      <c r="BB1308">
        <v>1432</v>
      </c>
      <c r="BC1308">
        <v>13072</v>
      </c>
      <c r="BD1308">
        <v>9486</v>
      </c>
      <c r="BE1308">
        <v>9222</v>
      </c>
      <c r="BF1308">
        <v>1768</v>
      </c>
      <c r="BG1308">
        <v>20476</v>
      </c>
      <c r="BH1308">
        <v>0</v>
      </c>
      <c r="BI1308">
        <v>0</v>
      </c>
      <c r="BJ1308">
        <v>0</v>
      </c>
      <c r="BK1308">
        <v>0</v>
      </c>
      <c r="BL1308" s="2">
        <v>24.82</v>
      </c>
      <c r="BM1308" s="2">
        <v>42005.095138888886</v>
      </c>
      <c r="BN1308" s="2">
        <v>5.4</v>
      </c>
      <c r="BO1308" s="2">
        <v>42005.092361111114</v>
      </c>
      <c r="BP1308" s="2">
        <v>6.92</v>
      </c>
      <c r="BQ1308" s="2">
        <v>42005.092361111114</v>
      </c>
      <c r="BR1308" s="2">
        <v>11.07</v>
      </c>
      <c r="BS1308" s="2">
        <v>42005.092361111114</v>
      </c>
      <c r="BT1308">
        <v>0</v>
      </c>
      <c r="BU1308">
        <v>0</v>
      </c>
      <c r="BV1308" t="s">
        <v>135</v>
      </c>
      <c r="BW1308">
        <v>0</v>
      </c>
      <c r="BX1308">
        <v>0</v>
      </c>
      <c r="BY1308" t="s">
        <v>135</v>
      </c>
      <c r="BZ1308">
        <v>0</v>
      </c>
      <c r="CA1308">
        <v>0</v>
      </c>
      <c r="CB1308" t="s">
        <v>135</v>
      </c>
      <c r="CH1308" s="2"/>
      <c r="CJ1308" s="2"/>
      <c r="CL1308" s="2"/>
      <c r="CN1308" s="2"/>
      <c r="CQ1308" s="2"/>
      <c r="CT1308" s="2"/>
      <c r="CW1308" s="2"/>
    </row>
    <row r="1309" spans="1:101" x14ac:dyDescent="0.25">
      <c r="A1309" s="1" t="s">
        <v>163</v>
      </c>
      <c r="B1309" s="75" t="s">
        <v>164</v>
      </c>
      <c r="C1309">
        <v>0</v>
      </c>
      <c r="D1309">
        <v>0</v>
      </c>
      <c r="E1309">
        <v>0</v>
      </c>
      <c r="F1309">
        <v>604324.56000000006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3.91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7490</v>
      </c>
      <c r="AW1309">
        <v>3350</v>
      </c>
      <c r="AX1309">
        <v>1219</v>
      </c>
      <c r="AY1309">
        <v>12059</v>
      </c>
      <c r="AZ1309">
        <v>4202</v>
      </c>
      <c r="BA1309">
        <v>7438</v>
      </c>
      <c r="BB1309">
        <v>1432</v>
      </c>
      <c r="BC1309">
        <v>13072</v>
      </c>
      <c r="BD1309">
        <v>9486</v>
      </c>
      <c r="BE1309">
        <v>9222</v>
      </c>
      <c r="BF1309">
        <v>1768</v>
      </c>
      <c r="BG1309">
        <v>20476</v>
      </c>
      <c r="BH1309">
        <v>0</v>
      </c>
      <c r="BI1309">
        <v>0</v>
      </c>
      <c r="BJ1309">
        <v>0</v>
      </c>
      <c r="BK1309">
        <v>0</v>
      </c>
      <c r="BL1309" s="2">
        <v>24.82</v>
      </c>
      <c r="BM1309" s="2">
        <v>42005.095138888886</v>
      </c>
      <c r="BN1309" s="2">
        <v>5.4</v>
      </c>
      <c r="BO1309" s="2">
        <v>42005.092361111114</v>
      </c>
      <c r="BP1309" s="2">
        <v>6.92</v>
      </c>
      <c r="BQ1309" s="2">
        <v>42005.092361111114</v>
      </c>
      <c r="BR1309" s="2">
        <v>11.07</v>
      </c>
      <c r="BS1309" s="2">
        <v>42005.092361111114</v>
      </c>
      <c r="BT1309">
        <v>0</v>
      </c>
      <c r="BU1309">
        <v>0</v>
      </c>
      <c r="BV1309" t="s">
        <v>135</v>
      </c>
      <c r="BW1309">
        <v>0</v>
      </c>
      <c r="BX1309">
        <v>0</v>
      </c>
      <c r="BY1309" t="s">
        <v>135</v>
      </c>
      <c r="BZ1309">
        <v>0</v>
      </c>
      <c r="CA1309">
        <v>0</v>
      </c>
      <c r="CB1309" t="s">
        <v>135</v>
      </c>
      <c r="CH1309" s="2"/>
      <c r="CJ1309" s="2"/>
      <c r="CL1309" s="2"/>
      <c r="CN1309" s="2"/>
      <c r="CQ1309" s="2"/>
      <c r="CT1309" s="2"/>
      <c r="CW1309" s="2"/>
    </row>
    <row r="1310" spans="1:101" x14ac:dyDescent="0.25">
      <c r="A1310" s="1" t="s">
        <v>163</v>
      </c>
      <c r="B1310" s="75" t="s">
        <v>164</v>
      </c>
      <c r="C1310">
        <v>0</v>
      </c>
      <c r="D1310">
        <v>0</v>
      </c>
      <c r="E1310">
        <v>0</v>
      </c>
      <c r="F1310">
        <v>604324.56000000006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3.91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7490</v>
      </c>
      <c r="AW1310">
        <v>3350</v>
      </c>
      <c r="AX1310">
        <v>1219</v>
      </c>
      <c r="AY1310">
        <v>12059</v>
      </c>
      <c r="AZ1310">
        <v>4202</v>
      </c>
      <c r="BA1310">
        <v>7438</v>
      </c>
      <c r="BB1310">
        <v>1432</v>
      </c>
      <c r="BC1310">
        <v>13072</v>
      </c>
      <c r="BD1310">
        <v>9486</v>
      </c>
      <c r="BE1310">
        <v>9222</v>
      </c>
      <c r="BF1310">
        <v>1768</v>
      </c>
      <c r="BG1310">
        <v>20476</v>
      </c>
      <c r="BH1310">
        <v>0</v>
      </c>
      <c r="BI1310">
        <v>0</v>
      </c>
      <c r="BJ1310">
        <v>0</v>
      </c>
      <c r="BK1310">
        <v>0</v>
      </c>
      <c r="BL1310" s="2">
        <v>24.82</v>
      </c>
      <c r="BM1310" s="2">
        <v>42005.095138888886</v>
      </c>
      <c r="BN1310" s="2">
        <v>5.4</v>
      </c>
      <c r="BO1310" s="2">
        <v>42005.092361111114</v>
      </c>
      <c r="BP1310" s="2">
        <v>6.92</v>
      </c>
      <c r="BQ1310" s="2">
        <v>42005.092361111114</v>
      </c>
      <c r="BR1310" s="2">
        <v>11.07</v>
      </c>
      <c r="BS1310" s="2">
        <v>42005.092361111114</v>
      </c>
      <c r="BT1310">
        <v>0</v>
      </c>
      <c r="BU1310">
        <v>0</v>
      </c>
      <c r="BV1310" t="s">
        <v>135</v>
      </c>
      <c r="BW1310">
        <v>0</v>
      </c>
      <c r="BX1310">
        <v>0</v>
      </c>
      <c r="BY1310" t="s">
        <v>135</v>
      </c>
      <c r="BZ1310">
        <v>0</v>
      </c>
      <c r="CA1310">
        <v>0</v>
      </c>
      <c r="CB1310" t="s">
        <v>135</v>
      </c>
      <c r="CH1310" s="2"/>
      <c r="CJ1310" s="2"/>
      <c r="CL1310" s="2"/>
      <c r="CN1310" s="2"/>
      <c r="CQ1310" s="2"/>
      <c r="CT1310" s="2"/>
      <c r="CW1310" s="2"/>
    </row>
    <row r="1311" spans="1:101" x14ac:dyDescent="0.25">
      <c r="A1311" s="1" t="s">
        <v>163</v>
      </c>
      <c r="B1311" s="75" t="s">
        <v>164</v>
      </c>
      <c r="C1311">
        <v>0</v>
      </c>
      <c r="D1311">
        <v>0</v>
      </c>
      <c r="E1311">
        <v>0</v>
      </c>
      <c r="F1311">
        <v>604324.56000000006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3.91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7490</v>
      </c>
      <c r="AW1311">
        <v>3350</v>
      </c>
      <c r="AX1311">
        <v>1219</v>
      </c>
      <c r="AY1311">
        <v>12059</v>
      </c>
      <c r="AZ1311">
        <v>4202</v>
      </c>
      <c r="BA1311">
        <v>7438</v>
      </c>
      <c r="BB1311">
        <v>1432</v>
      </c>
      <c r="BC1311">
        <v>13072</v>
      </c>
      <c r="BD1311">
        <v>9486</v>
      </c>
      <c r="BE1311">
        <v>9222</v>
      </c>
      <c r="BF1311">
        <v>1768</v>
      </c>
      <c r="BG1311">
        <v>20476</v>
      </c>
      <c r="BH1311">
        <v>0</v>
      </c>
      <c r="BI1311">
        <v>0</v>
      </c>
      <c r="BJ1311">
        <v>0</v>
      </c>
      <c r="BK1311">
        <v>0</v>
      </c>
      <c r="BL1311" s="2">
        <v>24.82</v>
      </c>
      <c r="BM1311" s="2">
        <v>42005.095138888886</v>
      </c>
      <c r="BN1311" s="2">
        <v>5.4</v>
      </c>
      <c r="BO1311" s="2">
        <v>42005.092361111114</v>
      </c>
      <c r="BP1311" s="2">
        <v>6.92</v>
      </c>
      <c r="BQ1311" s="2">
        <v>42005.092361111114</v>
      </c>
      <c r="BR1311" s="2">
        <v>11.07</v>
      </c>
      <c r="BS1311" s="2">
        <v>42005.092361111114</v>
      </c>
      <c r="BT1311">
        <v>0</v>
      </c>
      <c r="BU1311">
        <v>0</v>
      </c>
      <c r="BV1311" t="s">
        <v>135</v>
      </c>
      <c r="BW1311">
        <v>0</v>
      </c>
      <c r="BX1311">
        <v>0</v>
      </c>
      <c r="BY1311" t="s">
        <v>135</v>
      </c>
      <c r="BZ1311">
        <v>0</v>
      </c>
      <c r="CA1311">
        <v>0</v>
      </c>
      <c r="CB1311" t="s">
        <v>135</v>
      </c>
      <c r="CH1311" s="2"/>
      <c r="CJ1311" s="2"/>
      <c r="CL1311" s="2"/>
      <c r="CN1311" s="2"/>
      <c r="CQ1311" s="2"/>
      <c r="CT1311" s="2"/>
      <c r="CW1311" s="2"/>
    </row>
    <row r="1312" spans="1:101" x14ac:dyDescent="0.25">
      <c r="A1312" s="1" t="s">
        <v>163</v>
      </c>
      <c r="B1312" s="75" t="s">
        <v>164</v>
      </c>
      <c r="C1312">
        <v>0</v>
      </c>
      <c r="D1312">
        <v>0</v>
      </c>
      <c r="E1312">
        <v>0</v>
      </c>
      <c r="F1312">
        <v>604324.56000000006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3.91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7490</v>
      </c>
      <c r="AW1312">
        <v>3350</v>
      </c>
      <c r="AX1312">
        <v>1219</v>
      </c>
      <c r="AY1312">
        <v>12059</v>
      </c>
      <c r="AZ1312">
        <v>4202</v>
      </c>
      <c r="BA1312">
        <v>7438</v>
      </c>
      <c r="BB1312">
        <v>1432</v>
      </c>
      <c r="BC1312">
        <v>13072</v>
      </c>
      <c r="BD1312">
        <v>9486</v>
      </c>
      <c r="BE1312">
        <v>9222</v>
      </c>
      <c r="BF1312">
        <v>1768</v>
      </c>
      <c r="BG1312">
        <v>20476</v>
      </c>
      <c r="BH1312">
        <v>0</v>
      </c>
      <c r="BI1312">
        <v>0</v>
      </c>
      <c r="BJ1312">
        <v>0</v>
      </c>
      <c r="BK1312">
        <v>0</v>
      </c>
      <c r="BL1312" s="2">
        <v>24.82</v>
      </c>
      <c r="BM1312" s="2">
        <v>42005.095138888886</v>
      </c>
      <c r="BN1312" s="2">
        <v>5.4</v>
      </c>
      <c r="BO1312" s="2">
        <v>42005.092361111114</v>
      </c>
      <c r="BP1312" s="2">
        <v>6.92</v>
      </c>
      <c r="BQ1312" s="2">
        <v>42005.092361111114</v>
      </c>
      <c r="BR1312" s="2">
        <v>11.07</v>
      </c>
      <c r="BS1312" s="2">
        <v>42005.092361111114</v>
      </c>
      <c r="BT1312">
        <v>0</v>
      </c>
      <c r="BU1312">
        <v>0</v>
      </c>
      <c r="BV1312" t="s">
        <v>135</v>
      </c>
      <c r="BW1312">
        <v>0</v>
      </c>
      <c r="BX1312">
        <v>0</v>
      </c>
      <c r="BY1312" t="s">
        <v>135</v>
      </c>
      <c r="BZ1312">
        <v>0</v>
      </c>
      <c r="CA1312">
        <v>0</v>
      </c>
      <c r="CB1312" t="s">
        <v>135</v>
      </c>
      <c r="CH1312" s="2"/>
      <c r="CJ1312" s="2"/>
      <c r="CL1312" s="2"/>
      <c r="CN1312" s="2"/>
      <c r="CQ1312" s="2"/>
      <c r="CT1312" s="2"/>
      <c r="CW1312" s="2"/>
    </row>
    <row r="1313" spans="1:101" x14ac:dyDescent="0.25">
      <c r="A1313" s="1" t="s">
        <v>163</v>
      </c>
      <c r="B1313" s="75" t="s">
        <v>164</v>
      </c>
      <c r="C1313">
        <v>0</v>
      </c>
      <c r="D1313">
        <v>0</v>
      </c>
      <c r="E1313">
        <v>0</v>
      </c>
      <c r="F1313">
        <v>604324.56000000006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3.91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7490</v>
      </c>
      <c r="AW1313">
        <v>3350</v>
      </c>
      <c r="AX1313">
        <v>1219</v>
      </c>
      <c r="AY1313">
        <v>12059</v>
      </c>
      <c r="AZ1313">
        <v>4202</v>
      </c>
      <c r="BA1313">
        <v>7438</v>
      </c>
      <c r="BB1313">
        <v>1432</v>
      </c>
      <c r="BC1313">
        <v>13072</v>
      </c>
      <c r="BD1313">
        <v>9486</v>
      </c>
      <c r="BE1313">
        <v>9222</v>
      </c>
      <c r="BF1313">
        <v>1768</v>
      </c>
      <c r="BG1313">
        <v>20476</v>
      </c>
      <c r="BH1313">
        <v>0</v>
      </c>
      <c r="BI1313">
        <v>0</v>
      </c>
      <c r="BJ1313">
        <v>0</v>
      </c>
      <c r="BK1313">
        <v>0</v>
      </c>
      <c r="BL1313" s="2">
        <v>24.82</v>
      </c>
      <c r="BM1313" s="2">
        <v>42005.095138888886</v>
      </c>
      <c r="BN1313" s="2">
        <v>5.4</v>
      </c>
      <c r="BO1313" s="2">
        <v>42005.092361111114</v>
      </c>
      <c r="BP1313" s="2">
        <v>6.92</v>
      </c>
      <c r="BQ1313" s="2">
        <v>42005.092361111114</v>
      </c>
      <c r="BR1313" s="2">
        <v>11.07</v>
      </c>
      <c r="BS1313" s="2">
        <v>42005.092361111114</v>
      </c>
      <c r="BT1313">
        <v>0</v>
      </c>
      <c r="BU1313">
        <v>0</v>
      </c>
      <c r="BV1313" t="s">
        <v>135</v>
      </c>
      <c r="BW1313">
        <v>0</v>
      </c>
      <c r="BX1313">
        <v>0</v>
      </c>
      <c r="BY1313" t="s">
        <v>135</v>
      </c>
      <c r="BZ1313">
        <v>0</v>
      </c>
      <c r="CA1313">
        <v>0</v>
      </c>
      <c r="CB1313" t="s">
        <v>135</v>
      </c>
      <c r="CH1313" s="2"/>
      <c r="CJ1313" s="2"/>
      <c r="CL1313" s="2"/>
      <c r="CN1313" s="2"/>
      <c r="CQ1313" s="2"/>
      <c r="CT1313" s="2"/>
      <c r="CW1313" s="2"/>
    </row>
    <row r="1314" spans="1:101" x14ac:dyDescent="0.25">
      <c r="A1314" s="1" t="s">
        <v>163</v>
      </c>
      <c r="B1314" s="75" t="s">
        <v>164</v>
      </c>
      <c r="C1314">
        <v>0</v>
      </c>
      <c r="D1314">
        <v>0</v>
      </c>
      <c r="E1314">
        <v>0</v>
      </c>
      <c r="F1314">
        <v>604324.56000000006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3.91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7490</v>
      </c>
      <c r="AW1314">
        <v>3350</v>
      </c>
      <c r="AX1314">
        <v>1219</v>
      </c>
      <c r="AY1314">
        <v>12059</v>
      </c>
      <c r="AZ1314">
        <v>4202</v>
      </c>
      <c r="BA1314">
        <v>7438</v>
      </c>
      <c r="BB1314">
        <v>1432</v>
      </c>
      <c r="BC1314">
        <v>13072</v>
      </c>
      <c r="BD1314">
        <v>9486</v>
      </c>
      <c r="BE1314">
        <v>9222</v>
      </c>
      <c r="BF1314">
        <v>1768</v>
      </c>
      <c r="BG1314">
        <v>20476</v>
      </c>
      <c r="BH1314">
        <v>0</v>
      </c>
      <c r="BI1314">
        <v>0</v>
      </c>
      <c r="BJ1314">
        <v>0</v>
      </c>
      <c r="BK1314">
        <v>0</v>
      </c>
      <c r="BL1314" s="2">
        <v>24.82</v>
      </c>
      <c r="BM1314" s="2">
        <v>42005.095138888886</v>
      </c>
      <c r="BN1314" s="2">
        <v>5.4</v>
      </c>
      <c r="BO1314" s="2">
        <v>42005.092361111114</v>
      </c>
      <c r="BP1314" s="2">
        <v>6.92</v>
      </c>
      <c r="BQ1314" s="2">
        <v>42005.092361111114</v>
      </c>
      <c r="BR1314" s="2">
        <v>11.07</v>
      </c>
      <c r="BS1314" s="2">
        <v>42005.092361111114</v>
      </c>
      <c r="BT1314">
        <v>0</v>
      </c>
      <c r="BU1314">
        <v>0</v>
      </c>
      <c r="BV1314" t="s">
        <v>135</v>
      </c>
      <c r="BW1314">
        <v>0</v>
      </c>
      <c r="BX1314">
        <v>0</v>
      </c>
      <c r="BY1314" t="s">
        <v>135</v>
      </c>
      <c r="BZ1314">
        <v>0</v>
      </c>
      <c r="CA1314">
        <v>0</v>
      </c>
      <c r="CB1314" t="s">
        <v>135</v>
      </c>
      <c r="CH1314" s="2"/>
      <c r="CJ1314" s="2"/>
      <c r="CL1314" s="2"/>
      <c r="CN1314" s="2"/>
      <c r="CQ1314" s="2"/>
      <c r="CT1314" s="2"/>
      <c r="CW1314" s="2"/>
    </row>
    <row r="1315" spans="1:101" x14ac:dyDescent="0.25">
      <c r="A1315" s="1" t="s">
        <v>163</v>
      </c>
      <c r="B1315" s="75" t="s">
        <v>164</v>
      </c>
      <c r="C1315">
        <v>0</v>
      </c>
      <c r="D1315">
        <v>0</v>
      </c>
      <c r="E1315">
        <v>0</v>
      </c>
      <c r="F1315">
        <v>604324.56000000006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3.91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7490</v>
      </c>
      <c r="AW1315">
        <v>3350</v>
      </c>
      <c r="AX1315">
        <v>1219</v>
      </c>
      <c r="AY1315">
        <v>12059</v>
      </c>
      <c r="AZ1315">
        <v>4202</v>
      </c>
      <c r="BA1315">
        <v>7438</v>
      </c>
      <c r="BB1315">
        <v>1432</v>
      </c>
      <c r="BC1315">
        <v>13072</v>
      </c>
      <c r="BD1315">
        <v>9486</v>
      </c>
      <c r="BE1315">
        <v>9222</v>
      </c>
      <c r="BF1315">
        <v>1768</v>
      </c>
      <c r="BG1315">
        <v>20476</v>
      </c>
      <c r="BH1315">
        <v>0</v>
      </c>
      <c r="BI1315">
        <v>0</v>
      </c>
      <c r="BJ1315">
        <v>0</v>
      </c>
      <c r="BK1315">
        <v>0</v>
      </c>
      <c r="BL1315" s="2">
        <v>24.82</v>
      </c>
      <c r="BM1315" s="2">
        <v>42005.095138888886</v>
      </c>
      <c r="BN1315" s="2">
        <v>5.4</v>
      </c>
      <c r="BO1315" s="2">
        <v>42005.092361111114</v>
      </c>
      <c r="BP1315" s="2">
        <v>6.92</v>
      </c>
      <c r="BQ1315" s="2">
        <v>42005.092361111114</v>
      </c>
      <c r="BR1315" s="2">
        <v>11.07</v>
      </c>
      <c r="BS1315" s="2">
        <v>42005.092361111114</v>
      </c>
      <c r="BT1315">
        <v>0</v>
      </c>
      <c r="BU1315">
        <v>0</v>
      </c>
      <c r="BV1315" t="s">
        <v>135</v>
      </c>
      <c r="BW1315">
        <v>0</v>
      </c>
      <c r="BX1315">
        <v>0</v>
      </c>
      <c r="BY1315" t="s">
        <v>135</v>
      </c>
      <c r="BZ1315">
        <v>0</v>
      </c>
      <c r="CA1315">
        <v>0</v>
      </c>
      <c r="CB1315" t="s">
        <v>135</v>
      </c>
      <c r="CH1315" s="2"/>
      <c r="CJ1315" s="2"/>
      <c r="CL1315" s="2"/>
      <c r="CN1315" s="2"/>
      <c r="CQ1315" s="2"/>
      <c r="CT1315" s="2"/>
      <c r="CW1315" s="2"/>
    </row>
    <row r="1316" spans="1:101" x14ac:dyDescent="0.25">
      <c r="A1316" s="1" t="s">
        <v>163</v>
      </c>
      <c r="B1316" s="75" t="s">
        <v>164</v>
      </c>
      <c r="C1316">
        <v>0</v>
      </c>
      <c r="D1316">
        <v>0</v>
      </c>
      <c r="E1316">
        <v>0</v>
      </c>
      <c r="F1316">
        <v>604324.56000000006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3.91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7490</v>
      </c>
      <c r="AW1316">
        <v>3350</v>
      </c>
      <c r="AX1316">
        <v>1219</v>
      </c>
      <c r="AY1316">
        <v>12059</v>
      </c>
      <c r="AZ1316">
        <v>4202</v>
      </c>
      <c r="BA1316">
        <v>7438</v>
      </c>
      <c r="BB1316">
        <v>1432</v>
      </c>
      <c r="BC1316">
        <v>13072</v>
      </c>
      <c r="BD1316">
        <v>9486</v>
      </c>
      <c r="BE1316">
        <v>9222</v>
      </c>
      <c r="BF1316">
        <v>1768</v>
      </c>
      <c r="BG1316">
        <v>20476</v>
      </c>
      <c r="BH1316">
        <v>0</v>
      </c>
      <c r="BI1316">
        <v>0</v>
      </c>
      <c r="BJ1316">
        <v>0</v>
      </c>
      <c r="BK1316">
        <v>0</v>
      </c>
      <c r="BL1316" s="2">
        <v>24.82</v>
      </c>
      <c r="BM1316" s="2">
        <v>42005.095138888886</v>
      </c>
      <c r="BN1316" s="2">
        <v>5.4</v>
      </c>
      <c r="BO1316" s="2">
        <v>42005.092361111114</v>
      </c>
      <c r="BP1316" s="2">
        <v>6.92</v>
      </c>
      <c r="BQ1316" s="2">
        <v>42005.092361111114</v>
      </c>
      <c r="BR1316" s="2">
        <v>11.07</v>
      </c>
      <c r="BS1316" s="2">
        <v>42005.092361111114</v>
      </c>
      <c r="BT1316">
        <v>0</v>
      </c>
      <c r="BU1316">
        <v>0</v>
      </c>
      <c r="BV1316" t="s">
        <v>135</v>
      </c>
      <c r="BW1316">
        <v>0</v>
      </c>
      <c r="BX1316">
        <v>0</v>
      </c>
      <c r="BY1316" t="s">
        <v>135</v>
      </c>
      <c r="BZ1316">
        <v>0</v>
      </c>
      <c r="CA1316">
        <v>0</v>
      </c>
      <c r="CB1316" t="s">
        <v>135</v>
      </c>
      <c r="CH1316" s="2"/>
      <c r="CJ1316" s="2"/>
      <c r="CL1316" s="2"/>
      <c r="CN1316" s="2"/>
      <c r="CQ1316" s="2"/>
      <c r="CT1316" s="2"/>
      <c r="CW1316" s="2"/>
    </row>
    <row r="1317" spans="1:101" x14ac:dyDescent="0.25">
      <c r="A1317" s="1" t="s">
        <v>163</v>
      </c>
      <c r="B1317" s="75" t="s">
        <v>164</v>
      </c>
      <c r="C1317">
        <v>0</v>
      </c>
      <c r="D1317">
        <v>0</v>
      </c>
      <c r="E1317">
        <v>0</v>
      </c>
      <c r="F1317">
        <v>604324.56000000006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3.91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7490</v>
      </c>
      <c r="AW1317">
        <v>3350</v>
      </c>
      <c r="AX1317">
        <v>1219</v>
      </c>
      <c r="AY1317">
        <v>12059</v>
      </c>
      <c r="AZ1317">
        <v>4202</v>
      </c>
      <c r="BA1317">
        <v>7438</v>
      </c>
      <c r="BB1317">
        <v>1432</v>
      </c>
      <c r="BC1317">
        <v>13072</v>
      </c>
      <c r="BD1317">
        <v>9486</v>
      </c>
      <c r="BE1317">
        <v>9222</v>
      </c>
      <c r="BF1317">
        <v>1768</v>
      </c>
      <c r="BG1317">
        <v>20476</v>
      </c>
      <c r="BH1317">
        <v>0</v>
      </c>
      <c r="BI1317">
        <v>0</v>
      </c>
      <c r="BJ1317">
        <v>0</v>
      </c>
      <c r="BK1317">
        <v>0</v>
      </c>
      <c r="BL1317" s="2">
        <v>24.82</v>
      </c>
      <c r="BM1317" s="2">
        <v>42005.095138888886</v>
      </c>
      <c r="BN1317" s="2">
        <v>5.4</v>
      </c>
      <c r="BO1317" s="2">
        <v>42005.092361111114</v>
      </c>
      <c r="BP1317" s="2">
        <v>6.92</v>
      </c>
      <c r="BQ1317" s="2">
        <v>42005.092361111114</v>
      </c>
      <c r="BR1317" s="2">
        <v>11.07</v>
      </c>
      <c r="BS1317" s="2">
        <v>42005.092361111114</v>
      </c>
      <c r="BT1317">
        <v>0</v>
      </c>
      <c r="BU1317">
        <v>0</v>
      </c>
      <c r="BV1317" t="s">
        <v>135</v>
      </c>
      <c r="BW1317">
        <v>0</v>
      </c>
      <c r="BX1317">
        <v>0</v>
      </c>
      <c r="BY1317" t="s">
        <v>135</v>
      </c>
      <c r="BZ1317">
        <v>0</v>
      </c>
      <c r="CA1317">
        <v>0</v>
      </c>
      <c r="CB1317" t="s">
        <v>135</v>
      </c>
      <c r="CH1317" s="2"/>
      <c r="CJ1317" s="2"/>
      <c r="CL1317" s="2"/>
      <c r="CN1317" s="2"/>
      <c r="CQ1317" s="2"/>
      <c r="CT1317" s="2"/>
      <c r="CW1317" s="2"/>
    </row>
    <row r="1318" spans="1:101" x14ac:dyDescent="0.25">
      <c r="A1318" s="1" t="s">
        <v>163</v>
      </c>
      <c r="B1318" s="75" t="s">
        <v>164</v>
      </c>
      <c r="C1318">
        <v>0</v>
      </c>
      <c r="D1318">
        <v>0</v>
      </c>
      <c r="E1318">
        <v>0</v>
      </c>
      <c r="F1318">
        <v>604324.56000000006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3.91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7490</v>
      </c>
      <c r="AW1318">
        <v>3350</v>
      </c>
      <c r="AX1318">
        <v>1219</v>
      </c>
      <c r="AY1318">
        <v>12059</v>
      </c>
      <c r="AZ1318">
        <v>4202</v>
      </c>
      <c r="BA1318">
        <v>7438</v>
      </c>
      <c r="BB1318">
        <v>1432</v>
      </c>
      <c r="BC1318">
        <v>13072</v>
      </c>
      <c r="BD1318">
        <v>9486</v>
      </c>
      <c r="BE1318">
        <v>9222</v>
      </c>
      <c r="BF1318">
        <v>1768</v>
      </c>
      <c r="BG1318">
        <v>20476</v>
      </c>
      <c r="BH1318">
        <v>0</v>
      </c>
      <c r="BI1318">
        <v>0</v>
      </c>
      <c r="BJ1318">
        <v>0</v>
      </c>
      <c r="BK1318">
        <v>0</v>
      </c>
      <c r="BL1318" s="2">
        <v>24.82</v>
      </c>
      <c r="BM1318" s="2">
        <v>42005.095138888886</v>
      </c>
      <c r="BN1318" s="2">
        <v>5.4</v>
      </c>
      <c r="BO1318" s="2">
        <v>42005.092361111114</v>
      </c>
      <c r="BP1318" s="2">
        <v>6.92</v>
      </c>
      <c r="BQ1318" s="2">
        <v>42005.092361111114</v>
      </c>
      <c r="BR1318" s="2">
        <v>11.07</v>
      </c>
      <c r="BS1318" s="2">
        <v>42005.092361111114</v>
      </c>
      <c r="BT1318">
        <v>0</v>
      </c>
      <c r="BU1318">
        <v>0</v>
      </c>
      <c r="BV1318" t="s">
        <v>135</v>
      </c>
      <c r="BW1318">
        <v>0</v>
      </c>
      <c r="BX1318">
        <v>0</v>
      </c>
      <c r="BY1318" t="s">
        <v>135</v>
      </c>
      <c r="BZ1318">
        <v>0</v>
      </c>
      <c r="CA1318">
        <v>0</v>
      </c>
      <c r="CB1318" t="s">
        <v>135</v>
      </c>
      <c r="CH1318" s="2"/>
      <c r="CJ1318" s="2"/>
      <c r="CL1318" s="2"/>
      <c r="CN1318" s="2"/>
      <c r="CQ1318" s="2"/>
      <c r="CT1318" s="2"/>
      <c r="CW1318" s="2"/>
    </row>
    <row r="1319" spans="1:101" x14ac:dyDescent="0.25">
      <c r="A1319" s="1" t="s">
        <v>163</v>
      </c>
      <c r="B1319" s="75" t="s">
        <v>164</v>
      </c>
      <c r="C1319">
        <v>0</v>
      </c>
      <c r="D1319">
        <v>0</v>
      </c>
      <c r="E1319">
        <v>0</v>
      </c>
      <c r="F1319">
        <v>604324.56000000006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3.91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7490</v>
      </c>
      <c r="AW1319">
        <v>3350</v>
      </c>
      <c r="AX1319">
        <v>1219</v>
      </c>
      <c r="AY1319">
        <v>12059</v>
      </c>
      <c r="AZ1319">
        <v>4202</v>
      </c>
      <c r="BA1319">
        <v>7438</v>
      </c>
      <c r="BB1319">
        <v>1432</v>
      </c>
      <c r="BC1319">
        <v>13072</v>
      </c>
      <c r="BD1319">
        <v>9486</v>
      </c>
      <c r="BE1319">
        <v>9222</v>
      </c>
      <c r="BF1319">
        <v>1768</v>
      </c>
      <c r="BG1319">
        <v>20476</v>
      </c>
      <c r="BH1319">
        <v>0</v>
      </c>
      <c r="BI1319">
        <v>0</v>
      </c>
      <c r="BJ1319">
        <v>0</v>
      </c>
      <c r="BK1319">
        <v>0</v>
      </c>
      <c r="BL1319" s="2">
        <v>24.82</v>
      </c>
      <c r="BM1319" s="2">
        <v>42005.095138888886</v>
      </c>
      <c r="BN1319" s="2">
        <v>5.4</v>
      </c>
      <c r="BO1319" s="2">
        <v>42005.092361111114</v>
      </c>
      <c r="BP1319" s="2">
        <v>6.92</v>
      </c>
      <c r="BQ1319" s="2">
        <v>42005.092361111114</v>
      </c>
      <c r="BR1319" s="2">
        <v>11.07</v>
      </c>
      <c r="BS1319" s="2">
        <v>42005.092361111114</v>
      </c>
      <c r="BT1319">
        <v>0</v>
      </c>
      <c r="BU1319">
        <v>0</v>
      </c>
      <c r="BV1319" t="s">
        <v>135</v>
      </c>
      <c r="BW1319">
        <v>0</v>
      </c>
      <c r="BX1319">
        <v>0</v>
      </c>
      <c r="BY1319" t="s">
        <v>135</v>
      </c>
      <c r="BZ1319">
        <v>0</v>
      </c>
      <c r="CA1319">
        <v>0</v>
      </c>
      <c r="CB1319" t="s">
        <v>135</v>
      </c>
      <c r="CH1319" s="2"/>
      <c r="CJ1319" s="2"/>
      <c r="CL1319" s="2"/>
      <c r="CN1319" s="2"/>
      <c r="CQ1319" s="2"/>
      <c r="CT1319" s="2"/>
      <c r="CW1319" s="2"/>
    </row>
    <row r="1320" spans="1:101" x14ac:dyDescent="0.25">
      <c r="A1320" s="1" t="s">
        <v>163</v>
      </c>
      <c r="B1320" s="75" t="s">
        <v>164</v>
      </c>
      <c r="C1320">
        <v>0</v>
      </c>
      <c r="D1320">
        <v>0</v>
      </c>
      <c r="E1320">
        <v>0</v>
      </c>
      <c r="F1320">
        <v>604324.56000000006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3.91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7490</v>
      </c>
      <c r="AW1320">
        <v>3350</v>
      </c>
      <c r="AX1320">
        <v>1219</v>
      </c>
      <c r="AY1320">
        <v>12059</v>
      </c>
      <c r="AZ1320">
        <v>4202</v>
      </c>
      <c r="BA1320">
        <v>7438</v>
      </c>
      <c r="BB1320">
        <v>1432</v>
      </c>
      <c r="BC1320">
        <v>13072</v>
      </c>
      <c r="BD1320">
        <v>9486</v>
      </c>
      <c r="BE1320">
        <v>9222</v>
      </c>
      <c r="BF1320">
        <v>1768</v>
      </c>
      <c r="BG1320">
        <v>20476</v>
      </c>
      <c r="BH1320">
        <v>0</v>
      </c>
      <c r="BI1320">
        <v>0</v>
      </c>
      <c r="BJ1320">
        <v>0</v>
      </c>
      <c r="BK1320">
        <v>0</v>
      </c>
      <c r="BL1320" s="2">
        <v>24.82</v>
      </c>
      <c r="BM1320" s="2">
        <v>42005.095138888886</v>
      </c>
      <c r="BN1320" s="2">
        <v>5.4</v>
      </c>
      <c r="BO1320" s="2">
        <v>42005.092361111114</v>
      </c>
      <c r="BP1320" s="2">
        <v>6.92</v>
      </c>
      <c r="BQ1320" s="2">
        <v>42005.092361111114</v>
      </c>
      <c r="BR1320" s="2">
        <v>11.07</v>
      </c>
      <c r="BS1320" s="2">
        <v>42005.092361111114</v>
      </c>
      <c r="BT1320">
        <v>0</v>
      </c>
      <c r="BU1320">
        <v>0</v>
      </c>
      <c r="BV1320" t="s">
        <v>135</v>
      </c>
      <c r="BW1320">
        <v>0</v>
      </c>
      <c r="BX1320">
        <v>0</v>
      </c>
      <c r="BY1320" t="s">
        <v>135</v>
      </c>
      <c r="BZ1320">
        <v>0</v>
      </c>
      <c r="CA1320">
        <v>0</v>
      </c>
      <c r="CB1320" t="s">
        <v>135</v>
      </c>
      <c r="CH1320" s="2"/>
      <c r="CJ1320" s="2"/>
      <c r="CL1320" s="2"/>
      <c r="CN1320" s="2"/>
      <c r="CQ1320" s="2"/>
      <c r="CT1320" s="2"/>
      <c r="CW1320" s="2"/>
    </row>
    <row r="1321" spans="1:101" x14ac:dyDescent="0.25">
      <c r="A1321" s="1" t="s">
        <v>163</v>
      </c>
      <c r="B1321" s="75" t="s">
        <v>164</v>
      </c>
      <c r="C1321">
        <v>0</v>
      </c>
      <c r="D1321">
        <v>0</v>
      </c>
      <c r="E1321">
        <v>0</v>
      </c>
      <c r="F1321">
        <v>604324.56000000006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3.91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7490</v>
      </c>
      <c r="AW1321">
        <v>3350</v>
      </c>
      <c r="AX1321">
        <v>1219</v>
      </c>
      <c r="AY1321">
        <v>12059</v>
      </c>
      <c r="AZ1321">
        <v>4202</v>
      </c>
      <c r="BA1321">
        <v>7438</v>
      </c>
      <c r="BB1321">
        <v>1432</v>
      </c>
      <c r="BC1321">
        <v>13072</v>
      </c>
      <c r="BD1321">
        <v>9486</v>
      </c>
      <c r="BE1321">
        <v>9222</v>
      </c>
      <c r="BF1321">
        <v>1768</v>
      </c>
      <c r="BG1321">
        <v>20476</v>
      </c>
      <c r="BH1321">
        <v>0</v>
      </c>
      <c r="BI1321">
        <v>0</v>
      </c>
      <c r="BJ1321">
        <v>0</v>
      </c>
      <c r="BK1321">
        <v>0</v>
      </c>
      <c r="BL1321" s="2">
        <v>24.82</v>
      </c>
      <c r="BM1321" s="2">
        <v>42005.095138888886</v>
      </c>
      <c r="BN1321" s="2">
        <v>5.4</v>
      </c>
      <c r="BO1321" s="2">
        <v>42005.092361111114</v>
      </c>
      <c r="BP1321" s="2">
        <v>6.92</v>
      </c>
      <c r="BQ1321" s="2">
        <v>42005.092361111114</v>
      </c>
      <c r="BR1321" s="2">
        <v>11.07</v>
      </c>
      <c r="BS1321" s="2">
        <v>42005.092361111114</v>
      </c>
      <c r="BT1321">
        <v>0</v>
      </c>
      <c r="BU1321">
        <v>0</v>
      </c>
      <c r="BV1321" t="s">
        <v>135</v>
      </c>
      <c r="BW1321">
        <v>0</v>
      </c>
      <c r="BX1321">
        <v>0</v>
      </c>
      <c r="BY1321" t="s">
        <v>135</v>
      </c>
      <c r="BZ1321">
        <v>0</v>
      </c>
      <c r="CA1321">
        <v>0</v>
      </c>
      <c r="CB1321" t="s">
        <v>135</v>
      </c>
      <c r="CH1321" s="2"/>
      <c r="CJ1321" s="2"/>
      <c r="CL1321" s="2"/>
      <c r="CN1321" s="2"/>
      <c r="CQ1321" s="2"/>
      <c r="CT1321" s="2"/>
      <c r="CW1321" s="2"/>
    </row>
    <row r="1322" spans="1:101" x14ac:dyDescent="0.25">
      <c r="A1322" s="1" t="s">
        <v>163</v>
      </c>
      <c r="B1322" s="75" t="s">
        <v>164</v>
      </c>
      <c r="C1322">
        <v>0</v>
      </c>
      <c r="D1322">
        <v>0</v>
      </c>
      <c r="E1322">
        <v>0</v>
      </c>
      <c r="F1322">
        <v>604324.56000000006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3.91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7490</v>
      </c>
      <c r="AW1322">
        <v>3350</v>
      </c>
      <c r="AX1322">
        <v>1219</v>
      </c>
      <c r="AY1322">
        <v>12059</v>
      </c>
      <c r="AZ1322">
        <v>4202</v>
      </c>
      <c r="BA1322">
        <v>7438</v>
      </c>
      <c r="BB1322">
        <v>1432</v>
      </c>
      <c r="BC1322">
        <v>13072</v>
      </c>
      <c r="BD1322">
        <v>9486</v>
      </c>
      <c r="BE1322">
        <v>9222</v>
      </c>
      <c r="BF1322">
        <v>1768</v>
      </c>
      <c r="BG1322">
        <v>20476</v>
      </c>
      <c r="BH1322">
        <v>0</v>
      </c>
      <c r="BI1322">
        <v>0</v>
      </c>
      <c r="BJ1322">
        <v>0</v>
      </c>
      <c r="BK1322">
        <v>0</v>
      </c>
      <c r="BL1322" s="2">
        <v>24.82</v>
      </c>
      <c r="BM1322" s="2">
        <v>42005.095138888886</v>
      </c>
      <c r="BN1322" s="2">
        <v>5.4</v>
      </c>
      <c r="BO1322" s="2">
        <v>42005.092361111114</v>
      </c>
      <c r="BP1322" s="2">
        <v>6.92</v>
      </c>
      <c r="BQ1322" s="2">
        <v>42005.092361111114</v>
      </c>
      <c r="BR1322" s="2">
        <v>11.07</v>
      </c>
      <c r="BS1322" s="2">
        <v>42005.092361111114</v>
      </c>
      <c r="BT1322">
        <v>0</v>
      </c>
      <c r="BU1322">
        <v>0</v>
      </c>
      <c r="BV1322" t="s">
        <v>135</v>
      </c>
      <c r="BW1322">
        <v>0</v>
      </c>
      <c r="BX1322">
        <v>0</v>
      </c>
      <c r="BY1322" t="s">
        <v>135</v>
      </c>
      <c r="BZ1322">
        <v>0</v>
      </c>
      <c r="CA1322">
        <v>0</v>
      </c>
      <c r="CB1322" t="s">
        <v>135</v>
      </c>
      <c r="CH1322" s="2"/>
      <c r="CJ1322" s="2"/>
      <c r="CL1322" s="2"/>
      <c r="CN1322" s="2"/>
      <c r="CQ1322" s="2"/>
      <c r="CT1322" s="2"/>
      <c r="CW1322" s="2"/>
    </row>
    <row r="1323" spans="1:101" x14ac:dyDescent="0.25">
      <c r="A1323" s="1" t="s">
        <v>163</v>
      </c>
      <c r="B1323" s="75" t="s">
        <v>164</v>
      </c>
      <c r="C1323">
        <v>0</v>
      </c>
      <c r="D1323">
        <v>0</v>
      </c>
      <c r="E1323">
        <v>0</v>
      </c>
      <c r="F1323">
        <v>604324.56000000006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3.91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7490</v>
      </c>
      <c r="AW1323">
        <v>3350</v>
      </c>
      <c r="AX1323">
        <v>1219</v>
      </c>
      <c r="AY1323">
        <v>12059</v>
      </c>
      <c r="AZ1323">
        <v>4202</v>
      </c>
      <c r="BA1323">
        <v>7438</v>
      </c>
      <c r="BB1323">
        <v>1432</v>
      </c>
      <c r="BC1323">
        <v>13072</v>
      </c>
      <c r="BD1323">
        <v>9486</v>
      </c>
      <c r="BE1323">
        <v>9222</v>
      </c>
      <c r="BF1323">
        <v>1768</v>
      </c>
      <c r="BG1323">
        <v>20476</v>
      </c>
      <c r="BH1323">
        <v>0</v>
      </c>
      <c r="BI1323">
        <v>0</v>
      </c>
      <c r="BJ1323">
        <v>0</v>
      </c>
      <c r="BK1323">
        <v>0</v>
      </c>
      <c r="BL1323" s="2">
        <v>24.82</v>
      </c>
      <c r="BM1323" s="2">
        <v>42005.095138888886</v>
      </c>
      <c r="BN1323" s="2">
        <v>5.4</v>
      </c>
      <c r="BO1323" s="2">
        <v>42005.092361111114</v>
      </c>
      <c r="BP1323" s="2">
        <v>6.92</v>
      </c>
      <c r="BQ1323" s="2">
        <v>42005.092361111114</v>
      </c>
      <c r="BR1323" s="2">
        <v>11.07</v>
      </c>
      <c r="BS1323" s="2">
        <v>42005.092361111114</v>
      </c>
      <c r="BT1323">
        <v>0</v>
      </c>
      <c r="BU1323">
        <v>0</v>
      </c>
      <c r="BV1323" t="s">
        <v>135</v>
      </c>
      <c r="BW1323">
        <v>0</v>
      </c>
      <c r="BX1323">
        <v>0</v>
      </c>
      <c r="BY1323" t="s">
        <v>135</v>
      </c>
      <c r="BZ1323">
        <v>0</v>
      </c>
      <c r="CA1323">
        <v>0</v>
      </c>
      <c r="CB1323" t="s">
        <v>135</v>
      </c>
      <c r="CH1323" s="2"/>
      <c r="CJ1323" s="2"/>
      <c r="CL1323" s="2"/>
      <c r="CN1323" s="2"/>
      <c r="CQ1323" s="2"/>
      <c r="CT1323" s="2"/>
      <c r="CW1323" s="2"/>
    </row>
    <row r="1324" spans="1:101" x14ac:dyDescent="0.25">
      <c r="A1324" s="1" t="s">
        <v>163</v>
      </c>
      <c r="B1324" s="75" t="s">
        <v>164</v>
      </c>
      <c r="C1324">
        <v>0</v>
      </c>
      <c r="D1324">
        <v>0</v>
      </c>
      <c r="E1324">
        <v>0</v>
      </c>
      <c r="F1324">
        <v>604324.56000000006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3.91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7490</v>
      </c>
      <c r="AW1324">
        <v>3350</v>
      </c>
      <c r="AX1324">
        <v>1219</v>
      </c>
      <c r="AY1324">
        <v>12059</v>
      </c>
      <c r="AZ1324">
        <v>4202</v>
      </c>
      <c r="BA1324">
        <v>7438</v>
      </c>
      <c r="BB1324">
        <v>1432</v>
      </c>
      <c r="BC1324">
        <v>13072</v>
      </c>
      <c r="BD1324">
        <v>9486</v>
      </c>
      <c r="BE1324">
        <v>9222</v>
      </c>
      <c r="BF1324">
        <v>1768</v>
      </c>
      <c r="BG1324">
        <v>20476</v>
      </c>
      <c r="BH1324">
        <v>0</v>
      </c>
      <c r="BI1324">
        <v>0</v>
      </c>
      <c r="BJ1324">
        <v>0</v>
      </c>
      <c r="BK1324">
        <v>0</v>
      </c>
      <c r="BL1324" s="2">
        <v>24.82</v>
      </c>
      <c r="BM1324" s="2">
        <v>42005.095138888886</v>
      </c>
      <c r="BN1324" s="2">
        <v>5.4</v>
      </c>
      <c r="BO1324" s="2">
        <v>42005.092361111114</v>
      </c>
      <c r="BP1324" s="2">
        <v>6.92</v>
      </c>
      <c r="BQ1324" s="2">
        <v>42005.092361111114</v>
      </c>
      <c r="BR1324" s="2">
        <v>11.07</v>
      </c>
      <c r="BS1324" s="2">
        <v>42005.092361111114</v>
      </c>
      <c r="BT1324">
        <v>0</v>
      </c>
      <c r="BU1324">
        <v>0</v>
      </c>
      <c r="BV1324" t="s">
        <v>135</v>
      </c>
      <c r="BW1324">
        <v>0</v>
      </c>
      <c r="BX1324">
        <v>0</v>
      </c>
      <c r="BY1324" t="s">
        <v>135</v>
      </c>
      <c r="BZ1324">
        <v>0</v>
      </c>
      <c r="CA1324">
        <v>0</v>
      </c>
      <c r="CB1324" t="s">
        <v>135</v>
      </c>
      <c r="CH1324" s="2"/>
      <c r="CJ1324" s="2"/>
      <c r="CL1324" s="2"/>
      <c r="CN1324" s="2"/>
      <c r="CQ1324" s="2"/>
      <c r="CT1324" s="2"/>
      <c r="CW1324" s="2"/>
    </row>
    <row r="1325" spans="1:101" x14ac:dyDescent="0.25">
      <c r="A1325" s="1" t="s">
        <v>163</v>
      </c>
      <c r="B1325" s="75" t="s">
        <v>164</v>
      </c>
      <c r="C1325">
        <v>0</v>
      </c>
      <c r="D1325">
        <v>0</v>
      </c>
      <c r="E1325">
        <v>0</v>
      </c>
      <c r="F1325">
        <v>604324.56000000006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3.91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7490</v>
      </c>
      <c r="AW1325">
        <v>3350</v>
      </c>
      <c r="AX1325">
        <v>1219</v>
      </c>
      <c r="AY1325">
        <v>12059</v>
      </c>
      <c r="AZ1325">
        <v>4202</v>
      </c>
      <c r="BA1325">
        <v>7438</v>
      </c>
      <c r="BB1325">
        <v>1432</v>
      </c>
      <c r="BC1325">
        <v>13072</v>
      </c>
      <c r="BD1325">
        <v>9486</v>
      </c>
      <c r="BE1325">
        <v>9222</v>
      </c>
      <c r="BF1325">
        <v>1768</v>
      </c>
      <c r="BG1325">
        <v>20476</v>
      </c>
      <c r="BH1325">
        <v>0</v>
      </c>
      <c r="BI1325">
        <v>0</v>
      </c>
      <c r="BJ1325">
        <v>0</v>
      </c>
      <c r="BK1325">
        <v>0</v>
      </c>
      <c r="BL1325" s="2">
        <v>24.82</v>
      </c>
      <c r="BM1325" s="2">
        <v>42005.095138888886</v>
      </c>
      <c r="BN1325" s="2">
        <v>5.4</v>
      </c>
      <c r="BO1325" s="2">
        <v>42005.092361111114</v>
      </c>
      <c r="BP1325" s="2">
        <v>6.92</v>
      </c>
      <c r="BQ1325" s="2">
        <v>42005.092361111114</v>
      </c>
      <c r="BR1325" s="2">
        <v>11.07</v>
      </c>
      <c r="BS1325" s="2">
        <v>42005.092361111114</v>
      </c>
      <c r="BT1325">
        <v>0</v>
      </c>
      <c r="BU1325">
        <v>0</v>
      </c>
      <c r="BV1325" t="s">
        <v>135</v>
      </c>
      <c r="BW1325">
        <v>0</v>
      </c>
      <c r="BX1325">
        <v>0</v>
      </c>
      <c r="BY1325" t="s">
        <v>135</v>
      </c>
      <c r="BZ1325">
        <v>0</v>
      </c>
      <c r="CA1325">
        <v>0</v>
      </c>
      <c r="CB1325" t="s">
        <v>135</v>
      </c>
      <c r="CH1325" s="2"/>
      <c r="CJ1325" s="2"/>
      <c r="CL1325" s="2"/>
      <c r="CN1325" s="2"/>
      <c r="CQ1325" s="2"/>
      <c r="CT1325" s="2"/>
      <c r="CW1325" s="2"/>
    </row>
    <row r="1326" spans="1:101" x14ac:dyDescent="0.25">
      <c r="A1326" s="1" t="s">
        <v>163</v>
      </c>
      <c r="B1326" s="75" t="s">
        <v>164</v>
      </c>
      <c r="C1326">
        <v>0</v>
      </c>
      <c r="D1326">
        <v>0</v>
      </c>
      <c r="E1326">
        <v>0</v>
      </c>
      <c r="F1326">
        <v>604324.56000000006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3.91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7490</v>
      </c>
      <c r="AW1326">
        <v>3350</v>
      </c>
      <c r="AX1326">
        <v>1219</v>
      </c>
      <c r="AY1326">
        <v>12059</v>
      </c>
      <c r="AZ1326">
        <v>4202</v>
      </c>
      <c r="BA1326">
        <v>7438</v>
      </c>
      <c r="BB1326">
        <v>1432</v>
      </c>
      <c r="BC1326">
        <v>13072</v>
      </c>
      <c r="BD1326">
        <v>9486</v>
      </c>
      <c r="BE1326">
        <v>9222</v>
      </c>
      <c r="BF1326">
        <v>1768</v>
      </c>
      <c r="BG1326">
        <v>20476</v>
      </c>
      <c r="BH1326">
        <v>0</v>
      </c>
      <c r="BI1326">
        <v>0</v>
      </c>
      <c r="BJ1326">
        <v>0</v>
      </c>
      <c r="BK1326">
        <v>0</v>
      </c>
      <c r="BL1326" s="2">
        <v>24.82</v>
      </c>
      <c r="BM1326" s="2">
        <v>42005.095138888886</v>
      </c>
      <c r="BN1326" s="2">
        <v>5.4</v>
      </c>
      <c r="BO1326" s="2">
        <v>42005.092361111114</v>
      </c>
      <c r="BP1326" s="2">
        <v>6.92</v>
      </c>
      <c r="BQ1326" s="2">
        <v>42005.092361111114</v>
      </c>
      <c r="BR1326" s="2">
        <v>11.07</v>
      </c>
      <c r="BS1326" s="2">
        <v>42005.092361111114</v>
      </c>
      <c r="BT1326">
        <v>0</v>
      </c>
      <c r="BU1326">
        <v>0</v>
      </c>
      <c r="BV1326" t="s">
        <v>135</v>
      </c>
      <c r="BW1326">
        <v>0</v>
      </c>
      <c r="BX1326">
        <v>0</v>
      </c>
      <c r="BY1326" t="s">
        <v>135</v>
      </c>
      <c r="BZ1326">
        <v>0</v>
      </c>
      <c r="CA1326">
        <v>0</v>
      </c>
      <c r="CB1326" t="s">
        <v>135</v>
      </c>
      <c r="CH1326" s="2"/>
      <c r="CJ1326" s="2"/>
      <c r="CL1326" s="2"/>
      <c r="CN1326" s="2"/>
      <c r="CQ1326" s="2"/>
      <c r="CT1326" s="2"/>
      <c r="CW1326" s="2"/>
    </row>
    <row r="1327" spans="1:101" x14ac:dyDescent="0.25">
      <c r="A1327" s="1" t="s">
        <v>163</v>
      </c>
      <c r="B1327" s="75" t="s">
        <v>164</v>
      </c>
      <c r="C1327">
        <v>0</v>
      </c>
      <c r="D1327">
        <v>0</v>
      </c>
      <c r="E1327">
        <v>0</v>
      </c>
      <c r="F1327">
        <v>604324.56000000006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3.91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7490</v>
      </c>
      <c r="AW1327">
        <v>3350</v>
      </c>
      <c r="AX1327">
        <v>1219</v>
      </c>
      <c r="AY1327">
        <v>12059</v>
      </c>
      <c r="AZ1327">
        <v>4202</v>
      </c>
      <c r="BA1327">
        <v>7438</v>
      </c>
      <c r="BB1327">
        <v>1432</v>
      </c>
      <c r="BC1327">
        <v>13072</v>
      </c>
      <c r="BD1327">
        <v>9486</v>
      </c>
      <c r="BE1327">
        <v>9222</v>
      </c>
      <c r="BF1327">
        <v>1768</v>
      </c>
      <c r="BG1327">
        <v>20476</v>
      </c>
      <c r="BH1327">
        <v>0</v>
      </c>
      <c r="BI1327">
        <v>0</v>
      </c>
      <c r="BJ1327">
        <v>0</v>
      </c>
      <c r="BK1327">
        <v>0</v>
      </c>
      <c r="BL1327" s="2">
        <v>24.82</v>
      </c>
      <c r="BM1327" s="2">
        <v>42005.095138888886</v>
      </c>
      <c r="BN1327" s="2">
        <v>5.4</v>
      </c>
      <c r="BO1327" s="2">
        <v>42005.092361111114</v>
      </c>
      <c r="BP1327" s="2">
        <v>6.92</v>
      </c>
      <c r="BQ1327" s="2">
        <v>42005.092361111114</v>
      </c>
      <c r="BR1327" s="2">
        <v>11.07</v>
      </c>
      <c r="BS1327" s="2">
        <v>42005.092361111114</v>
      </c>
      <c r="BT1327">
        <v>0</v>
      </c>
      <c r="BU1327">
        <v>0</v>
      </c>
      <c r="BV1327" t="s">
        <v>135</v>
      </c>
      <c r="BW1327">
        <v>0</v>
      </c>
      <c r="BX1327">
        <v>0</v>
      </c>
      <c r="BY1327" t="s">
        <v>135</v>
      </c>
      <c r="BZ1327">
        <v>0</v>
      </c>
      <c r="CA1327">
        <v>0</v>
      </c>
      <c r="CB1327" t="s">
        <v>135</v>
      </c>
      <c r="CH1327" s="2"/>
      <c r="CJ1327" s="2"/>
      <c r="CL1327" s="2"/>
      <c r="CN1327" s="2"/>
      <c r="CQ1327" s="2"/>
      <c r="CT1327" s="2"/>
      <c r="CW1327" s="2"/>
    </row>
    <row r="1328" spans="1:101" x14ac:dyDescent="0.25">
      <c r="A1328" s="1" t="s">
        <v>163</v>
      </c>
      <c r="B1328" s="75" t="s">
        <v>164</v>
      </c>
      <c r="C1328">
        <v>0</v>
      </c>
      <c r="D1328">
        <v>0</v>
      </c>
      <c r="E1328">
        <v>0</v>
      </c>
      <c r="F1328">
        <v>604324.56000000006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3.91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7490</v>
      </c>
      <c r="AW1328">
        <v>3350</v>
      </c>
      <c r="AX1328">
        <v>1219</v>
      </c>
      <c r="AY1328">
        <v>12059</v>
      </c>
      <c r="AZ1328">
        <v>4202</v>
      </c>
      <c r="BA1328">
        <v>7438</v>
      </c>
      <c r="BB1328">
        <v>1432</v>
      </c>
      <c r="BC1328">
        <v>13072</v>
      </c>
      <c r="BD1328">
        <v>9486</v>
      </c>
      <c r="BE1328">
        <v>9222</v>
      </c>
      <c r="BF1328">
        <v>1768</v>
      </c>
      <c r="BG1328">
        <v>20476</v>
      </c>
      <c r="BH1328">
        <v>0</v>
      </c>
      <c r="BI1328">
        <v>0</v>
      </c>
      <c r="BJ1328">
        <v>0</v>
      </c>
      <c r="BK1328">
        <v>0</v>
      </c>
      <c r="BL1328" s="2">
        <v>24.82</v>
      </c>
      <c r="BM1328" s="2">
        <v>42005.095138888886</v>
      </c>
      <c r="BN1328" s="2">
        <v>5.4</v>
      </c>
      <c r="BO1328" s="2">
        <v>42005.092361111114</v>
      </c>
      <c r="BP1328" s="2">
        <v>6.92</v>
      </c>
      <c r="BQ1328" s="2">
        <v>42005.092361111114</v>
      </c>
      <c r="BR1328" s="2">
        <v>11.07</v>
      </c>
      <c r="BS1328" s="2">
        <v>42005.092361111114</v>
      </c>
      <c r="BT1328">
        <v>0</v>
      </c>
      <c r="BU1328">
        <v>0</v>
      </c>
      <c r="BV1328" t="s">
        <v>135</v>
      </c>
      <c r="BW1328">
        <v>0</v>
      </c>
      <c r="BX1328">
        <v>0</v>
      </c>
      <c r="BY1328" t="s">
        <v>135</v>
      </c>
      <c r="BZ1328">
        <v>0</v>
      </c>
      <c r="CA1328">
        <v>0</v>
      </c>
      <c r="CB1328" t="s">
        <v>135</v>
      </c>
      <c r="CH1328" s="2"/>
      <c r="CJ1328" s="2"/>
      <c r="CL1328" s="2"/>
      <c r="CN1328" s="2"/>
      <c r="CQ1328" s="2"/>
      <c r="CT1328" s="2"/>
      <c r="CW1328" s="2"/>
    </row>
    <row r="1329" spans="1:101" x14ac:dyDescent="0.25">
      <c r="A1329" s="1" t="s">
        <v>163</v>
      </c>
      <c r="B1329" s="75" t="s">
        <v>164</v>
      </c>
      <c r="C1329">
        <v>0</v>
      </c>
      <c r="D1329">
        <v>0</v>
      </c>
      <c r="E1329">
        <v>0</v>
      </c>
      <c r="F1329">
        <v>604324.56000000006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3.91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7490</v>
      </c>
      <c r="AW1329">
        <v>3350</v>
      </c>
      <c r="AX1329">
        <v>1219</v>
      </c>
      <c r="AY1329">
        <v>12059</v>
      </c>
      <c r="AZ1329">
        <v>4202</v>
      </c>
      <c r="BA1329">
        <v>7438</v>
      </c>
      <c r="BB1329">
        <v>1432</v>
      </c>
      <c r="BC1329">
        <v>13072</v>
      </c>
      <c r="BD1329">
        <v>9486</v>
      </c>
      <c r="BE1329">
        <v>9222</v>
      </c>
      <c r="BF1329">
        <v>1768</v>
      </c>
      <c r="BG1329">
        <v>20476</v>
      </c>
      <c r="BH1329">
        <v>0</v>
      </c>
      <c r="BI1329">
        <v>0</v>
      </c>
      <c r="BJ1329">
        <v>0</v>
      </c>
      <c r="BK1329">
        <v>0</v>
      </c>
      <c r="BL1329" s="2">
        <v>24.82</v>
      </c>
      <c r="BM1329" s="2">
        <v>42005.095138888886</v>
      </c>
      <c r="BN1329" s="2">
        <v>5.4</v>
      </c>
      <c r="BO1329" s="2">
        <v>42005.092361111114</v>
      </c>
      <c r="BP1329" s="2">
        <v>6.92</v>
      </c>
      <c r="BQ1329" s="2">
        <v>42005.092361111114</v>
      </c>
      <c r="BR1329" s="2">
        <v>11.07</v>
      </c>
      <c r="BS1329" s="2">
        <v>42005.092361111114</v>
      </c>
      <c r="BT1329">
        <v>0</v>
      </c>
      <c r="BU1329">
        <v>0</v>
      </c>
      <c r="BV1329" t="s">
        <v>135</v>
      </c>
      <c r="BW1329">
        <v>0</v>
      </c>
      <c r="BX1329">
        <v>0</v>
      </c>
      <c r="BY1329" t="s">
        <v>135</v>
      </c>
      <c r="BZ1329">
        <v>0</v>
      </c>
      <c r="CA1329">
        <v>0</v>
      </c>
      <c r="CB1329" t="s">
        <v>135</v>
      </c>
      <c r="CH1329" s="2"/>
      <c r="CJ1329" s="2"/>
      <c r="CL1329" s="2"/>
      <c r="CN1329" s="2"/>
      <c r="CQ1329" s="2"/>
      <c r="CT1329" s="2"/>
      <c r="CW1329" s="2"/>
    </row>
    <row r="1330" spans="1:101" x14ac:dyDescent="0.25">
      <c r="A1330" s="1" t="s">
        <v>163</v>
      </c>
      <c r="B1330" s="75" t="s">
        <v>164</v>
      </c>
      <c r="C1330">
        <v>0</v>
      </c>
      <c r="D1330">
        <v>0</v>
      </c>
      <c r="E1330">
        <v>0</v>
      </c>
      <c r="F1330">
        <v>604324.56000000006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3.91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7490</v>
      </c>
      <c r="AW1330">
        <v>3350</v>
      </c>
      <c r="AX1330">
        <v>1219</v>
      </c>
      <c r="AY1330">
        <v>12059</v>
      </c>
      <c r="AZ1330">
        <v>4202</v>
      </c>
      <c r="BA1330">
        <v>7438</v>
      </c>
      <c r="BB1330">
        <v>1432</v>
      </c>
      <c r="BC1330">
        <v>13072</v>
      </c>
      <c r="BD1330">
        <v>9486</v>
      </c>
      <c r="BE1330">
        <v>9222</v>
      </c>
      <c r="BF1330">
        <v>1768</v>
      </c>
      <c r="BG1330">
        <v>20476</v>
      </c>
      <c r="BH1330">
        <v>0</v>
      </c>
      <c r="BI1330">
        <v>0</v>
      </c>
      <c r="BJ1330">
        <v>0</v>
      </c>
      <c r="BK1330">
        <v>0</v>
      </c>
      <c r="BL1330" s="2">
        <v>24.82</v>
      </c>
      <c r="BM1330" s="2">
        <v>42005.095138888886</v>
      </c>
      <c r="BN1330" s="2">
        <v>5.4</v>
      </c>
      <c r="BO1330" s="2">
        <v>42005.092361111114</v>
      </c>
      <c r="BP1330" s="2">
        <v>6.92</v>
      </c>
      <c r="BQ1330" s="2">
        <v>42005.092361111114</v>
      </c>
      <c r="BR1330" s="2">
        <v>11.07</v>
      </c>
      <c r="BS1330" s="2">
        <v>42005.092361111114</v>
      </c>
      <c r="BT1330">
        <v>0</v>
      </c>
      <c r="BU1330">
        <v>0</v>
      </c>
      <c r="BV1330" t="s">
        <v>135</v>
      </c>
      <c r="BW1330">
        <v>0</v>
      </c>
      <c r="BX1330">
        <v>0</v>
      </c>
      <c r="BY1330" t="s">
        <v>135</v>
      </c>
      <c r="BZ1330">
        <v>0</v>
      </c>
      <c r="CA1330">
        <v>0</v>
      </c>
      <c r="CB1330" t="s">
        <v>135</v>
      </c>
      <c r="CH1330" s="2"/>
      <c r="CJ1330" s="2"/>
      <c r="CL1330" s="2"/>
      <c r="CN1330" s="2"/>
      <c r="CQ1330" s="2"/>
      <c r="CT1330" s="2"/>
      <c r="CW1330" s="2"/>
    </row>
    <row r="1331" spans="1:101" x14ac:dyDescent="0.25">
      <c r="A1331" s="1" t="s">
        <v>163</v>
      </c>
      <c r="B1331" s="75" t="s">
        <v>164</v>
      </c>
      <c r="C1331">
        <v>0</v>
      </c>
      <c r="D1331">
        <v>0</v>
      </c>
      <c r="E1331">
        <v>0</v>
      </c>
      <c r="F1331">
        <v>604324.56000000006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3.91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7490</v>
      </c>
      <c r="AW1331">
        <v>3350</v>
      </c>
      <c r="AX1331">
        <v>1219</v>
      </c>
      <c r="AY1331">
        <v>12059</v>
      </c>
      <c r="AZ1331">
        <v>4202</v>
      </c>
      <c r="BA1331">
        <v>7438</v>
      </c>
      <c r="BB1331">
        <v>1432</v>
      </c>
      <c r="BC1331">
        <v>13072</v>
      </c>
      <c r="BD1331">
        <v>9486</v>
      </c>
      <c r="BE1331">
        <v>9222</v>
      </c>
      <c r="BF1331">
        <v>1768</v>
      </c>
      <c r="BG1331">
        <v>20476</v>
      </c>
      <c r="BH1331">
        <v>0</v>
      </c>
      <c r="BI1331">
        <v>0</v>
      </c>
      <c r="BJ1331">
        <v>0</v>
      </c>
      <c r="BK1331">
        <v>0</v>
      </c>
      <c r="BL1331" s="2">
        <v>24.82</v>
      </c>
      <c r="BM1331" s="2">
        <v>42005.095138888886</v>
      </c>
      <c r="BN1331" s="2">
        <v>5.4</v>
      </c>
      <c r="BO1331" s="2">
        <v>42005.092361111114</v>
      </c>
      <c r="BP1331" s="2">
        <v>6.92</v>
      </c>
      <c r="BQ1331" s="2">
        <v>42005.092361111114</v>
      </c>
      <c r="BR1331" s="2">
        <v>11.07</v>
      </c>
      <c r="BS1331" s="2">
        <v>42005.092361111114</v>
      </c>
      <c r="BT1331">
        <v>0</v>
      </c>
      <c r="BU1331">
        <v>0</v>
      </c>
      <c r="BV1331" t="s">
        <v>135</v>
      </c>
      <c r="BW1331">
        <v>0</v>
      </c>
      <c r="BX1331">
        <v>0</v>
      </c>
      <c r="BY1331" t="s">
        <v>135</v>
      </c>
      <c r="BZ1331">
        <v>0</v>
      </c>
      <c r="CA1331">
        <v>0</v>
      </c>
      <c r="CB1331" t="s">
        <v>135</v>
      </c>
      <c r="CH1331" s="2"/>
      <c r="CJ1331" s="2"/>
      <c r="CL1331" s="2"/>
      <c r="CN1331" s="2"/>
      <c r="CQ1331" s="2"/>
      <c r="CT1331" s="2"/>
      <c r="CW1331" s="2"/>
    </row>
    <row r="1332" spans="1:101" x14ac:dyDescent="0.25">
      <c r="A1332" s="1" t="s">
        <v>163</v>
      </c>
      <c r="B1332" s="75" t="s">
        <v>164</v>
      </c>
      <c r="C1332">
        <v>0</v>
      </c>
      <c r="D1332">
        <v>0</v>
      </c>
      <c r="E1332">
        <v>0</v>
      </c>
      <c r="F1332">
        <v>604324.56000000006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3.91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7490</v>
      </c>
      <c r="AW1332">
        <v>3350</v>
      </c>
      <c r="AX1332">
        <v>1219</v>
      </c>
      <c r="AY1332">
        <v>12059</v>
      </c>
      <c r="AZ1332">
        <v>4202</v>
      </c>
      <c r="BA1332">
        <v>7438</v>
      </c>
      <c r="BB1332">
        <v>1432</v>
      </c>
      <c r="BC1332">
        <v>13072</v>
      </c>
      <c r="BD1332">
        <v>9486</v>
      </c>
      <c r="BE1332">
        <v>9222</v>
      </c>
      <c r="BF1332">
        <v>1768</v>
      </c>
      <c r="BG1332">
        <v>20476</v>
      </c>
      <c r="BH1332">
        <v>0</v>
      </c>
      <c r="BI1332">
        <v>0</v>
      </c>
      <c r="BJ1332">
        <v>0</v>
      </c>
      <c r="BK1332">
        <v>0</v>
      </c>
      <c r="BL1332" s="2">
        <v>24.82</v>
      </c>
      <c r="BM1332" s="2">
        <v>42005.095138888886</v>
      </c>
      <c r="BN1332" s="2">
        <v>5.4</v>
      </c>
      <c r="BO1332" s="2">
        <v>42005.092361111114</v>
      </c>
      <c r="BP1332" s="2">
        <v>6.92</v>
      </c>
      <c r="BQ1332" s="2">
        <v>42005.092361111114</v>
      </c>
      <c r="BR1332" s="2">
        <v>11.07</v>
      </c>
      <c r="BS1332" s="2">
        <v>42005.092361111114</v>
      </c>
      <c r="BT1332">
        <v>0</v>
      </c>
      <c r="BU1332">
        <v>0</v>
      </c>
      <c r="BV1332" t="s">
        <v>135</v>
      </c>
      <c r="BW1332">
        <v>0</v>
      </c>
      <c r="BX1332">
        <v>0</v>
      </c>
      <c r="BY1332" t="s">
        <v>135</v>
      </c>
      <c r="BZ1332">
        <v>0</v>
      </c>
      <c r="CA1332">
        <v>0</v>
      </c>
      <c r="CB1332" t="s">
        <v>135</v>
      </c>
      <c r="CH1332" s="2"/>
      <c r="CJ1332" s="2"/>
      <c r="CL1332" s="2"/>
      <c r="CN1332" s="2"/>
      <c r="CQ1332" s="2"/>
      <c r="CT1332" s="2"/>
      <c r="CW1332" s="2"/>
    </row>
    <row r="1333" spans="1:101" x14ac:dyDescent="0.25">
      <c r="A1333" s="1" t="s">
        <v>163</v>
      </c>
      <c r="B1333" s="75" t="s">
        <v>164</v>
      </c>
      <c r="C1333">
        <v>0</v>
      </c>
      <c r="D1333">
        <v>0</v>
      </c>
      <c r="E1333">
        <v>0</v>
      </c>
      <c r="F1333">
        <v>604324.56000000006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3.91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7490</v>
      </c>
      <c r="AW1333">
        <v>3350</v>
      </c>
      <c r="AX1333">
        <v>1219</v>
      </c>
      <c r="AY1333">
        <v>12059</v>
      </c>
      <c r="AZ1333">
        <v>4202</v>
      </c>
      <c r="BA1333">
        <v>7438</v>
      </c>
      <c r="BB1333">
        <v>1432</v>
      </c>
      <c r="BC1333">
        <v>13072</v>
      </c>
      <c r="BD1333">
        <v>9486</v>
      </c>
      <c r="BE1333">
        <v>9222</v>
      </c>
      <c r="BF1333">
        <v>1768</v>
      </c>
      <c r="BG1333">
        <v>20476</v>
      </c>
      <c r="BH1333">
        <v>0</v>
      </c>
      <c r="BI1333">
        <v>0</v>
      </c>
      <c r="BJ1333">
        <v>0</v>
      </c>
      <c r="BK1333">
        <v>0</v>
      </c>
      <c r="BL1333" s="2">
        <v>24.82</v>
      </c>
      <c r="BM1333" s="2">
        <v>42005.095138888886</v>
      </c>
      <c r="BN1333" s="2">
        <v>5.4</v>
      </c>
      <c r="BO1333" s="2">
        <v>42005.092361111114</v>
      </c>
      <c r="BP1333" s="2">
        <v>6.92</v>
      </c>
      <c r="BQ1333" s="2">
        <v>42005.092361111114</v>
      </c>
      <c r="BR1333" s="2">
        <v>11.07</v>
      </c>
      <c r="BS1333" s="2">
        <v>42005.092361111114</v>
      </c>
      <c r="BT1333">
        <v>0</v>
      </c>
      <c r="BU1333">
        <v>0</v>
      </c>
      <c r="BV1333" t="s">
        <v>135</v>
      </c>
      <c r="BW1333">
        <v>0</v>
      </c>
      <c r="BX1333">
        <v>0</v>
      </c>
      <c r="BY1333" t="s">
        <v>135</v>
      </c>
      <c r="BZ1333">
        <v>0</v>
      </c>
      <c r="CA1333">
        <v>0</v>
      </c>
      <c r="CB1333" t="s">
        <v>135</v>
      </c>
      <c r="CH1333" s="2"/>
      <c r="CJ1333" s="2"/>
      <c r="CL1333" s="2"/>
      <c r="CN1333" s="2"/>
      <c r="CQ1333" s="2"/>
      <c r="CT1333" s="2"/>
      <c r="CW1333" s="2"/>
    </row>
    <row r="1334" spans="1:101" x14ac:dyDescent="0.25">
      <c r="A1334" s="1" t="s">
        <v>163</v>
      </c>
      <c r="B1334" s="75" t="s">
        <v>164</v>
      </c>
      <c r="C1334">
        <v>0</v>
      </c>
      <c r="D1334">
        <v>0</v>
      </c>
      <c r="E1334">
        <v>0</v>
      </c>
      <c r="F1334">
        <v>604324.56000000006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3.91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7490</v>
      </c>
      <c r="AW1334">
        <v>3350</v>
      </c>
      <c r="AX1334">
        <v>1219</v>
      </c>
      <c r="AY1334">
        <v>12059</v>
      </c>
      <c r="AZ1334">
        <v>4202</v>
      </c>
      <c r="BA1334">
        <v>7438</v>
      </c>
      <c r="BB1334">
        <v>1432</v>
      </c>
      <c r="BC1334">
        <v>13072</v>
      </c>
      <c r="BD1334">
        <v>9486</v>
      </c>
      <c r="BE1334">
        <v>9222</v>
      </c>
      <c r="BF1334">
        <v>1768</v>
      </c>
      <c r="BG1334">
        <v>20476</v>
      </c>
      <c r="BH1334">
        <v>0</v>
      </c>
      <c r="BI1334">
        <v>0</v>
      </c>
      <c r="BJ1334">
        <v>0</v>
      </c>
      <c r="BK1334">
        <v>0</v>
      </c>
      <c r="BL1334" s="2">
        <v>24.82</v>
      </c>
      <c r="BM1334" s="2">
        <v>42005.095138888886</v>
      </c>
      <c r="BN1334" s="2">
        <v>5.4</v>
      </c>
      <c r="BO1334" s="2">
        <v>42005.092361111114</v>
      </c>
      <c r="BP1334" s="2">
        <v>6.92</v>
      </c>
      <c r="BQ1334" s="2">
        <v>42005.092361111114</v>
      </c>
      <c r="BR1334" s="2">
        <v>11.07</v>
      </c>
      <c r="BS1334" s="2">
        <v>42005.092361111114</v>
      </c>
      <c r="BT1334">
        <v>0</v>
      </c>
      <c r="BU1334">
        <v>0</v>
      </c>
      <c r="BV1334" t="s">
        <v>135</v>
      </c>
      <c r="BW1334">
        <v>0</v>
      </c>
      <c r="BX1334">
        <v>0</v>
      </c>
      <c r="BY1334" t="s">
        <v>135</v>
      </c>
      <c r="BZ1334">
        <v>0</v>
      </c>
      <c r="CA1334">
        <v>0</v>
      </c>
      <c r="CB1334" t="s">
        <v>135</v>
      </c>
      <c r="CH1334" s="2"/>
      <c r="CJ1334" s="2"/>
      <c r="CL1334" s="2"/>
      <c r="CN1334" s="2"/>
      <c r="CQ1334" s="2"/>
      <c r="CT1334" s="2"/>
      <c r="CW1334" s="2"/>
    </row>
    <row r="1335" spans="1:101" x14ac:dyDescent="0.25">
      <c r="A1335" s="1" t="s">
        <v>163</v>
      </c>
      <c r="B1335" s="75" t="s">
        <v>164</v>
      </c>
      <c r="C1335">
        <v>0</v>
      </c>
      <c r="D1335">
        <v>0</v>
      </c>
      <c r="E1335">
        <v>0</v>
      </c>
      <c r="F1335">
        <v>604324.56000000006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3.91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7490</v>
      </c>
      <c r="AW1335">
        <v>3350</v>
      </c>
      <c r="AX1335">
        <v>1219</v>
      </c>
      <c r="AY1335">
        <v>12059</v>
      </c>
      <c r="AZ1335">
        <v>4202</v>
      </c>
      <c r="BA1335">
        <v>7438</v>
      </c>
      <c r="BB1335">
        <v>1432</v>
      </c>
      <c r="BC1335">
        <v>13072</v>
      </c>
      <c r="BD1335">
        <v>9486</v>
      </c>
      <c r="BE1335">
        <v>9222</v>
      </c>
      <c r="BF1335">
        <v>1768</v>
      </c>
      <c r="BG1335">
        <v>20476</v>
      </c>
      <c r="BH1335">
        <v>0</v>
      </c>
      <c r="BI1335">
        <v>0</v>
      </c>
      <c r="BJ1335">
        <v>0</v>
      </c>
      <c r="BK1335">
        <v>0</v>
      </c>
      <c r="BL1335" s="2">
        <v>24.82</v>
      </c>
      <c r="BM1335" s="2">
        <v>42005.095138888886</v>
      </c>
      <c r="BN1335" s="2">
        <v>5.4</v>
      </c>
      <c r="BO1335" s="2">
        <v>42005.092361111114</v>
      </c>
      <c r="BP1335" s="2">
        <v>6.92</v>
      </c>
      <c r="BQ1335" s="2">
        <v>42005.092361111114</v>
      </c>
      <c r="BR1335" s="2">
        <v>11.07</v>
      </c>
      <c r="BS1335" s="2">
        <v>42005.092361111114</v>
      </c>
      <c r="BT1335">
        <v>0</v>
      </c>
      <c r="BU1335">
        <v>0</v>
      </c>
      <c r="BV1335" t="s">
        <v>135</v>
      </c>
      <c r="BW1335">
        <v>0</v>
      </c>
      <c r="BX1335">
        <v>0</v>
      </c>
      <c r="BY1335" t="s">
        <v>135</v>
      </c>
      <c r="BZ1335">
        <v>0</v>
      </c>
      <c r="CA1335">
        <v>0</v>
      </c>
      <c r="CB1335" t="s">
        <v>135</v>
      </c>
      <c r="CH1335" s="2"/>
      <c r="CJ1335" s="2"/>
      <c r="CL1335" s="2"/>
      <c r="CN1335" s="2"/>
      <c r="CQ1335" s="2"/>
      <c r="CT1335" s="2"/>
      <c r="CW1335" s="2"/>
    </row>
    <row r="1336" spans="1:101" x14ac:dyDescent="0.25">
      <c r="A1336" s="1" t="s">
        <v>163</v>
      </c>
      <c r="B1336" s="75" t="s">
        <v>164</v>
      </c>
      <c r="C1336">
        <v>0</v>
      </c>
      <c r="D1336">
        <v>0</v>
      </c>
      <c r="E1336">
        <v>0</v>
      </c>
      <c r="F1336">
        <v>604324.56000000006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3.91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7490</v>
      </c>
      <c r="AW1336">
        <v>3350</v>
      </c>
      <c r="AX1336">
        <v>1219</v>
      </c>
      <c r="AY1336">
        <v>12059</v>
      </c>
      <c r="AZ1336">
        <v>4202</v>
      </c>
      <c r="BA1336">
        <v>7438</v>
      </c>
      <c r="BB1336">
        <v>1432</v>
      </c>
      <c r="BC1336">
        <v>13072</v>
      </c>
      <c r="BD1336">
        <v>9486</v>
      </c>
      <c r="BE1336">
        <v>9222</v>
      </c>
      <c r="BF1336">
        <v>1768</v>
      </c>
      <c r="BG1336">
        <v>20476</v>
      </c>
      <c r="BH1336">
        <v>0</v>
      </c>
      <c r="BI1336">
        <v>0</v>
      </c>
      <c r="BJ1336">
        <v>0</v>
      </c>
      <c r="BK1336">
        <v>0</v>
      </c>
      <c r="BL1336" s="2">
        <v>24.82</v>
      </c>
      <c r="BM1336" s="2">
        <v>42005.095138888886</v>
      </c>
      <c r="BN1336" s="2">
        <v>5.4</v>
      </c>
      <c r="BO1336" s="2">
        <v>42005.092361111114</v>
      </c>
      <c r="BP1336" s="2">
        <v>6.92</v>
      </c>
      <c r="BQ1336" s="2">
        <v>42005.092361111114</v>
      </c>
      <c r="BR1336" s="2">
        <v>11.07</v>
      </c>
      <c r="BS1336" s="2">
        <v>42005.092361111114</v>
      </c>
      <c r="BT1336">
        <v>0</v>
      </c>
      <c r="BU1336">
        <v>0</v>
      </c>
      <c r="BV1336" t="s">
        <v>135</v>
      </c>
      <c r="BW1336">
        <v>0</v>
      </c>
      <c r="BX1336">
        <v>0</v>
      </c>
      <c r="BY1336" t="s">
        <v>135</v>
      </c>
      <c r="BZ1336">
        <v>0</v>
      </c>
      <c r="CA1336">
        <v>0</v>
      </c>
      <c r="CB1336" t="s">
        <v>135</v>
      </c>
      <c r="CH1336" s="2"/>
      <c r="CJ1336" s="2"/>
      <c r="CL1336" s="2"/>
      <c r="CN1336" s="2"/>
      <c r="CQ1336" s="2"/>
      <c r="CT1336" s="2"/>
      <c r="CW1336" s="2"/>
    </row>
    <row r="1337" spans="1:101" x14ac:dyDescent="0.25">
      <c r="A1337" s="1" t="s">
        <v>163</v>
      </c>
      <c r="B1337" s="75" t="s">
        <v>164</v>
      </c>
      <c r="C1337">
        <v>0</v>
      </c>
      <c r="D1337">
        <v>0</v>
      </c>
      <c r="E1337">
        <v>0</v>
      </c>
      <c r="F1337">
        <v>604324.56000000006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3.91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7490</v>
      </c>
      <c r="AW1337">
        <v>3350</v>
      </c>
      <c r="AX1337">
        <v>1219</v>
      </c>
      <c r="AY1337">
        <v>12059</v>
      </c>
      <c r="AZ1337">
        <v>4202</v>
      </c>
      <c r="BA1337">
        <v>7438</v>
      </c>
      <c r="BB1337">
        <v>1432</v>
      </c>
      <c r="BC1337">
        <v>13072</v>
      </c>
      <c r="BD1337">
        <v>9486</v>
      </c>
      <c r="BE1337">
        <v>9222</v>
      </c>
      <c r="BF1337">
        <v>1768</v>
      </c>
      <c r="BG1337">
        <v>20476</v>
      </c>
      <c r="BH1337">
        <v>0</v>
      </c>
      <c r="BI1337">
        <v>0</v>
      </c>
      <c r="BJ1337">
        <v>0</v>
      </c>
      <c r="BK1337">
        <v>0</v>
      </c>
      <c r="BL1337" s="2">
        <v>24.82</v>
      </c>
      <c r="BM1337" s="2">
        <v>42005.095138888886</v>
      </c>
      <c r="BN1337" s="2">
        <v>5.4</v>
      </c>
      <c r="BO1337" s="2">
        <v>42005.092361111114</v>
      </c>
      <c r="BP1337" s="2">
        <v>6.92</v>
      </c>
      <c r="BQ1337" s="2">
        <v>42005.092361111114</v>
      </c>
      <c r="BR1337" s="2">
        <v>11.07</v>
      </c>
      <c r="BS1337" s="2">
        <v>42005.092361111114</v>
      </c>
      <c r="BT1337">
        <v>0</v>
      </c>
      <c r="BU1337">
        <v>0</v>
      </c>
      <c r="BV1337" t="s">
        <v>135</v>
      </c>
      <c r="BW1337">
        <v>0</v>
      </c>
      <c r="BX1337">
        <v>0</v>
      </c>
      <c r="BY1337" t="s">
        <v>135</v>
      </c>
      <c r="BZ1337">
        <v>0</v>
      </c>
      <c r="CA1337">
        <v>0</v>
      </c>
      <c r="CB1337" t="s">
        <v>135</v>
      </c>
      <c r="CH1337" s="2"/>
      <c r="CJ1337" s="2"/>
      <c r="CL1337" s="2"/>
      <c r="CN1337" s="2"/>
      <c r="CQ1337" s="2"/>
      <c r="CT1337" s="2"/>
      <c r="CW1337" s="2"/>
    </row>
    <row r="1338" spans="1:101" x14ac:dyDescent="0.25">
      <c r="A1338" s="1" t="s">
        <v>163</v>
      </c>
      <c r="B1338" s="75" t="s">
        <v>164</v>
      </c>
      <c r="C1338">
        <v>0</v>
      </c>
      <c r="D1338">
        <v>0</v>
      </c>
      <c r="E1338">
        <v>0</v>
      </c>
      <c r="F1338">
        <v>604324.56000000006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3.91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7490</v>
      </c>
      <c r="AW1338">
        <v>3350</v>
      </c>
      <c r="AX1338">
        <v>1219</v>
      </c>
      <c r="AY1338">
        <v>12059</v>
      </c>
      <c r="AZ1338">
        <v>4202</v>
      </c>
      <c r="BA1338">
        <v>7438</v>
      </c>
      <c r="BB1338">
        <v>1432</v>
      </c>
      <c r="BC1338">
        <v>13072</v>
      </c>
      <c r="BD1338">
        <v>9486</v>
      </c>
      <c r="BE1338">
        <v>9222</v>
      </c>
      <c r="BF1338">
        <v>1768</v>
      </c>
      <c r="BG1338">
        <v>20476</v>
      </c>
      <c r="BH1338">
        <v>0</v>
      </c>
      <c r="BI1338">
        <v>0</v>
      </c>
      <c r="BJ1338">
        <v>0</v>
      </c>
      <c r="BK1338">
        <v>0</v>
      </c>
      <c r="BL1338" s="2">
        <v>24.82</v>
      </c>
      <c r="BM1338" s="2">
        <v>42005.095138888886</v>
      </c>
      <c r="BN1338" s="2">
        <v>5.4</v>
      </c>
      <c r="BO1338" s="2">
        <v>42005.092361111114</v>
      </c>
      <c r="BP1338" s="2">
        <v>6.92</v>
      </c>
      <c r="BQ1338" s="2">
        <v>42005.092361111114</v>
      </c>
      <c r="BR1338" s="2">
        <v>11.07</v>
      </c>
      <c r="BS1338" s="2">
        <v>42005.092361111114</v>
      </c>
      <c r="BT1338">
        <v>0</v>
      </c>
      <c r="BU1338">
        <v>0</v>
      </c>
      <c r="BV1338" t="s">
        <v>135</v>
      </c>
      <c r="BW1338">
        <v>0</v>
      </c>
      <c r="BX1338">
        <v>0</v>
      </c>
      <c r="BY1338" t="s">
        <v>135</v>
      </c>
      <c r="BZ1338">
        <v>0</v>
      </c>
      <c r="CA1338">
        <v>0</v>
      </c>
      <c r="CB1338" t="s">
        <v>135</v>
      </c>
      <c r="CH1338" s="2"/>
      <c r="CJ1338" s="2"/>
      <c r="CL1338" s="2"/>
      <c r="CN1338" s="2"/>
      <c r="CQ1338" s="2"/>
      <c r="CT1338" s="2"/>
      <c r="CW1338" s="2"/>
    </row>
    <row r="1339" spans="1:101" x14ac:dyDescent="0.25">
      <c r="A1339" s="1" t="s">
        <v>163</v>
      </c>
      <c r="B1339" s="75" t="s">
        <v>164</v>
      </c>
      <c r="C1339">
        <v>0</v>
      </c>
      <c r="D1339">
        <v>0</v>
      </c>
      <c r="E1339">
        <v>0</v>
      </c>
      <c r="F1339">
        <v>604324.56000000006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3.91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7490</v>
      </c>
      <c r="AW1339">
        <v>3350</v>
      </c>
      <c r="AX1339">
        <v>1219</v>
      </c>
      <c r="AY1339">
        <v>12059</v>
      </c>
      <c r="AZ1339">
        <v>4202</v>
      </c>
      <c r="BA1339">
        <v>7438</v>
      </c>
      <c r="BB1339">
        <v>1432</v>
      </c>
      <c r="BC1339">
        <v>13072</v>
      </c>
      <c r="BD1339">
        <v>9486</v>
      </c>
      <c r="BE1339">
        <v>9222</v>
      </c>
      <c r="BF1339">
        <v>1768</v>
      </c>
      <c r="BG1339">
        <v>20476</v>
      </c>
      <c r="BH1339">
        <v>0</v>
      </c>
      <c r="BI1339">
        <v>0</v>
      </c>
      <c r="BJ1339">
        <v>0</v>
      </c>
      <c r="BK1339">
        <v>0</v>
      </c>
      <c r="BL1339" s="2">
        <v>24.82</v>
      </c>
      <c r="BM1339" s="2">
        <v>42005.095138888886</v>
      </c>
      <c r="BN1339" s="2">
        <v>5.4</v>
      </c>
      <c r="BO1339" s="2">
        <v>42005.092361111114</v>
      </c>
      <c r="BP1339" s="2">
        <v>6.92</v>
      </c>
      <c r="BQ1339" s="2">
        <v>42005.092361111114</v>
      </c>
      <c r="BR1339" s="2">
        <v>11.07</v>
      </c>
      <c r="BS1339" s="2">
        <v>42005.092361111114</v>
      </c>
      <c r="BT1339">
        <v>0</v>
      </c>
      <c r="BU1339">
        <v>0</v>
      </c>
      <c r="BV1339" t="s">
        <v>135</v>
      </c>
      <c r="BW1339">
        <v>0</v>
      </c>
      <c r="BX1339">
        <v>0</v>
      </c>
      <c r="BY1339" t="s">
        <v>135</v>
      </c>
      <c r="BZ1339">
        <v>0</v>
      </c>
      <c r="CA1339">
        <v>0</v>
      </c>
      <c r="CB1339" t="s">
        <v>135</v>
      </c>
      <c r="CH1339" s="2"/>
      <c r="CJ1339" s="2"/>
      <c r="CL1339" s="2"/>
      <c r="CN1339" s="2"/>
      <c r="CQ1339" s="2"/>
      <c r="CT1339" s="2"/>
      <c r="CW1339" s="2"/>
    </row>
    <row r="1340" spans="1:101" x14ac:dyDescent="0.25">
      <c r="A1340" s="1" t="s">
        <v>163</v>
      </c>
      <c r="B1340" s="75" t="s">
        <v>164</v>
      </c>
      <c r="C1340">
        <v>0</v>
      </c>
      <c r="D1340">
        <v>0</v>
      </c>
      <c r="E1340">
        <v>0</v>
      </c>
      <c r="F1340">
        <v>604324.56000000006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3.91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7490</v>
      </c>
      <c r="AW1340">
        <v>3350</v>
      </c>
      <c r="AX1340">
        <v>1219</v>
      </c>
      <c r="AY1340">
        <v>12059</v>
      </c>
      <c r="AZ1340">
        <v>4202</v>
      </c>
      <c r="BA1340">
        <v>7438</v>
      </c>
      <c r="BB1340">
        <v>1432</v>
      </c>
      <c r="BC1340">
        <v>13072</v>
      </c>
      <c r="BD1340">
        <v>9486</v>
      </c>
      <c r="BE1340">
        <v>9222</v>
      </c>
      <c r="BF1340">
        <v>1768</v>
      </c>
      <c r="BG1340">
        <v>20476</v>
      </c>
      <c r="BH1340">
        <v>0</v>
      </c>
      <c r="BI1340">
        <v>0</v>
      </c>
      <c r="BJ1340">
        <v>0</v>
      </c>
      <c r="BK1340">
        <v>0</v>
      </c>
      <c r="BL1340" s="2">
        <v>24.82</v>
      </c>
      <c r="BM1340" s="2">
        <v>42005.095138888886</v>
      </c>
      <c r="BN1340" s="2">
        <v>5.4</v>
      </c>
      <c r="BO1340" s="2">
        <v>42005.092361111114</v>
      </c>
      <c r="BP1340" s="2">
        <v>6.92</v>
      </c>
      <c r="BQ1340" s="2">
        <v>42005.092361111114</v>
      </c>
      <c r="BR1340" s="2">
        <v>11.07</v>
      </c>
      <c r="BS1340" s="2">
        <v>42005.092361111114</v>
      </c>
      <c r="BT1340">
        <v>0</v>
      </c>
      <c r="BU1340">
        <v>0</v>
      </c>
      <c r="BV1340" t="s">
        <v>135</v>
      </c>
      <c r="BW1340">
        <v>0</v>
      </c>
      <c r="BX1340">
        <v>0</v>
      </c>
      <c r="BY1340" t="s">
        <v>135</v>
      </c>
      <c r="BZ1340">
        <v>0</v>
      </c>
      <c r="CA1340">
        <v>0</v>
      </c>
      <c r="CB1340" t="s">
        <v>135</v>
      </c>
      <c r="CH1340" s="2"/>
      <c r="CJ1340" s="2"/>
      <c r="CL1340" s="2"/>
      <c r="CN1340" s="2"/>
      <c r="CQ1340" s="2"/>
      <c r="CT1340" s="2"/>
      <c r="CW1340" s="2"/>
    </row>
    <row r="1341" spans="1:101" x14ac:dyDescent="0.25">
      <c r="A1341" s="1" t="s">
        <v>163</v>
      </c>
      <c r="B1341" s="75" t="s">
        <v>164</v>
      </c>
      <c r="C1341">
        <v>0</v>
      </c>
      <c r="D1341">
        <v>0</v>
      </c>
      <c r="E1341">
        <v>0</v>
      </c>
      <c r="F1341">
        <v>604324.56000000006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3.91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7490</v>
      </c>
      <c r="AW1341">
        <v>3350</v>
      </c>
      <c r="AX1341">
        <v>1219</v>
      </c>
      <c r="AY1341">
        <v>12059</v>
      </c>
      <c r="AZ1341">
        <v>4202</v>
      </c>
      <c r="BA1341">
        <v>7438</v>
      </c>
      <c r="BB1341">
        <v>1432</v>
      </c>
      <c r="BC1341">
        <v>13072</v>
      </c>
      <c r="BD1341">
        <v>9486</v>
      </c>
      <c r="BE1341">
        <v>9222</v>
      </c>
      <c r="BF1341">
        <v>1768</v>
      </c>
      <c r="BG1341">
        <v>20476</v>
      </c>
      <c r="BH1341">
        <v>0</v>
      </c>
      <c r="BI1341">
        <v>0</v>
      </c>
      <c r="BJ1341">
        <v>0</v>
      </c>
      <c r="BK1341">
        <v>0</v>
      </c>
      <c r="BL1341" s="2">
        <v>24.82</v>
      </c>
      <c r="BM1341" s="2">
        <v>42005.095138888886</v>
      </c>
      <c r="BN1341" s="2">
        <v>5.4</v>
      </c>
      <c r="BO1341" s="2">
        <v>42005.092361111114</v>
      </c>
      <c r="BP1341" s="2">
        <v>6.92</v>
      </c>
      <c r="BQ1341" s="2">
        <v>42005.092361111114</v>
      </c>
      <c r="BR1341" s="2">
        <v>11.07</v>
      </c>
      <c r="BS1341" s="2">
        <v>42005.092361111114</v>
      </c>
      <c r="BT1341">
        <v>0</v>
      </c>
      <c r="BU1341">
        <v>0</v>
      </c>
      <c r="BV1341" t="s">
        <v>135</v>
      </c>
      <c r="BW1341">
        <v>0</v>
      </c>
      <c r="BX1341">
        <v>0</v>
      </c>
      <c r="BY1341" t="s">
        <v>135</v>
      </c>
      <c r="BZ1341">
        <v>0</v>
      </c>
      <c r="CA1341">
        <v>0</v>
      </c>
      <c r="CB1341" t="s">
        <v>135</v>
      </c>
      <c r="CH1341" s="2"/>
      <c r="CJ1341" s="2"/>
      <c r="CL1341" s="2"/>
      <c r="CN1341" s="2"/>
      <c r="CQ1341" s="2"/>
      <c r="CT1341" s="2"/>
      <c r="CW1341" s="2"/>
    </row>
    <row r="1342" spans="1:101" x14ac:dyDescent="0.25">
      <c r="A1342" s="1" t="s">
        <v>163</v>
      </c>
      <c r="B1342" s="75" t="s">
        <v>164</v>
      </c>
      <c r="C1342">
        <v>0</v>
      </c>
      <c r="D1342">
        <v>0</v>
      </c>
      <c r="E1342">
        <v>0</v>
      </c>
      <c r="F1342">
        <v>604324.56000000006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3.91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7490</v>
      </c>
      <c r="AW1342">
        <v>3350</v>
      </c>
      <c r="AX1342">
        <v>1219</v>
      </c>
      <c r="AY1342">
        <v>12059</v>
      </c>
      <c r="AZ1342">
        <v>4202</v>
      </c>
      <c r="BA1342">
        <v>7438</v>
      </c>
      <c r="BB1342">
        <v>1432</v>
      </c>
      <c r="BC1342">
        <v>13072</v>
      </c>
      <c r="BD1342">
        <v>9486</v>
      </c>
      <c r="BE1342">
        <v>9222</v>
      </c>
      <c r="BF1342">
        <v>1768</v>
      </c>
      <c r="BG1342">
        <v>20476</v>
      </c>
      <c r="BH1342">
        <v>0</v>
      </c>
      <c r="BI1342">
        <v>0</v>
      </c>
      <c r="BJ1342">
        <v>0</v>
      </c>
      <c r="BK1342">
        <v>0</v>
      </c>
      <c r="BL1342" s="2">
        <v>24.82</v>
      </c>
      <c r="BM1342" s="2">
        <v>42005.095138888886</v>
      </c>
      <c r="BN1342" s="2">
        <v>5.4</v>
      </c>
      <c r="BO1342" s="2">
        <v>42005.092361111114</v>
      </c>
      <c r="BP1342" s="2">
        <v>6.92</v>
      </c>
      <c r="BQ1342" s="2">
        <v>42005.092361111114</v>
      </c>
      <c r="BR1342" s="2">
        <v>11.07</v>
      </c>
      <c r="BS1342" s="2">
        <v>42005.092361111114</v>
      </c>
      <c r="BT1342">
        <v>0</v>
      </c>
      <c r="BU1342">
        <v>0</v>
      </c>
      <c r="BV1342" t="s">
        <v>135</v>
      </c>
      <c r="BW1342">
        <v>0</v>
      </c>
      <c r="BX1342">
        <v>0</v>
      </c>
      <c r="BY1342" t="s">
        <v>135</v>
      </c>
      <c r="BZ1342">
        <v>0</v>
      </c>
      <c r="CA1342">
        <v>0</v>
      </c>
      <c r="CB1342" t="s">
        <v>135</v>
      </c>
      <c r="CH1342" s="2"/>
      <c r="CJ1342" s="2"/>
      <c r="CL1342" s="2"/>
      <c r="CN1342" s="2"/>
      <c r="CQ1342" s="2"/>
      <c r="CT1342" s="2"/>
      <c r="CW1342" s="2"/>
    </row>
    <row r="1343" spans="1:101" x14ac:dyDescent="0.25">
      <c r="A1343" s="1" t="s">
        <v>163</v>
      </c>
      <c r="B1343" s="75" t="s">
        <v>164</v>
      </c>
      <c r="C1343">
        <v>0</v>
      </c>
      <c r="D1343">
        <v>0</v>
      </c>
      <c r="E1343">
        <v>0</v>
      </c>
      <c r="F1343">
        <v>604324.56000000006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3.91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7490</v>
      </c>
      <c r="AW1343">
        <v>3350</v>
      </c>
      <c r="AX1343">
        <v>1219</v>
      </c>
      <c r="AY1343">
        <v>12059</v>
      </c>
      <c r="AZ1343">
        <v>4202</v>
      </c>
      <c r="BA1343">
        <v>7438</v>
      </c>
      <c r="BB1343">
        <v>1432</v>
      </c>
      <c r="BC1343">
        <v>13072</v>
      </c>
      <c r="BD1343">
        <v>9486</v>
      </c>
      <c r="BE1343">
        <v>9222</v>
      </c>
      <c r="BF1343">
        <v>1768</v>
      </c>
      <c r="BG1343">
        <v>20476</v>
      </c>
      <c r="BH1343">
        <v>0</v>
      </c>
      <c r="BI1343">
        <v>0</v>
      </c>
      <c r="BJ1343">
        <v>0</v>
      </c>
      <c r="BK1343">
        <v>0</v>
      </c>
      <c r="BL1343" s="2">
        <v>24.82</v>
      </c>
      <c r="BM1343" s="2">
        <v>42005.095138888886</v>
      </c>
      <c r="BN1343" s="2">
        <v>5.4</v>
      </c>
      <c r="BO1343" s="2">
        <v>42005.092361111114</v>
      </c>
      <c r="BP1343" s="2">
        <v>6.92</v>
      </c>
      <c r="BQ1343" s="2">
        <v>42005.092361111114</v>
      </c>
      <c r="BR1343" s="2">
        <v>11.07</v>
      </c>
      <c r="BS1343" s="2">
        <v>42005.092361111114</v>
      </c>
      <c r="BT1343">
        <v>0</v>
      </c>
      <c r="BU1343">
        <v>0</v>
      </c>
      <c r="BV1343" t="s">
        <v>135</v>
      </c>
      <c r="BW1343">
        <v>0</v>
      </c>
      <c r="BX1343">
        <v>0</v>
      </c>
      <c r="BY1343" t="s">
        <v>135</v>
      </c>
      <c r="BZ1343">
        <v>0</v>
      </c>
      <c r="CA1343">
        <v>0</v>
      </c>
      <c r="CB1343" t="s">
        <v>135</v>
      </c>
      <c r="CH1343" s="2"/>
      <c r="CJ1343" s="2"/>
      <c r="CL1343" s="2"/>
      <c r="CN1343" s="2"/>
      <c r="CQ1343" s="2"/>
      <c r="CT1343" s="2"/>
      <c r="CW1343" s="2"/>
    </row>
    <row r="1344" spans="1:101" x14ac:dyDescent="0.25">
      <c r="A1344" s="1" t="s">
        <v>163</v>
      </c>
      <c r="B1344" s="75" t="s">
        <v>164</v>
      </c>
      <c r="C1344">
        <v>0</v>
      </c>
      <c r="D1344">
        <v>0</v>
      </c>
      <c r="E1344">
        <v>0</v>
      </c>
      <c r="F1344">
        <v>604324.56000000006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3.91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7490</v>
      </c>
      <c r="AW1344">
        <v>3350</v>
      </c>
      <c r="AX1344">
        <v>1219</v>
      </c>
      <c r="AY1344">
        <v>12059</v>
      </c>
      <c r="AZ1344">
        <v>4202</v>
      </c>
      <c r="BA1344">
        <v>7438</v>
      </c>
      <c r="BB1344">
        <v>1432</v>
      </c>
      <c r="BC1344">
        <v>13072</v>
      </c>
      <c r="BD1344">
        <v>9486</v>
      </c>
      <c r="BE1344">
        <v>9222</v>
      </c>
      <c r="BF1344">
        <v>1768</v>
      </c>
      <c r="BG1344">
        <v>20476</v>
      </c>
      <c r="BH1344">
        <v>0</v>
      </c>
      <c r="BI1344">
        <v>0</v>
      </c>
      <c r="BJ1344">
        <v>0</v>
      </c>
      <c r="BK1344">
        <v>0</v>
      </c>
      <c r="BL1344" s="2">
        <v>24.82</v>
      </c>
      <c r="BM1344" s="2">
        <v>42005.095138888886</v>
      </c>
      <c r="BN1344" s="2">
        <v>5.4</v>
      </c>
      <c r="BO1344" s="2">
        <v>42005.092361111114</v>
      </c>
      <c r="BP1344" s="2">
        <v>6.92</v>
      </c>
      <c r="BQ1344" s="2">
        <v>42005.092361111114</v>
      </c>
      <c r="BR1344" s="2">
        <v>11.07</v>
      </c>
      <c r="BS1344" s="2">
        <v>42005.092361111114</v>
      </c>
      <c r="BT1344">
        <v>0</v>
      </c>
      <c r="BU1344">
        <v>0</v>
      </c>
      <c r="BV1344" t="s">
        <v>135</v>
      </c>
      <c r="BW1344">
        <v>0</v>
      </c>
      <c r="BX1344">
        <v>0</v>
      </c>
      <c r="BY1344" t="s">
        <v>135</v>
      </c>
      <c r="BZ1344">
        <v>0</v>
      </c>
      <c r="CA1344">
        <v>0</v>
      </c>
      <c r="CB1344" t="s">
        <v>135</v>
      </c>
      <c r="CH1344" s="2"/>
      <c r="CJ1344" s="2"/>
      <c r="CL1344" s="2"/>
      <c r="CN1344" s="2"/>
      <c r="CQ1344" s="2"/>
      <c r="CT1344" s="2"/>
      <c r="CW1344" s="2"/>
    </row>
    <row r="1345" spans="1:101" x14ac:dyDescent="0.25">
      <c r="A1345" s="1" t="s">
        <v>163</v>
      </c>
      <c r="B1345" s="75" t="s">
        <v>164</v>
      </c>
      <c r="C1345">
        <v>0</v>
      </c>
      <c r="D1345">
        <v>0</v>
      </c>
      <c r="E1345">
        <v>0</v>
      </c>
      <c r="F1345">
        <v>604324.56000000006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3.91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7490</v>
      </c>
      <c r="AW1345">
        <v>3350</v>
      </c>
      <c r="AX1345">
        <v>1219</v>
      </c>
      <c r="AY1345">
        <v>12059</v>
      </c>
      <c r="AZ1345">
        <v>4202</v>
      </c>
      <c r="BA1345">
        <v>7438</v>
      </c>
      <c r="BB1345">
        <v>1432</v>
      </c>
      <c r="BC1345">
        <v>13072</v>
      </c>
      <c r="BD1345">
        <v>9486</v>
      </c>
      <c r="BE1345">
        <v>9222</v>
      </c>
      <c r="BF1345">
        <v>1768</v>
      </c>
      <c r="BG1345">
        <v>20476</v>
      </c>
      <c r="BH1345">
        <v>0</v>
      </c>
      <c r="BI1345">
        <v>0</v>
      </c>
      <c r="BJ1345">
        <v>0</v>
      </c>
      <c r="BK1345">
        <v>0</v>
      </c>
      <c r="BL1345" s="2">
        <v>24.82</v>
      </c>
      <c r="BM1345" s="2">
        <v>42005.095138888886</v>
      </c>
      <c r="BN1345" s="2">
        <v>5.4</v>
      </c>
      <c r="BO1345" s="2">
        <v>42005.092361111114</v>
      </c>
      <c r="BP1345" s="2">
        <v>6.92</v>
      </c>
      <c r="BQ1345" s="2">
        <v>42005.092361111114</v>
      </c>
      <c r="BR1345" s="2">
        <v>11.07</v>
      </c>
      <c r="BS1345" s="2">
        <v>42005.092361111114</v>
      </c>
      <c r="BT1345">
        <v>0</v>
      </c>
      <c r="BU1345">
        <v>0</v>
      </c>
      <c r="BV1345" t="s">
        <v>135</v>
      </c>
      <c r="BW1345">
        <v>0</v>
      </c>
      <c r="BX1345">
        <v>0</v>
      </c>
      <c r="BY1345" t="s">
        <v>135</v>
      </c>
      <c r="BZ1345">
        <v>0</v>
      </c>
      <c r="CA1345">
        <v>0</v>
      </c>
      <c r="CB1345" t="s">
        <v>135</v>
      </c>
      <c r="CH1345" s="2"/>
      <c r="CJ1345" s="2"/>
      <c r="CL1345" s="2"/>
      <c r="CN1345" s="2"/>
      <c r="CQ1345" s="2"/>
      <c r="CT1345" s="2"/>
      <c r="CW1345" s="2"/>
    </row>
    <row r="1346" spans="1:101" x14ac:dyDescent="0.25">
      <c r="A1346" s="1" t="s">
        <v>163</v>
      </c>
      <c r="B1346" s="75" t="s">
        <v>164</v>
      </c>
      <c r="C1346">
        <v>0</v>
      </c>
      <c r="D1346">
        <v>0</v>
      </c>
      <c r="E1346">
        <v>0</v>
      </c>
      <c r="F1346">
        <v>604324.56000000006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3.91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7490</v>
      </c>
      <c r="AW1346">
        <v>3350</v>
      </c>
      <c r="AX1346">
        <v>1219</v>
      </c>
      <c r="AY1346">
        <v>12059</v>
      </c>
      <c r="AZ1346">
        <v>4202</v>
      </c>
      <c r="BA1346">
        <v>7438</v>
      </c>
      <c r="BB1346">
        <v>1432</v>
      </c>
      <c r="BC1346">
        <v>13072</v>
      </c>
      <c r="BD1346">
        <v>9486</v>
      </c>
      <c r="BE1346">
        <v>9222</v>
      </c>
      <c r="BF1346">
        <v>1768</v>
      </c>
      <c r="BG1346">
        <v>20476</v>
      </c>
      <c r="BH1346">
        <v>0</v>
      </c>
      <c r="BI1346">
        <v>0</v>
      </c>
      <c r="BJ1346">
        <v>0</v>
      </c>
      <c r="BK1346">
        <v>0</v>
      </c>
      <c r="BL1346" s="2">
        <v>24.82</v>
      </c>
      <c r="BM1346" s="2">
        <v>42005.095138888886</v>
      </c>
      <c r="BN1346" s="2">
        <v>5.4</v>
      </c>
      <c r="BO1346" s="2">
        <v>42005.092361111114</v>
      </c>
      <c r="BP1346" s="2">
        <v>6.92</v>
      </c>
      <c r="BQ1346" s="2">
        <v>42005.092361111114</v>
      </c>
      <c r="BR1346" s="2">
        <v>11.07</v>
      </c>
      <c r="BS1346" s="2">
        <v>42005.092361111114</v>
      </c>
      <c r="BT1346">
        <v>0</v>
      </c>
      <c r="BU1346">
        <v>0</v>
      </c>
      <c r="BV1346" t="s">
        <v>135</v>
      </c>
      <c r="BW1346">
        <v>0</v>
      </c>
      <c r="BX1346">
        <v>0</v>
      </c>
      <c r="BY1346" t="s">
        <v>135</v>
      </c>
      <c r="BZ1346">
        <v>0</v>
      </c>
      <c r="CA1346">
        <v>0</v>
      </c>
      <c r="CB1346" t="s">
        <v>135</v>
      </c>
      <c r="CH1346" s="2"/>
      <c r="CJ1346" s="2"/>
      <c r="CL1346" s="2"/>
      <c r="CN1346" s="2"/>
      <c r="CQ1346" s="2"/>
      <c r="CT1346" s="2"/>
      <c r="CW1346" s="2"/>
    </row>
    <row r="1347" spans="1:101" x14ac:dyDescent="0.25">
      <c r="A1347" s="1" t="s">
        <v>163</v>
      </c>
      <c r="B1347" s="75" t="s">
        <v>164</v>
      </c>
      <c r="C1347">
        <v>0</v>
      </c>
      <c r="D1347">
        <v>0</v>
      </c>
      <c r="E1347">
        <v>0</v>
      </c>
      <c r="F1347">
        <v>604324.56000000006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3.91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7490</v>
      </c>
      <c r="AW1347">
        <v>3350</v>
      </c>
      <c r="AX1347">
        <v>1219</v>
      </c>
      <c r="AY1347">
        <v>12059</v>
      </c>
      <c r="AZ1347">
        <v>4202</v>
      </c>
      <c r="BA1347">
        <v>7438</v>
      </c>
      <c r="BB1347">
        <v>1432</v>
      </c>
      <c r="BC1347">
        <v>13072</v>
      </c>
      <c r="BD1347">
        <v>9486</v>
      </c>
      <c r="BE1347">
        <v>9222</v>
      </c>
      <c r="BF1347">
        <v>1768</v>
      </c>
      <c r="BG1347">
        <v>20476</v>
      </c>
      <c r="BH1347">
        <v>0</v>
      </c>
      <c r="BI1347">
        <v>0</v>
      </c>
      <c r="BJ1347">
        <v>0</v>
      </c>
      <c r="BK1347">
        <v>0</v>
      </c>
      <c r="BL1347" s="2">
        <v>24.82</v>
      </c>
      <c r="BM1347" s="2">
        <v>42005.095138888886</v>
      </c>
      <c r="BN1347" s="2">
        <v>5.4</v>
      </c>
      <c r="BO1347" s="2">
        <v>42005.092361111114</v>
      </c>
      <c r="BP1347" s="2">
        <v>6.92</v>
      </c>
      <c r="BQ1347" s="2">
        <v>42005.092361111114</v>
      </c>
      <c r="BR1347" s="2">
        <v>11.07</v>
      </c>
      <c r="BS1347" s="2">
        <v>42005.092361111114</v>
      </c>
      <c r="BT1347">
        <v>0</v>
      </c>
      <c r="BU1347">
        <v>0</v>
      </c>
      <c r="BV1347" t="s">
        <v>135</v>
      </c>
      <c r="BW1347">
        <v>0</v>
      </c>
      <c r="BX1347">
        <v>0</v>
      </c>
      <c r="BY1347" t="s">
        <v>135</v>
      </c>
      <c r="BZ1347">
        <v>0</v>
      </c>
      <c r="CA1347">
        <v>0</v>
      </c>
      <c r="CB1347" t="s">
        <v>135</v>
      </c>
      <c r="CH1347" s="2"/>
      <c r="CJ1347" s="2"/>
      <c r="CL1347" s="2"/>
      <c r="CN1347" s="2"/>
      <c r="CQ1347" s="2"/>
      <c r="CT1347" s="2"/>
      <c r="CW1347" s="2"/>
    </row>
    <row r="1348" spans="1:101" x14ac:dyDescent="0.25">
      <c r="A1348" s="1" t="s">
        <v>163</v>
      </c>
      <c r="B1348" s="75" t="s">
        <v>164</v>
      </c>
      <c r="C1348">
        <v>0</v>
      </c>
      <c r="D1348">
        <v>0</v>
      </c>
      <c r="E1348">
        <v>0</v>
      </c>
      <c r="F1348">
        <v>604324.56000000006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3.91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7490</v>
      </c>
      <c r="AW1348">
        <v>3350</v>
      </c>
      <c r="AX1348">
        <v>1219</v>
      </c>
      <c r="AY1348">
        <v>12059</v>
      </c>
      <c r="AZ1348">
        <v>4202</v>
      </c>
      <c r="BA1348">
        <v>7438</v>
      </c>
      <c r="BB1348">
        <v>1432</v>
      </c>
      <c r="BC1348">
        <v>13072</v>
      </c>
      <c r="BD1348">
        <v>9486</v>
      </c>
      <c r="BE1348">
        <v>9222</v>
      </c>
      <c r="BF1348">
        <v>1768</v>
      </c>
      <c r="BG1348">
        <v>20476</v>
      </c>
      <c r="BH1348">
        <v>0</v>
      </c>
      <c r="BI1348">
        <v>0</v>
      </c>
      <c r="BJ1348">
        <v>0</v>
      </c>
      <c r="BK1348">
        <v>0</v>
      </c>
      <c r="BL1348" s="2">
        <v>24.82</v>
      </c>
      <c r="BM1348" s="2">
        <v>42005.095138888886</v>
      </c>
      <c r="BN1348" s="2">
        <v>5.4</v>
      </c>
      <c r="BO1348" s="2">
        <v>42005.092361111114</v>
      </c>
      <c r="BP1348" s="2">
        <v>6.92</v>
      </c>
      <c r="BQ1348" s="2">
        <v>42005.092361111114</v>
      </c>
      <c r="BR1348" s="2">
        <v>11.07</v>
      </c>
      <c r="BS1348" s="2">
        <v>42005.092361111114</v>
      </c>
      <c r="BT1348">
        <v>0</v>
      </c>
      <c r="BU1348">
        <v>0</v>
      </c>
      <c r="BV1348" t="s">
        <v>135</v>
      </c>
      <c r="BW1348">
        <v>0</v>
      </c>
      <c r="BX1348">
        <v>0</v>
      </c>
      <c r="BY1348" t="s">
        <v>135</v>
      </c>
      <c r="BZ1348">
        <v>0</v>
      </c>
      <c r="CA1348">
        <v>0</v>
      </c>
      <c r="CB1348" t="s">
        <v>135</v>
      </c>
      <c r="CH1348" s="2"/>
      <c r="CJ1348" s="2"/>
      <c r="CL1348" s="2"/>
      <c r="CN1348" s="2"/>
      <c r="CQ1348" s="2"/>
      <c r="CT1348" s="2"/>
      <c r="CW1348" s="2"/>
    </row>
    <row r="1349" spans="1:101" x14ac:dyDescent="0.25">
      <c r="A1349" s="1" t="s">
        <v>163</v>
      </c>
      <c r="B1349" s="75" t="s">
        <v>164</v>
      </c>
      <c r="C1349">
        <v>0</v>
      </c>
      <c r="D1349">
        <v>0</v>
      </c>
      <c r="E1349">
        <v>0</v>
      </c>
      <c r="F1349">
        <v>604324.56000000006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3.91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7490</v>
      </c>
      <c r="AW1349">
        <v>3350</v>
      </c>
      <c r="AX1349">
        <v>1219</v>
      </c>
      <c r="AY1349">
        <v>12059</v>
      </c>
      <c r="AZ1349">
        <v>4202</v>
      </c>
      <c r="BA1349">
        <v>7438</v>
      </c>
      <c r="BB1349">
        <v>1432</v>
      </c>
      <c r="BC1349">
        <v>13072</v>
      </c>
      <c r="BD1349">
        <v>9486</v>
      </c>
      <c r="BE1349">
        <v>9222</v>
      </c>
      <c r="BF1349">
        <v>1768</v>
      </c>
      <c r="BG1349">
        <v>20476</v>
      </c>
      <c r="BH1349">
        <v>0</v>
      </c>
      <c r="BI1349">
        <v>0</v>
      </c>
      <c r="BJ1349">
        <v>0</v>
      </c>
      <c r="BK1349">
        <v>0</v>
      </c>
      <c r="BL1349" s="2">
        <v>24.82</v>
      </c>
      <c r="BM1349" s="2">
        <v>42005.095138888886</v>
      </c>
      <c r="BN1349" s="2">
        <v>5.4</v>
      </c>
      <c r="BO1349" s="2">
        <v>42005.092361111114</v>
      </c>
      <c r="BP1349" s="2">
        <v>6.92</v>
      </c>
      <c r="BQ1349" s="2">
        <v>42005.092361111114</v>
      </c>
      <c r="BR1349" s="2">
        <v>11.07</v>
      </c>
      <c r="BS1349" s="2">
        <v>42005.092361111114</v>
      </c>
      <c r="BT1349">
        <v>0</v>
      </c>
      <c r="BU1349">
        <v>0</v>
      </c>
      <c r="BV1349" t="s">
        <v>135</v>
      </c>
      <c r="BW1349">
        <v>0</v>
      </c>
      <c r="BX1349">
        <v>0</v>
      </c>
      <c r="BY1349" t="s">
        <v>135</v>
      </c>
      <c r="BZ1349">
        <v>0</v>
      </c>
      <c r="CA1349">
        <v>0</v>
      </c>
      <c r="CB1349" t="s">
        <v>135</v>
      </c>
      <c r="CH1349" s="2"/>
      <c r="CJ1349" s="2"/>
      <c r="CL1349" s="2"/>
      <c r="CN1349" s="2"/>
      <c r="CQ1349" s="2"/>
      <c r="CT1349" s="2"/>
      <c r="CW1349" s="2"/>
    </row>
    <row r="1350" spans="1:101" x14ac:dyDescent="0.25">
      <c r="A1350" s="1" t="s">
        <v>163</v>
      </c>
      <c r="B1350" s="75" t="s">
        <v>164</v>
      </c>
      <c r="C1350">
        <v>0</v>
      </c>
      <c r="D1350">
        <v>0</v>
      </c>
      <c r="E1350">
        <v>0</v>
      </c>
      <c r="F1350">
        <v>604324.56000000006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3.91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7490</v>
      </c>
      <c r="AW1350">
        <v>3350</v>
      </c>
      <c r="AX1350">
        <v>1219</v>
      </c>
      <c r="AY1350">
        <v>12059</v>
      </c>
      <c r="AZ1350">
        <v>4202</v>
      </c>
      <c r="BA1350">
        <v>7438</v>
      </c>
      <c r="BB1350">
        <v>1432</v>
      </c>
      <c r="BC1350">
        <v>13072</v>
      </c>
      <c r="BD1350">
        <v>9486</v>
      </c>
      <c r="BE1350">
        <v>9222</v>
      </c>
      <c r="BF1350">
        <v>1768</v>
      </c>
      <c r="BG1350">
        <v>20476</v>
      </c>
      <c r="BH1350">
        <v>0</v>
      </c>
      <c r="BI1350">
        <v>0</v>
      </c>
      <c r="BJ1350">
        <v>0</v>
      </c>
      <c r="BK1350">
        <v>0</v>
      </c>
      <c r="BL1350" s="2">
        <v>24.82</v>
      </c>
      <c r="BM1350" s="2">
        <v>42005.095138888886</v>
      </c>
      <c r="BN1350" s="2">
        <v>5.4</v>
      </c>
      <c r="BO1350" s="2">
        <v>42005.092361111114</v>
      </c>
      <c r="BP1350" s="2">
        <v>6.92</v>
      </c>
      <c r="BQ1350" s="2">
        <v>42005.092361111114</v>
      </c>
      <c r="BR1350" s="2">
        <v>11.07</v>
      </c>
      <c r="BS1350" s="2">
        <v>42005.092361111114</v>
      </c>
      <c r="BT1350">
        <v>0</v>
      </c>
      <c r="BU1350">
        <v>0</v>
      </c>
      <c r="BV1350" t="s">
        <v>135</v>
      </c>
      <c r="BW1350">
        <v>0</v>
      </c>
      <c r="BX1350">
        <v>0</v>
      </c>
      <c r="BY1350" t="s">
        <v>135</v>
      </c>
      <c r="BZ1350">
        <v>0</v>
      </c>
      <c r="CA1350">
        <v>0</v>
      </c>
      <c r="CB1350" t="s">
        <v>135</v>
      </c>
      <c r="CH1350" s="2"/>
      <c r="CJ1350" s="2"/>
      <c r="CL1350" s="2"/>
      <c r="CN1350" s="2"/>
      <c r="CQ1350" s="2"/>
      <c r="CT1350" s="2"/>
      <c r="CW1350" s="2"/>
    </row>
    <row r="1351" spans="1:101" x14ac:dyDescent="0.25">
      <c r="A1351" s="1" t="s">
        <v>163</v>
      </c>
      <c r="B1351" s="75" t="s">
        <v>164</v>
      </c>
      <c r="C1351">
        <v>0</v>
      </c>
      <c r="D1351">
        <v>0</v>
      </c>
      <c r="E1351">
        <v>0</v>
      </c>
      <c r="F1351">
        <v>604324.56000000006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3.91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7490</v>
      </c>
      <c r="AW1351">
        <v>3350</v>
      </c>
      <c r="AX1351">
        <v>1219</v>
      </c>
      <c r="AY1351">
        <v>12059</v>
      </c>
      <c r="AZ1351">
        <v>4202</v>
      </c>
      <c r="BA1351">
        <v>7438</v>
      </c>
      <c r="BB1351">
        <v>1432</v>
      </c>
      <c r="BC1351">
        <v>13072</v>
      </c>
      <c r="BD1351">
        <v>9486</v>
      </c>
      <c r="BE1351">
        <v>9222</v>
      </c>
      <c r="BF1351">
        <v>1768</v>
      </c>
      <c r="BG1351">
        <v>20476</v>
      </c>
      <c r="BH1351">
        <v>0</v>
      </c>
      <c r="BI1351">
        <v>0</v>
      </c>
      <c r="BJ1351">
        <v>0</v>
      </c>
      <c r="BK1351">
        <v>0</v>
      </c>
      <c r="BL1351" s="2">
        <v>24.82</v>
      </c>
      <c r="BM1351" s="2">
        <v>42005.095138888886</v>
      </c>
      <c r="BN1351" s="2">
        <v>5.4</v>
      </c>
      <c r="BO1351" s="2">
        <v>42005.092361111114</v>
      </c>
      <c r="BP1351" s="2">
        <v>6.92</v>
      </c>
      <c r="BQ1351" s="2">
        <v>42005.092361111114</v>
      </c>
      <c r="BR1351" s="2">
        <v>11.07</v>
      </c>
      <c r="BS1351" s="2">
        <v>42005.092361111114</v>
      </c>
      <c r="BT1351">
        <v>0</v>
      </c>
      <c r="BU1351">
        <v>0</v>
      </c>
      <c r="BV1351" t="s">
        <v>135</v>
      </c>
      <c r="BW1351">
        <v>0</v>
      </c>
      <c r="BX1351">
        <v>0</v>
      </c>
      <c r="BY1351" t="s">
        <v>135</v>
      </c>
      <c r="BZ1351">
        <v>0</v>
      </c>
      <c r="CA1351">
        <v>0</v>
      </c>
      <c r="CB1351" t="s">
        <v>135</v>
      </c>
      <c r="CH1351" s="2"/>
      <c r="CJ1351" s="2"/>
      <c r="CL1351" s="2"/>
      <c r="CN1351" s="2"/>
      <c r="CQ1351" s="2"/>
      <c r="CT1351" s="2"/>
      <c r="CW1351" s="2"/>
    </row>
    <row r="1352" spans="1:101" x14ac:dyDescent="0.25">
      <c r="A1352" s="1" t="s">
        <v>163</v>
      </c>
      <c r="B1352" s="75" t="s">
        <v>164</v>
      </c>
      <c r="C1352">
        <v>0</v>
      </c>
      <c r="D1352">
        <v>0</v>
      </c>
      <c r="E1352">
        <v>0</v>
      </c>
      <c r="F1352">
        <v>604324.56000000006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3.91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7490</v>
      </c>
      <c r="AW1352">
        <v>3350</v>
      </c>
      <c r="AX1352">
        <v>1219</v>
      </c>
      <c r="AY1352">
        <v>12059</v>
      </c>
      <c r="AZ1352">
        <v>4202</v>
      </c>
      <c r="BA1352">
        <v>7438</v>
      </c>
      <c r="BB1352">
        <v>1432</v>
      </c>
      <c r="BC1352">
        <v>13072</v>
      </c>
      <c r="BD1352">
        <v>9486</v>
      </c>
      <c r="BE1352">
        <v>9222</v>
      </c>
      <c r="BF1352">
        <v>1768</v>
      </c>
      <c r="BG1352">
        <v>20476</v>
      </c>
      <c r="BH1352">
        <v>0</v>
      </c>
      <c r="BI1352">
        <v>0</v>
      </c>
      <c r="BJ1352">
        <v>0</v>
      </c>
      <c r="BK1352">
        <v>0</v>
      </c>
      <c r="BL1352" s="2">
        <v>24.82</v>
      </c>
      <c r="BM1352" s="2">
        <v>42005.095138888886</v>
      </c>
      <c r="BN1352" s="2">
        <v>5.4</v>
      </c>
      <c r="BO1352" s="2">
        <v>42005.092361111114</v>
      </c>
      <c r="BP1352" s="2">
        <v>6.92</v>
      </c>
      <c r="BQ1352" s="2">
        <v>42005.092361111114</v>
      </c>
      <c r="BR1352" s="2">
        <v>11.07</v>
      </c>
      <c r="BS1352" s="2">
        <v>42005.092361111114</v>
      </c>
      <c r="BT1352">
        <v>0</v>
      </c>
      <c r="BU1352">
        <v>0</v>
      </c>
      <c r="BV1352" t="s">
        <v>135</v>
      </c>
      <c r="BW1352">
        <v>0</v>
      </c>
      <c r="BX1352">
        <v>0</v>
      </c>
      <c r="BY1352" t="s">
        <v>135</v>
      </c>
      <c r="BZ1352">
        <v>0</v>
      </c>
      <c r="CA1352">
        <v>0</v>
      </c>
      <c r="CB1352" t="s">
        <v>135</v>
      </c>
      <c r="CH1352" s="2"/>
      <c r="CJ1352" s="2"/>
      <c r="CL1352" s="2"/>
      <c r="CN1352" s="2"/>
      <c r="CQ1352" s="2"/>
      <c r="CT1352" s="2"/>
      <c r="CW1352" s="2"/>
    </row>
    <row r="1353" spans="1:101" x14ac:dyDescent="0.25">
      <c r="A1353" s="1" t="s">
        <v>163</v>
      </c>
      <c r="B1353" s="75" t="s">
        <v>164</v>
      </c>
      <c r="C1353">
        <v>0</v>
      </c>
      <c r="D1353">
        <v>0</v>
      </c>
      <c r="E1353">
        <v>0</v>
      </c>
      <c r="F1353">
        <v>604324.56000000006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3.91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7490</v>
      </c>
      <c r="AW1353">
        <v>3350</v>
      </c>
      <c r="AX1353">
        <v>1219</v>
      </c>
      <c r="AY1353">
        <v>12059</v>
      </c>
      <c r="AZ1353">
        <v>4202</v>
      </c>
      <c r="BA1353">
        <v>7438</v>
      </c>
      <c r="BB1353">
        <v>1432</v>
      </c>
      <c r="BC1353">
        <v>13072</v>
      </c>
      <c r="BD1353">
        <v>9486</v>
      </c>
      <c r="BE1353">
        <v>9222</v>
      </c>
      <c r="BF1353">
        <v>1768</v>
      </c>
      <c r="BG1353">
        <v>20476</v>
      </c>
      <c r="BH1353">
        <v>0</v>
      </c>
      <c r="BI1353">
        <v>0</v>
      </c>
      <c r="BJ1353">
        <v>0</v>
      </c>
      <c r="BK1353">
        <v>0</v>
      </c>
      <c r="BL1353" s="2">
        <v>24.82</v>
      </c>
      <c r="BM1353" s="2">
        <v>42005.095138888886</v>
      </c>
      <c r="BN1353" s="2">
        <v>5.4</v>
      </c>
      <c r="BO1353" s="2">
        <v>42005.092361111114</v>
      </c>
      <c r="BP1353" s="2">
        <v>6.92</v>
      </c>
      <c r="BQ1353" s="2">
        <v>42005.092361111114</v>
      </c>
      <c r="BR1353" s="2">
        <v>11.07</v>
      </c>
      <c r="BS1353" s="2">
        <v>42005.092361111114</v>
      </c>
      <c r="BT1353">
        <v>0</v>
      </c>
      <c r="BU1353">
        <v>0</v>
      </c>
      <c r="BV1353" t="s">
        <v>135</v>
      </c>
      <c r="BW1353">
        <v>0</v>
      </c>
      <c r="BX1353">
        <v>0</v>
      </c>
      <c r="BY1353" t="s">
        <v>135</v>
      </c>
      <c r="BZ1353">
        <v>0</v>
      </c>
      <c r="CA1353">
        <v>0</v>
      </c>
      <c r="CB1353" t="s">
        <v>135</v>
      </c>
      <c r="CH1353" s="2"/>
      <c r="CJ1353" s="2"/>
      <c r="CL1353" s="2"/>
      <c r="CN1353" s="2"/>
      <c r="CQ1353" s="2"/>
      <c r="CT1353" s="2"/>
      <c r="CW1353" s="2"/>
    </row>
    <row r="1354" spans="1:101" x14ac:dyDescent="0.25">
      <c r="A1354" s="1" t="s">
        <v>163</v>
      </c>
      <c r="B1354" s="75" t="s">
        <v>164</v>
      </c>
      <c r="C1354">
        <v>0</v>
      </c>
      <c r="D1354">
        <v>0</v>
      </c>
      <c r="E1354">
        <v>0</v>
      </c>
      <c r="F1354">
        <v>604324.56000000006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3.91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7490</v>
      </c>
      <c r="AW1354">
        <v>3350</v>
      </c>
      <c r="AX1354">
        <v>1219</v>
      </c>
      <c r="AY1354">
        <v>12059</v>
      </c>
      <c r="AZ1354">
        <v>4202</v>
      </c>
      <c r="BA1354">
        <v>7438</v>
      </c>
      <c r="BB1354">
        <v>1432</v>
      </c>
      <c r="BC1354">
        <v>13072</v>
      </c>
      <c r="BD1354">
        <v>9486</v>
      </c>
      <c r="BE1354">
        <v>9222</v>
      </c>
      <c r="BF1354">
        <v>1768</v>
      </c>
      <c r="BG1354">
        <v>20476</v>
      </c>
      <c r="BH1354">
        <v>0</v>
      </c>
      <c r="BI1354">
        <v>0</v>
      </c>
      <c r="BJ1354">
        <v>0</v>
      </c>
      <c r="BK1354">
        <v>0</v>
      </c>
      <c r="BL1354" s="2">
        <v>24.82</v>
      </c>
      <c r="BM1354" s="2">
        <v>42005.095138888886</v>
      </c>
      <c r="BN1354" s="2">
        <v>5.4</v>
      </c>
      <c r="BO1354" s="2">
        <v>42005.092361111114</v>
      </c>
      <c r="BP1354" s="2">
        <v>6.92</v>
      </c>
      <c r="BQ1354" s="2">
        <v>42005.092361111114</v>
      </c>
      <c r="BR1354" s="2">
        <v>11.07</v>
      </c>
      <c r="BS1354" s="2">
        <v>42005.092361111114</v>
      </c>
      <c r="BT1354">
        <v>0</v>
      </c>
      <c r="BU1354">
        <v>0</v>
      </c>
      <c r="BV1354" t="s">
        <v>135</v>
      </c>
      <c r="BW1354">
        <v>0</v>
      </c>
      <c r="BX1354">
        <v>0</v>
      </c>
      <c r="BY1354" t="s">
        <v>135</v>
      </c>
      <c r="BZ1354">
        <v>0</v>
      </c>
      <c r="CA1354">
        <v>0</v>
      </c>
      <c r="CB1354" t="s">
        <v>135</v>
      </c>
      <c r="CH1354" s="2"/>
      <c r="CJ1354" s="2"/>
      <c r="CL1354" s="2"/>
      <c r="CN1354" s="2"/>
      <c r="CQ1354" s="2"/>
      <c r="CT1354" s="2"/>
      <c r="CW1354" s="2"/>
    </row>
    <row r="1355" spans="1:101" x14ac:dyDescent="0.25">
      <c r="A1355" s="1" t="s">
        <v>163</v>
      </c>
      <c r="B1355" s="75" t="s">
        <v>164</v>
      </c>
      <c r="C1355">
        <v>0</v>
      </c>
      <c r="D1355">
        <v>0</v>
      </c>
      <c r="E1355">
        <v>0</v>
      </c>
      <c r="F1355">
        <v>604324.56000000006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3.91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7490</v>
      </c>
      <c r="AW1355">
        <v>3350</v>
      </c>
      <c r="AX1355">
        <v>1219</v>
      </c>
      <c r="AY1355">
        <v>12059</v>
      </c>
      <c r="AZ1355">
        <v>4202</v>
      </c>
      <c r="BA1355">
        <v>7438</v>
      </c>
      <c r="BB1355">
        <v>1432</v>
      </c>
      <c r="BC1355">
        <v>13072</v>
      </c>
      <c r="BD1355">
        <v>9486</v>
      </c>
      <c r="BE1355">
        <v>9222</v>
      </c>
      <c r="BF1355">
        <v>1768</v>
      </c>
      <c r="BG1355">
        <v>20476</v>
      </c>
      <c r="BH1355">
        <v>0</v>
      </c>
      <c r="BI1355">
        <v>0</v>
      </c>
      <c r="BJ1355">
        <v>0</v>
      </c>
      <c r="BK1355">
        <v>0</v>
      </c>
      <c r="BL1355" s="2">
        <v>24.82</v>
      </c>
      <c r="BM1355" s="2">
        <v>42005.095138888886</v>
      </c>
      <c r="BN1355" s="2">
        <v>5.4</v>
      </c>
      <c r="BO1355" s="2">
        <v>42005.092361111114</v>
      </c>
      <c r="BP1355" s="2">
        <v>6.92</v>
      </c>
      <c r="BQ1355" s="2">
        <v>42005.092361111114</v>
      </c>
      <c r="BR1355" s="2">
        <v>11.07</v>
      </c>
      <c r="BS1355" s="2">
        <v>42005.092361111114</v>
      </c>
      <c r="BT1355">
        <v>0</v>
      </c>
      <c r="BU1355">
        <v>0</v>
      </c>
      <c r="BV1355" t="s">
        <v>135</v>
      </c>
      <c r="BW1355">
        <v>0</v>
      </c>
      <c r="BX1355">
        <v>0</v>
      </c>
      <c r="BY1355" t="s">
        <v>135</v>
      </c>
      <c r="BZ1355">
        <v>0</v>
      </c>
      <c r="CA1355">
        <v>0</v>
      </c>
      <c r="CB1355" t="s">
        <v>135</v>
      </c>
      <c r="CH1355" s="2"/>
      <c r="CJ1355" s="2"/>
      <c r="CL1355" s="2"/>
      <c r="CN1355" s="2"/>
      <c r="CQ1355" s="2"/>
      <c r="CT1355" s="2"/>
      <c r="CW1355" s="2"/>
    </row>
    <row r="1356" spans="1:101" x14ac:dyDescent="0.25">
      <c r="A1356" s="1" t="s">
        <v>163</v>
      </c>
      <c r="B1356" s="75" t="s">
        <v>164</v>
      </c>
      <c r="C1356">
        <v>0</v>
      </c>
      <c r="D1356">
        <v>0</v>
      </c>
      <c r="E1356">
        <v>0</v>
      </c>
      <c r="F1356">
        <v>604324.56000000006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3.91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7490</v>
      </c>
      <c r="AW1356">
        <v>3350</v>
      </c>
      <c r="AX1356">
        <v>1219</v>
      </c>
      <c r="AY1356">
        <v>12059</v>
      </c>
      <c r="AZ1356">
        <v>4202</v>
      </c>
      <c r="BA1356">
        <v>7438</v>
      </c>
      <c r="BB1356">
        <v>1432</v>
      </c>
      <c r="BC1356">
        <v>13072</v>
      </c>
      <c r="BD1356">
        <v>9486</v>
      </c>
      <c r="BE1356">
        <v>9222</v>
      </c>
      <c r="BF1356">
        <v>1768</v>
      </c>
      <c r="BG1356">
        <v>20476</v>
      </c>
      <c r="BH1356">
        <v>0</v>
      </c>
      <c r="BI1356">
        <v>0</v>
      </c>
      <c r="BJ1356">
        <v>0</v>
      </c>
      <c r="BK1356">
        <v>0</v>
      </c>
      <c r="BL1356" s="2">
        <v>24.82</v>
      </c>
      <c r="BM1356" s="2">
        <v>42005.095138888886</v>
      </c>
      <c r="BN1356" s="2">
        <v>5.4</v>
      </c>
      <c r="BO1356" s="2">
        <v>42005.092361111114</v>
      </c>
      <c r="BP1356" s="2">
        <v>6.92</v>
      </c>
      <c r="BQ1356" s="2">
        <v>42005.092361111114</v>
      </c>
      <c r="BR1356" s="2">
        <v>11.07</v>
      </c>
      <c r="BS1356" s="2">
        <v>42005.092361111114</v>
      </c>
      <c r="BT1356">
        <v>0</v>
      </c>
      <c r="BU1356">
        <v>0</v>
      </c>
      <c r="BV1356" t="s">
        <v>135</v>
      </c>
      <c r="BW1356">
        <v>0</v>
      </c>
      <c r="BX1356">
        <v>0</v>
      </c>
      <c r="BY1356" t="s">
        <v>135</v>
      </c>
      <c r="BZ1356">
        <v>0</v>
      </c>
      <c r="CA1356">
        <v>0</v>
      </c>
      <c r="CB1356" t="s">
        <v>135</v>
      </c>
      <c r="CH1356" s="2"/>
      <c r="CJ1356" s="2"/>
      <c r="CL1356" s="2"/>
      <c r="CN1356" s="2"/>
      <c r="CQ1356" s="2"/>
      <c r="CT1356" s="2"/>
      <c r="CW1356" s="2"/>
    </row>
    <row r="1357" spans="1:101" x14ac:dyDescent="0.25">
      <c r="A1357" s="1" t="s">
        <v>163</v>
      </c>
      <c r="B1357" s="75" t="s">
        <v>164</v>
      </c>
      <c r="C1357">
        <v>0</v>
      </c>
      <c r="D1357">
        <v>0</v>
      </c>
      <c r="E1357">
        <v>0</v>
      </c>
      <c r="F1357">
        <v>604324.56000000006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3.91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7490</v>
      </c>
      <c r="AW1357">
        <v>3350</v>
      </c>
      <c r="AX1357">
        <v>1219</v>
      </c>
      <c r="AY1357">
        <v>12059</v>
      </c>
      <c r="AZ1357">
        <v>4202</v>
      </c>
      <c r="BA1357">
        <v>7438</v>
      </c>
      <c r="BB1357">
        <v>1432</v>
      </c>
      <c r="BC1357">
        <v>13072</v>
      </c>
      <c r="BD1357">
        <v>9486</v>
      </c>
      <c r="BE1357">
        <v>9222</v>
      </c>
      <c r="BF1357">
        <v>1768</v>
      </c>
      <c r="BG1357">
        <v>20476</v>
      </c>
      <c r="BH1357">
        <v>0</v>
      </c>
      <c r="BI1357">
        <v>0</v>
      </c>
      <c r="BJ1357">
        <v>0</v>
      </c>
      <c r="BK1357">
        <v>0</v>
      </c>
      <c r="BL1357" s="2">
        <v>24.82</v>
      </c>
      <c r="BM1357" s="2">
        <v>42005.095138888886</v>
      </c>
      <c r="BN1357" s="2">
        <v>5.4</v>
      </c>
      <c r="BO1357" s="2">
        <v>42005.092361111114</v>
      </c>
      <c r="BP1357" s="2">
        <v>6.92</v>
      </c>
      <c r="BQ1357" s="2">
        <v>42005.092361111114</v>
      </c>
      <c r="BR1357" s="2">
        <v>11.07</v>
      </c>
      <c r="BS1357" s="2">
        <v>42005.092361111114</v>
      </c>
      <c r="BT1357">
        <v>0</v>
      </c>
      <c r="BU1357">
        <v>0</v>
      </c>
      <c r="BV1357" t="s">
        <v>135</v>
      </c>
      <c r="BW1357">
        <v>0</v>
      </c>
      <c r="BX1357">
        <v>0</v>
      </c>
      <c r="BY1357" t="s">
        <v>135</v>
      </c>
      <c r="BZ1357">
        <v>0</v>
      </c>
      <c r="CA1357">
        <v>0</v>
      </c>
      <c r="CB1357" t="s">
        <v>135</v>
      </c>
      <c r="CH1357" s="2"/>
      <c r="CJ1357" s="2"/>
      <c r="CL1357" s="2"/>
      <c r="CN1357" s="2"/>
      <c r="CQ1357" s="2"/>
      <c r="CT1357" s="2"/>
      <c r="CW1357" s="2"/>
    </row>
    <row r="1358" spans="1:101" x14ac:dyDescent="0.25">
      <c r="A1358" s="1" t="s">
        <v>163</v>
      </c>
      <c r="B1358" s="75" t="s">
        <v>164</v>
      </c>
      <c r="C1358">
        <v>0</v>
      </c>
      <c r="D1358">
        <v>0</v>
      </c>
      <c r="E1358">
        <v>0</v>
      </c>
      <c r="F1358">
        <v>604324.56000000006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3.91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7490</v>
      </c>
      <c r="AW1358">
        <v>3350</v>
      </c>
      <c r="AX1358">
        <v>1219</v>
      </c>
      <c r="AY1358">
        <v>12059</v>
      </c>
      <c r="AZ1358">
        <v>4202</v>
      </c>
      <c r="BA1358">
        <v>7438</v>
      </c>
      <c r="BB1358">
        <v>1432</v>
      </c>
      <c r="BC1358">
        <v>13072</v>
      </c>
      <c r="BD1358">
        <v>9486</v>
      </c>
      <c r="BE1358">
        <v>9222</v>
      </c>
      <c r="BF1358">
        <v>1768</v>
      </c>
      <c r="BG1358">
        <v>20476</v>
      </c>
      <c r="BH1358">
        <v>0</v>
      </c>
      <c r="BI1358">
        <v>0</v>
      </c>
      <c r="BJ1358">
        <v>0</v>
      </c>
      <c r="BK1358">
        <v>0</v>
      </c>
      <c r="BL1358" s="2">
        <v>24.82</v>
      </c>
      <c r="BM1358" s="2">
        <v>42005.095138888886</v>
      </c>
      <c r="BN1358" s="2">
        <v>5.4</v>
      </c>
      <c r="BO1358" s="2">
        <v>42005.092361111114</v>
      </c>
      <c r="BP1358" s="2">
        <v>6.92</v>
      </c>
      <c r="BQ1358" s="2">
        <v>42005.092361111114</v>
      </c>
      <c r="BR1358" s="2">
        <v>11.07</v>
      </c>
      <c r="BS1358" s="2">
        <v>42005.092361111114</v>
      </c>
      <c r="BT1358">
        <v>0</v>
      </c>
      <c r="BU1358">
        <v>0</v>
      </c>
      <c r="BV1358" t="s">
        <v>135</v>
      </c>
      <c r="BW1358">
        <v>0</v>
      </c>
      <c r="BX1358">
        <v>0</v>
      </c>
      <c r="BY1358" t="s">
        <v>135</v>
      </c>
      <c r="BZ1358">
        <v>0</v>
      </c>
      <c r="CA1358">
        <v>0</v>
      </c>
      <c r="CB1358" t="s">
        <v>135</v>
      </c>
      <c r="CH1358" s="2"/>
      <c r="CJ1358" s="2"/>
      <c r="CL1358" s="2"/>
      <c r="CN1358" s="2"/>
      <c r="CQ1358" s="2"/>
      <c r="CT1358" s="2"/>
      <c r="CW1358" s="2"/>
    </row>
    <row r="1359" spans="1:101" x14ac:dyDescent="0.25">
      <c r="A1359" s="1" t="s">
        <v>163</v>
      </c>
      <c r="B1359" s="75" t="s">
        <v>164</v>
      </c>
      <c r="C1359">
        <v>0</v>
      </c>
      <c r="D1359">
        <v>0</v>
      </c>
      <c r="E1359">
        <v>0</v>
      </c>
      <c r="F1359">
        <v>604324.56000000006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3.91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7490</v>
      </c>
      <c r="AW1359">
        <v>3350</v>
      </c>
      <c r="AX1359">
        <v>1219</v>
      </c>
      <c r="AY1359">
        <v>12059</v>
      </c>
      <c r="AZ1359">
        <v>4202</v>
      </c>
      <c r="BA1359">
        <v>7438</v>
      </c>
      <c r="BB1359">
        <v>1432</v>
      </c>
      <c r="BC1359">
        <v>13072</v>
      </c>
      <c r="BD1359">
        <v>9486</v>
      </c>
      <c r="BE1359">
        <v>9222</v>
      </c>
      <c r="BF1359">
        <v>1768</v>
      </c>
      <c r="BG1359">
        <v>20476</v>
      </c>
      <c r="BH1359">
        <v>0</v>
      </c>
      <c r="BI1359">
        <v>0</v>
      </c>
      <c r="BJ1359">
        <v>0</v>
      </c>
      <c r="BK1359">
        <v>0</v>
      </c>
      <c r="BL1359" s="2">
        <v>24.82</v>
      </c>
      <c r="BM1359" s="2">
        <v>42005.095138888886</v>
      </c>
      <c r="BN1359" s="2">
        <v>5.4</v>
      </c>
      <c r="BO1359" s="2">
        <v>42005.092361111114</v>
      </c>
      <c r="BP1359" s="2">
        <v>6.92</v>
      </c>
      <c r="BQ1359" s="2">
        <v>42005.092361111114</v>
      </c>
      <c r="BR1359" s="2">
        <v>11.07</v>
      </c>
      <c r="BS1359" s="2">
        <v>42005.092361111114</v>
      </c>
      <c r="BT1359">
        <v>0</v>
      </c>
      <c r="BU1359">
        <v>0</v>
      </c>
      <c r="BV1359" t="s">
        <v>135</v>
      </c>
      <c r="BW1359">
        <v>0</v>
      </c>
      <c r="BX1359">
        <v>0</v>
      </c>
      <c r="BY1359" t="s">
        <v>135</v>
      </c>
      <c r="BZ1359">
        <v>0</v>
      </c>
      <c r="CA1359">
        <v>0</v>
      </c>
      <c r="CB1359" t="s">
        <v>135</v>
      </c>
      <c r="CH1359" s="2"/>
      <c r="CJ1359" s="2"/>
      <c r="CL1359" s="2"/>
      <c r="CN1359" s="2"/>
      <c r="CQ1359" s="2"/>
      <c r="CT1359" s="2"/>
      <c r="CW1359" s="2"/>
    </row>
    <row r="1360" spans="1:101" x14ac:dyDescent="0.25">
      <c r="A1360" s="1" t="s">
        <v>163</v>
      </c>
      <c r="B1360" s="75" t="s">
        <v>164</v>
      </c>
      <c r="C1360">
        <v>0</v>
      </c>
      <c r="D1360">
        <v>0</v>
      </c>
      <c r="E1360">
        <v>0</v>
      </c>
      <c r="F1360">
        <v>604324.56000000006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3.91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7490</v>
      </c>
      <c r="AW1360">
        <v>3350</v>
      </c>
      <c r="AX1360">
        <v>1219</v>
      </c>
      <c r="AY1360">
        <v>12059</v>
      </c>
      <c r="AZ1360">
        <v>4202</v>
      </c>
      <c r="BA1360">
        <v>7438</v>
      </c>
      <c r="BB1360">
        <v>1432</v>
      </c>
      <c r="BC1360">
        <v>13072</v>
      </c>
      <c r="BD1360">
        <v>9486</v>
      </c>
      <c r="BE1360">
        <v>9222</v>
      </c>
      <c r="BF1360">
        <v>1768</v>
      </c>
      <c r="BG1360">
        <v>20476</v>
      </c>
      <c r="BH1360">
        <v>0</v>
      </c>
      <c r="BI1360">
        <v>0</v>
      </c>
      <c r="BJ1360">
        <v>0</v>
      </c>
      <c r="BK1360">
        <v>0</v>
      </c>
      <c r="BL1360" s="2">
        <v>24.82</v>
      </c>
      <c r="BM1360" s="2">
        <v>42005.095138888886</v>
      </c>
      <c r="BN1360" s="2">
        <v>5.4</v>
      </c>
      <c r="BO1360" s="2">
        <v>42005.092361111114</v>
      </c>
      <c r="BP1360" s="2">
        <v>6.92</v>
      </c>
      <c r="BQ1360" s="2">
        <v>42005.092361111114</v>
      </c>
      <c r="BR1360" s="2">
        <v>11.07</v>
      </c>
      <c r="BS1360" s="2">
        <v>42005.092361111114</v>
      </c>
      <c r="BT1360">
        <v>0</v>
      </c>
      <c r="BU1360">
        <v>0</v>
      </c>
      <c r="BV1360" t="s">
        <v>135</v>
      </c>
      <c r="BW1360">
        <v>0</v>
      </c>
      <c r="BX1360">
        <v>0</v>
      </c>
      <c r="BY1360" t="s">
        <v>135</v>
      </c>
      <c r="BZ1360">
        <v>0</v>
      </c>
      <c r="CA1360">
        <v>0</v>
      </c>
      <c r="CB1360" t="s">
        <v>135</v>
      </c>
      <c r="CH1360" s="2"/>
      <c r="CJ1360" s="2"/>
      <c r="CL1360" s="2"/>
      <c r="CN1360" s="2"/>
      <c r="CQ1360" s="2"/>
      <c r="CT1360" s="2"/>
      <c r="CW1360" s="2"/>
    </row>
    <row r="1361" spans="1:101" x14ac:dyDescent="0.25">
      <c r="A1361" s="1" t="s">
        <v>163</v>
      </c>
      <c r="B1361" s="75" t="s">
        <v>164</v>
      </c>
      <c r="C1361">
        <v>0</v>
      </c>
      <c r="D1361">
        <v>0</v>
      </c>
      <c r="E1361">
        <v>0</v>
      </c>
      <c r="F1361">
        <v>604324.56000000006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3.91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7490</v>
      </c>
      <c r="AW1361">
        <v>3350</v>
      </c>
      <c r="AX1361">
        <v>1219</v>
      </c>
      <c r="AY1361">
        <v>12059</v>
      </c>
      <c r="AZ1361">
        <v>4202</v>
      </c>
      <c r="BA1361">
        <v>7438</v>
      </c>
      <c r="BB1361">
        <v>1432</v>
      </c>
      <c r="BC1361">
        <v>13072</v>
      </c>
      <c r="BD1361">
        <v>9486</v>
      </c>
      <c r="BE1361">
        <v>9222</v>
      </c>
      <c r="BF1361">
        <v>1768</v>
      </c>
      <c r="BG1361">
        <v>20476</v>
      </c>
      <c r="BH1361">
        <v>0</v>
      </c>
      <c r="BI1361">
        <v>0</v>
      </c>
      <c r="BJ1361">
        <v>0</v>
      </c>
      <c r="BK1361">
        <v>0</v>
      </c>
      <c r="BL1361" s="2">
        <v>24.82</v>
      </c>
      <c r="BM1361" s="2">
        <v>42005.095138888886</v>
      </c>
      <c r="BN1361" s="2">
        <v>5.4</v>
      </c>
      <c r="BO1361" s="2">
        <v>42005.092361111114</v>
      </c>
      <c r="BP1361" s="2">
        <v>6.92</v>
      </c>
      <c r="BQ1361" s="2">
        <v>42005.092361111114</v>
      </c>
      <c r="BR1361" s="2">
        <v>11.07</v>
      </c>
      <c r="BS1361" s="2">
        <v>42005.092361111114</v>
      </c>
      <c r="BT1361">
        <v>0</v>
      </c>
      <c r="BU1361">
        <v>0</v>
      </c>
      <c r="BV1361" t="s">
        <v>135</v>
      </c>
      <c r="BW1361">
        <v>0</v>
      </c>
      <c r="BX1361">
        <v>0</v>
      </c>
      <c r="BY1361" t="s">
        <v>135</v>
      </c>
      <c r="BZ1361">
        <v>0</v>
      </c>
      <c r="CA1361">
        <v>0</v>
      </c>
      <c r="CB1361" t="s">
        <v>135</v>
      </c>
      <c r="CH1361" s="2"/>
      <c r="CJ1361" s="2"/>
      <c r="CL1361" s="2"/>
      <c r="CN1361" s="2"/>
      <c r="CQ1361" s="2"/>
      <c r="CT1361" s="2"/>
      <c r="CW1361" s="2"/>
    </row>
    <row r="1362" spans="1:101" x14ac:dyDescent="0.25">
      <c r="A1362" s="1" t="s">
        <v>163</v>
      </c>
      <c r="B1362" s="75" t="s">
        <v>164</v>
      </c>
      <c r="C1362">
        <v>0</v>
      </c>
      <c r="D1362">
        <v>0</v>
      </c>
      <c r="E1362">
        <v>0</v>
      </c>
      <c r="F1362">
        <v>604324.56000000006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3.91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7490</v>
      </c>
      <c r="AW1362">
        <v>3350</v>
      </c>
      <c r="AX1362">
        <v>1219</v>
      </c>
      <c r="AY1362">
        <v>12059</v>
      </c>
      <c r="AZ1362">
        <v>4202</v>
      </c>
      <c r="BA1362">
        <v>7438</v>
      </c>
      <c r="BB1362">
        <v>1432</v>
      </c>
      <c r="BC1362">
        <v>13072</v>
      </c>
      <c r="BD1362">
        <v>9486</v>
      </c>
      <c r="BE1362">
        <v>9222</v>
      </c>
      <c r="BF1362">
        <v>1768</v>
      </c>
      <c r="BG1362">
        <v>20476</v>
      </c>
      <c r="BH1362">
        <v>0</v>
      </c>
      <c r="BI1362">
        <v>0</v>
      </c>
      <c r="BJ1362">
        <v>0</v>
      </c>
      <c r="BK1362">
        <v>0</v>
      </c>
      <c r="BL1362" s="2">
        <v>24.82</v>
      </c>
      <c r="BM1362" s="2">
        <v>42005.095138888886</v>
      </c>
      <c r="BN1362" s="2">
        <v>5.4</v>
      </c>
      <c r="BO1362" s="2">
        <v>42005.092361111114</v>
      </c>
      <c r="BP1362" s="2">
        <v>6.92</v>
      </c>
      <c r="BQ1362" s="2">
        <v>42005.092361111114</v>
      </c>
      <c r="BR1362" s="2">
        <v>11.07</v>
      </c>
      <c r="BS1362" s="2">
        <v>42005.092361111114</v>
      </c>
      <c r="BT1362">
        <v>0</v>
      </c>
      <c r="BU1362">
        <v>0</v>
      </c>
      <c r="BV1362" t="s">
        <v>135</v>
      </c>
      <c r="BW1362">
        <v>0</v>
      </c>
      <c r="BX1362">
        <v>0</v>
      </c>
      <c r="BY1362" t="s">
        <v>135</v>
      </c>
      <c r="BZ1362">
        <v>0</v>
      </c>
      <c r="CA1362">
        <v>0</v>
      </c>
      <c r="CB1362" t="s">
        <v>135</v>
      </c>
      <c r="CH1362" s="2"/>
      <c r="CJ1362" s="2"/>
      <c r="CL1362" s="2"/>
      <c r="CN1362" s="2"/>
      <c r="CQ1362" s="2"/>
      <c r="CT1362" s="2"/>
      <c r="CW1362" s="2"/>
    </row>
    <row r="1363" spans="1:101" x14ac:dyDescent="0.25">
      <c r="A1363" s="1" t="s">
        <v>163</v>
      </c>
      <c r="B1363" s="75" t="s">
        <v>164</v>
      </c>
      <c r="C1363">
        <v>0</v>
      </c>
      <c r="D1363">
        <v>0</v>
      </c>
      <c r="E1363">
        <v>0</v>
      </c>
      <c r="F1363">
        <v>604324.56000000006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3.91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7490</v>
      </c>
      <c r="AW1363">
        <v>3350</v>
      </c>
      <c r="AX1363">
        <v>1219</v>
      </c>
      <c r="AY1363">
        <v>12059</v>
      </c>
      <c r="AZ1363">
        <v>4202</v>
      </c>
      <c r="BA1363">
        <v>7438</v>
      </c>
      <c r="BB1363">
        <v>1432</v>
      </c>
      <c r="BC1363">
        <v>13072</v>
      </c>
      <c r="BD1363">
        <v>9486</v>
      </c>
      <c r="BE1363">
        <v>9222</v>
      </c>
      <c r="BF1363">
        <v>1768</v>
      </c>
      <c r="BG1363">
        <v>20476</v>
      </c>
      <c r="BH1363">
        <v>0</v>
      </c>
      <c r="BI1363">
        <v>0</v>
      </c>
      <c r="BJ1363">
        <v>0</v>
      </c>
      <c r="BK1363">
        <v>0</v>
      </c>
      <c r="BL1363" s="2">
        <v>24.82</v>
      </c>
      <c r="BM1363" s="2">
        <v>42005.095138888886</v>
      </c>
      <c r="BN1363" s="2">
        <v>5.4</v>
      </c>
      <c r="BO1363" s="2">
        <v>42005.092361111114</v>
      </c>
      <c r="BP1363" s="2">
        <v>6.92</v>
      </c>
      <c r="BQ1363" s="2">
        <v>42005.092361111114</v>
      </c>
      <c r="BR1363" s="2">
        <v>11.07</v>
      </c>
      <c r="BS1363" s="2">
        <v>42005.092361111114</v>
      </c>
      <c r="BT1363">
        <v>0</v>
      </c>
      <c r="BU1363">
        <v>0</v>
      </c>
      <c r="BV1363" t="s">
        <v>135</v>
      </c>
      <c r="BW1363">
        <v>0</v>
      </c>
      <c r="BX1363">
        <v>0</v>
      </c>
      <c r="BY1363" t="s">
        <v>135</v>
      </c>
      <c r="BZ1363">
        <v>0</v>
      </c>
      <c r="CA1363">
        <v>0</v>
      </c>
      <c r="CB1363" t="s">
        <v>135</v>
      </c>
      <c r="CH1363" s="2"/>
      <c r="CJ1363" s="2"/>
      <c r="CL1363" s="2"/>
      <c r="CN1363" s="2"/>
      <c r="CQ1363" s="2"/>
      <c r="CT1363" s="2"/>
      <c r="CW1363" s="2"/>
    </row>
    <row r="1364" spans="1:101" x14ac:dyDescent="0.25">
      <c r="A1364" s="1" t="s">
        <v>163</v>
      </c>
      <c r="B1364" s="75" t="s">
        <v>164</v>
      </c>
      <c r="C1364">
        <v>0</v>
      </c>
      <c r="D1364">
        <v>0</v>
      </c>
      <c r="E1364">
        <v>0</v>
      </c>
      <c r="F1364">
        <v>604324.56000000006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3.91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7490</v>
      </c>
      <c r="AW1364">
        <v>3350</v>
      </c>
      <c r="AX1364">
        <v>1219</v>
      </c>
      <c r="AY1364">
        <v>12059</v>
      </c>
      <c r="AZ1364">
        <v>4202</v>
      </c>
      <c r="BA1364">
        <v>7438</v>
      </c>
      <c r="BB1364">
        <v>1432</v>
      </c>
      <c r="BC1364">
        <v>13072</v>
      </c>
      <c r="BD1364">
        <v>9486</v>
      </c>
      <c r="BE1364">
        <v>9222</v>
      </c>
      <c r="BF1364">
        <v>1768</v>
      </c>
      <c r="BG1364">
        <v>20476</v>
      </c>
      <c r="BH1364">
        <v>0</v>
      </c>
      <c r="BI1364">
        <v>0</v>
      </c>
      <c r="BJ1364">
        <v>0</v>
      </c>
      <c r="BK1364">
        <v>0</v>
      </c>
      <c r="BL1364" s="2">
        <v>24.82</v>
      </c>
      <c r="BM1364" s="2">
        <v>42005.095138888886</v>
      </c>
      <c r="BN1364" s="2">
        <v>5.4</v>
      </c>
      <c r="BO1364" s="2">
        <v>42005.092361111114</v>
      </c>
      <c r="BP1364" s="2">
        <v>6.92</v>
      </c>
      <c r="BQ1364" s="2">
        <v>42005.092361111114</v>
      </c>
      <c r="BR1364" s="2">
        <v>11.07</v>
      </c>
      <c r="BS1364" s="2">
        <v>42005.092361111114</v>
      </c>
      <c r="BT1364">
        <v>0</v>
      </c>
      <c r="BU1364">
        <v>0</v>
      </c>
      <c r="BV1364" t="s">
        <v>135</v>
      </c>
      <c r="BW1364">
        <v>0</v>
      </c>
      <c r="BX1364">
        <v>0</v>
      </c>
      <c r="BY1364" t="s">
        <v>135</v>
      </c>
      <c r="BZ1364">
        <v>0</v>
      </c>
      <c r="CA1364">
        <v>0</v>
      </c>
      <c r="CB1364" t="s">
        <v>135</v>
      </c>
      <c r="CH1364" s="2"/>
      <c r="CJ1364" s="2"/>
      <c r="CL1364" s="2"/>
      <c r="CN1364" s="2"/>
      <c r="CQ1364" s="2"/>
      <c r="CT1364" s="2"/>
      <c r="CW1364" s="2"/>
    </row>
    <row r="1365" spans="1:101" x14ac:dyDescent="0.25">
      <c r="A1365" s="1" t="s">
        <v>163</v>
      </c>
      <c r="B1365" s="75" t="s">
        <v>164</v>
      </c>
      <c r="C1365">
        <v>0</v>
      </c>
      <c r="D1365">
        <v>0</v>
      </c>
      <c r="E1365">
        <v>0</v>
      </c>
      <c r="F1365">
        <v>604324.56000000006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3.91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7490</v>
      </c>
      <c r="AW1365">
        <v>3350</v>
      </c>
      <c r="AX1365">
        <v>1219</v>
      </c>
      <c r="AY1365">
        <v>12059</v>
      </c>
      <c r="AZ1365">
        <v>4202</v>
      </c>
      <c r="BA1365">
        <v>7438</v>
      </c>
      <c r="BB1365">
        <v>1432</v>
      </c>
      <c r="BC1365">
        <v>13072</v>
      </c>
      <c r="BD1365">
        <v>9486</v>
      </c>
      <c r="BE1365">
        <v>9222</v>
      </c>
      <c r="BF1365">
        <v>1768</v>
      </c>
      <c r="BG1365">
        <v>20476</v>
      </c>
      <c r="BH1365">
        <v>0</v>
      </c>
      <c r="BI1365">
        <v>0</v>
      </c>
      <c r="BJ1365">
        <v>0</v>
      </c>
      <c r="BK1365">
        <v>0</v>
      </c>
      <c r="BL1365" s="2">
        <v>24.82</v>
      </c>
      <c r="BM1365" s="2">
        <v>42005.095138888886</v>
      </c>
      <c r="BN1365" s="2">
        <v>5.4</v>
      </c>
      <c r="BO1365" s="2">
        <v>42005.092361111114</v>
      </c>
      <c r="BP1365" s="2">
        <v>6.92</v>
      </c>
      <c r="BQ1365" s="2">
        <v>42005.092361111114</v>
      </c>
      <c r="BR1365" s="2">
        <v>11.07</v>
      </c>
      <c r="BS1365" s="2">
        <v>42005.092361111114</v>
      </c>
      <c r="BT1365">
        <v>0</v>
      </c>
      <c r="BU1365">
        <v>0</v>
      </c>
      <c r="BV1365" t="s">
        <v>135</v>
      </c>
      <c r="BW1365">
        <v>0</v>
      </c>
      <c r="BX1365">
        <v>0</v>
      </c>
      <c r="BY1365" t="s">
        <v>135</v>
      </c>
      <c r="BZ1365">
        <v>0</v>
      </c>
      <c r="CA1365">
        <v>0</v>
      </c>
      <c r="CB1365" t="s">
        <v>135</v>
      </c>
      <c r="CH1365" s="2"/>
      <c r="CJ1365" s="2"/>
      <c r="CL1365" s="2"/>
      <c r="CN1365" s="2"/>
      <c r="CQ1365" s="2"/>
      <c r="CT1365" s="2"/>
      <c r="CW1365" s="2"/>
    </row>
    <row r="1366" spans="1:101" x14ac:dyDescent="0.25">
      <c r="A1366" s="1" t="s">
        <v>163</v>
      </c>
      <c r="B1366" s="75" t="s">
        <v>164</v>
      </c>
      <c r="C1366">
        <v>0</v>
      </c>
      <c r="D1366">
        <v>0</v>
      </c>
      <c r="E1366">
        <v>0</v>
      </c>
      <c r="F1366">
        <v>604324.56000000006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3.91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7490</v>
      </c>
      <c r="AW1366">
        <v>3350</v>
      </c>
      <c r="AX1366">
        <v>1219</v>
      </c>
      <c r="AY1366">
        <v>12059</v>
      </c>
      <c r="AZ1366">
        <v>4202</v>
      </c>
      <c r="BA1366">
        <v>7438</v>
      </c>
      <c r="BB1366">
        <v>1432</v>
      </c>
      <c r="BC1366">
        <v>13072</v>
      </c>
      <c r="BD1366">
        <v>9486</v>
      </c>
      <c r="BE1366">
        <v>9222</v>
      </c>
      <c r="BF1366">
        <v>1768</v>
      </c>
      <c r="BG1366">
        <v>20476</v>
      </c>
      <c r="BH1366">
        <v>0</v>
      </c>
      <c r="BI1366">
        <v>0</v>
      </c>
      <c r="BJ1366">
        <v>0</v>
      </c>
      <c r="BK1366">
        <v>0</v>
      </c>
      <c r="BL1366" s="2">
        <v>24.82</v>
      </c>
      <c r="BM1366" s="2">
        <v>42005.095138888886</v>
      </c>
      <c r="BN1366" s="2">
        <v>5.4</v>
      </c>
      <c r="BO1366" s="2">
        <v>42005.092361111114</v>
      </c>
      <c r="BP1366" s="2">
        <v>6.92</v>
      </c>
      <c r="BQ1366" s="2">
        <v>42005.092361111114</v>
      </c>
      <c r="BR1366" s="2">
        <v>11.07</v>
      </c>
      <c r="BS1366" s="2">
        <v>42005.092361111114</v>
      </c>
      <c r="BT1366">
        <v>0</v>
      </c>
      <c r="BU1366">
        <v>0</v>
      </c>
      <c r="BV1366" t="s">
        <v>135</v>
      </c>
      <c r="BW1366">
        <v>0</v>
      </c>
      <c r="BX1366">
        <v>0</v>
      </c>
      <c r="BY1366" t="s">
        <v>135</v>
      </c>
      <c r="BZ1366">
        <v>0</v>
      </c>
      <c r="CA1366">
        <v>0</v>
      </c>
      <c r="CB1366" t="s">
        <v>135</v>
      </c>
      <c r="CH1366" s="2"/>
      <c r="CJ1366" s="2"/>
      <c r="CL1366" s="2"/>
      <c r="CN1366" s="2"/>
      <c r="CQ1366" s="2"/>
      <c r="CT1366" s="2"/>
      <c r="CW1366" s="2"/>
    </row>
    <row r="1367" spans="1:101" x14ac:dyDescent="0.25">
      <c r="A1367" s="1" t="s">
        <v>163</v>
      </c>
      <c r="B1367" s="75" t="s">
        <v>164</v>
      </c>
      <c r="C1367">
        <v>0</v>
      </c>
      <c r="D1367">
        <v>0</v>
      </c>
      <c r="E1367">
        <v>0</v>
      </c>
      <c r="F1367">
        <v>604324.56000000006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3.91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7490</v>
      </c>
      <c r="AW1367">
        <v>3350</v>
      </c>
      <c r="AX1367">
        <v>1219</v>
      </c>
      <c r="AY1367">
        <v>12059</v>
      </c>
      <c r="AZ1367">
        <v>4202</v>
      </c>
      <c r="BA1367">
        <v>7438</v>
      </c>
      <c r="BB1367">
        <v>1432</v>
      </c>
      <c r="BC1367">
        <v>13072</v>
      </c>
      <c r="BD1367">
        <v>9486</v>
      </c>
      <c r="BE1367">
        <v>9222</v>
      </c>
      <c r="BF1367">
        <v>1768</v>
      </c>
      <c r="BG1367">
        <v>20476</v>
      </c>
      <c r="BH1367">
        <v>0</v>
      </c>
      <c r="BI1367">
        <v>0</v>
      </c>
      <c r="BJ1367">
        <v>0</v>
      </c>
      <c r="BK1367">
        <v>0</v>
      </c>
      <c r="BL1367" s="2">
        <v>24.82</v>
      </c>
      <c r="BM1367" s="2">
        <v>42005.095138888886</v>
      </c>
      <c r="BN1367" s="2">
        <v>5.4</v>
      </c>
      <c r="BO1367" s="2">
        <v>42005.092361111114</v>
      </c>
      <c r="BP1367" s="2">
        <v>6.92</v>
      </c>
      <c r="BQ1367" s="2">
        <v>42005.092361111114</v>
      </c>
      <c r="BR1367" s="2">
        <v>11.07</v>
      </c>
      <c r="BS1367" s="2">
        <v>42005.092361111114</v>
      </c>
      <c r="BT1367">
        <v>0</v>
      </c>
      <c r="BU1367">
        <v>0</v>
      </c>
      <c r="BV1367" t="s">
        <v>135</v>
      </c>
      <c r="BW1367">
        <v>0</v>
      </c>
      <c r="BX1367">
        <v>0</v>
      </c>
      <c r="BY1367" t="s">
        <v>135</v>
      </c>
      <c r="BZ1367">
        <v>0</v>
      </c>
      <c r="CA1367">
        <v>0</v>
      </c>
      <c r="CB1367" t="s">
        <v>135</v>
      </c>
      <c r="CH1367" s="2"/>
      <c r="CJ1367" s="2"/>
      <c r="CL1367" s="2"/>
      <c r="CN1367" s="2"/>
      <c r="CQ1367" s="2"/>
      <c r="CT1367" s="2"/>
      <c r="CW1367" s="2"/>
    </row>
    <row r="1368" spans="1:101" x14ac:dyDescent="0.25">
      <c r="A1368" s="1" t="s">
        <v>163</v>
      </c>
      <c r="B1368" s="75" t="s">
        <v>164</v>
      </c>
      <c r="C1368">
        <v>0</v>
      </c>
      <c r="D1368">
        <v>0</v>
      </c>
      <c r="E1368">
        <v>0</v>
      </c>
      <c r="F1368">
        <v>604324.56000000006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3.91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7490</v>
      </c>
      <c r="AW1368">
        <v>3350</v>
      </c>
      <c r="AX1368">
        <v>1219</v>
      </c>
      <c r="AY1368">
        <v>12059</v>
      </c>
      <c r="AZ1368">
        <v>4202</v>
      </c>
      <c r="BA1368">
        <v>7438</v>
      </c>
      <c r="BB1368">
        <v>1432</v>
      </c>
      <c r="BC1368">
        <v>13072</v>
      </c>
      <c r="BD1368">
        <v>9486</v>
      </c>
      <c r="BE1368">
        <v>9222</v>
      </c>
      <c r="BF1368">
        <v>1768</v>
      </c>
      <c r="BG1368">
        <v>20476</v>
      </c>
      <c r="BH1368">
        <v>0</v>
      </c>
      <c r="BI1368">
        <v>0</v>
      </c>
      <c r="BJ1368">
        <v>0</v>
      </c>
      <c r="BK1368">
        <v>0</v>
      </c>
      <c r="BL1368" s="2">
        <v>24.82</v>
      </c>
      <c r="BM1368" s="2">
        <v>42005.095138888886</v>
      </c>
      <c r="BN1368" s="2">
        <v>5.4</v>
      </c>
      <c r="BO1368" s="2">
        <v>42005.092361111114</v>
      </c>
      <c r="BP1368" s="2">
        <v>6.92</v>
      </c>
      <c r="BQ1368" s="2">
        <v>42005.092361111114</v>
      </c>
      <c r="BR1368" s="2">
        <v>11.07</v>
      </c>
      <c r="BS1368" s="2">
        <v>42005.092361111114</v>
      </c>
      <c r="BT1368">
        <v>0</v>
      </c>
      <c r="BU1368">
        <v>0</v>
      </c>
      <c r="BV1368" t="s">
        <v>135</v>
      </c>
      <c r="BW1368">
        <v>0</v>
      </c>
      <c r="BX1368">
        <v>0</v>
      </c>
      <c r="BY1368" t="s">
        <v>135</v>
      </c>
      <c r="BZ1368">
        <v>0</v>
      </c>
      <c r="CA1368">
        <v>0</v>
      </c>
      <c r="CB1368" t="s">
        <v>135</v>
      </c>
      <c r="CH1368" s="2"/>
      <c r="CJ1368" s="2"/>
      <c r="CL1368" s="2"/>
      <c r="CN1368" s="2"/>
      <c r="CQ1368" s="2"/>
      <c r="CT1368" s="2"/>
      <c r="CW1368" s="2"/>
    </row>
    <row r="1369" spans="1:101" x14ac:dyDescent="0.25">
      <c r="A1369" s="1" t="s">
        <v>163</v>
      </c>
      <c r="B1369" s="75" t="s">
        <v>164</v>
      </c>
      <c r="C1369">
        <v>0</v>
      </c>
      <c r="D1369">
        <v>0</v>
      </c>
      <c r="E1369">
        <v>0</v>
      </c>
      <c r="F1369">
        <v>604324.56000000006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3.91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7490</v>
      </c>
      <c r="AW1369">
        <v>3350</v>
      </c>
      <c r="AX1369">
        <v>1219</v>
      </c>
      <c r="AY1369">
        <v>12059</v>
      </c>
      <c r="AZ1369">
        <v>4202</v>
      </c>
      <c r="BA1369">
        <v>7438</v>
      </c>
      <c r="BB1369">
        <v>1432</v>
      </c>
      <c r="BC1369">
        <v>13072</v>
      </c>
      <c r="BD1369">
        <v>9486</v>
      </c>
      <c r="BE1369">
        <v>9222</v>
      </c>
      <c r="BF1369">
        <v>1768</v>
      </c>
      <c r="BG1369">
        <v>20476</v>
      </c>
      <c r="BH1369">
        <v>0</v>
      </c>
      <c r="BI1369">
        <v>0</v>
      </c>
      <c r="BJ1369">
        <v>0</v>
      </c>
      <c r="BK1369">
        <v>0</v>
      </c>
      <c r="BL1369" s="2">
        <v>24.82</v>
      </c>
      <c r="BM1369" s="2">
        <v>42005.095138888886</v>
      </c>
      <c r="BN1369" s="2">
        <v>5.4</v>
      </c>
      <c r="BO1369" s="2">
        <v>42005.092361111114</v>
      </c>
      <c r="BP1369" s="2">
        <v>6.92</v>
      </c>
      <c r="BQ1369" s="2">
        <v>42005.092361111114</v>
      </c>
      <c r="BR1369" s="2">
        <v>11.07</v>
      </c>
      <c r="BS1369" s="2">
        <v>42005.092361111114</v>
      </c>
      <c r="BT1369">
        <v>0</v>
      </c>
      <c r="BU1369">
        <v>0</v>
      </c>
      <c r="BV1369" t="s">
        <v>135</v>
      </c>
      <c r="BW1369">
        <v>0</v>
      </c>
      <c r="BX1369">
        <v>0</v>
      </c>
      <c r="BY1369" t="s">
        <v>135</v>
      </c>
      <c r="BZ1369">
        <v>0</v>
      </c>
      <c r="CA1369">
        <v>0</v>
      </c>
      <c r="CB1369" t="s">
        <v>135</v>
      </c>
      <c r="CH1369" s="2"/>
      <c r="CJ1369" s="2"/>
      <c r="CL1369" s="2"/>
      <c r="CN1369" s="2"/>
      <c r="CQ1369" s="2"/>
      <c r="CT1369" s="2"/>
      <c r="CW1369" s="2"/>
    </row>
    <row r="1370" spans="1:101" x14ac:dyDescent="0.25">
      <c r="A1370" s="1" t="s">
        <v>163</v>
      </c>
      <c r="B1370" s="75" t="s">
        <v>164</v>
      </c>
      <c r="C1370">
        <v>0</v>
      </c>
      <c r="D1370">
        <v>0</v>
      </c>
      <c r="E1370">
        <v>0</v>
      </c>
      <c r="F1370">
        <v>604324.56000000006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3.91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7490</v>
      </c>
      <c r="AW1370">
        <v>3350</v>
      </c>
      <c r="AX1370">
        <v>1219</v>
      </c>
      <c r="AY1370">
        <v>12059</v>
      </c>
      <c r="AZ1370">
        <v>4202</v>
      </c>
      <c r="BA1370">
        <v>7438</v>
      </c>
      <c r="BB1370">
        <v>1432</v>
      </c>
      <c r="BC1370">
        <v>13072</v>
      </c>
      <c r="BD1370">
        <v>9486</v>
      </c>
      <c r="BE1370">
        <v>9222</v>
      </c>
      <c r="BF1370">
        <v>1768</v>
      </c>
      <c r="BG1370">
        <v>20476</v>
      </c>
      <c r="BH1370">
        <v>0</v>
      </c>
      <c r="BI1370">
        <v>0</v>
      </c>
      <c r="BJ1370">
        <v>0</v>
      </c>
      <c r="BK1370">
        <v>0</v>
      </c>
      <c r="BL1370" s="2">
        <v>24.82</v>
      </c>
      <c r="BM1370" s="2">
        <v>42005.095138888886</v>
      </c>
      <c r="BN1370" s="2">
        <v>5.4</v>
      </c>
      <c r="BO1370" s="2">
        <v>42005.092361111114</v>
      </c>
      <c r="BP1370" s="2">
        <v>6.92</v>
      </c>
      <c r="BQ1370" s="2">
        <v>42005.092361111114</v>
      </c>
      <c r="BR1370" s="2">
        <v>11.07</v>
      </c>
      <c r="BS1370" s="2">
        <v>42005.092361111114</v>
      </c>
      <c r="BT1370">
        <v>0</v>
      </c>
      <c r="BU1370">
        <v>0</v>
      </c>
      <c r="BV1370" t="s">
        <v>135</v>
      </c>
      <c r="BW1370">
        <v>0</v>
      </c>
      <c r="BX1370">
        <v>0</v>
      </c>
      <c r="BY1370" t="s">
        <v>135</v>
      </c>
      <c r="BZ1370">
        <v>0</v>
      </c>
      <c r="CA1370">
        <v>0</v>
      </c>
      <c r="CB1370" t="s">
        <v>135</v>
      </c>
      <c r="CH1370" s="2"/>
      <c r="CJ1370" s="2"/>
      <c r="CL1370" s="2"/>
      <c r="CN1370" s="2"/>
      <c r="CQ1370" s="2"/>
      <c r="CT1370" s="2"/>
      <c r="CW1370" s="2"/>
    </row>
    <row r="1371" spans="1:101" x14ac:dyDescent="0.25">
      <c r="A1371" s="1" t="s">
        <v>163</v>
      </c>
      <c r="B1371" s="75" t="s">
        <v>164</v>
      </c>
      <c r="C1371">
        <v>0</v>
      </c>
      <c r="D1371">
        <v>0</v>
      </c>
      <c r="E1371">
        <v>0</v>
      </c>
      <c r="F1371">
        <v>604324.56000000006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3.91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7490</v>
      </c>
      <c r="AW1371">
        <v>3350</v>
      </c>
      <c r="AX1371">
        <v>1219</v>
      </c>
      <c r="AY1371">
        <v>12059</v>
      </c>
      <c r="AZ1371">
        <v>4202</v>
      </c>
      <c r="BA1371">
        <v>7438</v>
      </c>
      <c r="BB1371">
        <v>1432</v>
      </c>
      <c r="BC1371">
        <v>13072</v>
      </c>
      <c r="BD1371">
        <v>9486</v>
      </c>
      <c r="BE1371">
        <v>9222</v>
      </c>
      <c r="BF1371">
        <v>1768</v>
      </c>
      <c r="BG1371">
        <v>20476</v>
      </c>
      <c r="BH1371">
        <v>0</v>
      </c>
      <c r="BI1371">
        <v>0</v>
      </c>
      <c r="BJ1371">
        <v>0</v>
      </c>
      <c r="BK1371">
        <v>0</v>
      </c>
      <c r="BL1371" s="2">
        <v>24.82</v>
      </c>
      <c r="BM1371" s="2">
        <v>42005.095138888886</v>
      </c>
      <c r="BN1371" s="2">
        <v>5.4</v>
      </c>
      <c r="BO1371" s="2">
        <v>42005.092361111114</v>
      </c>
      <c r="BP1371" s="2">
        <v>6.92</v>
      </c>
      <c r="BQ1371" s="2">
        <v>42005.092361111114</v>
      </c>
      <c r="BR1371" s="2">
        <v>11.07</v>
      </c>
      <c r="BS1371" s="2">
        <v>42005.092361111114</v>
      </c>
      <c r="BT1371">
        <v>0</v>
      </c>
      <c r="BU1371">
        <v>0</v>
      </c>
      <c r="BV1371" t="s">
        <v>135</v>
      </c>
      <c r="BW1371">
        <v>0</v>
      </c>
      <c r="BX1371">
        <v>0</v>
      </c>
      <c r="BY1371" t="s">
        <v>135</v>
      </c>
      <c r="BZ1371">
        <v>0</v>
      </c>
      <c r="CA1371">
        <v>0</v>
      </c>
      <c r="CB1371" t="s">
        <v>135</v>
      </c>
      <c r="CH1371" s="2"/>
      <c r="CJ1371" s="2"/>
      <c r="CL1371" s="2"/>
      <c r="CN1371" s="2"/>
      <c r="CQ1371" s="2"/>
      <c r="CT1371" s="2"/>
      <c r="CW1371" s="2"/>
    </row>
    <row r="1372" spans="1:101" x14ac:dyDescent="0.25">
      <c r="A1372" s="1" t="s">
        <v>163</v>
      </c>
      <c r="B1372" s="75" t="s">
        <v>164</v>
      </c>
      <c r="C1372">
        <v>0</v>
      </c>
      <c r="D1372">
        <v>0</v>
      </c>
      <c r="E1372">
        <v>0</v>
      </c>
      <c r="F1372">
        <v>604324.56000000006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3.91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7490</v>
      </c>
      <c r="AW1372">
        <v>3350</v>
      </c>
      <c r="AX1372">
        <v>1219</v>
      </c>
      <c r="AY1372">
        <v>12059</v>
      </c>
      <c r="AZ1372">
        <v>4202</v>
      </c>
      <c r="BA1372">
        <v>7438</v>
      </c>
      <c r="BB1372">
        <v>1432</v>
      </c>
      <c r="BC1372">
        <v>13072</v>
      </c>
      <c r="BD1372">
        <v>9486</v>
      </c>
      <c r="BE1372">
        <v>9222</v>
      </c>
      <c r="BF1372">
        <v>1768</v>
      </c>
      <c r="BG1372">
        <v>20476</v>
      </c>
      <c r="BH1372">
        <v>0</v>
      </c>
      <c r="BI1372">
        <v>0</v>
      </c>
      <c r="BJ1372">
        <v>0</v>
      </c>
      <c r="BK1372">
        <v>0</v>
      </c>
      <c r="BL1372" s="2">
        <v>24.82</v>
      </c>
      <c r="BM1372" s="2">
        <v>42005.095138888886</v>
      </c>
      <c r="BN1372" s="2">
        <v>5.4</v>
      </c>
      <c r="BO1372" s="2">
        <v>42005.092361111114</v>
      </c>
      <c r="BP1372" s="2">
        <v>6.92</v>
      </c>
      <c r="BQ1372" s="2">
        <v>42005.092361111114</v>
      </c>
      <c r="BR1372" s="2">
        <v>11.07</v>
      </c>
      <c r="BS1372" s="2">
        <v>42005.092361111114</v>
      </c>
      <c r="BT1372">
        <v>0</v>
      </c>
      <c r="BU1372">
        <v>0</v>
      </c>
      <c r="BV1372" t="s">
        <v>135</v>
      </c>
      <c r="BW1372">
        <v>0</v>
      </c>
      <c r="BX1372">
        <v>0</v>
      </c>
      <c r="BY1372" t="s">
        <v>135</v>
      </c>
      <c r="BZ1372">
        <v>0</v>
      </c>
      <c r="CA1372">
        <v>0</v>
      </c>
      <c r="CB1372" t="s">
        <v>135</v>
      </c>
      <c r="CH1372" s="2"/>
      <c r="CJ1372" s="2"/>
      <c r="CL1372" s="2"/>
      <c r="CN1372" s="2"/>
      <c r="CQ1372" s="2"/>
      <c r="CT1372" s="2"/>
      <c r="CW1372" s="2"/>
    </row>
    <row r="1373" spans="1:101" x14ac:dyDescent="0.25">
      <c r="A1373" s="1" t="s">
        <v>163</v>
      </c>
      <c r="B1373" s="75" t="s">
        <v>164</v>
      </c>
      <c r="C1373">
        <v>0</v>
      </c>
      <c r="D1373">
        <v>0</v>
      </c>
      <c r="E1373">
        <v>0</v>
      </c>
      <c r="F1373">
        <v>604324.56000000006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3.91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7490</v>
      </c>
      <c r="AW1373">
        <v>3350</v>
      </c>
      <c r="AX1373">
        <v>1219</v>
      </c>
      <c r="AY1373">
        <v>12059</v>
      </c>
      <c r="AZ1373">
        <v>4202</v>
      </c>
      <c r="BA1373">
        <v>7438</v>
      </c>
      <c r="BB1373">
        <v>1432</v>
      </c>
      <c r="BC1373">
        <v>13072</v>
      </c>
      <c r="BD1373">
        <v>9486</v>
      </c>
      <c r="BE1373">
        <v>9222</v>
      </c>
      <c r="BF1373">
        <v>1768</v>
      </c>
      <c r="BG1373">
        <v>20476</v>
      </c>
      <c r="BH1373">
        <v>0</v>
      </c>
      <c r="BI1373">
        <v>0</v>
      </c>
      <c r="BJ1373">
        <v>0</v>
      </c>
      <c r="BK1373">
        <v>0</v>
      </c>
      <c r="BL1373" s="2">
        <v>24.82</v>
      </c>
      <c r="BM1373" s="2">
        <v>42005.095138888886</v>
      </c>
      <c r="BN1373" s="2">
        <v>5.4</v>
      </c>
      <c r="BO1373" s="2">
        <v>42005.092361111114</v>
      </c>
      <c r="BP1373" s="2">
        <v>6.92</v>
      </c>
      <c r="BQ1373" s="2">
        <v>42005.092361111114</v>
      </c>
      <c r="BR1373" s="2">
        <v>11.07</v>
      </c>
      <c r="BS1373" s="2">
        <v>42005.092361111114</v>
      </c>
      <c r="BT1373">
        <v>0</v>
      </c>
      <c r="BU1373">
        <v>0</v>
      </c>
      <c r="BV1373" t="s">
        <v>135</v>
      </c>
      <c r="BW1373">
        <v>0</v>
      </c>
      <c r="BX1373">
        <v>0</v>
      </c>
      <c r="BY1373" t="s">
        <v>135</v>
      </c>
      <c r="BZ1373">
        <v>0</v>
      </c>
      <c r="CA1373">
        <v>0</v>
      </c>
      <c r="CB1373" t="s">
        <v>135</v>
      </c>
      <c r="CH1373" s="2"/>
      <c r="CJ1373" s="2"/>
      <c r="CL1373" s="2"/>
      <c r="CN1373" s="2"/>
      <c r="CQ1373" s="2"/>
      <c r="CT1373" s="2"/>
      <c r="CW1373" s="2"/>
    </row>
    <row r="1374" spans="1:101" x14ac:dyDescent="0.25">
      <c r="A1374" s="1" t="s">
        <v>163</v>
      </c>
      <c r="B1374" s="75" t="s">
        <v>164</v>
      </c>
      <c r="C1374">
        <v>0</v>
      </c>
      <c r="D1374">
        <v>0</v>
      </c>
      <c r="E1374">
        <v>0</v>
      </c>
      <c r="F1374">
        <v>604324.56000000006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3.91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7490</v>
      </c>
      <c r="AW1374">
        <v>3350</v>
      </c>
      <c r="AX1374">
        <v>1219</v>
      </c>
      <c r="AY1374">
        <v>12059</v>
      </c>
      <c r="AZ1374">
        <v>4202</v>
      </c>
      <c r="BA1374">
        <v>7438</v>
      </c>
      <c r="BB1374">
        <v>1432</v>
      </c>
      <c r="BC1374">
        <v>13072</v>
      </c>
      <c r="BD1374">
        <v>9486</v>
      </c>
      <c r="BE1374">
        <v>9222</v>
      </c>
      <c r="BF1374">
        <v>1768</v>
      </c>
      <c r="BG1374">
        <v>20476</v>
      </c>
      <c r="BH1374">
        <v>0</v>
      </c>
      <c r="BI1374">
        <v>0</v>
      </c>
      <c r="BJ1374">
        <v>0</v>
      </c>
      <c r="BK1374">
        <v>0</v>
      </c>
      <c r="BL1374" s="2">
        <v>24.82</v>
      </c>
      <c r="BM1374" s="2">
        <v>42005.095138888886</v>
      </c>
      <c r="BN1374" s="2">
        <v>5.4</v>
      </c>
      <c r="BO1374" s="2">
        <v>42005.092361111114</v>
      </c>
      <c r="BP1374" s="2">
        <v>6.92</v>
      </c>
      <c r="BQ1374" s="2">
        <v>42005.092361111114</v>
      </c>
      <c r="BR1374" s="2">
        <v>11.07</v>
      </c>
      <c r="BS1374" s="2">
        <v>42005.092361111114</v>
      </c>
      <c r="BT1374">
        <v>0</v>
      </c>
      <c r="BU1374">
        <v>0</v>
      </c>
      <c r="BV1374" t="s">
        <v>135</v>
      </c>
      <c r="BW1374">
        <v>0</v>
      </c>
      <c r="BX1374">
        <v>0</v>
      </c>
      <c r="BY1374" t="s">
        <v>135</v>
      </c>
      <c r="BZ1374">
        <v>0</v>
      </c>
      <c r="CA1374">
        <v>0</v>
      </c>
      <c r="CB1374" t="s">
        <v>135</v>
      </c>
      <c r="CH1374" s="2"/>
      <c r="CJ1374" s="2"/>
      <c r="CL1374" s="2"/>
      <c r="CN1374" s="2"/>
      <c r="CQ1374" s="2"/>
      <c r="CT1374" s="2"/>
      <c r="CW1374" s="2"/>
    </row>
    <row r="1375" spans="1:101" x14ac:dyDescent="0.25">
      <c r="A1375" s="1" t="s">
        <v>163</v>
      </c>
      <c r="B1375" s="75" t="s">
        <v>164</v>
      </c>
      <c r="C1375">
        <v>0</v>
      </c>
      <c r="D1375">
        <v>0</v>
      </c>
      <c r="E1375">
        <v>0</v>
      </c>
      <c r="F1375">
        <v>604324.56000000006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3.91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7490</v>
      </c>
      <c r="AW1375">
        <v>3350</v>
      </c>
      <c r="AX1375">
        <v>1219</v>
      </c>
      <c r="AY1375">
        <v>12059</v>
      </c>
      <c r="AZ1375">
        <v>4202</v>
      </c>
      <c r="BA1375">
        <v>7438</v>
      </c>
      <c r="BB1375">
        <v>1432</v>
      </c>
      <c r="BC1375">
        <v>13072</v>
      </c>
      <c r="BD1375">
        <v>9486</v>
      </c>
      <c r="BE1375">
        <v>9222</v>
      </c>
      <c r="BF1375">
        <v>1768</v>
      </c>
      <c r="BG1375">
        <v>20476</v>
      </c>
      <c r="BH1375">
        <v>0</v>
      </c>
      <c r="BI1375">
        <v>0</v>
      </c>
      <c r="BJ1375">
        <v>0</v>
      </c>
      <c r="BK1375">
        <v>0</v>
      </c>
      <c r="BL1375" s="2">
        <v>24.82</v>
      </c>
      <c r="BM1375" s="2">
        <v>42005.095138888886</v>
      </c>
      <c r="BN1375" s="2">
        <v>5.4</v>
      </c>
      <c r="BO1375" s="2">
        <v>42005.092361111114</v>
      </c>
      <c r="BP1375" s="2">
        <v>6.92</v>
      </c>
      <c r="BQ1375" s="2">
        <v>42005.092361111114</v>
      </c>
      <c r="BR1375" s="2">
        <v>11.07</v>
      </c>
      <c r="BS1375" s="2">
        <v>42005.092361111114</v>
      </c>
      <c r="BT1375">
        <v>0</v>
      </c>
      <c r="BU1375">
        <v>0</v>
      </c>
      <c r="BV1375" t="s">
        <v>135</v>
      </c>
      <c r="BW1375">
        <v>0</v>
      </c>
      <c r="BX1375">
        <v>0</v>
      </c>
      <c r="BY1375" t="s">
        <v>135</v>
      </c>
      <c r="BZ1375">
        <v>0</v>
      </c>
      <c r="CA1375">
        <v>0</v>
      </c>
      <c r="CB1375" t="s">
        <v>135</v>
      </c>
      <c r="CH1375" s="2"/>
      <c r="CJ1375" s="2"/>
      <c r="CL1375" s="2"/>
      <c r="CN1375" s="2"/>
      <c r="CQ1375" s="2"/>
      <c r="CT1375" s="2"/>
      <c r="CW1375" s="2"/>
    </row>
    <row r="1376" spans="1:101" x14ac:dyDescent="0.25">
      <c r="A1376" s="1" t="s">
        <v>163</v>
      </c>
      <c r="B1376" s="75" t="s">
        <v>164</v>
      </c>
      <c r="C1376">
        <v>0</v>
      </c>
      <c r="D1376">
        <v>0</v>
      </c>
      <c r="E1376">
        <v>0</v>
      </c>
      <c r="F1376">
        <v>604324.56000000006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3.91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7490</v>
      </c>
      <c r="AW1376">
        <v>3350</v>
      </c>
      <c r="AX1376">
        <v>1219</v>
      </c>
      <c r="AY1376">
        <v>12059</v>
      </c>
      <c r="AZ1376">
        <v>4202</v>
      </c>
      <c r="BA1376">
        <v>7438</v>
      </c>
      <c r="BB1376">
        <v>1432</v>
      </c>
      <c r="BC1376">
        <v>13072</v>
      </c>
      <c r="BD1376">
        <v>9486</v>
      </c>
      <c r="BE1376">
        <v>9222</v>
      </c>
      <c r="BF1376">
        <v>1768</v>
      </c>
      <c r="BG1376">
        <v>20476</v>
      </c>
      <c r="BH1376">
        <v>0</v>
      </c>
      <c r="BI1376">
        <v>0</v>
      </c>
      <c r="BJ1376">
        <v>0</v>
      </c>
      <c r="BK1376">
        <v>0</v>
      </c>
      <c r="BL1376" s="2">
        <v>24.82</v>
      </c>
      <c r="BM1376" s="2">
        <v>42005.095138888886</v>
      </c>
      <c r="BN1376" s="2">
        <v>5.4</v>
      </c>
      <c r="BO1376" s="2">
        <v>42005.092361111114</v>
      </c>
      <c r="BP1376" s="2">
        <v>6.92</v>
      </c>
      <c r="BQ1376" s="2">
        <v>42005.092361111114</v>
      </c>
      <c r="BR1376" s="2">
        <v>11.07</v>
      </c>
      <c r="BS1376" s="2">
        <v>42005.092361111114</v>
      </c>
      <c r="BT1376">
        <v>0</v>
      </c>
      <c r="BU1376">
        <v>0</v>
      </c>
      <c r="BV1376" t="s">
        <v>135</v>
      </c>
      <c r="BW1376">
        <v>0</v>
      </c>
      <c r="BX1376">
        <v>0</v>
      </c>
      <c r="BY1376" t="s">
        <v>135</v>
      </c>
      <c r="BZ1376">
        <v>0</v>
      </c>
      <c r="CA1376">
        <v>0</v>
      </c>
      <c r="CB1376" t="s">
        <v>135</v>
      </c>
      <c r="CH1376" s="2"/>
      <c r="CJ1376" s="2"/>
      <c r="CL1376" s="2"/>
      <c r="CN1376" s="2"/>
      <c r="CQ1376" s="2"/>
      <c r="CT1376" s="2"/>
      <c r="CW1376" s="2"/>
    </row>
    <row r="1377" spans="1:101" x14ac:dyDescent="0.25">
      <c r="A1377" s="1" t="s">
        <v>163</v>
      </c>
      <c r="B1377" s="75" t="s">
        <v>164</v>
      </c>
      <c r="C1377">
        <v>0</v>
      </c>
      <c r="D1377">
        <v>0</v>
      </c>
      <c r="E1377">
        <v>0</v>
      </c>
      <c r="F1377">
        <v>604324.56000000006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3.91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7490</v>
      </c>
      <c r="AW1377">
        <v>3350</v>
      </c>
      <c r="AX1377">
        <v>1219</v>
      </c>
      <c r="AY1377">
        <v>12059</v>
      </c>
      <c r="AZ1377">
        <v>4202</v>
      </c>
      <c r="BA1377">
        <v>7438</v>
      </c>
      <c r="BB1377">
        <v>1432</v>
      </c>
      <c r="BC1377">
        <v>13072</v>
      </c>
      <c r="BD1377">
        <v>9486</v>
      </c>
      <c r="BE1377">
        <v>9222</v>
      </c>
      <c r="BF1377">
        <v>1768</v>
      </c>
      <c r="BG1377">
        <v>20476</v>
      </c>
      <c r="BH1377">
        <v>0</v>
      </c>
      <c r="BI1377">
        <v>0</v>
      </c>
      <c r="BJ1377">
        <v>0</v>
      </c>
      <c r="BK1377">
        <v>0</v>
      </c>
      <c r="BL1377" s="2">
        <v>24.82</v>
      </c>
      <c r="BM1377" s="2">
        <v>42005.095138888886</v>
      </c>
      <c r="BN1377" s="2">
        <v>5.4</v>
      </c>
      <c r="BO1377" s="2">
        <v>42005.092361111114</v>
      </c>
      <c r="BP1377" s="2">
        <v>6.92</v>
      </c>
      <c r="BQ1377" s="2">
        <v>42005.092361111114</v>
      </c>
      <c r="BR1377" s="2">
        <v>11.07</v>
      </c>
      <c r="BS1377" s="2">
        <v>42005.092361111114</v>
      </c>
      <c r="BT1377">
        <v>0</v>
      </c>
      <c r="BU1377">
        <v>0</v>
      </c>
      <c r="BV1377" t="s">
        <v>135</v>
      </c>
      <c r="BW1377">
        <v>0</v>
      </c>
      <c r="BX1377">
        <v>0</v>
      </c>
      <c r="BY1377" t="s">
        <v>135</v>
      </c>
      <c r="BZ1377">
        <v>0</v>
      </c>
      <c r="CA1377">
        <v>0</v>
      </c>
      <c r="CB1377" t="s">
        <v>135</v>
      </c>
      <c r="CH1377" s="2"/>
      <c r="CJ1377" s="2"/>
      <c r="CL1377" s="2"/>
      <c r="CN1377" s="2"/>
      <c r="CQ1377" s="2"/>
      <c r="CT1377" s="2"/>
      <c r="CW1377" s="2"/>
    </row>
    <row r="1378" spans="1:101" x14ac:dyDescent="0.25">
      <c r="A1378" s="1" t="s">
        <v>163</v>
      </c>
      <c r="B1378" s="75" t="s">
        <v>164</v>
      </c>
      <c r="C1378">
        <v>0</v>
      </c>
      <c r="D1378">
        <v>0</v>
      </c>
      <c r="E1378">
        <v>0</v>
      </c>
      <c r="F1378">
        <v>604324.56000000006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3.91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7490</v>
      </c>
      <c r="AW1378">
        <v>3350</v>
      </c>
      <c r="AX1378">
        <v>1219</v>
      </c>
      <c r="AY1378">
        <v>12059</v>
      </c>
      <c r="AZ1378">
        <v>4202</v>
      </c>
      <c r="BA1378">
        <v>7438</v>
      </c>
      <c r="BB1378">
        <v>1432</v>
      </c>
      <c r="BC1378">
        <v>13072</v>
      </c>
      <c r="BD1378">
        <v>9486</v>
      </c>
      <c r="BE1378">
        <v>9222</v>
      </c>
      <c r="BF1378">
        <v>1768</v>
      </c>
      <c r="BG1378">
        <v>20476</v>
      </c>
      <c r="BH1378">
        <v>0</v>
      </c>
      <c r="BI1378">
        <v>0</v>
      </c>
      <c r="BJ1378">
        <v>0</v>
      </c>
      <c r="BK1378">
        <v>0</v>
      </c>
      <c r="BL1378" s="2">
        <v>24.82</v>
      </c>
      <c r="BM1378" s="2">
        <v>42005.095138888886</v>
      </c>
      <c r="BN1378" s="2">
        <v>5.4</v>
      </c>
      <c r="BO1378" s="2">
        <v>42005.092361111114</v>
      </c>
      <c r="BP1378" s="2">
        <v>6.92</v>
      </c>
      <c r="BQ1378" s="2">
        <v>42005.092361111114</v>
      </c>
      <c r="BR1378" s="2">
        <v>11.07</v>
      </c>
      <c r="BS1378" s="2">
        <v>42005.092361111114</v>
      </c>
      <c r="BT1378">
        <v>0</v>
      </c>
      <c r="BU1378">
        <v>0</v>
      </c>
      <c r="BV1378" t="s">
        <v>135</v>
      </c>
      <c r="BW1378">
        <v>0</v>
      </c>
      <c r="BX1378">
        <v>0</v>
      </c>
      <c r="BY1378" t="s">
        <v>135</v>
      </c>
      <c r="BZ1378">
        <v>0</v>
      </c>
      <c r="CA1378">
        <v>0</v>
      </c>
      <c r="CB1378" t="s">
        <v>135</v>
      </c>
      <c r="CH1378" s="2"/>
      <c r="CJ1378" s="2"/>
      <c r="CL1378" s="2"/>
      <c r="CN1378" s="2"/>
      <c r="CQ1378" s="2"/>
      <c r="CT1378" s="2"/>
      <c r="CW1378" s="2"/>
    </row>
    <row r="1379" spans="1:101" x14ac:dyDescent="0.25">
      <c r="A1379" s="1" t="s">
        <v>163</v>
      </c>
      <c r="B1379" s="75" t="s">
        <v>164</v>
      </c>
      <c r="C1379">
        <v>0</v>
      </c>
      <c r="D1379">
        <v>0</v>
      </c>
      <c r="E1379">
        <v>0</v>
      </c>
      <c r="F1379">
        <v>604324.56000000006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3.91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7490</v>
      </c>
      <c r="AW1379">
        <v>3350</v>
      </c>
      <c r="AX1379">
        <v>1219</v>
      </c>
      <c r="AY1379">
        <v>12059</v>
      </c>
      <c r="AZ1379">
        <v>4202</v>
      </c>
      <c r="BA1379">
        <v>7438</v>
      </c>
      <c r="BB1379">
        <v>1432</v>
      </c>
      <c r="BC1379">
        <v>13072</v>
      </c>
      <c r="BD1379">
        <v>9486</v>
      </c>
      <c r="BE1379">
        <v>9222</v>
      </c>
      <c r="BF1379">
        <v>1768</v>
      </c>
      <c r="BG1379">
        <v>20476</v>
      </c>
      <c r="BH1379">
        <v>0</v>
      </c>
      <c r="BI1379">
        <v>0</v>
      </c>
      <c r="BJ1379">
        <v>0</v>
      </c>
      <c r="BK1379">
        <v>0</v>
      </c>
      <c r="BL1379" s="2">
        <v>24.82</v>
      </c>
      <c r="BM1379" s="2">
        <v>42005.095138888886</v>
      </c>
      <c r="BN1379" s="2">
        <v>5.4</v>
      </c>
      <c r="BO1379" s="2">
        <v>42005.092361111114</v>
      </c>
      <c r="BP1379" s="2">
        <v>6.92</v>
      </c>
      <c r="BQ1379" s="2">
        <v>42005.092361111114</v>
      </c>
      <c r="BR1379" s="2">
        <v>11.07</v>
      </c>
      <c r="BS1379" s="2">
        <v>42005.092361111114</v>
      </c>
      <c r="BT1379">
        <v>0</v>
      </c>
      <c r="BU1379">
        <v>0</v>
      </c>
      <c r="BV1379" t="s">
        <v>135</v>
      </c>
      <c r="BW1379">
        <v>0</v>
      </c>
      <c r="BX1379">
        <v>0</v>
      </c>
      <c r="BY1379" t="s">
        <v>135</v>
      </c>
      <c r="BZ1379">
        <v>0</v>
      </c>
      <c r="CA1379">
        <v>0</v>
      </c>
      <c r="CB1379" t="s">
        <v>135</v>
      </c>
      <c r="CH1379" s="2"/>
      <c r="CJ1379" s="2"/>
      <c r="CL1379" s="2"/>
      <c r="CN1379" s="2"/>
      <c r="CQ1379" s="2"/>
      <c r="CT1379" s="2"/>
      <c r="CW1379" s="2"/>
    </row>
    <row r="1380" spans="1:101" x14ac:dyDescent="0.25">
      <c r="A1380" s="1" t="s">
        <v>163</v>
      </c>
      <c r="B1380" s="75" t="s">
        <v>164</v>
      </c>
      <c r="C1380">
        <v>0</v>
      </c>
      <c r="D1380">
        <v>0</v>
      </c>
      <c r="E1380">
        <v>0</v>
      </c>
      <c r="F1380">
        <v>604324.56000000006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3.91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7490</v>
      </c>
      <c r="AW1380">
        <v>3350</v>
      </c>
      <c r="AX1380">
        <v>1219</v>
      </c>
      <c r="AY1380">
        <v>12059</v>
      </c>
      <c r="AZ1380">
        <v>4202</v>
      </c>
      <c r="BA1380">
        <v>7438</v>
      </c>
      <c r="BB1380">
        <v>1432</v>
      </c>
      <c r="BC1380">
        <v>13072</v>
      </c>
      <c r="BD1380">
        <v>9486</v>
      </c>
      <c r="BE1380">
        <v>9222</v>
      </c>
      <c r="BF1380">
        <v>1768</v>
      </c>
      <c r="BG1380">
        <v>20476</v>
      </c>
      <c r="BH1380">
        <v>0</v>
      </c>
      <c r="BI1380">
        <v>0</v>
      </c>
      <c r="BJ1380">
        <v>0</v>
      </c>
      <c r="BK1380">
        <v>0</v>
      </c>
      <c r="BL1380" s="2">
        <v>24.82</v>
      </c>
      <c r="BM1380" s="2">
        <v>42005.095138888886</v>
      </c>
      <c r="BN1380" s="2">
        <v>5.4</v>
      </c>
      <c r="BO1380" s="2">
        <v>42005.092361111114</v>
      </c>
      <c r="BP1380" s="2">
        <v>6.92</v>
      </c>
      <c r="BQ1380" s="2">
        <v>42005.092361111114</v>
      </c>
      <c r="BR1380" s="2">
        <v>11.07</v>
      </c>
      <c r="BS1380" s="2">
        <v>42005.092361111114</v>
      </c>
      <c r="BT1380">
        <v>0</v>
      </c>
      <c r="BU1380">
        <v>0</v>
      </c>
      <c r="BV1380" t="s">
        <v>135</v>
      </c>
      <c r="BW1380">
        <v>0</v>
      </c>
      <c r="BX1380">
        <v>0</v>
      </c>
      <c r="BY1380" t="s">
        <v>135</v>
      </c>
      <c r="BZ1380">
        <v>0</v>
      </c>
      <c r="CA1380">
        <v>0</v>
      </c>
      <c r="CB1380" t="s">
        <v>135</v>
      </c>
      <c r="CH1380" s="2"/>
      <c r="CJ1380" s="2"/>
      <c r="CL1380" s="2"/>
      <c r="CN1380" s="2"/>
      <c r="CQ1380" s="2"/>
      <c r="CT1380" s="2"/>
      <c r="CW1380" s="2"/>
    </row>
    <row r="1381" spans="1:101" x14ac:dyDescent="0.25">
      <c r="A1381" s="1" t="s">
        <v>163</v>
      </c>
      <c r="B1381" s="75" t="s">
        <v>164</v>
      </c>
      <c r="C1381">
        <v>0</v>
      </c>
      <c r="D1381">
        <v>0</v>
      </c>
      <c r="E1381">
        <v>0</v>
      </c>
      <c r="F1381">
        <v>604324.56000000006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3.91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7490</v>
      </c>
      <c r="AW1381">
        <v>3350</v>
      </c>
      <c r="AX1381">
        <v>1219</v>
      </c>
      <c r="AY1381">
        <v>12059</v>
      </c>
      <c r="AZ1381">
        <v>4202</v>
      </c>
      <c r="BA1381">
        <v>7438</v>
      </c>
      <c r="BB1381">
        <v>1432</v>
      </c>
      <c r="BC1381">
        <v>13072</v>
      </c>
      <c r="BD1381">
        <v>9486</v>
      </c>
      <c r="BE1381">
        <v>9222</v>
      </c>
      <c r="BF1381">
        <v>1768</v>
      </c>
      <c r="BG1381">
        <v>20476</v>
      </c>
      <c r="BH1381">
        <v>0</v>
      </c>
      <c r="BI1381">
        <v>0</v>
      </c>
      <c r="BJ1381">
        <v>0</v>
      </c>
      <c r="BK1381">
        <v>0</v>
      </c>
      <c r="BL1381" s="2">
        <v>24.82</v>
      </c>
      <c r="BM1381" s="2">
        <v>42005.095138888886</v>
      </c>
      <c r="BN1381" s="2">
        <v>5.4</v>
      </c>
      <c r="BO1381" s="2">
        <v>42005.092361111114</v>
      </c>
      <c r="BP1381" s="2">
        <v>6.92</v>
      </c>
      <c r="BQ1381" s="2">
        <v>42005.092361111114</v>
      </c>
      <c r="BR1381" s="2">
        <v>11.07</v>
      </c>
      <c r="BS1381" s="2">
        <v>42005.092361111114</v>
      </c>
      <c r="BT1381">
        <v>0</v>
      </c>
      <c r="BU1381">
        <v>0</v>
      </c>
      <c r="BV1381" t="s">
        <v>135</v>
      </c>
      <c r="BW1381">
        <v>0</v>
      </c>
      <c r="BX1381">
        <v>0</v>
      </c>
      <c r="BY1381" t="s">
        <v>135</v>
      </c>
      <c r="BZ1381">
        <v>0</v>
      </c>
      <c r="CA1381">
        <v>0</v>
      </c>
      <c r="CB1381" t="s">
        <v>135</v>
      </c>
      <c r="CH1381" s="2"/>
      <c r="CJ1381" s="2"/>
      <c r="CL1381" s="2"/>
      <c r="CN1381" s="2"/>
      <c r="CQ1381" s="2"/>
      <c r="CT1381" s="2"/>
      <c r="CW1381" s="2"/>
    </row>
    <row r="1382" spans="1:101" x14ac:dyDescent="0.25">
      <c r="A1382" s="1" t="s">
        <v>163</v>
      </c>
      <c r="B1382" s="75" t="s">
        <v>164</v>
      </c>
      <c r="C1382">
        <v>0</v>
      </c>
      <c r="D1382">
        <v>0</v>
      </c>
      <c r="E1382">
        <v>0</v>
      </c>
      <c r="F1382">
        <v>604324.56000000006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3.91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7490</v>
      </c>
      <c r="AW1382">
        <v>3350</v>
      </c>
      <c r="AX1382">
        <v>1219</v>
      </c>
      <c r="AY1382">
        <v>12059</v>
      </c>
      <c r="AZ1382">
        <v>4202</v>
      </c>
      <c r="BA1382">
        <v>7438</v>
      </c>
      <c r="BB1382">
        <v>1432</v>
      </c>
      <c r="BC1382">
        <v>13072</v>
      </c>
      <c r="BD1382">
        <v>9486</v>
      </c>
      <c r="BE1382">
        <v>9222</v>
      </c>
      <c r="BF1382">
        <v>1768</v>
      </c>
      <c r="BG1382">
        <v>20476</v>
      </c>
      <c r="BH1382">
        <v>0</v>
      </c>
      <c r="BI1382">
        <v>0</v>
      </c>
      <c r="BJ1382">
        <v>0</v>
      </c>
      <c r="BK1382">
        <v>0</v>
      </c>
      <c r="BL1382" s="2">
        <v>24.82</v>
      </c>
      <c r="BM1382" s="2">
        <v>42005.095138888886</v>
      </c>
      <c r="BN1382" s="2">
        <v>5.4</v>
      </c>
      <c r="BO1382" s="2">
        <v>42005.092361111114</v>
      </c>
      <c r="BP1382" s="2">
        <v>6.92</v>
      </c>
      <c r="BQ1382" s="2">
        <v>42005.092361111114</v>
      </c>
      <c r="BR1382" s="2">
        <v>11.07</v>
      </c>
      <c r="BS1382" s="2">
        <v>42005.092361111114</v>
      </c>
      <c r="BT1382">
        <v>0</v>
      </c>
      <c r="BU1382">
        <v>0</v>
      </c>
      <c r="BV1382" t="s">
        <v>135</v>
      </c>
      <c r="BW1382">
        <v>0</v>
      </c>
      <c r="BX1382">
        <v>0</v>
      </c>
      <c r="BY1382" t="s">
        <v>135</v>
      </c>
      <c r="BZ1382">
        <v>0</v>
      </c>
      <c r="CA1382">
        <v>0</v>
      </c>
      <c r="CB1382" t="s">
        <v>135</v>
      </c>
      <c r="CH1382" s="2"/>
      <c r="CJ1382" s="2"/>
      <c r="CL1382" s="2"/>
      <c r="CN1382" s="2"/>
      <c r="CQ1382" s="2"/>
      <c r="CT1382" s="2"/>
      <c r="CW1382" s="2"/>
    </row>
    <row r="1383" spans="1:101" x14ac:dyDescent="0.25">
      <c r="A1383" s="1" t="s">
        <v>163</v>
      </c>
      <c r="B1383" s="75" t="s">
        <v>164</v>
      </c>
      <c r="C1383">
        <v>0</v>
      </c>
      <c r="D1383">
        <v>0</v>
      </c>
      <c r="E1383">
        <v>0</v>
      </c>
      <c r="F1383">
        <v>604324.56000000006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3.91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7490</v>
      </c>
      <c r="AW1383">
        <v>3350</v>
      </c>
      <c r="AX1383">
        <v>1219</v>
      </c>
      <c r="AY1383">
        <v>12059</v>
      </c>
      <c r="AZ1383">
        <v>4202</v>
      </c>
      <c r="BA1383">
        <v>7438</v>
      </c>
      <c r="BB1383">
        <v>1432</v>
      </c>
      <c r="BC1383">
        <v>13072</v>
      </c>
      <c r="BD1383">
        <v>9486</v>
      </c>
      <c r="BE1383">
        <v>9222</v>
      </c>
      <c r="BF1383">
        <v>1768</v>
      </c>
      <c r="BG1383">
        <v>20476</v>
      </c>
      <c r="BH1383">
        <v>0</v>
      </c>
      <c r="BI1383">
        <v>0</v>
      </c>
      <c r="BJ1383">
        <v>0</v>
      </c>
      <c r="BK1383">
        <v>0</v>
      </c>
      <c r="BL1383" s="2">
        <v>24.82</v>
      </c>
      <c r="BM1383" s="2">
        <v>42005.095138888886</v>
      </c>
      <c r="BN1383" s="2">
        <v>5.4</v>
      </c>
      <c r="BO1383" s="2">
        <v>42005.092361111114</v>
      </c>
      <c r="BP1383" s="2">
        <v>6.92</v>
      </c>
      <c r="BQ1383" s="2">
        <v>42005.092361111114</v>
      </c>
      <c r="BR1383" s="2">
        <v>11.07</v>
      </c>
      <c r="BS1383" s="2">
        <v>42005.092361111114</v>
      </c>
      <c r="BT1383">
        <v>0</v>
      </c>
      <c r="BU1383">
        <v>0</v>
      </c>
      <c r="BV1383" t="s">
        <v>135</v>
      </c>
      <c r="BW1383">
        <v>0</v>
      </c>
      <c r="BX1383">
        <v>0</v>
      </c>
      <c r="BY1383" t="s">
        <v>135</v>
      </c>
      <c r="BZ1383">
        <v>0</v>
      </c>
      <c r="CA1383">
        <v>0</v>
      </c>
      <c r="CB1383" t="s">
        <v>135</v>
      </c>
      <c r="CH1383" s="2"/>
      <c r="CJ1383" s="2"/>
      <c r="CL1383" s="2"/>
      <c r="CN1383" s="2"/>
      <c r="CQ1383" s="2"/>
      <c r="CT1383" s="2"/>
      <c r="CW1383" s="2"/>
    </row>
    <row r="1384" spans="1:101" x14ac:dyDescent="0.25">
      <c r="A1384" s="1" t="s">
        <v>163</v>
      </c>
      <c r="B1384" s="75" t="s">
        <v>164</v>
      </c>
      <c r="C1384">
        <v>0</v>
      </c>
      <c r="D1384">
        <v>0</v>
      </c>
      <c r="E1384">
        <v>0</v>
      </c>
      <c r="F1384">
        <v>604324.56000000006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3.91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7490</v>
      </c>
      <c r="AW1384">
        <v>3350</v>
      </c>
      <c r="AX1384">
        <v>1219</v>
      </c>
      <c r="AY1384">
        <v>12059</v>
      </c>
      <c r="AZ1384">
        <v>4202</v>
      </c>
      <c r="BA1384">
        <v>7438</v>
      </c>
      <c r="BB1384">
        <v>1432</v>
      </c>
      <c r="BC1384">
        <v>13072</v>
      </c>
      <c r="BD1384">
        <v>9486</v>
      </c>
      <c r="BE1384">
        <v>9222</v>
      </c>
      <c r="BF1384">
        <v>1768</v>
      </c>
      <c r="BG1384">
        <v>20476</v>
      </c>
      <c r="BH1384">
        <v>0</v>
      </c>
      <c r="BI1384">
        <v>0</v>
      </c>
      <c r="BJ1384">
        <v>0</v>
      </c>
      <c r="BK1384">
        <v>0</v>
      </c>
      <c r="BL1384" s="2">
        <v>24.82</v>
      </c>
      <c r="BM1384" s="2">
        <v>42005.095138888886</v>
      </c>
      <c r="BN1384" s="2">
        <v>5.4</v>
      </c>
      <c r="BO1384" s="2">
        <v>42005.092361111114</v>
      </c>
      <c r="BP1384" s="2">
        <v>6.92</v>
      </c>
      <c r="BQ1384" s="2">
        <v>42005.092361111114</v>
      </c>
      <c r="BR1384" s="2">
        <v>11.07</v>
      </c>
      <c r="BS1384" s="2">
        <v>42005.092361111114</v>
      </c>
      <c r="BT1384">
        <v>0</v>
      </c>
      <c r="BU1384">
        <v>0</v>
      </c>
      <c r="BV1384" t="s">
        <v>135</v>
      </c>
      <c r="BW1384">
        <v>0</v>
      </c>
      <c r="BX1384">
        <v>0</v>
      </c>
      <c r="BY1384" t="s">
        <v>135</v>
      </c>
      <c r="BZ1384">
        <v>0</v>
      </c>
      <c r="CA1384">
        <v>0</v>
      </c>
      <c r="CB1384" t="s">
        <v>135</v>
      </c>
      <c r="CH1384" s="2"/>
      <c r="CJ1384" s="2"/>
      <c r="CL1384" s="2"/>
      <c r="CN1384" s="2"/>
      <c r="CQ1384" s="2"/>
      <c r="CT1384" s="2"/>
      <c r="CW1384" s="2"/>
    </row>
    <row r="1385" spans="1:101" x14ac:dyDescent="0.25">
      <c r="A1385" s="1" t="s">
        <v>163</v>
      </c>
      <c r="B1385" s="75" t="s">
        <v>164</v>
      </c>
      <c r="C1385">
        <v>0</v>
      </c>
      <c r="D1385">
        <v>0</v>
      </c>
      <c r="E1385">
        <v>0</v>
      </c>
      <c r="F1385">
        <v>604324.56000000006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3.91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7490</v>
      </c>
      <c r="AW1385">
        <v>3350</v>
      </c>
      <c r="AX1385">
        <v>1219</v>
      </c>
      <c r="AY1385">
        <v>12059</v>
      </c>
      <c r="AZ1385">
        <v>4202</v>
      </c>
      <c r="BA1385">
        <v>7438</v>
      </c>
      <c r="BB1385">
        <v>1432</v>
      </c>
      <c r="BC1385">
        <v>13072</v>
      </c>
      <c r="BD1385">
        <v>9486</v>
      </c>
      <c r="BE1385">
        <v>9222</v>
      </c>
      <c r="BF1385">
        <v>1768</v>
      </c>
      <c r="BG1385">
        <v>20476</v>
      </c>
      <c r="BH1385">
        <v>0</v>
      </c>
      <c r="BI1385">
        <v>0</v>
      </c>
      <c r="BJ1385">
        <v>0</v>
      </c>
      <c r="BK1385">
        <v>0</v>
      </c>
      <c r="BL1385" s="2">
        <v>24.82</v>
      </c>
      <c r="BM1385" s="2">
        <v>42005.095138888886</v>
      </c>
      <c r="BN1385" s="2">
        <v>5.4</v>
      </c>
      <c r="BO1385" s="2">
        <v>42005.092361111114</v>
      </c>
      <c r="BP1385" s="2">
        <v>6.92</v>
      </c>
      <c r="BQ1385" s="2">
        <v>42005.092361111114</v>
      </c>
      <c r="BR1385" s="2">
        <v>11.07</v>
      </c>
      <c r="BS1385" s="2">
        <v>42005.092361111114</v>
      </c>
      <c r="BT1385">
        <v>0</v>
      </c>
      <c r="BU1385">
        <v>0</v>
      </c>
      <c r="BV1385" t="s">
        <v>135</v>
      </c>
      <c r="BW1385">
        <v>0</v>
      </c>
      <c r="BX1385">
        <v>0</v>
      </c>
      <c r="BY1385" t="s">
        <v>135</v>
      </c>
      <c r="BZ1385">
        <v>0</v>
      </c>
      <c r="CA1385">
        <v>0</v>
      </c>
      <c r="CB1385" t="s">
        <v>135</v>
      </c>
      <c r="CH1385" s="2"/>
      <c r="CJ1385" s="2"/>
      <c r="CL1385" s="2"/>
      <c r="CN1385" s="2"/>
      <c r="CQ1385" s="2"/>
      <c r="CT1385" s="2"/>
      <c r="CW1385" s="2"/>
    </row>
    <row r="1386" spans="1:101" x14ac:dyDescent="0.25">
      <c r="A1386" s="1" t="s">
        <v>163</v>
      </c>
      <c r="B1386" s="75" t="s">
        <v>164</v>
      </c>
      <c r="C1386">
        <v>0</v>
      </c>
      <c r="D1386">
        <v>0</v>
      </c>
      <c r="E1386">
        <v>0</v>
      </c>
      <c r="F1386">
        <v>604324.56000000006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3.91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7490</v>
      </c>
      <c r="AW1386">
        <v>3350</v>
      </c>
      <c r="AX1386">
        <v>1219</v>
      </c>
      <c r="AY1386">
        <v>12059</v>
      </c>
      <c r="AZ1386">
        <v>4202</v>
      </c>
      <c r="BA1386">
        <v>7438</v>
      </c>
      <c r="BB1386">
        <v>1432</v>
      </c>
      <c r="BC1386">
        <v>13072</v>
      </c>
      <c r="BD1386">
        <v>9486</v>
      </c>
      <c r="BE1386">
        <v>9222</v>
      </c>
      <c r="BF1386">
        <v>1768</v>
      </c>
      <c r="BG1386">
        <v>20476</v>
      </c>
      <c r="BH1386">
        <v>0</v>
      </c>
      <c r="BI1386">
        <v>0</v>
      </c>
      <c r="BJ1386">
        <v>0</v>
      </c>
      <c r="BK1386">
        <v>0</v>
      </c>
      <c r="BL1386" s="2">
        <v>24.82</v>
      </c>
      <c r="BM1386" s="2">
        <v>42005.095138888886</v>
      </c>
      <c r="BN1386" s="2">
        <v>5.4</v>
      </c>
      <c r="BO1386" s="2">
        <v>42005.092361111114</v>
      </c>
      <c r="BP1386" s="2">
        <v>6.92</v>
      </c>
      <c r="BQ1386" s="2">
        <v>42005.092361111114</v>
      </c>
      <c r="BR1386" s="2">
        <v>11.07</v>
      </c>
      <c r="BS1386" s="2">
        <v>42005.092361111114</v>
      </c>
      <c r="BT1386">
        <v>0</v>
      </c>
      <c r="BU1386">
        <v>0</v>
      </c>
      <c r="BV1386" t="s">
        <v>135</v>
      </c>
      <c r="BW1386">
        <v>0</v>
      </c>
      <c r="BX1386">
        <v>0</v>
      </c>
      <c r="BY1386" t="s">
        <v>135</v>
      </c>
      <c r="BZ1386">
        <v>0</v>
      </c>
      <c r="CA1386">
        <v>0</v>
      </c>
      <c r="CB1386" t="s">
        <v>135</v>
      </c>
      <c r="CH1386" s="2"/>
      <c r="CJ1386" s="2"/>
      <c r="CL1386" s="2"/>
      <c r="CN1386" s="2"/>
      <c r="CQ1386" s="2"/>
      <c r="CT1386" s="2"/>
      <c r="CW1386" s="2"/>
    </row>
    <row r="1387" spans="1:101" x14ac:dyDescent="0.25">
      <c r="A1387" s="1" t="s">
        <v>163</v>
      </c>
      <c r="B1387" s="75" t="s">
        <v>164</v>
      </c>
      <c r="C1387">
        <v>0</v>
      </c>
      <c r="D1387">
        <v>0</v>
      </c>
      <c r="E1387">
        <v>0</v>
      </c>
      <c r="F1387">
        <v>604324.56000000006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3.91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7490</v>
      </c>
      <c r="AW1387">
        <v>3350</v>
      </c>
      <c r="AX1387">
        <v>1219</v>
      </c>
      <c r="AY1387">
        <v>12059</v>
      </c>
      <c r="AZ1387">
        <v>4202</v>
      </c>
      <c r="BA1387">
        <v>7438</v>
      </c>
      <c r="BB1387">
        <v>1432</v>
      </c>
      <c r="BC1387">
        <v>13072</v>
      </c>
      <c r="BD1387">
        <v>9486</v>
      </c>
      <c r="BE1387">
        <v>9222</v>
      </c>
      <c r="BF1387">
        <v>1768</v>
      </c>
      <c r="BG1387">
        <v>20476</v>
      </c>
      <c r="BH1387">
        <v>0</v>
      </c>
      <c r="BI1387">
        <v>0</v>
      </c>
      <c r="BJ1387">
        <v>0</v>
      </c>
      <c r="BK1387">
        <v>0</v>
      </c>
      <c r="BL1387" s="2">
        <v>24.82</v>
      </c>
      <c r="BM1387" s="2">
        <v>42005.095138888886</v>
      </c>
      <c r="BN1387" s="2">
        <v>5.4</v>
      </c>
      <c r="BO1387" s="2">
        <v>42005.092361111114</v>
      </c>
      <c r="BP1387" s="2">
        <v>6.92</v>
      </c>
      <c r="BQ1387" s="2">
        <v>42005.092361111114</v>
      </c>
      <c r="BR1387" s="2">
        <v>11.07</v>
      </c>
      <c r="BS1387" s="2">
        <v>42005.092361111114</v>
      </c>
      <c r="BT1387">
        <v>0</v>
      </c>
      <c r="BU1387">
        <v>0</v>
      </c>
      <c r="BV1387" t="s">
        <v>135</v>
      </c>
      <c r="BW1387">
        <v>0</v>
      </c>
      <c r="BX1387">
        <v>0</v>
      </c>
      <c r="BY1387" t="s">
        <v>135</v>
      </c>
      <c r="BZ1387">
        <v>0</v>
      </c>
      <c r="CA1387">
        <v>0</v>
      </c>
      <c r="CB1387" t="s">
        <v>135</v>
      </c>
      <c r="CH1387" s="2"/>
      <c r="CJ1387" s="2"/>
      <c r="CL1387" s="2"/>
      <c r="CN1387" s="2"/>
      <c r="CQ1387" s="2"/>
      <c r="CT1387" s="2"/>
      <c r="CW1387" s="2"/>
    </row>
    <row r="1388" spans="1:101" x14ac:dyDescent="0.25">
      <c r="A1388" s="1" t="s">
        <v>163</v>
      </c>
      <c r="B1388" s="75" t="s">
        <v>164</v>
      </c>
      <c r="C1388">
        <v>0</v>
      </c>
      <c r="D1388">
        <v>0</v>
      </c>
      <c r="E1388">
        <v>0</v>
      </c>
      <c r="F1388">
        <v>604324.56000000006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3.91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7490</v>
      </c>
      <c r="AW1388">
        <v>3350</v>
      </c>
      <c r="AX1388">
        <v>1219</v>
      </c>
      <c r="AY1388">
        <v>12059</v>
      </c>
      <c r="AZ1388">
        <v>4202</v>
      </c>
      <c r="BA1388">
        <v>7438</v>
      </c>
      <c r="BB1388">
        <v>1432</v>
      </c>
      <c r="BC1388">
        <v>13072</v>
      </c>
      <c r="BD1388">
        <v>9486</v>
      </c>
      <c r="BE1388">
        <v>9222</v>
      </c>
      <c r="BF1388">
        <v>1768</v>
      </c>
      <c r="BG1388">
        <v>20476</v>
      </c>
      <c r="BH1388">
        <v>0</v>
      </c>
      <c r="BI1388">
        <v>0</v>
      </c>
      <c r="BJ1388">
        <v>0</v>
      </c>
      <c r="BK1388">
        <v>0</v>
      </c>
      <c r="BL1388" s="2">
        <v>24.82</v>
      </c>
      <c r="BM1388" s="2">
        <v>42005.095138888886</v>
      </c>
      <c r="BN1388" s="2">
        <v>5.4</v>
      </c>
      <c r="BO1388" s="2">
        <v>42005.092361111114</v>
      </c>
      <c r="BP1388" s="2">
        <v>6.92</v>
      </c>
      <c r="BQ1388" s="2">
        <v>42005.092361111114</v>
      </c>
      <c r="BR1388" s="2">
        <v>11.07</v>
      </c>
      <c r="BS1388" s="2">
        <v>42005.092361111114</v>
      </c>
      <c r="BT1388">
        <v>0</v>
      </c>
      <c r="BU1388">
        <v>0</v>
      </c>
      <c r="BV1388" t="s">
        <v>135</v>
      </c>
      <c r="BW1388">
        <v>0</v>
      </c>
      <c r="BX1388">
        <v>0</v>
      </c>
      <c r="BY1388" t="s">
        <v>135</v>
      </c>
      <c r="BZ1388">
        <v>0</v>
      </c>
      <c r="CA1388">
        <v>0</v>
      </c>
      <c r="CB1388" t="s">
        <v>135</v>
      </c>
      <c r="CH1388" s="2"/>
      <c r="CJ1388" s="2"/>
      <c r="CL1388" s="2"/>
      <c r="CN1388" s="2"/>
      <c r="CQ1388" s="2"/>
      <c r="CT1388" s="2"/>
      <c r="CW1388" s="2"/>
    </row>
    <row r="1389" spans="1:101" x14ac:dyDescent="0.25">
      <c r="A1389" s="1" t="s">
        <v>163</v>
      </c>
      <c r="B1389" s="75" t="s">
        <v>164</v>
      </c>
      <c r="C1389">
        <v>0</v>
      </c>
      <c r="D1389">
        <v>0</v>
      </c>
      <c r="E1389">
        <v>0</v>
      </c>
      <c r="F1389">
        <v>604324.56000000006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3.91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7490</v>
      </c>
      <c r="AW1389">
        <v>3350</v>
      </c>
      <c r="AX1389">
        <v>1219</v>
      </c>
      <c r="AY1389">
        <v>12059</v>
      </c>
      <c r="AZ1389">
        <v>4202</v>
      </c>
      <c r="BA1389">
        <v>7438</v>
      </c>
      <c r="BB1389">
        <v>1432</v>
      </c>
      <c r="BC1389">
        <v>13072</v>
      </c>
      <c r="BD1389">
        <v>9486</v>
      </c>
      <c r="BE1389">
        <v>9222</v>
      </c>
      <c r="BF1389">
        <v>1768</v>
      </c>
      <c r="BG1389">
        <v>20476</v>
      </c>
      <c r="BH1389">
        <v>0</v>
      </c>
      <c r="BI1389">
        <v>0</v>
      </c>
      <c r="BJ1389">
        <v>0</v>
      </c>
      <c r="BK1389">
        <v>0</v>
      </c>
      <c r="BL1389" s="2">
        <v>24.82</v>
      </c>
      <c r="BM1389" s="2">
        <v>42005.095138888886</v>
      </c>
      <c r="BN1389" s="2">
        <v>5.4</v>
      </c>
      <c r="BO1389" s="2">
        <v>42005.092361111114</v>
      </c>
      <c r="BP1389" s="2">
        <v>6.92</v>
      </c>
      <c r="BQ1389" s="2">
        <v>42005.092361111114</v>
      </c>
      <c r="BR1389" s="2">
        <v>11.07</v>
      </c>
      <c r="BS1389" s="2">
        <v>42005.092361111114</v>
      </c>
      <c r="BT1389">
        <v>0</v>
      </c>
      <c r="BU1389">
        <v>0</v>
      </c>
      <c r="BV1389" t="s">
        <v>135</v>
      </c>
      <c r="BW1389">
        <v>0</v>
      </c>
      <c r="BX1389">
        <v>0</v>
      </c>
      <c r="BY1389" t="s">
        <v>135</v>
      </c>
      <c r="BZ1389">
        <v>0</v>
      </c>
      <c r="CA1389">
        <v>0</v>
      </c>
      <c r="CB1389" t="s">
        <v>135</v>
      </c>
      <c r="CH1389" s="2"/>
      <c r="CJ1389" s="2"/>
      <c r="CL1389" s="2"/>
      <c r="CN1389" s="2"/>
      <c r="CQ1389" s="2"/>
      <c r="CT1389" s="2"/>
      <c r="CW1389" s="2"/>
    </row>
    <row r="1390" spans="1:101" x14ac:dyDescent="0.25">
      <c r="A1390" s="1" t="s">
        <v>163</v>
      </c>
      <c r="B1390" s="75" t="s">
        <v>164</v>
      </c>
      <c r="C1390">
        <v>0</v>
      </c>
      <c r="D1390">
        <v>0</v>
      </c>
      <c r="E1390">
        <v>0</v>
      </c>
      <c r="F1390">
        <v>604324.56000000006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3.91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7490</v>
      </c>
      <c r="AW1390">
        <v>3350</v>
      </c>
      <c r="AX1390">
        <v>1219</v>
      </c>
      <c r="AY1390">
        <v>12059</v>
      </c>
      <c r="AZ1390">
        <v>4202</v>
      </c>
      <c r="BA1390">
        <v>7438</v>
      </c>
      <c r="BB1390">
        <v>1432</v>
      </c>
      <c r="BC1390">
        <v>13072</v>
      </c>
      <c r="BD1390">
        <v>9486</v>
      </c>
      <c r="BE1390">
        <v>9222</v>
      </c>
      <c r="BF1390">
        <v>1768</v>
      </c>
      <c r="BG1390">
        <v>20476</v>
      </c>
      <c r="BH1390">
        <v>0</v>
      </c>
      <c r="BI1390">
        <v>0</v>
      </c>
      <c r="BJ1390">
        <v>0</v>
      </c>
      <c r="BK1390">
        <v>0</v>
      </c>
      <c r="BL1390" s="2">
        <v>24.82</v>
      </c>
      <c r="BM1390" s="2">
        <v>42005.095138888886</v>
      </c>
      <c r="BN1390" s="2">
        <v>5.4</v>
      </c>
      <c r="BO1390" s="2">
        <v>42005.092361111114</v>
      </c>
      <c r="BP1390" s="2">
        <v>6.92</v>
      </c>
      <c r="BQ1390" s="2">
        <v>42005.092361111114</v>
      </c>
      <c r="BR1390" s="2">
        <v>11.07</v>
      </c>
      <c r="BS1390" s="2">
        <v>42005.092361111114</v>
      </c>
      <c r="BT1390">
        <v>0</v>
      </c>
      <c r="BU1390">
        <v>0</v>
      </c>
      <c r="BV1390" t="s">
        <v>135</v>
      </c>
      <c r="BW1390">
        <v>0</v>
      </c>
      <c r="BX1390">
        <v>0</v>
      </c>
      <c r="BY1390" t="s">
        <v>135</v>
      </c>
      <c r="BZ1390">
        <v>0</v>
      </c>
      <c r="CA1390">
        <v>0</v>
      </c>
      <c r="CB1390" t="s">
        <v>135</v>
      </c>
      <c r="CH1390" s="2"/>
      <c r="CJ1390" s="2"/>
      <c r="CL1390" s="2"/>
      <c r="CN1390" s="2"/>
      <c r="CQ1390" s="2"/>
      <c r="CT1390" s="2"/>
      <c r="CW1390" s="2"/>
    </row>
    <row r="1391" spans="1:101" x14ac:dyDescent="0.25">
      <c r="A1391" s="1" t="s">
        <v>163</v>
      </c>
      <c r="B1391" s="75" t="s">
        <v>164</v>
      </c>
      <c r="C1391">
        <v>0</v>
      </c>
      <c r="D1391">
        <v>0</v>
      </c>
      <c r="E1391">
        <v>0</v>
      </c>
      <c r="F1391">
        <v>604324.56000000006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3.91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7490</v>
      </c>
      <c r="AW1391">
        <v>3350</v>
      </c>
      <c r="AX1391">
        <v>1219</v>
      </c>
      <c r="AY1391">
        <v>12059</v>
      </c>
      <c r="AZ1391">
        <v>4202</v>
      </c>
      <c r="BA1391">
        <v>7438</v>
      </c>
      <c r="BB1391">
        <v>1432</v>
      </c>
      <c r="BC1391">
        <v>13072</v>
      </c>
      <c r="BD1391">
        <v>9486</v>
      </c>
      <c r="BE1391">
        <v>9222</v>
      </c>
      <c r="BF1391">
        <v>1768</v>
      </c>
      <c r="BG1391">
        <v>20476</v>
      </c>
      <c r="BH1391">
        <v>0</v>
      </c>
      <c r="BI1391">
        <v>0</v>
      </c>
      <c r="BJ1391">
        <v>0</v>
      </c>
      <c r="BK1391">
        <v>0</v>
      </c>
      <c r="BL1391" s="2">
        <v>24.82</v>
      </c>
      <c r="BM1391" s="2">
        <v>42005.095138888886</v>
      </c>
      <c r="BN1391" s="2">
        <v>5.4</v>
      </c>
      <c r="BO1391" s="2">
        <v>42005.092361111114</v>
      </c>
      <c r="BP1391" s="2">
        <v>6.92</v>
      </c>
      <c r="BQ1391" s="2">
        <v>42005.092361111114</v>
      </c>
      <c r="BR1391" s="2">
        <v>11.07</v>
      </c>
      <c r="BS1391" s="2">
        <v>42005.092361111114</v>
      </c>
      <c r="BT1391">
        <v>0</v>
      </c>
      <c r="BU1391">
        <v>0</v>
      </c>
      <c r="BV1391" t="s">
        <v>135</v>
      </c>
      <c r="BW1391">
        <v>0</v>
      </c>
      <c r="BX1391">
        <v>0</v>
      </c>
      <c r="BY1391" t="s">
        <v>135</v>
      </c>
      <c r="BZ1391">
        <v>0</v>
      </c>
      <c r="CA1391">
        <v>0</v>
      </c>
      <c r="CB1391" t="s">
        <v>135</v>
      </c>
      <c r="CH1391" s="2"/>
      <c r="CJ1391" s="2"/>
      <c r="CL1391" s="2"/>
      <c r="CN1391" s="2"/>
      <c r="CQ1391" s="2"/>
      <c r="CT1391" s="2"/>
      <c r="CW1391" s="2"/>
    </row>
    <row r="1392" spans="1:101" x14ac:dyDescent="0.25">
      <c r="A1392" s="1" t="s">
        <v>163</v>
      </c>
      <c r="B1392" s="75" t="s">
        <v>164</v>
      </c>
      <c r="C1392">
        <v>0</v>
      </c>
      <c r="D1392">
        <v>0</v>
      </c>
      <c r="E1392">
        <v>0</v>
      </c>
      <c r="F1392">
        <v>604324.56000000006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3.91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7490</v>
      </c>
      <c r="AW1392">
        <v>3350</v>
      </c>
      <c r="AX1392">
        <v>1219</v>
      </c>
      <c r="AY1392">
        <v>12059</v>
      </c>
      <c r="AZ1392">
        <v>4202</v>
      </c>
      <c r="BA1392">
        <v>7438</v>
      </c>
      <c r="BB1392">
        <v>1432</v>
      </c>
      <c r="BC1392">
        <v>13072</v>
      </c>
      <c r="BD1392">
        <v>9486</v>
      </c>
      <c r="BE1392">
        <v>9222</v>
      </c>
      <c r="BF1392">
        <v>1768</v>
      </c>
      <c r="BG1392">
        <v>20476</v>
      </c>
      <c r="BH1392">
        <v>0</v>
      </c>
      <c r="BI1392">
        <v>0</v>
      </c>
      <c r="BJ1392">
        <v>0</v>
      </c>
      <c r="BK1392">
        <v>0</v>
      </c>
      <c r="BL1392" s="2">
        <v>24.82</v>
      </c>
      <c r="BM1392" s="2">
        <v>42005.095138888886</v>
      </c>
      <c r="BN1392" s="2">
        <v>5.4</v>
      </c>
      <c r="BO1392" s="2">
        <v>42005.092361111114</v>
      </c>
      <c r="BP1392" s="2">
        <v>6.92</v>
      </c>
      <c r="BQ1392" s="2">
        <v>42005.092361111114</v>
      </c>
      <c r="BR1392" s="2">
        <v>11.07</v>
      </c>
      <c r="BS1392" s="2">
        <v>42005.092361111114</v>
      </c>
      <c r="BT1392">
        <v>0</v>
      </c>
      <c r="BU1392">
        <v>0</v>
      </c>
      <c r="BV1392" t="s">
        <v>135</v>
      </c>
      <c r="BW1392">
        <v>0</v>
      </c>
      <c r="BX1392">
        <v>0</v>
      </c>
      <c r="BY1392" t="s">
        <v>135</v>
      </c>
      <c r="BZ1392">
        <v>0</v>
      </c>
      <c r="CA1392">
        <v>0</v>
      </c>
      <c r="CB1392" t="s">
        <v>135</v>
      </c>
      <c r="CH1392" s="2"/>
      <c r="CJ1392" s="2"/>
      <c r="CL1392" s="2"/>
      <c r="CN1392" s="2"/>
      <c r="CQ1392" s="2"/>
      <c r="CT1392" s="2"/>
      <c r="CW1392" s="2"/>
    </row>
    <row r="1393" spans="1:101" x14ac:dyDescent="0.25">
      <c r="A1393" s="1" t="s">
        <v>163</v>
      </c>
      <c r="B1393" s="75" t="s">
        <v>164</v>
      </c>
      <c r="C1393">
        <v>0</v>
      </c>
      <c r="D1393">
        <v>0</v>
      </c>
      <c r="E1393">
        <v>0</v>
      </c>
      <c r="F1393">
        <v>604324.56000000006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3.91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7490</v>
      </c>
      <c r="AW1393">
        <v>3350</v>
      </c>
      <c r="AX1393">
        <v>1219</v>
      </c>
      <c r="AY1393">
        <v>12059</v>
      </c>
      <c r="AZ1393">
        <v>4202</v>
      </c>
      <c r="BA1393">
        <v>7438</v>
      </c>
      <c r="BB1393">
        <v>1432</v>
      </c>
      <c r="BC1393">
        <v>13072</v>
      </c>
      <c r="BD1393">
        <v>9486</v>
      </c>
      <c r="BE1393">
        <v>9222</v>
      </c>
      <c r="BF1393">
        <v>1768</v>
      </c>
      <c r="BG1393">
        <v>20476</v>
      </c>
      <c r="BH1393">
        <v>0</v>
      </c>
      <c r="BI1393">
        <v>0</v>
      </c>
      <c r="BJ1393">
        <v>0</v>
      </c>
      <c r="BK1393">
        <v>0</v>
      </c>
      <c r="BL1393" s="2">
        <v>24.82</v>
      </c>
      <c r="BM1393" s="2">
        <v>42005.095138888886</v>
      </c>
      <c r="BN1393" s="2">
        <v>5.4</v>
      </c>
      <c r="BO1393" s="2">
        <v>42005.092361111114</v>
      </c>
      <c r="BP1393" s="2">
        <v>6.92</v>
      </c>
      <c r="BQ1393" s="2">
        <v>42005.092361111114</v>
      </c>
      <c r="BR1393" s="2">
        <v>11.07</v>
      </c>
      <c r="BS1393" s="2">
        <v>42005.092361111114</v>
      </c>
      <c r="BT1393">
        <v>0</v>
      </c>
      <c r="BU1393">
        <v>0</v>
      </c>
      <c r="BV1393" t="s">
        <v>135</v>
      </c>
      <c r="BW1393">
        <v>0</v>
      </c>
      <c r="BX1393">
        <v>0</v>
      </c>
      <c r="BY1393" t="s">
        <v>135</v>
      </c>
      <c r="BZ1393">
        <v>0</v>
      </c>
      <c r="CA1393">
        <v>0</v>
      </c>
      <c r="CB1393" t="s">
        <v>135</v>
      </c>
      <c r="CH1393" s="2"/>
      <c r="CJ1393" s="2"/>
      <c r="CL1393" s="2"/>
      <c r="CN1393" s="2"/>
      <c r="CQ1393" s="2"/>
      <c r="CT1393" s="2"/>
      <c r="CW1393" s="2"/>
    </row>
    <row r="1394" spans="1:101" x14ac:dyDescent="0.25">
      <c r="A1394" s="1" t="s">
        <v>163</v>
      </c>
      <c r="B1394" s="75" t="s">
        <v>164</v>
      </c>
      <c r="C1394">
        <v>0</v>
      </c>
      <c r="D1394">
        <v>0</v>
      </c>
      <c r="E1394">
        <v>0</v>
      </c>
      <c r="F1394">
        <v>604324.56000000006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3.91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7490</v>
      </c>
      <c r="AW1394">
        <v>3350</v>
      </c>
      <c r="AX1394">
        <v>1219</v>
      </c>
      <c r="AY1394">
        <v>12059</v>
      </c>
      <c r="AZ1394">
        <v>4202</v>
      </c>
      <c r="BA1394">
        <v>7438</v>
      </c>
      <c r="BB1394">
        <v>1432</v>
      </c>
      <c r="BC1394">
        <v>13072</v>
      </c>
      <c r="BD1394">
        <v>9486</v>
      </c>
      <c r="BE1394">
        <v>9222</v>
      </c>
      <c r="BF1394">
        <v>1768</v>
      </c>
      <c r="BG1394">
        <v>20476</v>
      </c>
      <c r="BH1394">
        <v>0</v>
      </c>
      <c r="BI1394">
        <v>0</v>
      </c>
      <c r="BJ1394">
        <v>0</v>
      </c>
      <c r="BK1394">
        <v>0</v>
      </c>
      <c r="BL1394" s="2">
        <v>24.82</v>
      </c>
      <c r="BM1394" s="2">
        <v>42005.095138888886</v>
      </c>
      <c r="BN1394" s="2">
        <v>5.4</v>
      </c>
      <c r="BO1394" s="2">
        <v>42005.092361111114</v>
      </c>
      <c r="BP1394" s="2">
        <v>6.92</v>
      </c>
      <c r="BQ1394" s="2">
        <v>42005.092361111114</v>
      </c>
      <c r="BR1394" s="2">
        <v>11.07</v>
      </c>
      <c r="BS1394" s="2">
        <v>42005.092361111114</v>
      </c>
      <c r="BT1394">
        <v>0</v>
      </c>
      <c r="BU1394">
        <v>0</v>
      </c>
      <c r="BV1394" t="s">
        <v>135</v>
      </c>
      <c r="BW1394">
        <v>0</v>
      </c>
      <c r="BX1394">
        <v>0</v>
      </c>
      <c r="BY1394" t="s">
        <v>135</v>
      </c>
      <c r="BZ1394">
        <v>0</v>
      </c>
      <c r="CA1394">
        <v>0</v>
      </c>
      <c r="CB1394" t="s">
        <v>135</v>
      </c>
      <c r="CH1394" s="2"/>
      <c r="CJ1394" s="2"/>
      <c r="CL1394" s="2"/>
      <c r="CN1394" s="2"/>
      <c r="CQ1394" s="2"/>
      <c r="CT1394" s="2"/>
      <c r="CW1394" s="2"/>
    </row>
    <row r="1395" spans="1:101" x14ac:dyDescent="0.25">
      <c r="A1395" s="1" t="s">
        <v>163</v>
      </c>
      <c r="B1395" s="75" t="s">
        <v>164</v>
      </c>
      <c r="C1395">
        <v>0</v>
      </c>
      <c r="D1395">
        <v>0</v>
      </c>
      <c r="E1395">
        <v>0</v>
      </c>
      <c r="F1395">
        <v>604324.56000000006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3.91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7490</v>
      </c>
      <c r="AW1395">
        <v>3350</v>
      </c>
      <c r="AX1395">
        <v>1219</v>
      </c>
      <c r="AY1395">
        <v>12059</v>
      </c>
      <c r="AZ1395">
        <v>4202</v>
      </c>
      <c r="BA1395">
        <v>7438</v>
      </c>
      <c r="BB1395">
        <v>1432</v>
      </c>
      <c r="BC1395">
        <v>13072</v>
      </c>
      <c r="BD1395">
        <v>9486</v>
      </c>
      <c r="BE1395">
        <v>9222</v>
      </c>
      <c r="BF1395">
        <v>1768</v>
      </c>
      <c r="BG1395">
        <v>20476</v>
      </c>
      <c r="BH1395">
        <v>0</v>
      </c>
      <c r="BI1395">
        <v>0</v>
      </c>
      <c r="BJ1395">
        <v>0</v>
      </c>
      <c r="BK1395">
        <v>0</v>
      </c>
      <c r="BL1395" s="2">
        <v>24.82</v>
      </c>
      <c r="BM1395" s="2">
        <v>42005.095138888886</v>
      </c>
      <c r="BN1395" s="2">
        <v>5.4</v>
      </c>
      <c r="BO1395" s="2">
        <v>42005.092361111114</v>
      </c>
      <c r="BP1395" s="2">
        <v>6.92</v>
      </c>
      <c r="BQ1395" s="2">
        <v>42005.092361111114</v>
      </c>
      <c r="BR1395" s="2">
        <v>11.07</v>
      </c>
      <c r="BS1395" s="2">
        <v>42005.092361111114</v>
      </c>
      <c r="BT1395">
        <v>0</v>
      </c>
      <c r="BU1395">
        <v>0</v>
      </c>
      <c r="BV1395" t="s">
        <v>135</v>
      </c>
      <c r="BW1395">
        <v>0</v>
      </c>
      <c r="BX1395">
        <v>0</v>
      </c>
      <c r="BY1395" t="s">
        <v>135</v>
      </c>
      <c r="BZ1395">
        <v>0</v>
      </c>
      <c r="CA1395">
        <v>0</v>
      </c>
      <c r="CB1395" t="s">
        <v>135</v>
      </c>
      <c r="CH1395" s="2"/>
      <c r="CJ1395" s="2"/>
      <c r="CL1395" s="2"/>
      <c r="CN1395" s="2"/>
      <c r="CQ1395" s="2"/>
      <c r="CT1395" s="2"/>
      <c r="CW1395" s="2"/>
    </row>
    <row r="1396" spans="1:101" x14ac:dyDescent="0.25">
      <c r="A1396" s="1" t="s">
        <v>163</v>
      </c>
      <c r="B1396" s="75" t="s">
        <v>164</v>
      </c>
      <c r="C1396">
        <v>0</v>
      </c>
      <c r="D1396">
        <v>0</v>
      </c>
      <c r="E1396">
        <v>0</v>
      </c>
      <c r="F1396">
        <v>604324.56000000006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3.91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7490</v>
      </c>
      <c r="AW1396">
        <v>3350</v>
      </c>
      <c r="AX1396">
        <v>1219</v>
      </c>
      <c r="AY1396">
        <v>12059</v>
      </c>
      <c r="AZ1396">
        <v>4202</v>
      </c>
      <c r="BA1396">
        <v>7438</v>
      </c>
      <c r="BB1396">
        <v>1432</v>
      </c>
      <c r="BC1396">
        <v>13072</v>
      </c>
      <c r="BD1396">
        <v>9486</v>
      </c>
      <c r="BE1396">
        <v>9222</v>
      </c>
      <c r="BF1396">
        <v>1768</v>
      </c>
      <c r="BG1396">
        <v>20476</v>
      </c>
      <c r="BH1396">
        <v>0</v>
      </c>
      <c r="BI1396">
        <v>0</v>
      </c>
      <c r="BJ1396">
        <v>0</v>
      </c>
      <c r="BK1396">
        <v>0</v>
      </c>
      <c r="BL1396" s="2">
        <v>24.82</v>
      </c>
      <c r="BM1396" s="2">
        <v>42005.095138888886</v>
      </c>
      <c r="BN1396" s="2">
        <v>5.4</v>
      </c>
      <c r="BO1396" s="2">
        <v>42005.092361111114</v>
      </c>
      <c r="BP1396" s="2">
        <v>6.92</v>
      </c>
      <c r="BQ1396" s="2">
        <v>42005.092361111114</v>
      </c>
      <c r="BR1396" s="2">
        <v>11.07</v>
      </c>
      <c r="BS1396" s="2">
        <v>42005.092361111114</v>
      </c>
      <c r="BT1396">
        <v>0</v>
      </c>
      <c r="BU1396">
        <v>0</v>
      </c>
      <c r="BV1396" t="s">
        <v>135</v>
      </c>
      <c r="BW1396">
        <v>0</v>
      </c>
      <c r="BX1396">
        <v>0</v>
      </c>
      <c r="BY1396" t="s">
        <v>135</v>
      </c>
      <c r="BZ1396">
        <v>0</v>
      </c>
      <c r="CA1396">
        <v>0</v>
      </c>
      <c r="CB1396" t="s">
        <v>135</v>
      </c>
      <c r="CH1396" s="2"/>
      <c r="CJ1396" s="2"/>
      <c r="CL1396" s="2"/>
      <c r="CN1396" s="2"/>
      <c r="CQ1396" s="2"/>
      <c r="CT1396" s="2"/>
      <c r="CW1396" s="2"/>
    </row>
    <row r="1397" spans="1:101" x14ac:dyDescent="0.25">
      <c r="A1397" s="1" t="s">
        <v>163</v>
      </c>
      <c r="B1397" s="75" t="s">
        <v>164</v>
      </c>
      <c r="C1397">
        <v>0</v>
      </c>
      <c r="D1397">
        <v>0</v>
      </c>
      <c r="E1397">
        <v>0</v>
      </c>
      <c r="F1397">
        <v>604324.56000000006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3.91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7490</v>
      </c>
      <c r="AW1397">
        <v>3350</v>
      </c>
      <c r="AX1397">
        <v>1219</v>
      </c>
      <c r="AY1397">
        <v>12059</v>
      </c>
      <c r="AZ1397">
        <v>4202</v>
      </c>
      <c r="BA1397">
        <v>7438</v>
      </c>
      <c r="BB1397">
        <v>1432</v>
      </c>
      <c r="BC1397">
        <v>13072</v>
      </c>
      <c r="BD1397">
        <v>9486</v>
      </c>
      <c r="BE1397">
        <v>9222</v>
      </c>
      <c r="BF1397">
        <v>1768</v>
      </c>
      <c r="BG1397">
        <v>20476</v>
      </c>
      <c r="BH1397">
        <v>0</v>
      </c>
      <c r="BI1397">
        <v>0</v>
      </c>
      <c r="BJ1397">
        <v>0</v>
      </c>
      <c r="BK1397">
        <v>0</v>
      </c>
      <c r="BL1397" s="2">
        <v>24.82</v>
      </c>
      <c r="BM1397" s="2">
        <v>42005.095138888886</v>
      </c>
      <c r="BN1397" s="2">
        <v>5.4</v>
      </c>
      <c r="BO1397" s="2">
        <v>42005.092361111114</v>
      </c>
      <c r="BP1397" s="2">
        <v>6.92</v>
      </c>
      <c r="BQ1397" s="2">
        <v>42005.092361111114</v>
      </c>
      <c r="BR1397" s="2">
        <v>11.07</v>
      </c>
      <c r="BS1397" s="2">
        <v>42005.092361111114</v>
      </c>
      <c r="BT1397">
        <v>0</v>
      </c>
      <c r="BU1397">
        <v>0</v>
      </c>
      <c r="BV1397" t="s">
        <v>135</v>
      </c>
      <c r="BW1397">
        <v>0</v>
      </c>
      <c r="BX1397">
        <v>0</v>
      </c>
      <c r="BY1397" t="s">
        <v>135</v>
      </c>
      <c r="BZ1397">
        <v>0</v>
      </c>
      <c r="CA1397">
        <v>0</v>
      </c>
      <c r="CB1397" t="s">
        <v>135</v>
      </c>
      <c r="CH1397" s="2"/>
      <c r="CJ1397" s="2"/>
      <c r="CL1397" s="2"/>
      <c r="CN1397" s="2"/>
      <c r="CQ1397" s="2"/>
      <c r="CT1397" s="2"/>
      <c r="CW1397" s="2"/>
    </row>
    <row r="1398" spans="1:101" x14ac:dyDescent="0.25">
      <c r="A1398" s="1" t="s">
        <v>163</v>
      </c>
      <c r="B1398" s="75" t="s">
        <v>164</v>
      </c>
      <c r="C1398">
        <v>0</v>
      </c>
      <c r="D1398">
        <v>0</v>
      </c>
      <c r="E1398">
        <v>0</v>
      </c>
      <c r="F1398">
        <v>604324.56000000006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3.91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7490</v>
      </c>
      <c r="AW1398">
        <v>3350</v>
      </c>
      <c r="AX1398">
        <v>1219</v>
      </c>
      <c r="AY1398">
        <v>12059</v>
      </c>
      <c r="AZ1398">
        <v>4202</v>
      </c>
      <c r="BA1398">
        <v>7438</v>
      </c>
      <c r="BB1398">
        <v>1432</v>
      </c>
      <c r="BC1398">
        <v>13072</v>
      </c>
      <c r="BD1398">
        <v>9486</v>
      </c>
      <c r="BE1398">
        <v>9222</v>
      </c>
      <c r="BF1398">
        <v>1768</v>
      </c>
      <c r="BG1398">
        <v>20476</v>
      </c>
      <c r="BH1398">
        <v>0</v>
      </c>
      <c r="BI1398">
        <v>0</v>
      </c>
      <c r="BJ1398">
        <v>0</v>
      </c>
      <c r="BK1398">
        <v>0</v>
      </c>
      <c r="BL1398" s="2">
        <v>24.82</v>
      </c>
      <c r="BM1398" s="2">
        <v>42005.095138888886</v>
      </c>
      <c r="BN1398" s="2">
        <v>5.4</v>
      </c>
      <c r="BO1398" s="2">
        <v>42005.092361111114</v>
      </c>
      <c r="BP1398" s="2">
        <v>6.92</v>
      </c>
      <c r="BQ1398" s="2">
        <v>42005.092361111114</v>
      </c>
      <c r="BR1398" s="2">
        <v>11.07</v>
      </c>
      <c r="BS1398" s="2">
        <v>42005.092361111114</v>
      </c>
      <c r="BT1398">
        <v>0</v>
      </c>
      <c r="BU1398">
        <v>0</v>
      </c>
      <c r="BV1398" t="s">
        <v>135</v>
      </c>
      <c r="BW1398">
        <v>0</v>
      </c>
      <c r="BX1398">
        <v>0</v>
      </c>
      <c r="BY1398" t="s">
        <v>135</v>
      </c>
      <c r="BZ1398">
        <v>0</v>
      </c>
      <c r="CA1398">
        <v>0</v>
      </c>
      <c r="CB1398" t="s">
        <v>135</v>
      </c>
      <c r="CH1398" s="2"/>
      <c r="CJ1398" s="2"/>
      <c r="CL1398" s="2"/>
      <c r="CN1398" s="2"/>
      <c r="CQ1398" s="2"/>
      <c r="CT1398" s="2"/>
      <c r="CW1398" s="2"/>
    </row>
    <row r="1399" spans="1:101" x14ac:dyDescent="0.25">
      <c r="A1399" s="1" t="s">
        <v>163</v>
      </c>
      <c r="B1399" s="75" t="s">
        <v>164</v>
      </c>
      <c r="C1399">
        <v>0</v>
      </c>
      <c r="D1399">
        <v>0</v>
      </c>
      <c r="E1399">
        <v>0</v>
      </c>
      <c r="F1399">
        <v>604324.56000000006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3.91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7490</v>
      </c>
      <c r="AW1399">
        <v>3350</v>
      </c>
      <c r="AX1399">
        <v>1219</v>
      </c>
      <c r="AY1399">
        <v>12059</v>
      </c>
      <c r="AZ1399">
        <v>4202</v>
      </c>
      <c r="BA1399">
        <v>7438</v>
      </c>
      <c r="BB1399">
        <v>1432</v>
      </c>
      <c r="BC1399">
        <v>13072</v>
      </c>
      <c r="BD1399">
        <v>9486</v>
      </c>
      <c r="BE1399">
        <v>9222</v>
      </c>
      <c r="BF1399">
        <v>1768</v>
      </c>
      <c r="BG1399">
        <v>20476</v>
      </c>
      <c r="BH1399">
        <v>0</v>
      </c>
      <c r="BI1399">
        <v>0</v>
      </c>
      <c r="BJ1399">
        <v>0</v>
      </c>
      <c r="BK1399">
        <v>0</v>
      </c>
      <c r="BL1399" s="2">
        <v>24.82</v>
      </c>
      <c r="BM1399" s="2">
        <v>42005.095138888886</v>
      </c>
      <c r="BN1399" s="2">
        <v>5.4</v>
      </c>
      <c r="BO1399" s="2">
        <v>42005.092361111114</v>
      </c>
      <c r="BP1399" s="2">
        <v>6.92</v>
      </c>
      <c r="BQ1399" s="2">
        <v>42005.092361111114</v>
      </c>
      <c r="BR1399" s="2">
        <v>11.07</v>
      </c>
      <c r="BS1399" s="2">
        <v>42005.092361111114</v>
      </c>
      <c r="BT1399">
        <v>0</v>
      </c>
      <c r="BU1399">
        <v>0</v>
      </c>
      <c r="BV1399" t="s">
        <v>135</v>
      </c>
      <c r="BW1399">
        <v>0</v>
      </c>
      <c r="BX1399">
        <v>0</v>
      </c>
      <c r="BY1399" t="s">
        <v>135</v>
      </c>
      <c r="BZ1399">
        <v>0</v>
      </c>
      <c r="CA1399">
        <v>0</v>
      </c>
      <c r="CB1399" t="s">
        <v>135</v>
      </c>
      <c r="CH1399" s="2"/>
      <c r="CJ1399" s="2"/>
      <c r="CL1399" s="2"/>
      <c r="CN1399" s="2"/>
      <c r="CQ1399" s="2"/>
      <c r="CT1399" s="2"/>
      <c r="CW1399" s="2"/>
    </row>
    <row r="1400" spans="1:101" x14ac:dyDescent="0.25">
      <c r="A1400" s="1" t="s">
        <v>163</v>
      </c>
      <c r="B1400" s="75" t="s">
        <v>164</v>
      </c>
      <c r="C1400">
        <v>0</v>
      </c>
      <c r="D1400">
        <v>0</v>
      </c>
      <c r="E1400">
        <v>0</v>
      </c>
      <c r="F1400">
        <v>604324.56000000006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3.91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7490</v>
      </c>
      <c r="AW1400">
        <v>3350</v>
      </c>
      <c r="AX1400">
        <v>1219</v>
      </c>
      <c r="AY1400">
        <v>12059</v>
      </c>
      <c r="AZ1400">
        <v>4202</v>
      </c>
      <c r="BA1400">
        <v>7438</v>
      </c>
      <c r="BB1400">
        <v>1432</v>
      </c>
      <c r="BC1400">
        <v>13072</v>
      </c>
      <c r="BD1400">
        <v>9486</v>
      </c>
      <c r="BE1400">
        <v>9222</v>
      </c>
      <c r="BF1400">
        <v>1768</v>
      </c>
      <c r="BG1400">
        <v>20476</v>
      </c>
      <c r="BH1400">
        <v>0</v>
      </c>
      <c r="BI1400">
        <v>0</v>
      </c>
      <c r="BJ1400">
        <v>0</v>
      </c>
      <c r="BK1400">
        <v>0</v>
      </c>
      <c r="BL1400" s="2">
        <v>24.82</v>
      </c>
      <c r="BM1400" s="2">
        <v>42005.095138888886</v>
      </c>
      <c r="BN1400" s="2">
        <v>5.4</v>
      </c>
      <c r="BO1400" s="2">
        <v>42005.092361111114</v>
      </c>
      <c r="BP1400" s="2">
        <v>6.92</v>
      </c>
      <c r="BQ1400" s="2">
        <v>42005.092361111114</v>
      </c>
      <c r="BR1400" s="2">
        <v>11.07</v>
      </c>
      <c r="BS1400" s="2">
        <v>42005.092361111114</v>
      </c>
      <c r="BT1400">
        <v>0</v>
      </c>
      <c r="BU1400">
        <v>0</v>
      </c>
      <c r="BV1400" t="s">
        <v>135</v>
      </c>
      <c r="BW1400">
        <v>0</v>
      </c>
      <c r="BX1400">
        <v>0</v>
      </c>
      <c r="BY1400" t="s">
        <v>135</v>
      </c>
      <c r="BZ1400">
        <v>0</v>
      </c>
      <c r="CA1400">
        <v>0</v>
      </c>
      <c r="CB1400" t="s">
        <v>135</v>
      </c>
      <c r="CH1400" s="2"/>
      <c r="CJ1400" s="2"/>
      <c r="CL1400" s="2"/>
      <c r="CN1400" s="2"/>
      <c r="CQ1400" s="2"/>
      <c r="CT1400" s="2"/>
      <c r="CW1400" s="2"/>
    </row>
    <row r="1401" spans="1:101" x14ac:dyDescent="0.25">
      <c r="A1401" s="1" t="s">
        <v>163</v>
      </c>
      <c r="B1401" s="75" t="s">
        <v>164</v>
      </c>
      <c r="C1401">
        <v>0</v>
      </c>
      <c r="D1401">
        <v>0</v>
      </c>
      <c r="E1401">
        <v>0</v>
      </c>
      <c r="F1401">
        <v>604324.56000000006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3.91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7490</v>
      </c>
      <c r="AW1401">
        <v>3350</v>
      </c>
      <c r="AX1401">
        <v>1219</v>
      </c>
      <c r="AY1401">
        <v>12059</v>
      </c>
      <c r="AZ1401">
        <v>4202</v>
      </c>
      <c r="BA1401">
        <v>7438</v>
      </c>
      <c r="BB1401">
        <v>1432</v>
      </c>
      <c r="BC1401">
        <v>13072</v>
      </c>
      <c r="BD1401">
        <v>9486</v>
      </c>
      <c r="BE1401">
        <v>9222</v>
      </c>
      <c r="BF1401">
        <v>1768</v>
      </c>
      <c r="BG1401">
        <v>20476</v>
      </c>
      <c r="BH1401">
        <v>0</v>
      </c>
      <c r="BI1401">
        <v>0</v>
      </c>
      <c r="BJ1401">
        <v>0</v>
      </c>
      <c r="BK1401">
        <v>0</v>
      </c>
      <c r="BL1401" s="2">
        <v>24.82</v>
      </c>
      <c r="BM1401" s="2">
        <v>42005.095138888886</v>
      </c>
      <c r="BN1401" s="2">
        <v>5.4</v>
      </c>
      <c r="BO1401" s="2">
        <v>42005.092361111114</v>
      </c>
      <c r="BP1401" s="2">
        <v>6.92</v>
      </c>
      <c r="BQ1401" s="2">
        <v>42005.092361111114</v>
      </c>
      <c r="BR1401" s="2">
        <v>11.07</v>
      </c>
      <c r="BS1401" s="2">
        <v>42005.092361111114</v>
      </c>
      <c r="BT1401">
        <v>0</v>
      </c>
      <c r="BU1401">
        <v>0</v>
      </c>
      <c r="BV1401" t="s">
        <v>135</v>
      </c>
      <c r="BW1401">
        <v>0</v>
      </c>
      <c r="BX1401">
        <v>0</v>
      </c>
      <c r="BY1401" t="s">
        <v>135</v>
      </c>
      <c r="BZ1401">
        <v>0</v>
      </c>
      <c r="CA1401">
        <v>0</v>
      </c>
      <c r="CB1401" t="s">
        <v>135</v>
      </c>
      <c r="CH1401" s="2"/>
      <c r="CJ1401" s="2"/>
      <c r="CL1401" s="2"/>
      <c r="CN1401" s="2"/>
      <c r="CQ1401" s="2"/>
      <c r="CT1401" s="2"/>
      <c r="CW1401" s="2"/>
    </row>
    <row r="1402" spans="1:101" x14ac:dyDescent="0.25">
      <c r="A1402" s="1" t="s">
        <v>163</v>
      </c>
      <c r="B1402" s="75" t="s">
        <v>164</v>
      </c>
      <c r="C1402">
        <v>0</v>
      </c>
      <c r="D1402">
        <v>0</v>
      </c>
      <c r="E1402">
        <v>0</v>
      </c>
      <c r="F1402">
        <v>604324.56000000006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3.91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7490</v>
      </c>
      <c r="AW1402">
        <v>3350</v>
      </c>
      <c r="AX1402">
        <v>1219</v>
      </c>
      <c r="AY1402">
        <v>12059</v>
      </c>
      <c r="AZ1402">
        <v>4202</v>
      </c>
      <c r="BA1402">
        <v>7438</v>
      </c>
      <c r="BB1402">
        <v>1432</v>
      </c>
      <c r="BC1402">
        <v>13072</v>
      </c>
      <c r="BD1402">
        <v>9486</v>
      </c>
      <c r="BE1402">
        <v>9222</v>
      </c>
      <c r="BF1402">
        <v>1768</v>
      </c>
      <c r="BG1402">
        <v>20476</v>
      </c>
      <c r="BH1402">
        <v>0</v>
      </c>
      <c r="BI1402">
        <v>0</v>
      </c>
      <c r="BJ1402">
        <v>0</v>
      </c>
      <c r="BK1402">
        <v>0</v>
      </c>
      <c r="BL1402" s="2">
        <v>24.82</v>
      </c>
      <c r="BM1402" s="2">
        <v>42005.095138888886</v>
      </c>
      <c r="BN1402" s="2">
        <v>5.4</v>
      </c>
      <c r="BO1402" s="2">
        <v>42005.092361111114</v>
      </c>
      <c r="BP1402" s="2">
        <v>6.92</v>
      </c>
      <c r="BQ1402" s="2">
        <v>42005.092361111114</v>
      </c>
      <c r="BR1402" s="2">
        <v>11.07</v>
      </c>
      <c r="BS1402" s="2">
        <v>42005.092361111114</v>
      </c>
      <c r="BT1402">
        <v>0</v>
      </c>
      <c r="BU1402">
        <v>0</v>
      </c>
      <c r="BV1402" t="s">
        <v>135</v>
      </c>
      <c r="BW1402">
        <v>0</v>
      </c>
      <c r="BX1402">
        <v>0</v>
      </c>
      <c r="BY1402" t="s">
        <v>135</v>
      </c>
      <c r="BZ1402">
        <v>0</v>
      </c>
      <c r="CA1402">
        <v>0</v>
      </c>
      <c r="CB1402" t="s">
        <v>135</v>
      </c>
      <c r="CH1402" s="2"/>
      <c r="CJ1402" s="2"/>
      <c r="CL1402" s="2"/>
      <c r="CN1402" s="2"/>
      <c r="CQ1402" s="2"/>
      <c r="CT1402" s="2"/>
      <c r="CW1402" s="2"/>
    </row>
    <row r="1403" spans="1:101" x14ac:dyDescent="0.25">
      <c r="A1403" s="1" t="s">
        <v>163</v>
      </c>
      <c r="B1403" s="75" t="s">
        <v>164</v>
      </c>
      <c r="C1403">
        <v>0</v>
      </c>
      <c r="D1403">
        <v>0</v>
      </c>
      <c r="E1403">
        <v>0</v>
      </c>
      <c r="F1403">
        <v>604324.56000000006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3.91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7490</v>
      </c>
      <c r="AW1403">
        <v>3350</v>
      </c>
      <c r="AX1403">
        <v>1219</v>
      </c>
      <c r="AY1403">
        <v>12059</v>
      </c>
      <c r="AZ1403">
        <v>4202</v>
      </c>
      <c r="BA1403">
        <v>7438</v>
      </c>
      <c r="BB1403">
        <v>1432</v>
      </c>
      <c r="BC1403">
        <v>13072</v>
      </c>
      <c r="BD1403">
        <v>9486</v>
      </c>
      <c r="BE1403">
        <v>9222</v>
      </c>
      <c r="BF1403">
        <v>1768</v>
      </c>
      <c r="BG1403">
        <v>20476</v>
      </c>
      <c r="BH1403">
        <v>0</v>
      </c>
      <c r="BI1403">
        <v>0</v>
      </c>
      <c r="BJ1403">
        <v>0</v>
      </c>
      <c r="BK1403">
        <v>0</v>
      </c>
      <c r="BL1403" s="2">
        <v>24.82</v>
      </c>
      <c r="BM1403" s="2">
        <v>42005.095138888886</v>
      </c>
      <c r="BN1403" s="2">
        <v>5.4</v>
      </c>
      <c r="BO1403" s="2">
        <v>42005.092361111114</v>
      </c>
      <c r="BP1403" s="2">
        <v>6.92</v>
      </c>
      <c r="BQ1403" s="2">
        <v>42005.092361111114</v>
      </c>
      <c r="BR1403" s="2">
        <v>11.07</v>
      </c>
      <c r="BS1403" s="2">
        <v>42005.092361111114</v>
      </c>
      <c r="BT1403">
        <v>0</v>
      </c>
      <c r="BU1403">
        <v>0</v>
      </c>
      <c r="BV1403" t="s">
        <v>135</v>
      </c>
      <c r="BW1403">
        <v>0</v>
      </c>
      <c r="BX1403">
        <v>0</v>
      </c>
      <c r="BY1403" t="s">
        <v>135</v>
      </c>
      <c r="BZ1403">
        <v>0</v>
      </c>
      <c r="CA1403">
        <v>0</v>
      </c>
      <c r="CB1403" t="s">
        <v>135</v>
      </c>
      <c r="CH1403" s="2"/>
      <c r="CJ1403" s="2"/>
      <c r="CL1403" s="2"/>
      <c r="CN1403" s="2"/>
      <c r="CQ1403" s="2"/>
      <c r="CT1403" s="2"/>
      <c r="CW1403" s="2"/>
    </row>
    <row r="1404" spans="1:101" x14ac:dyDescent="0.25">
      <c r="A1404" s="1" t="s">
        <v>163</v>
      </c>
      <c r="B1404" s="75" t="s">
        <v>164</v>
      </c>
      <c r="C1404">
        <v>0</v>
      </c>
      <c r="D1404">
        <v>0</v>
      </c>
      <c r="E1404">
        <v>0</v>
      </c>
      <c r="F1404">
        <v>604324.56000000006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3.91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7490</v>
      </c>
      <c r="AW1404">
        <v>3350</v>
      </c>
      <c r="AX1404">
        <v>1219</v>
      </c>
      <c r="AY1404">
        <v>12059</v>
      </c>
      <c r="AZ1404">
        <v>4202</v>
      </c>
      <c r="BA1404">
        <v>7438</v>
      </c>
      <c r="BB1404">
        <v>1432</v>
      </c>
      <c r="BC1404">
        <v>13072</v>
      </c>
      <c r="BD1404">
        <v>9486</v>
      </c>
      <c r="BE1404">
        <v>9222</v>
      </c>
      <c r="BF1404">
        <v>1768</v>
      </c>
      <c r="BG1404">
        <v>20476</v>
      </c>
      <c r="BH1404">
        <v>0</v>
      </c>
      <c r="BI1404">
        <v>0</v>
      </c>
      <c r="BJ1404">
        <v>0</v>
      </c>
      <c r="BK1404">
        <v>0</v>
      </c>
      <c r="BL1404" s="2">
        <v>24.82</v>
      </c>
      <c r="BM1404" s="2">
        <v>42005.095138888886</v>
      </c>
      <c r="BN1404" s="2">
        <v>5.4</v>
      </c>
      <c r="BO1404" s="2">
        <v>42005.092361111114</v>
      </c>
      <c r="BP1404" s="2">
        <v>6.92</v>
      </c>
      <c r="BQ1404" s="2">
        <v>42005.092361111114</v>
      </c>
      <c r="BR1404" s="2">
        <v>11.07</v>
      </c>
      <c r="BS1404" s="2">
        <v>42005.092361111114</v>
      </c>
      <c r="BT1404">
        <v>0</v>
      </c>
      <c r="BU1404">
        <v>0</v>
      </c>
      <c r="BV1404" t="s">
        <v>135</v>
      </c>
      <c r="BW1404">
        <v>0</v>
      </c>
      <c r="BX1404">
        <v>0</v>
      </c>
      <c r="BY1404" t="s">
        <v>135</v>
      </c>
      <c r="BZ1404">
        <v>0</v>
      </c>
      <c r="CA1404">
        <v>0</v>
      </c>
      <c r="CB1404" t="s">
        <v>135</v>
      </c>
      <c r="CH1404" s="2"/>
      <c r="CJ1404" s="2"/>
      <c r="CL1404" s="2"/>
      <c r="CN1404" s="2"/>
      <c r="CQ1404" s="2"/>
      <c r="CT1404" s="2"/>
      <c r="CW1404" s="2"/>
    </row>
    <row r="1405" spans="1:101" x14ac:dyDescent="0.25">
      <c r="A1405" s="1" t="s">
        <v>163</v>
      </c>
      <c r="B1405" s="75" t="s">
        <v>164</v>
      </c>
      <c r="C1405">
        <v>0</v>
      </c>
      <c r="D1405">
        <v>0</v>
      </c>
      <c r="E1405">
        <v>0</v>
      </c>
      <c r="F1405">
        <v>604324.56000000006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3.91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7490</v>
      </c>
      <c r="AW1405">
        <v>3350</v>
      </c>
      <c r="AX1405">
        <v>1219</v>
      </c>
      <c r="AY1405">
        <v>12059</v>
      </c>
      <c r="AZ1405">
        <v>4202</v>
      </c>
      <c r="BA1405">
        <v>7438</v>
      </c>
      <c r="BB1405">
        <v>1432</v>
      </c>
      <c r="BC1405">
        <v>13072</v>
      </c>
      <c r="BD1405">
        <v>9486</v>
      </c>
      <c r="BE1405">
        <v>9222</v>
      </c>
      <c r="BF1405">
        <v>1768</v>
      </c>
      <c r="BG1405">
        <v>20476</v>
      </c>
      <c r="BH1405">
        <v>0</v>
      </c>
      <c r="BI1405">
        <v>0</v>
      </c>
      <c r="BJ1405">
        <v>0</v>
      </c>
      <c r="BK1405">
        <v>0</v>
      </c>
      <c r="BL1405" s="2">
        <v>24.82</v>
      </c>
      <c r="BM1405" s="2">
        <v>42005.095138888886</v>
      </c>
      <c r="BN1405" s="2">
        <v>5.4</v>
      </c>
      <c r="BO1405" s="2">
        <v>42005.092361111114</v>
      </c>
      <c r="BP1405" s="2">
        <v>6.92</v>
      </c>
      <c r="BQ1405" s="2">
        <v>42005.092361111114</v>
      </c>
      <c r="BR1405" s="2">
        <v>11.07</v>
      </c>
      <c r="BS1405" s="2">
        <v>42005.092361111114</v>
      </c>
      <c r="BT1405">
        <v>0</v>
      </c>
      <c r="BU1405">
        <v>0</v>
      </c>
      <c r="BV1405" t="s">
        <v>135</v>
      </c>
      <c r="BW1405">
        <v>0</v>
      </c>
      <c r="BX1405">
        <v>0</v>
      </c>
      <c r="BY1405" t="s">
        <v>135</v>
      </c>
      <c r="BZ1405">
        <v>0</v>
      </c>
      <c r="CA1405">
        <v>0</v>
      </c>
      <c r="CB1405" t="s">
        <v>135</v>
      </c>
      <c r="CH1405" s="2"/>
      <c r="CJ1405" s="2"/>
      <c r="CL1405" s="2"/>
      <c r="CN1405" s="2"/>
      <c r="CQ1405" s="2"/>
      <c r="CT1405" s="2"/>
      <c r="CW1405" s="2"/>
    </row>
    <row r="1406" spans="1:101" x14ac:dyDescent="0.25">
      <c r="A1406" s="1" t="s">
        <v>163</v>
      </c>
      <c r="B1406" s="75" t="s">
        <v>164</v>
      </c>
      <c r="C1406">
        <v>0</v>
      </c>
      <c r="D1406">
        <v>0</v>
      </c>
      <c r="E1406">
        <v>0</v>
      </c>
      <c r="F1406">
        <v>604324.56000000006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3.91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7490</v>
      </c>
      <c r="AW1406">
        <v>3350</v>
      </c>
      <c r="AX1406">
        <v>1219</v>
      </c>
      <c r="AY1406">
        <v>12059</v>
      </c>
      <c r="AZ1406">
        <v>4202</v>
      </c>
      <c r="BA1406">
        <v>7438</v>
      </c>
      <c r="BB1406">
        <v>1432</v>
      </c>
      <c r="BC1406">
        <v>13072</v>
      </c>
      <c r="BD1406">
        <v>9486</v>
      </c>
      <c r="BE1406">
        <v>9222</v>
      </c>
      <c r="BF1406">
        <v>1768</v>
      </c>
      <c r="BG1406">
        <v>20476</v>
      </c>
      <c r="BH1406">
        <v>0</v>
      </c>
      <c r="BI1406">
        <v>0</v>
      </c>
      <c r="BJ1406">
        <v>0</v>
      </c>
      <c r="BK1406">
        <v>0</v>
      </c>
      <c r="BL1406" s="2">
        <v>24.82</v>
      </c>
      <c r="BM1406" s="2">
        <v>42005.095138888886</v>
      </c>
      <c r="BN1406" s="2">
        <v>5.4</v>
      </c>
      <c r="BO1406" s="2">
        <v>42005.092361111114</v>
      </c>
      <c r="BP1406" s="2">
        <v>6.92</v>
      </c>
      <c r="BQ1406" s="2">
        <v>42005.092361111114</v>
      </c>
      <c r="BR1406" s="2">
        <v>11.07</v>
      </c>
      <c r="BS1406" s="2">
        <v>42005.092361111114</v>
      </c>
      <c r="BT1406">
        <v>0</v>
      </c>
      <c r="BU1406">
        <v>0</v>
      </c>
      <c r="BV1406" t="s">
        <v>135</v>
      </c>
      <c r="BW1406">
        <v>0</v>
      </c>
      <c r="BX1406">
        <v>0</v>
      </c>
      <c r="BY1406" t="s">
        <v>135</v>
      </c>
      <c r="BZ1406">
        <v>0</v>
      </c>
      <c r="CA1406">
        <v>0</v>
      </c>
      <c r="CB1406" t="s">
        <v>135</v>
      </c>
      <c r="CH1406" s="2"/>
      <c r="CJ1406" s="2"/>
      <c r="CL1406" s="2"/>
      <c r="CN1406" s="2"/>
      <c r="CQ1406" s="2"/>
      <c r="CT1406" s="2"/>
      <c r="CW1406" s="2"/>
    </row>
    <row r="1407" spans="1:101" x14ac:dyDescent="0.25">
      <c r="A1407" s="1" t="s">
        <v>163</v>
      </c>
      <c r="B1407" s="75" t="s">
        <v>164</v>
      </c>
      <c r="C1407">
        <v>0</v>
      </c>
      <c r="D1407">
        <v>0</v>
      </c>
      <c r="E1407">
        <v>0</v>
      </c>
      <c r="F1407">
        <v>604324.56000000006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3.91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7490</v>
      </c>
      <c r="AW1407">
        <v>3350</v>
      </c>
      <c r="AX1407">
        <v>1219</v>
      </c>
      <c r="AY1407">
        <v>12059</v>
      </c>
      <c r="AZ1407">
        <v>4202</v>
      </c>
      <c r="BA1407">
        <v>7438</v>
      </c>
      <c r="BB1407">
        <v>1432</v>
      </c>
      <c r="BC1407">
        <v>13072</v>
      </c>
      <c r="BD1407">
        <v>9486</v>
      </c>
      <c r="BE1407">
        <v>9222</v>
      </c>
      <c r="BF1407">
        <v>1768</v>
      </c>
      <c r="BG1407">
        <v>20476</v>
      </c>
      <c r="BH1407">
        <v>0</v>
      </c>
      <c r="BI1407">
        <v>0</v>
      </c>
      <c r="BJ1407">
        <v>0</v>
      </c>
      <c r="BK1407">
        <v>0</v>
      </c>
      <c r="BL1407" s="2">
        <v>24.82</v>
      </c>
      <c r="BM1407" s="2">
        <v>42005.095138888886</v>
      </c>
      <c r="BN1407" s="2">
        <v>5.4</v>
      </c>
      <c r="BO1407" s="2">
        <v>42005.092361111114</v>
      </c>
      <c r="BP1407" s="2">
        <v>6.92</v>
      </c>
      <c r="BQ1407" s="2">
        <v>42005.092361111114</v>
      </c>
      <c r="BR1407" s="2">
        <v>11.07</v>
      </c>
      <c r="BS1407" s="2">
        <v>42005.092361111114</v>
      </c>
      <c r="BT1407">
        <v>0</v>
      </c>
      <c r="BU1407">
        <v>0</v>
      </c>
      <c r="BV1407" t="s">
        <v>135</v>
      </c>
      <c r="BW1407">
        <v>0</v>
      </c>
      <c r="BX1407">
        <v>0</v>
      </c>
      <c r="BY1407" t="s">
        <v>135</v>
      </c>
      <c r="BZ1407">
        <v>0</v>
      </c>
      <c r="CA1407">
        <v>0</v>
      </c>
      <c r="CB1407" t="s">
        <v>135</v>
      </c>
      <c r="CH1407" s="2"/>
      <c r="CJ1407" s="2"/>
      <c r="CL1407" s="2"/>
      <c r="CN1407" s="2"/>
      <c r="CQ1407" s="2"/>
      <c r="CT1407" s="2"/>
      <c r="CW1407" s="2"/>
    </row>
    <row r="1408" spans="1:101" x14ac:dyDescent="0.25">
      <c r="A1408" s="1" t="s">
        <v>163</v>
      </c>
      <c r="B1408" s="75" t="s">
        <v>164</v>
      </c>
      <c r="C1408">
        <v>0</v>
      </c>
      <c r="D1408">
        <v>0</v>
      </c>
      <c r="E1408">
        <v>0</v>
      </c>
      <c r="F1408">
        <v>604324.56000000006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3.91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7490</v>
      </c>
      <c r="AW1408">
        <v>3350</v>
      </c>
      <c r="AX1408">
        <v>1219</v>
      </c>
      <c r="AY1408">
        <v>12059</v>
      </c>
      <c r="AZ1408">
        <v>4202</v>
      </c>
      <c r="BA1408">
        <v>7438</v>
      </c>
      <c r="BB1408">
        <v>1432</v>
      </c>
      <c r="BC1408">
        <v>13072</v>
      </c>
      <c r="BD1408">
        <v>9486</v>
      </c>
      <c r="BE1408">
        <v>9222</v>
      </c>
      <c r="BF1408">
        <v>1768</v>
      </c>
      <c r="BG1408">
        <v>20476</v>
      </c>
      <c r="BH1408">
        <v>0</v>
      </c>
      <c r="BI1408">
        <v>0</v>
      </c>
      <c r="BJ1408">
        <v>0</v>
      </c>
      <c r="BK1408">
        <v>0</v>
      </c>
      <c r="BL1408" s="2">
        <v>24.82</v>
      </c>
      <c r="BM1408" s="2">
        <v>42005.095138888886</v>
      </c>
      <c r="BN1408" s="2">
        <v>5.4</v>
      </c>
      <c r="BO1408" s="2">
        <v>42005.092361111114</v>
      </c>
      <c r="BP1408" s="2">
        <v>6.92</v>
      </c>
      <c r="BQ1408" s="2">
        <v>42005.092361111114</v>
      </c>
      <c r="BR1408" s="2">
        <v>11.07</v>
      </c>
      <c r="BS1408" s="2">
        <v>42005.092361111114</v>
      </c>
      <c r="BT1408">
        <v>0</v>
      </c>
      <c r="BU1408">
        <v>0</v>
      </c>
      <c r="BV1408" t="s">
        <v>135</v>
      </c>
      <c r="BW1408">
        <v>0</v>
      </c>
      <c r="BX1408">
        <v>0</v>
      </c>
      <c r="BY1408" t="s">
        <v>135</v>
      </c>
      <c r="BZ1408">
        <v>0</v>
      </c>
      <c r="CA1408">
        <v>0</v>
      </c>
      <c r="CB1408" t="s">
        <v>135</v>
      </c>
      <c r="CH1408" s="2"/>
      <c r="CJ1408" s="2"/>
      <c r="CL1408" s="2"/>
      <c r="CN1408" s="2"/>
      <c r="CQ1408" s="2"/>
      <c r="CT1408" s="2"/>
      <c r="CW1408" s="2"/>
    </row>
    <row r="1409" spans="1:101" x14ac:dyDescent="0.25">
      <c r="A1409" s="1" t="s">
        <v>163</v>
      </c>
      <c r="B1409" s="75" t="s">
        <v>164</v>
      </c>
      <c r="C1409">
        <v>0</v>
      </c>
      <c r="D1409">
        <v>0</v>
      </c>
      <c r="E1409">
        <v>0</v>
      </c>
      <c r="F1409">
        <v>604324.56000000006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3.91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7490</v>
      </c>
      <c r="AW1409">
        <v>3350</v>
      </c>
      <c r="AX1409">
        <v>1219</v>
      </c>
      <c r="AY1409">
        <v>12059</v>
      </c>
      <c r="AZ1409">
        <v>4202</v>
      </c>
      <c r="BA1409">
        <v>7438</v>
      </c>
      <c r="BB1409">
        <v>1432</v>
      </c>
      <c r="BC1409">
        <v>13072</v>
      </c>
      <c r="BD1409">
        <v>9486</v>
      </c>
      <c r="BE1409">
        <v>9222</v>
      </c>
      <c r="BF1409">
        <v>1768</v>
      </c>
      <c r="BG1409">
        <v>20476</v>
      </c>
      <c r="BH1409">
        <v>0</v>
      </c>
      <c r="BI1409">
        <v>0</v>
      </c>
      <c r="BJ1409">
        <v>0</v>
      </c>
      <c r="BK1409">
        <v>0</v>
      </c>
      <c r="BL1409" s="2">
        <v>24.82</v>
      </c>
      <c r="BM1409" s="2">
        <v>42005.095138888886</v>
      </c>
      <c r="BN1409" s="2">
        <v>5.4</v>
      </c>
      <c r="BO1409" s="2">
        <v>42005.092361111114</v>
      </c>
      <c r="BP1409" s="2">
        <v>6.92</v>
      </c>
      <c r="BQ1409" s="2">
        <v>42005.092361111114</v>
      </c>
      <c r="BR1409" s="2">
        <v>11.07</v>
      </c>
      <c r="BS1409" s="2">
        <v>42005.092361111114</v>
      </c>
      <c r="BT1409">
        <v>0</v>
      </c>
      <c r="BU1409">
        <v>0</v>
      </c>
      <c r="BV1409" t="s">
        <v>135</v>
      </c>
      <c r="BW1409">
        <v>0</v>
      </c>
      <c r="BX1409">
        <v>0</v>
      </c>
      <c r="BY1409" t="s">
        <v>135</v>
      </c>
      <c r="BZ1409">
        <v>0</v>
      </c>
      <c r="CA1409">
        <v>0</v>
      </c>
      <c r="CB1409" t="s">
        <v>135</v>
      </c>
      <c r="CH1409" s="2"/>
      <c r="CJ1409" s="2"/>
      <c r="CL1409" s="2"/>
      <c r="CN1409" s="2"/>
      <c r="CQ1409" s="2"/>
      <c r="CT1409" s="2"/>
      <c r="CW1409" s="2"/>
    </row>
    <row r="1410" spans="1:101" x14ac:dyDescent="0.25">
      <c r="A1410" s="1" t="s">
        <v>163</v>
      </c>
      <c r="B1410" s="75" t="s">
        <v>164</v>
      </c>
      <c r="C1410">
        <v>0</v>
      </c>
      <c r="D1410">
        <v>0</v>
      </c>
      <c r="E1410">
        <v>0</v>
      </c>
      <c r="F1410">
        <v>604324.56000000006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3.91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7490</v>
      </c>
      <c r="AW1410">
        <v>3350</v>
      </c>
      <c r="AX1410">
        <v>1219</v>
      </c>
      <c r="AY1410">
        <v>12059</v>
      </c>
      <c r="AZ1410">
        <v>4202</v>
      </c>
      <c r="BA1410">
        <v>7438</v>
      </c>
      <c r="BB1410">
        <v>1432</v>
      </c>
      <c r="BC1410">
        <v>13072</v>
      </c>
      <c r="BD1410">
        <v>9486</v>
      </c>
      <c r="BE1410">
        <v>9222</v>
      </c>
      <c r="BF1410">
        <v>1768</v>
      </c>
      <c r="BG1410">
        <v>20476</v>
      </c>
      <c r="BH1410">
        <v>0</v>
      </c>
      <c r="BI1410">
        <v>0</v>
      </c>
      <c r="BJ1410">
        <v>0</v>
      </c>
      <c r="BK1410">
        <v>0</v>
      </c>
      <c r="BL1410" s="2">
        <v>24.82</v>
      </c>
      <c r="BM1410" s="2">
        <v>42005.095138888886</v>
      </c>
      <c r="BN1410" s="2">
        <v>5.4</v>
      </c>
      <c r="BO1410" s="2">
        <v>42005.092361111114</v>
      </c>
      <c r="BP1410" s="2">
        <v>6.92</v>
      </c>
      <c r="BQ1410" s="2">
        <v>42005.092361111114</v>
      </c>
      <c r="BR1410" s="2">
        <v>11.07</v>
      </c>
      <c r="BS1410" s="2">
        <v>42005.092361111114</v>
      </c>
      <c r="BT1410">
        <v>0</v>
      </c>
      <c r="BU1410">
        <v>0</v>
      </c>
      <c r="BV1410" t="s">
        <v>135</v>
      </c>
      <c r="BW1410">
        <v>0</v>
      </c>
      <c r="BX1410">
        <v>0</v>
      </c>
      <c r="BY1410" t="s">
        <v>135</v>
      </c>
      <c r="BZ1410">
        <v>0</v>
      </c>
      <c r="CA1410">
        <v>0</v>
      </c>
      <c r="CB1410" t="s">
        <v>135</v>
      </c>
      <c r="CH1410" s="2"/>
      <c r="CJ1410" s="2"/>
      <c r="CL1410" s="2"/>
      <c r="CN1410" s="2"/>
      <c r="CQ1410" s="2"/>
      <c r="CT1410" s="2"/>
      <c r="CW1410" s="2"/>
    </row>
    <row r="1411" spans="1:101" x14ac:dyDescent="0.25">
      <c r="A1411" s="1" t="s">
        <v>163</v>
      </c>
      <c r="B1411" s="75" t="s">
        <v>164</v>
      </c>
      <c r="C1411">
        <v>0</v>
      </c>
      <c r="D1411">
        <v>0</v>
      </c>
      <c r="E1411">
        <v>0</v>
      </c>
      <c r="F1411">
        <v>604324.56000000006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3.91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7490</v>
      </c>
      <c r="AW1411">
        <v>3350</v>
      </c>
      <c r="AX1411">
        <v>1219</v>
      </c>
      <c r="AY1411">
        <v>12059</v>
      </c>
      <c r="AZ1411">
        <v>4202</v>
      </c>
      <c r="BA1411">
        <v>7438</v>
      </c>
      <c r="BB1411">
        <v>1432</v>
      </c>
      <c r="BC1411">
        <v>13072</v>
      </c>
      <c r="BD1411">
        <v>9486</v>
      </c>
      <c r="BE1411">
        <v>9222</v>
      </c>
      <c r="BF1411">
        <v>1768</v>
      </c>
      <c r="BG1411">
        <v>20476</v>
      </c>
      <c r="BH1411">
        <v>0</v>
      </c>
      <c r="BI1411">
        <v>0</v>
      </c>
      <c r="BJ1411">
        <v>0</v>
      </c>
      <c r="BK1411">
        <v>0</v>
      </c>
      <c r="BL1411" s="2">
        <v>24.82</v>
      </c>
      <c r="BM1411" s="2">
        <v>42005.095138888886</v>
      </c>
      <c r="BN1411" s="2">
        <v>5.4</v>
      </c>
      <c r="BO1411" s="2">
        <v>42005.092361111114</v>
      </c>
      <c r="BP1411" s="2">
        <v>6.92</v>
      </c>
      <c r="BQ1411" s="2">
        <v>42005.092361111114</v>
      </c>
      <c r="BR1411" s="2">
        <v>11.07</v>
      </c>
      <c r="BS1411" s="2">
        <v>42005.092361111114</v>
      </c>
      <c r="BT1411">
        <v>0</v>
      </c>
      <c r="BU1411">
        <v>0</v>
      </c>
      <c r="BV1411" t="s">
        <v>135</v>
      </c>
      <c r="BW1411">
        <v>0</v>
      </c>
      <c r="BX1411">
        <v>0</v>
      </c>
      <c r="BY1411" t="s">
        <v>135</v>
      </c>
      <c r="BZ1411">
        <v>0</v>
      </c>
      <c r="CA1411">
        <v>0</v>
      </c>
      <c r="CB1411" t="s">
        <v>135</v>
      </c>
      <c r="CH1411" s="2"/>
      <c r="CJ1411" s="2"/>
      <c r="CL1411" s="2"/>
      <c r="CN1411" s="2"/>
      <c r="CQ1411" s="2"/>
      <c r="CT1411" s="2"/>
      <c r="CW1411" s="2"/>
    </row>
    <row r="1412" spans="1:101" x14ac:dyDescent="0.25">
      <c r="A1412" s="1" t="s">
        <v>163</v>
      </c>
      <c r="B1412" s="75" t="s">
        <v>164</v>
      </c>
      <c r="C1412">
        <v>0</v>
      </c>
      <c r="D1412">
        <v>0</v>
      </c>
      <c r="E1412">
        <v>0</v>
      </c>
      <c r="F1412">
        <v>604324.56000000006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3.91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7490</v>
      </c>
      <c r="AW1412">
        <v>3350</v>
      </c>
      <c r="AX1412">
        <v>1219</v>
      </c>
      <c r="AY1412">
        <v>12059</v>
      </c>
      <c r="AZ1412">
        <v>4202</v>
      </c>
      <c r="BA1412">
        <v>7438</v>
      </c>
      <c r="BB1412">
        <v>1432</v>
      </c>
      <c r="BC1412">
        <v>13072</v>
      </c>
      <c r="BD1412">
        <v>9486</v>
      </c>
      <c r="BE1412">
        <v>9222</v>
      </c>
      <c r="BF1412">
        <v>1768</v>
      </c>
      <c r="BG1412">
        <v>20476</v>
      </c>
      <c r="BH1412">
        <v>0</v>
      </c>
      <c r="BI1412">
        <v>0</v>
      </c>
      <c r="BJ1412">
        <v>0</v>
      </c>
      <c r="BK1412">
        <v>0</v>
      </c>
      <c r="BL1412" s="2">
        <v>24.82</v>
      </c>
      <c r="BM1412" s="2">
        <v>42005.095138888886</v>
      </c>
      <c r="BN1412" s="2">
        <v>5.4</v>
      </c>
      <c r="BO1412" s="2">
        <v>42005.092361111114</v>
      </c>
      <c r="BP1412" s="2">
        <v>6.92</v>
      </c>
      <c r="BQ1412" s="2">
        <v>42005.092361111114</v>
      </c>
      <c r="BR1412" s="2">
        <v>11.07</v>
      </c>
      <c r="BS1412" s="2">
        <v>42005.092361111114</v>
      </c>
      <c r="BT1412">
        <v>0</v>
      </c>
      <c r="BU1412">
        <v>0</v>
      </c>
      <c r="BV1412" t="s">
        <v>135</v>
      </c>
      <c r="BW1412">
        <v>0</v>
      </c>
      <c r="BX1412">
        <v>0</v>
      </c>
      <c r="BY1412" t="s">
        <v>135</v>
      </c>
      <c r="BZ1412">
        <v>0</v>
      </c>
      <c r="CA1412">
        <v>0</v>
      </c>
      <c r="CB1412" t="s">
        <v>135</v>
      </c>
      <c r="CH1412" s="2"/>
      <c r="CJ1412" s="2"/>
      <c r="CL1412" s="2"/>
      <c r="CN1412" s="2"/>
      <c r="CQ1412" s="2"/>
      <c r="CT1412" s="2"/>
      <c r="CW1412" s="2"/>
    </row>
    <row r="1413" spans="1:101" x14ac:dyDescent="0.25">
      <c r="A1413" s="1" t="s">
        <v>163</v>
      </c>
      <c r="B1413" s="75" t="s">
        <v>164</v>
      </c>
      <c r="C1413">
        <v>0</v>
      </c>
      <c r="D1413">
        <v>0</v>
      </c>
      <c r="E1413">
        <v>0</v>
      </c>
      <c r="F1413">
        <v>604324.56000000006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3.91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7490</v>
      </c>
      <c r="AW1413">
        <v>3350</v>
      </c>
      <c r="AX1413">
        <v>1219</v>
      </c>
      <c r="AY1413">
        <v>12059</v>
      </c>
      <c r="AZ1413">
        <v>4202</v>
      </c>
      <c r="BA1413">
        <v>7438</v>
      </c>
      <c r="BB1413">
        <v>1432</v>
      </c>
      <c r="BC1413">
        <v>13072</v>
      </c>
      <c r="BD1413">
        <v>9486</v>
      </c>
      <c r="BE1413">
        <v>9222</v>
      </c>
      <c r="BF1413">
        <v>1768</v>
      </c>
      <c r="BG1413">
        <v>20476</v>
      </c>
      <c r="BH1413">
        <v>0</v>
      </c>
      <c r="BI1413">
        <v>0</v>
      </c>
      <c r="BJ1413">
        <v>0</v>
      </c>
      <c r="BK1413">
        <v>0</v>
      </c>
      <c r="BL1413" s="2">
        <v>24.82</v>
      </c>
      <c r="BM1413" s="2">
        <v>42005.095138888886</v>
      </c>
      <c r="BN1413" s="2">
        <v>5.4</v>
      </c>
      <c r="BO1413" s="2">
        <v>42005.092361111114</v>
      </c>
      <c r="BP1413" s="2">
        <v>6.92</v>
      </c>
      <c r="BQ1413" s="2">
        <v>42005.092361111114</v>
      </c>
      <c r="BR1413" s="2">
        <v>11.07</v>
      </c>
      <c r="BS1413" s="2">
        <v>42005.092361111114</v>
      </c>
      <c r="BT1413">
        <v>0</v>
      </c>
      <c r="BU1413">
        <v>0</v>
      </c>
      <c r="BV1413" t="s">
        <v>135</v>
      </c>
      <c r="BW1413">
        <v>0</v>
      </c>
      <c r="BX1413">
        <v>0</v>
      </c>
      <c r="BY1413" t="s">
        <v>135</v>
      </c>
      <c r="BZ1413">
        <v>0</v>
      </c>
      <c r="CA1413">
        <v>0</v>
      </c>
      <c r="CB1413" t="s">
        <v>135</v>
      </c>
      <c r="CH1413" s="2"/>
      <c r="CJ1413" s="2"/>
      <c r="CL1413" s="2"/>
      <c r="CN1413" s="2"/>
      <c r="CQ1413" s="2"/>
      <c r="CT1413" s="2"/>
      <c r="CW1413" s="2"/>
    </row>
    <row r="1414" spans="1:101" x14ac:dyDescent="0.25">
      <c r="A1414" s="1" t="s">
        <v>163</v>
      </c>
      <c r="B1414" s="75" t="s">
        <v>164</v>
      </c>
      <c r="C1414">
        <v>0</v>
      </c>
      <c r="D1414">
        <v>0</v>
      </c>
      <c r="E1414">
        <v>0</v>
      </c>
      <c r="F1414">
        <v>604324.56000000006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3.91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7490</v>
      </c>
      <c r="AW1414">
        <v>3350</v>
      </c>
      <c r="AX1414">
        <v>1219</v>
      </c>
      <c r="AY1414">
        <v>12059</v>
      </c>
      <c r="AZ1414">
        <v>4202</v>
      </c>
      <c r="BA1414">
        <v>7438</v>
      </c>
      <c r="BB1414">
        <v>1432</v>
      </c>
      <c r="BC1414">
        <v>13072</v>
      </c>
      <c r="BD1414">
        <v>9486</v>
      </c>
      <c r="BE1414">
        <v>9222</v>
      </c>
      <c r="BF1414">
        <v>1768</v>
      </c>
      <c r="BG1414">
        <v>20476</v>
      </c>
      <c r="BH1414">
        <v>0</v>
      </c>
      <c r="BI1414">
        <v>0</v>
      </c>
      <c r="BJ1414">
        <v>0</v>
      </c>
      <c r="BK1414">
        <v>0</v>
      </c>
      <c r="BL1414" s="2">
        <v>24.82</v>
      </c>
      <c r="BM1414" s="2">
        <v>42005.095138888886</v>
      </c>
      <c r="BN1414" s="2">
        <v>5.4</v>
      </c>
      <c r="BO1414" s="2">
        <v>42005.092361111114</v>
      </c>
      <c r="BP1414" s="2">
        <v>6.92</v>
      </c>
      <c r="BQ1414" s="2">
        <v>42005.092361111114</v>
      </c>
      <c r="BR1414" s="2">
        <v>11.07</v>
      </c>
      <c r="BS1414" s="2">
        <v>42005.092361111114</v>
      </c>
      <c r="BT1414">
        <v>0</v>
      </c>
      <c r="BU1414">
        <v>0</v>
      </c>
      <c r="BV1414" t="s">
        <v>135</v>
      </c>
      <c r="BW1414">
        <v>0</v>
      </c>
      <c r="BX1414">
        <v>0</v>
      </c>
      <c r="BY1414" t="s">
        <v>135</v>
      </c>
      <c r="BZ1414">
        <v>0</v>
      </c>
      <c r="CA1414">
        <v>0</v>
      </c>
      <c r="CB1414" t="s">
        <v>135</v>
      </c>
      <c r="CH1414" s="2"/>
      <c r="CJ1414" s="2"/>
      <c r="CL1414" s="2"/>
      <c r="CN1414" s="2"/>
      <c r="CQ1414" s="2"/>
      <c r="CT1414" s="2"/>
      <c r="CW1414" s="2"/>
    </row>
    <row r="1415" spans="1:101" x14ac:dyDescent="0.25">
      <c r="A1415" s="1" t="s">
        <v>163</v>
      </c>
      <c r="B1415" s="75" t="s">
        <v>164</v>
      </c>
      <c r="C1415">
        <v>0</v>
      </c>
      <c r="D1415">
        <v>0</v>
      </c>
      <c r="E1415">
        <v>0</v>
      </c>
      <c r="F1415">
        <v>604324.56000000006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3.91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7490</v>
      </c>
      <c r="AW1415">
        <v>3350</v>
      </c>
      <c r="AX1415">
        <v>1219</v>
      </c>
      <c r="AY1415">
        <v>12059</v>
      </c>
      <c r="AZ1415">
        <v>4202</v>
      </c>
      <c r="BA1415">
        <v>7438</v>
      </c>
      <c r="BB1415">
        <v>1432</v>
      </c>
      <c r="BC1415">
        <v>13072</v>
      </c>
      <c r="BD1415">
        <v>9486</v>
      </c>
      <c r="BE1415">
        <v>9222</v>
      </c>
      <c r="BF1415">
        <v>1768</v>
      </c>
      <c r="BG1415">
        <v>20476</v>
      </c>
      <c r="BH1415">
        <v>0</v>
      </c>
      <c r="BI1415">
        <v>0</v>
      </c>
      <c r="BJ1415">
        <v>0</v>
      </c>
      <c r="BK1415">
        <v>0</v>
      </c>
      <c r="BL1415" s="2">
        <v>24.82</v>
      </c>
      <c r="BM1415" s="2">
        <v>42005.095138888886</v>
      </c>
      <c r="BN1415" s="2">
        <v>5.4</v>
      </c>
      <c r="BO1415" s="2">
        <v>42005.092361111114</v>
      </c>
      <c r="BP1415" s="2">
        <v>6.92</v>
      </c>
      <c r="BQ1415" s="2">
        <v>42005.092361111114</v>
      </c>
      <c r="BR1415" s="2">
        <v>11.07</v>
      </c>
      <c r="BS1415" s="2">
        <v>42005.092361111114</v>
      </c>
      <c r="BT1415">
        <v>0</v>
      </c>
      <c r="BU1415">
        <v>0</v>
      </c>
      <c r="BV1415" t="s">
        <v>135</v>
      </c>
      <c r="BW1415">
        <v>0</v>
      </c>
      <c r="BX1415">
        <v>0</v>
      </c>
      <c r="BY1415" t="s">
        <v>135</v>
      </c>
      <c r="BZ1415">
        <v>0</v>
      </c>
      <c r="CA1415">
        <v>0</v>
      </c>
      <c r="CB1415" t="s">
        <v>135</v>
      </c>
      <c r="CH1415" s="2"/>
      <c r="CJ1415" s="2"/>
      <c r="CL1415" s="2"/>
      <c r="CN1415" s="2"/>
      <c r="CQ1415" s="2"/>
      <c r="CT1415" s="2"/>
      <c r="CW1415" s="2"/>
    </row>
    <row r="1416" spans="1:101" x14ac:dyDescent="0.25">
      <c r="A1416" s="1" t="s">
        <v>163</v>
      </c>
      <c r="B1416" s="75" t="s">
        <v>164</v>
      </c>
      <c r="C1416">
        <v>0</v>
      </c>
      <c r="D1416">
        <v>0</v>
      </c>
      <c r="E1416">
        <v>0</v>
      </c>
      <c r="F1416">
        <v>604324.56000000006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3.91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7490</v>
      </c>
      <c r="AW1416">
        <v>3350</v>
      </c>
      <c r="AX1416">
        <v>1219</v>
      </c>
      <c r="AY1416">
        <v>12059</v>
      </c>
      <c r="AZ1416">
        <v>4202</v>
      </c>
      <c r="BA1416">
        <v>7438</v>
      </c>
      <c r="BB1416">
        <v>1432</v>
      </c>
      <c r="BC1416">
        <v>13072</v>
      </c>
      <c r="BD1416">
        <v>9486</v>
      </c>
      <c r="BE1416">
        <v>9222</v>
      </c>
      <c r="BF1416">
        <v>1768</v>
      </c>
      <c r="BG1416">
        <v>20476</v>
      </c>
      <c r="BH1416">
        <v>0</v>
      </c>
      <c r="BI1416">
        <v>0</v>
      </c>
      <c r="BJ1416">
        <v>0</v>
      </c>
      <c r="BK1416">
        <v>0</v>
      </c>
      <c r="BL1416" s="2">
        <v>24.82</v>
      </c>
      <c r="BM1416" s="2">
        <v>42005.095138888886</v>
      </c>
      <c r="BN1416" s="2">
        <v>5.4</v>
      </c>
      <c r="BO1416" s="2">
        <v>42005.092361111114</v>
      </c>
      <c r="BP1416" s="2">
        <v>6.92</v>
      </c>
      <c r="BQ1416" s="2">
        <v>42005.092361111114</v>
      </c>
      <c r="BR1416" s="2">
        <v>11.07</v>
      </c>
      <c r="BS1416" s="2">
        <v>42005.092361111114</v>
      </c>
      <c r="BT1416">
        <v>0</v>
      </c>
      <c r="BU1416">
        <v>0</v>
      </c>
      <c r="BV1416" t="s">
        <v>135</v>
      </c>
      <c r="BW1416">
        <v>0</v>
      </c>
      <c r="BX1416">
        <v>0</v>
      </c>
      <c r="BY1416" t="s">
        <v>135</v>
      </c>
      <c r="BZ1416">
        <v>0</v>
      </c>
      <c r="CA1416">
        <v>0</v>
      </c>
      <c r="CB1416" t="s">
        <v>135</v>
      </c>
      <c r="CH1416" s="2"/>
      <c r="CJ1416" s="2"/>
      <c r="CL1416" s="2"/>
      <c r="CN1416" s="2"/>
      <c r="CQ1416" s="2"/>
      <c r="CT1416" s="2"/>
      <c r="CW1416" s="2"/>
    </row>
    <row r="1417" spans="1:101" x14ac:dyDescent="0.25">
      <c r="A1417" s="1" t="s">
        <v>163</v>
      </c>
      <c r="B1417" s="75" t="s">
        <v>164</v>
      </c>
      <c r="C1417">
        <v>0</v>
      </c>
      <c r="D1417">
        <v>0</v>
      </c>
      <c r="E1417">
        <v>0</v>
      </c>
      <c r="F1417">
        <v>604324.56000000006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3.91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7490</v>
      </c>
      <c r="AW1417">
        <v>3350</v>
      </c>
      <c r="AX1417">
        <v>1219</v>
      </c>
      <c r="AY1417">
        <v>12059</v>
      </c>
      <c r="AZ1417">
        <v>4202</v>
      </c>
      <c r="BA1417">
        <v>7438</v>
      </c>
      <c r="BB1417">
        <v>1432</v>
      </c>
      <c r="BC1417">
        <v>13072</v>
      </c>
      <c r="BD1417">
        <v>9486</v>
      </c>
      <c r="BE1417">
        <v>9222</v>
      </c>
      <c r="BF1417">
        <v>1768</v>
      </c>
      <c r="BG1417">
        <v>20476</v>
      </c>
      <c r="BH1417">
        <v>0</v>
      </c>
      <c r="BI1417">
        <v>0</v>
      </c>
      <c r="BJ1417">
        <v>0</v>
      </c>
      <c r="BK1417">
        <v>0</v>
      </c>
      <c r="BL1417" s="2">
        <v>24.82</v>
      </c>
      <c r="BM1417" s="2">
        <v>42005.095138888886</v>
      </c>
      <c r="BN1417" s="2">
        <v>5.4</v>
      </c>
      <c r="BO1417" s="2">
        <v>42005.092361111114</v>
      </c>
      <c r="BP1417" s="2">
        <v>6.92</v>
      </c>
      <c r="BQ1417" s="2">
        <v>42005.092361111114</v>
      </c>
      <c r="BR1417" s="2">
        <v>11.07</v>
      </c>
      <c r="BS1417" s="2">
        <v>42005.092361111114</v>
      </c>
      <c r="BT1417">
        <v>0</v>
      </c>
      <c r="BU1417">
        <v>0</v>
      </c>
      <c r="BV1417" t="s">
        <v>135</v>
      </c>
      <c r="BW1417">
        <v>0</v>
      </c>
      <c r="BX1417">
        <v>0</v>
      </c>
      <c r="BY1417" t="s">
        <v>135</v>
      </c>
      <c r="BZ1417">
        <v>0</v>
      </c>
      <c r="CA1417">
        <v>0</v>
      </c>
      <c r="CB1417" t="s">
        <v>135</v>
      </c>
      <c r="CH1417" s="2"/>
      <c r="CJ1417" s="2"/>
      <c r="CL1417" s="2"/>
      <c r="CN1417" s="2"/>
      <c r="CQ1417" s="2"/>
      <c r="CT1417" s="2"/>
      <c r="CW1417" s="2"/>
    </row>
    <row r="1418" spans="1:101" x14ac:dyDescent="0.25">
      <c r="A1418" s="1" t="s">
        <v>163</v>
      </c>
      <c r="B1418" s="75" t="s">
        <v>164</v>
      </c>
      <c r="C1418">
        <v>0</v>
      </c>
      <c r="D1418">
        <v>0</v>
      </c>
      <c r="E1418">
        <v>0</v>
      </c>
      <c r="F1418">
        <v>604324.56000000006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3.91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7490</v>
      </c>
      <c r="AW1418">
        <v>3350</v>
      </c>
      <c r="AX1418">
        <v>1219</v>
      </c>
      <c r="AY1418">
        <v>12059</v>
      </c>
      <c r="AZ1418">
        <v>4202</v>
      </c>
      <c r="BA1418">
        <v>7438</v>
      </c>
      <c r="BB1418">
        <v>1432</v>
      </c>
      <c r="BC1418">
        <v>13072</v>
      </c>
      <c r="BD1418">
        <v>9486</v>
      </c>
      <c r="BE1418">
        <v>9222</v>
      </c>
      <c r="BF1418">
        <v>1768</v>
      </c>
      <c r="BG1418">
        <v>20476</v>
      </c>
      <c r="BH1418">
        <v>0</v>
      </c>
      <c r="BI1418">
        <v>0</v>
      </c>
      <c r="BJ1418">
        <v>0</v>
      </c>
      <c r="BK1418">
        <v>0</v>
      </c>
      <c r="BL1418" s="2">
        <v>24.82</v>
      </c>
      <c r="BM1418" s="2">
        <v>42005.095138888886</v>
      </c>
      <c r="BN1418" s="2">
        <v>5.4</v>
      </c>
      <c r="BO1418" s="2">
        <v>42005.092361111114</v>
      </c>
      <c r="BP1418" s="2">
        <v>6.92</v>
      </c>
      <c r="BQ1418" s="2">
        <v>42005.092361111114</v>
      </c>
      <c r="BR1418" s="2">
        <v>11.07</v>
      </c>
      <c r="BS1418" s="2">
        <v>42005.092361111114</v>
      </c>
      <c r="BT1418">
        <v>0</v>
      </c>
      <c r="BU1418">
        <v>0</v>
      </c>
      <c r="BV1418" t="s">
        <v>135</v>
      </c>
      <c r="BW1418">
        <v>0</v>
      </c>
      <c r="BX1418">
        <v>0</v>
      </c>
      <c r="BY1418" t="s">
        <v>135</v>
      </c>
      <c r="BZ1418">
        <v>0</v>
      </c>
      <c r="CA1418">
        <v>0</v>
      </c>
      <c r="CB1418" t="s">
        <v>135</v>
      </c>
      <c r="CH1418" s="2"/>
      <c r="CJ1418" s="2"/>
      <c r="CL1418" s="2"/>
      <c r="CN1418" s="2"/>
      <c r="CQ1418" s="2"/>
      <c r="CT1418" s="2"/>
      <c r="CW1418" s="2"/>
    </row>
    <row r="1419" spans="1:101" x14ac:dyDescent="0.25">
      <c r="A1419" s="1" t="s">
        <v>163</v>
      </c>
      <c r="B1419" s="75" t="s">
        <v>164</v>
      </c>
      <c r="C1419">
        <v>0</v>
      </c>
      <c r="D1419">
        <v>0</v>
      </c>
      <c r="E1419">
        <v>0</v>
      </c>
      <c r="F1419">
        <v>604324.56000000006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3.91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7490</v>
      </c>
      <c r="AW1419">
        <v>3350</v>
      </c>
      <c r="AX1419">
        <v>1219</v>
      </c>
      <c r="AY1419">
        <v>12059</v>
      </c>
      <c r="AZ1419">
        <v>4202</v>
      </c>
      <c r="BA1419">
        <v>7438</v>
      </c>
      <c r="BB1419">
        <v>1432</v>
      </c>
      <c r="BC1419">
        <v>13072</v>
      </c>
      <c r="BD1419">
        <v>9486</v>
      </c>
      <c r="BE1419">
        <v>9222</v>
      </c>
      <c r="BF1419">
        <v>1768</v>
      </c>
      <c r="BG1419">
        <v>20476</v>
      </c>
      <c r="BH1419">
        <v>0</v>
      </c>
      <c r="BI1419">
        <v>0</v>
      </c>
      <c r="BJ1419">
        <v>0</v>
      </c>
      <c r="BK1419">
        <v>0</v>
      </c>
      <c r="BL1419" s="2">
        <v>24.82</v>
      </c>
      <c r="BM1419" s="2">
        <v>42005.095138888886</v>
      </c>
      <c r="BN1419" s="2">
        <v>5.4</v>
      </c>
      <c r="BO1419" s="2">
        <v>42005.092361111114</v>
      </c>
      <c r="BP1419" s="2">
        <v>6.92</v>
      </c>
      <c r="BQ1419" s="2">
        <v>42005.092361111114</v>
      </c>
      <c r="BR1419" s="2">
        <v>11.07</v>
      </c>
      <c r="BS1419" s="2">
        <v>42005.092361111114</v>
      </c>
      <c r="BT1419">
        <v>0</v>
      </c>
      <c r="BU1419">
        <v>0</v>
      </c>
      <c r="BV1419" t="s">
        <v>135</v>
      </c>
      <c r="BW1419">
        <v>0</v>
      </c>
      <c r="BX1419">
        <v>0</v>
      </c>
      <c r="BY1419" t="s">
        <v>135</v>
      </c>
      <c r="BZ1419">
        <v>0</v>
      </c>
      <c r="CA1419">
        <v>0</v>
      </c>
      <c r="CB1419" t="s">
        <v>135</v>
      </c>
      <c r="CH1419" s="2"/>
      <c r="CJ1419" s="2"/>
      <c r="CL1419" s="2"/>
      <c r="CN1419" s="2"/>
      <c r="CQ1419" s="2"/>
      <c r="CT1419" s="2"/>
      <c r="CW1419" s="2"/>
    </row>
    <row r="1420" spans="1:101" x14ac:dyDescent="0.25">
      <c r="A1420" s="1" t="s">
        <v>163</v>
      </c>
      <c r="B1420" s="75" t="s">
        <v>164</v>
      </c>
      <c r="C1420">
        <v>0</v>
      </c>
      <c r="D1420">
        <v>0</v>
      </c>
      <c r="E1420">
        <v>0</v>
      </c>
      <c r="F1420">
        <v>604324.56000000006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3.91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7490</v>
      </c>
      <c r="AW1420">
        <v>3350</v>
      </c>
      <c r="AX1420">
        <v>1219</v>
      </c>
      <c r="AY1420">
        <v>12059</v>
      </c>
      <c r="AZ1420">
        <v>4202</v>
      </c>
      <c r="BA1420">
        <v>7438</v>
      </c>
      <c r="BB1420">
        <v>1432</v>
      </c>
      <c r="BC1420">
        <v>13072</v>
      </c>
      <c r="BD1420">
        <v>9486</v>
      </c>
      <c r="BE1420">
        <v>9222</v>
      </c>
      <c r="BF1420">
        <v>1768</v>
      </c>
      <c r="BG1420">
        <v>20476</v>
      </c>
      <c r="BH1420">
        <v>0</v>
      </c>
      <c r="BI1420">
        <v>0</v>
      </c>
      <c r="BJ1420">
        <v>0</v>
      </c>
      <c r="BK1420">
        <v>0</v>
      </c>
      <c r="BL1420" s="2">
        <v>24.82</v>
      </c>
      <c r="BM1420" s="2">
        <v>42005.095138888886</v>
      </c>
      <c r="BN1420" s="2">
        <v>5.4</v>
      </c>
      <c r="BO1420" s="2">
        <v>42005.092361111114</v>
      </c>
      <c r="BP1420" s="2">
        <v>6.92</v>
      </c>
      <c r="BQ1420" s="2">
        <v>42005.092361111114</v>
      </c>
      <c r="BR1420" s="2">
        <v>11.07</v>
      </c>
      <c r="BS1420" s="2">
        <v>42005.092361111114</v>
      </c>
      <c r="BT1420">
        <v>0</v>
      </c>
      <c r="BU1420">
        <v>0</v>
      </c>
      <c r="BV1420" t="s">
        <v>135</v>
      </c>
      <c r="BW1420">
        <v>0</v>
      </c>
      <c r="BX1420">
        <v>0</v>
      </c>
      <c r="BY1420" t="s">
        <v>135</v>
      </c>
      <c r="BZ1420">
        <v>0</v>
      </c>
      <c r="CA1420">
        <v>0</v>
      </c>
      <c r="CB1420" t="s">
        <v>135</v>
      </c>
      <c r="CH1420" s="2"/>
      <c r="CJ1420" s="2"/>
      <c r="CL1420" s="2"/>
      <c r="CN1420" s="2"/>
      <c r="CQ1420" s="2"/>
      <c r="CT1420" s="2"/>
      <c r="CW1420" s="2"/>
    </row>
    <row r="1421" spans="1:101" x14ac:dyDescent="0.25">
      <c r="A1421" s="1" t="s">
        <v>163</v>
      </c>
      <c r="B1421" s="75" t="s">
        <v>164</v>
      </c>
      <c r="C1421">
        <v>0</v>
      </c>
      <c r="D1421">
        <v>0</v>
      </c>
      <c r="E1421">
        <v>0</v>
      </c>
      <c r="F1421">
        <v>604324.56000000006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3.91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7490</v>
      </c>
      <c r="AW1421">
        <v>3350</v>
      </c>
      <c r="AX1421">
        <v>1219</v>
      </c>
      <c r="AY1421">
        <v>12059</v>
      </c>
      <c r="AZ1421">
        <v>4202</v>
      </c>
      <c r="BA1421">
        <v>7438</v>
      </c>
      <c r="BB1421">
        <v>1432</v>
      </c>
      <c r="BC1421">
        <v>13072</v>
      </c>
      <c r="BD1421">
        <v>9486</v>
      </c>
      <c r="BE1421">
        <v>9222</v>
      </c>
      <c r="BF1421">
        <v>1768</v>
      </c>
      <c r="BG1421">
        <v>20476</v>
      </c>
      <c r="BH1421">
        <v>0</v>
      </c>
      <c r="BI1421">
        <v>0</v>
      </c>
      <c r="BJ1421">
        <v>0</v>
      </c>
      <c r="BK1421">
        <v>0</v>
      </c>
      <c r="BL1421" s="2">
        <v>24.82</v>
      </c>
      <c r="BM1421" s="2">
        <v>42005.095138888886</v>
      </c>
      <c r="BN1421" s="2">
        <v>5.4</v>
      </c>
      <c r="BO1421" s="2">
        <v>42005.092361111114</v>
      </c>
      <c r="BP1421" s="2">
        <v>6.92</v>
      </c>
      <c r="BQ1421" s="2">
        <v>42005.092361111114</v>
      </c>
      <c r="BR1421" s="2">
        <v>11.07</v>
      </c>
      <c r="BS1421" s="2">
        <v>42005.092361111114</v>
      </c>
      <c r="BT1421">
        <v>0</v>
      </c>
      <c r="BU1421">
        <v>0</v>
      </c>
      <c r="BV1421" t="s">
        <v>135</v>
      </c>
      <c r="BW1421">
        <v>0</v>
      </c>
      <c r="BX1421">
        <v>0</v>
      </c>
      <c r="BY1421" t="s">
        <v>135</v>
      </c>
      <c r="BZ1421">
        <v>0</v>
      </c>
      <c r="CA1421">
        <v>0</v>
      </c>
      <c r="CB1421" t="s">
        <v>135</v>
      </c>
      <c r="CH1421" s="2"/>
      <c r="CJ1421" s="2"/>
      <c r="CL1421" s="2"/>
      <c r="CN1421" s="2"/>
      <c r="CQ1421" s="2"/>
      <c r="CT1421" s="2"/>
      <c r="CW1421" s="2"/>
    </row>
    <row r="1422" spans="1:101" x14ac:dyDescent="0.25">
      <c r="A1422" s="1" t="s">
        <v>163</v>
      </c>
      <c r="B1422" s="75" t="s">
        <v>164</v>
      </c>
      <c r="C1422">
        <v>0</v>
      </c>
      <c r="D1422">
        <v>0</v>
      </c>
      <c r="E1422">
        <v>0</v>
      </c>
      <c r="F1422">
        <v>604324.56000000006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3.91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7490</v>
      </c>
      <c r="AW1422">
        <v>3350</v>
      </c>
      <c r="AX1422">
        <v>1219</v>
      </c>
      <c r="AY1422">
        <v>12059</v>
      </c>
      <c r="AZ1422">
        <v>4202</v>
      </c>
      <c r="BA1422">
        <v>7438</v>
      </c>
      <c r="BB1422">
        <v>1432</v>
      </c>
      <c r="BC1422">
        <v>13072</v>
      </c>
      <c r="BD1422">
        <v>9486</v>
      </c>
      <c r="BE1422">
        <v>9222</v>
      </c>
      <c r="BF1422">
        <v>1768</v>
      </c>
      <c r="BG1422">
        <v>20476</v>
      </c>
      <c r="BH1422">
        <v>0</v>
      </c>
      <c r="BI1422">
        <v>0</v>
      </c>
      <c r="BJ1422">
        <v>0</v>
      </c>
      <c r="BK1422">
        <v>0</v>
      </c>
      <c r="BL1422" s="2">
        <v>24.82</v>
      </c>
      <c r="BM1422" s="2">
        <v>42005.095138888886</v>
      </c>
      <c r="BN1422" s="2">
        <v>5.4</v>
      </c>
      <c r="BO1422" s="2">
        <v>42005.092361111114</v>
      </c>
      <c r="BP1422" s="2">
        <v>6.92</v>
      </c>
      <c r="BQ1422" s="2">
        <v>42005.092361111114</v>
      </c>
      <c r="BR1422" s="2">
        <v>11.07</v>
      </c>
      <c r="BS1422" s="2">
        <v>42005.092361111114</v>
      </c>
      <c r="BT1422">
        <v>0</v>
      </c>
      <c r="BU1422">
        <v>0</v>
      </c>
      <c r="BV1422" t="s">
        <v>135</v>
      </c>
      <c r="BW1422">
        <v>0</v>
      </c>
      <c r="BX1422">
        <v>0</v>
      </c>
      <c r="BY1422" t="s">
        <v>135</v>
      </c>
      <c r="BZ1422">
        <v>0</v>
      </c>
      <c r="CA1422">
        <v>0</v>
      </c>
      <c r="CB1422" t="s">
        <v>135</v>
      </c>
      <c r="CH1422" s="2"/>
      <c r="CJ1422" s="2"/>
      <c r="CL1422" s="2"/>
      <c r="CN1422" s="2"/>
      <c r="CQ1422" s="2"/>
      <c r="CT1422" s="2"/>
      <c r="CW1422" s="2"/>
    </row>
    <row r="1423" spans="1:101" x14ac:dyDescent="0.25">
      <c r="A1423" s="1" t="s">
        <v>163</v>
      </c>
      <c r="B1423" s="75" t="s">
        <v>164</v>
      </c>
      <c r="C1423">
        <v>0</v>
      </c>
      <c r="D1423">
        <v>0</v>
      </c>
      <c r="E1423">
        <v>0</v>
      </c>
      <c r="F1423">
        <v>604324.56000000006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3.91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7490</v>
      </c>
      <c r="AW1423">
        <v>3350</v>
      </c>
      <c r="AX1423">
        <v>1219</v>
      </c>
      <c r="AY1423">
        <v>12059</v>
      </c>
      <c r="AZ1423">
        <v>4202</v>
      </c>
      <c r="BA1423">
        <v>7438</v>
      </c>
      <c r="BB1423">
        <v>1432</v>
      </c>
      <c r="BC1423">
        <v>13072</v>
      </c>
      <c r="BD1423">
        <v>9486</v>
      </c>
      <c r="BE1423">
        <v>9222</v>
      </c>
      <c r="BF1423">
        <v>1768</v>
      </c>
      <c r="BG1423">
        <v>20476</v>
      </c>
      <c r="BH1423">
        <v>0</v>
      </c>
      <c r="BI1423">
        <v>0</v>
      </c>
      <c r="BJ1423">
        <v>0</v>
      </c>
      <c r="BK1423">
        <v>0</v>
      </c>
      <c r="BL1423" s="2">
        <v>24.82</v>
      </c>
      <c r="BM1423" s="2">
        <v>42005.095138888886</v>
      </c>
      <c r="BN1423" s="2">
        <v>5.4</v>
      </c>
      <c r="BO1423" s="2">
        <v>42005.092361111114</v>
      </c>
      <c r="BP1423" s="2">
        <v>6.92</v>
      </c>
      <c r="BQ1423" s="2">
        <v>42005.092361111114</v>
      </c>
      <c r="BR1423" s="2">
        <v>11.07</v>
      </c>
      <c r="BS1423" s="2">
        <v>42005.092361111114</v>
      </c>
      <c r="BT1423">
        <v>0</v>
      </c>
      <c r="BU1423">
        <v>0</v>
      </c>
      <c r="BV1423" t="s">
        <v>135</v>
      </c>
      <c r="BW1423">
        <v>0</v>
      </c>
      <c r="BX1423">
        <v>0</v>
      </c>
      <c r="BY1423" t="s">
        <v>135</v>
      </c>
      <c r="BZ1423">
        <v>0</v>
      </c>
      <c r="CA1423">
        <v>0</v>
      </c>
      <c r="CB1423" t="s">
        <v>135</v>
      </c>
      <c r="CH1423" s="2"/>
      <c r="CJ1423" s="2"/>
      <c r="CL1423" s="2"/>
      <c r="CN1423" s="2"/>
      <c r="CQ1423" s="2"/>
      <c r="CT1423" s="2"/>
      <c r="CW1423" s="2"/>
    </row>
    <row r="1424" spans="1:101" x14ac:dyDescent="0.25">
      <c r="A1424" s="1" t="s">
        <v>163</v>
      </c>
      <c r="B1424" s="75" t="s">
        <v>164</v>
      </c>
      <c r="C1424">
        <v>0</v>
      </c>
      <c r="D1424">
        <v>0</v>
      </c>
      <c r="E1424">
        <v>0</v>
      </c>
      <c r="F1424">
        <v>604324.56000000006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3.91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7490</v>
      </c>
      <c r="AW1424">
        <v>3350</v>
      </c>
      <c r="AX1424">
        <v>1219</v>
      </c>
      <c r="AY1424">
        <v>12059</v>
      </c>
      <c r="AZ1424">
        <v>4202</v>
      </c>
      <c r="BA1424">
        <v>7438</v>
      </c>
      <c r="BB1424">
        <v>1432</v>
      </c>
      <c r="BC1424">
        <v>13072</v>
      </c>
      <c r="BD1424">
        <v>9486</v>
      </c>
      <c r="BE1424">
        <v>9222</v>
      </c>
      <c r="BF1424">
        <v>1768</v>
      </c>
      <c r="BG1424">
        <v>20476</v>
      </c>
      <c r="BH1424">
        <v>0</v>
      </c>
      <c r="BI1424">
        <v>0</v>
      </c>
      <c r="BJ1424">
        <v>0</v>
      </c>
      <c r="BK1424">
        <v>0</v>
      </c>
      <c r="BL1424" s="2">
        <v>24.82</v>
      </c>
      <c r="BM1424" s="2">
        <v>42005.095138888886</v>
      </c>
      <c r="BN1424" s="2">
        <v>5.4</v>
      </c>
      <c r="BO1424" s="2">
        <v>42005.092361111114</v>
      </c>
      <c r="BP1424" s="2">
        <v>6.92</v>
      </c>
      <c r="BQ1424" s="2">
        <v>42005.092361111114</v>
      </c>
      <c r="BR1424" s="2">
        <v>11.07</v>
      </c>
      <c r="BS1424" s="2">
        <v>42005.092361111114</v>
      </c>
      <c r="BT1424">
        <v>0</v>
      </c>
      <c r="BU1424">
        <v>0</v>
      </c>
      <c r="BV1424" t="s">
        <v>135</v>
      </c>
      <c r="BW1424">
        <v>0</v>
      </c>
      <c r="BX1424">
        <v>0</v>
      </c>
      <c r="BY1424" t="s">
        <v>135</v>
      </c>
      <c r="BZ1424">
        <v>0</v>
      </c>
      <c r="CA1424">
        <v>0</v>
      </c>
      <c r="CB1424" t="s">
        <v>135</v>
      </c>
      <c r="CH1424" s="2"/>
      <c r="CJ1424" s="2"/>
      <c r="CL1424" s="2"/>
      <c r="CN1424" s="2"/>
      <c r="CQ1424" s="2"/>
      <c r="CT1424" s="2"/>
      <c r="CW1424" s="2"/>
    </row>
    <row r="1425" spans="1:101" x14ac:dyDescent="0.25">
      <c r="A1425" s="1" t="s">
        <v>163</v>
      </c>
      <c r="B1425" s="75" t="s">
        <v>164</v>
      </c>
      <c r="C1425">
        <v>0</v>
      </c>
      <c r="D1425">
        <v>0</v>
      </c>
      <c r="E1425">
        <v>0</v>
      </c>
      <c r="F1425">
        <v>604324.56000000006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3.91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7490</v>
      </c>
      <c r="AW1425">
        <v>3350</v>
      </c>
      <c r="AX1425">
        <v>1219</v>
      </c>
      <c r="AY1425">
        <v>12059</v>
      </c>
      <c r="AZ1425">
        <v>4202</v>
      </c>
      <c r="BA1425">
        <v>7438</v>
      </c>
      <c r="BB1425">
        <v>1432</v>
      </c>
      <c r="BC1425">
        <v>13072</v>
      </c>
      <c r="BD1425">
        <v>9486</v>
      </c>
      <c r="BE1425">
        <v>9222</v>
      </c>
      <c r="BF1425">
        <v>1768</v>
      </c>
      <c r="BG1425">
        <v>20476</v>
      </c>
      <c r="BH1425">
        <v>0</v>
      </c>
      <c r="BI1425">
        <v>0</v>
      </c>
      <c r="BJ1425">
        <v>0</v>
      </c>
      <c r="BK1425">
        <v>0</v>
      </c>
      <c r="BL1425" s="2">
        <v>24.82</v>
      </c>
      <c r="BM1425" s="2">
        <v>42005.095138888886</v>
      </c>
      <c r="BN1425" s="2">
        <v>5.4</v>
      </c>
      <c r="BO1425" s="2">
        <v>42005.092361111114</v>
      </c>
      <c r="BP1425" s="2">
        <v>6.92</v>
      </c>
      <c r="BQ1425" s="2">
        <v>42005.092361111114</v>
      </c>
      <c r="BR1425" s="2">
        <v>11.07</v>
      </c>
      <c r="BS1425" s="2">
        <v>42005.092361111114</v>
      </c>
      <c r="BT1425">
        <v>0</v>
      </c>
      <c r="BU1425">
        <v>0</v>
      </c>
      <c r="BV1425" t="s">
        <v>135</v>
      </c>
      <c r="BW1425">
        <v>0</v>
      </c>
      <c r="BX1425">
        <v>0</v>
      </c>
      <c r="BY1425" t="s">
        <v>135</v>
      </c>
      <c r="BZ1425">
        <v>0</v>
      </c>
      <c r="CA1425">
        <v>0</v>
      </c>
      <c r="CB1425" t="s">
        <v>135</v>
      </c>
      <c r="CH1425" s="2"/>
      <c r="CJ1425" s="2"/>
      <c r="CL1425" s="2"/>
      <c r="CN1425" s="2"/>
      <c r="CQ1425" s="2"/>
      <c r="CT1425" s="2"/>
      <c r="CW1425" s="2"/>
    </row>
    <row r="1426" spans="1:101" x14ac:dyDescent="0.25">
      <c r="A1426" s="1" t="s">
        <v>163</v>
      </c>
      <c r="B1426" s="75" t="s">
        <v>164</v>
      </c>
      <c r="C1426">
        <v>0</v>
      </c>
      <c r="D1426">
        <v>0</v>
      </c>
      <c r="E1426">
        <v>0</v>
      </c>
      <c r="F1426">
        <v>604324.56000000006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3.91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7490</v>
      </c>
      <c r="AW1426">
        <v>3350</v>
      </c>
      <c r="AX1426">
        <v>1219</v>
      </c>
      <c r="AY1426">
        <v>12059</v>
      </c>
      <c r="AZ1426">
        <v>4202</v>
      </c>
      <c r="BA1426">
        <v>7438</v>
      </c>
      <c r="BB1426">
        <v>1432</v>
      </c>
      <c r="BC1426">
        <v>13072</v>
      </c>
      <c r="BD1426">
        <v>9486</v>
      </c>
      <c r="BE1426">
        <v>9222</v>
      </c>
      <c r="BF1426">
        <v>1768</v>
      </c>
      <c r="BG1426">
        <v>20476</v>
      </c>
      <c r="BH1426">
        <v>0</v>
      </c>
      <c r="BI1426">
        <v>0</v>
      </c>
      <c r="BJ1426">
        <v>0</v>
      </c>
      <c r="BK1426">
        <v>0</v>
      </c>
      <c r="BL1426" s="2">
        <v>24.82</v>
      </c>
      <c r="BM1426" s="2">
        <v>42005.095138888886</v>
      </c>
      <c r="BN1426" s="2">
        <v>5.4</v>
      </c>
      <c r="BO1426" s="2">
        <v>42005.092361111114</v>
      </c>
      <c r="BP1426" s="2">
        <v>6.92</v>
      </c>
      <c r="BQ1426" s="2">
        <v>42005.092361111114</v>
      </c>
      <c r="BR1426" s="2">
        <v>11.07</v>
      </c>
      <c r="BS1426" s="2">
        <v>42005.092361111114</v>
      </c>
      <c r="BT1426">
        <v>0</v>
      </c>
      <c r="BU1426">
        <v>0</v>
      </c>
      <c r="BV1426" t="s">
        <v>135</v>
      </c>
      <c r="BW1426">
        <v>0</v>
      </c>
      <c r="BX1426">
        <v>0</v>
      </c>
      <c r="BY1426" t="s">
        <v>135</v>
      </c>
      <c r="BZ1426">
        <v>0</v>
      </c>
      <c r="CA1426">
        <v>0</v>
      </c>
      <c r="CB1426" t="s">
        <v>135</v>
      </c>
      <c r="CH1426" s="2"/>
      <c r="CJ1426" s="2"/>
      <c r="CL1426" s="2"/>
      <c r="CN1426" s="2"/>
      <c r="CQ1426" s="2"/>
      <c r="CT1426" s="2"/>
      <c r="CW1426" s="2"/>
    </row>
    <row r="1427" spans="1:101" x14ac:dyDescent="0.25">
      <c r="A1427" s="1" t="s">
        <v>163</v>
      </c>
      <c r="B1427" s="75" t="s">
        <v>164</v>
      </c>
      <c r="C1427">
        <v>0</v>
      </c>
      <c r="D1427">
        <v>0</v>
      </c>
      <c r="E1427">
        <v>0</v>
      </c>
      <c r="F1427">
        <v>604324.56000000006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3.91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7490</v>
      </c>
      <c r="AW1427">
        <v>3350</v>
      </c>
      <c r="AX1427">
        <v>1219</v>
      </c>
      <c r="AY1427">
        <v>12059</v>
      </c>
      <c r="AZ1427">
        <v>4202</v>
      </c>
      <c r="BA1427">
        <v>7438</v>
      </c>
      <c r="BB1427">
        <v>1432</v>
      </c>
      <c r="BC1427">
        <v>13072</v>
      </c>
      <c r="BD1427">
        <v>9486</v>
      </c>
      <c r="BE1427">
        <v>9222</v>
      </c>
      <c r="BF1427">
        <v>1768</v>
      </c>
      <c r="BG1427">
        <v>20476</v>
      </c>
      <c r="BH1427">
        <v>0</v>
      </c>
      <c r="BI1427">
        <v>0</v>
      </c>
      <c r="BJ1427">
        <v>0</v>
      </c>
      <c r="BK1427">
        <v>0</v>
      </c>
      <c r="BL1427" s="2">
        <v>24.82</v>
      </c>
      <c r="BM1427" s="2">
        <v>42005.095138888886</v>
      </c>
      <c r="BN1427" s="2">
        <v>5.4</v>
      </c>
      <c r="BO1427" s="2">
        <v>42005.092361111114</v>
      </c>
      <c r="BP1427" s="2">
        <v>6.92</v>
      </c>
      <c r="BQ1427" s="2">
        <v>42005.092361111114</v>
      </c>
      <c r="BR1427" s="2">
        <v>11.07</v>
      </c>
      <c r="BS1427" s="2">
        <v>42005.092361111114</v>
      </c>
      <c r="BT1427">
        <v>0</v>
      </c>
      <c r="BU1427">
        <v>0</v>
      </c>
      <c r="BV1427" t="s">
        <v>135</v>
      </c>
      <c r="BW1427">
        <v>0</v>
      </c>
      <c r="BX1427">
        <v>0</v>
      </c>
      <c r="BY1427" t="s">
        <v>135</v>
      </c>
      <c r="BZ1427">
        <v>0</v>
      </c>
      <c r="CA1427">
        <v>0</v>
      </c>
      <c r="CB1427" t="s">
        <v>135</v>
      </c>
      <c r="CH1427" s="2"/>
      <c r="CJ1427" s="2"/>
      <c r="CL1427" s="2"/>
      <c r="CN1427" s="2"/>
      <c r="CQ1427" s="2"/>
      <c r="CT1427" s="2"/>
      <c r="CW1427" s="2"/>
    </row>
    <row r="1428" spans="1:101" x14ac:dyDescent="0.25">
      <c r="A1428" s="1" t="s">
        <v>163</v>
      </c>
      <c r="B1428" s="75" t="s">
        <v>164</v>
      </c>
      <c r="C1428">
        <v>0</v>
      </c>
      <c r="D1428">
        <v>0</v>
      </c>
      <c r="E1428">
        <v>0</v>
      </c>
      <c r="F1428">
        <v>604324.56000000006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3.91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7490</v>
      </c>
      <c r="AW1428">
        <v>3350</v>
      </c>
      <c r="AX1428">
        <v>1219</v>
      </c>
      <c r="AY1428">
        <v>12059</v>
      </c>
      <c r="AZ1428">
        <v>4202</v>
      </c>
      <c r="BA1428">
        <v>7438</v>
      </c>
      <c r="BB1428">
        <v>1432</v>
      </c>
      <c r="BC1428">
        <v>13072</v>
      </c>
      <c r="BD1428">
        <v>9486</v>
      </c>
      <c r="BE1428">
        <v>9222</v>
      </c>
      <c r="BF1428">
        <v>1768</v>
      </c>
      <c r="BG1428">
        <v>20476</v>
      </c>
      <c r="BH1428">
        <v>0</v>
      </c>
      <c r="BI1428">
        <v>0</v>
      </c>
      <c r="BJ1428">
        <v>0</v>
      </c>
      <c r="BK1428">
        <v>0</v>
      </c>
      <c r="BL1428" s="2">
        <v>24.82</v>
      </c>
      <c r="BM1428" s="2">
        <v>42005.095138888886</v>
      </c>
      <c r="BN1428" s="2">
        <v>5.4</v>
      </c>
      <c r="BO1428" s="2">
        <v>42005.092361111114</v>
      </c>
      <c r="BP1428" s="2">
        <v>6.92</v>
      </c>
      <c r="BQ1428" s="2">
        <v>42005.092361111114</v>
      </c>
      <c r="BR1428" s="2">
        <v>11.07</v>
      </c>
      <c r="BS1428" s="2">
        <v>42005.092361111114</v>
      </c>
      <c r="BT1428">
        <v>0</v>
      </c>
      <c r="BU1428">
        <v>0</v>
      </c>
      <c r="BV1428" t="s">
        <v>135</v>
      </c>
      <c r="BW1428">
        <v>0</v>
      </c>
      <c r="BX1428">
        <v>0</v>
      </c>
      <c r="BY1428" t="s">
        <v>135</v>
      </c>
      <c r="BZ1428">
        <v>0</v>
      </c>
      <c r="CA1428">
        <v>0</v>
      </c>
      <c r="CB1428" t="s">
        <v>135</v>
      </c>
      <c r="CH1428" s="2"/>
      <c r="CJ1428" s="2"/>
      <c r="CL1428" s="2"/>
      <c r="CN1428" s="2"/>
      <c r="CQ1428" s="2"/>
      <c r="CT1428" s="2"/>
      <c r="CW1428" s="2"/>
    </row>
    <row r="1429" spans="1:101" x14ac:dyDescent="0.25">
      <c r="A1429" s="1" t="s">
        <v>163</v>
      </c>
      <c r="B1429" s="75" t="s">
        <v>164</v>
      </c>
      <c r="C1429">
        <v>0</v>
      </c>
      <c r="D1429">
        <v>0</v>
      </c>
      <c r="E1429">
        <v>0</v>
      </c>
      <c r="F1429">
        <v>604324.56000000006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3.91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7490</v>
      </c>
      <c r="AW1429">
        <v>3350</v>
      </c>
      <c r="AX1429">
        <v>1219</v>
      </c>
      <c r="AY1429">
        <v>12059</v>
      </c>
      <c r="AZ1429">
        <v>4202</v>
      </c>
      <c r="BA1429">
        <v>7438</v>
      </c>
      <c r="BB1429">
        <v>1432</v>
      </c>
      <c r="BC1429">
        <v>13072</v>
      </c>
      <c r="BD1429">
        <v>9486</v>
      </c>
      <c r="BE1429">
        <v>9222</v>
      </c>
      <c r="BF1429">
        <v>1768</v>
      </c>
      <c r="BG1429">
        <v>20476</v>
      </c>
      <c r="BH1429">
        <v>0</v>
      </c>
      <c r="BI1429">
        <v>0</v>
      </c>
      <c r="BJ1429">
        <v>0</v>
      </c>
      <c r="BK1429">
        <v>0</v>
      </c>
      <c r="BL1429" s="2">
        <v>24.82</v>
      </c>
      <c r="BM1429" s="2">
        <v>42005.095138888886</v>
      </c>
      <c r="BN1429" s="2">
        <v>5.4</v>
      </c>
      <c r="BO1429" s="2">
        <v>42005.092361111114</v>
      </c>
      <c r="BP1429" s="2">
        <v>6.92</v>
      </c>
      <c r="BQ1429" s="2">
        <v>42005.092361111114</v>
      </c>
      <c r="BR1429" s="2">
        <v>11.07</v>
      </c>
      <c r="BS1429" s="2">
        <v>42005.092361111114</v>
      </c>
      <c r="BT1429">
        <v>0</v>
      </c>
      <c r="BU1429">
        <v>0</v>
      </c>
      <c r="BV1429" t="s">
        <v>135</v>
      </c>
      <c r="BW1429">
        <v>0</v>
      </c>
      <c r="BX1429">
        <v>0</v>
      </c>
      <c r="BY1429" t="s">
        <v>135</v>
      </c>
      <c r="BZ1429">
        <v>0</v>
      </c>
      <c r="CA1429">
        <v>0</v>
      </c>
      <c r="CB1429" t="s">
        <v>135</v>
      </c>
      <c r="CH1429" s="2"/>
      <c r="CJ1429" s="2"/>
      <c r="CL1429" s="2"/>
      <c r="CN1429" s="2"/>
      <c r="CQ1429" s="2"/>
      <c r="CT1429" s="2"/>
      <c r="CW1429" s="2"/>
    </row>
    <row r="1430" spans="1:101" x14ac:dyDescent="0.25">
      <c r="A1430" s="1" t="s">
        <v>163</v>
      </c>
      <c r="B1430" s="75" t="s">
        <v>164</v>
      </c>
      <c r="C1430">
        <v>0</v>
      </c>
      <c r="D1430">
        <v>0</v>
      </c>
      <c r="E1430">
        <v>0</v>
      </c>
      <c r="F1430">
        <v>604324.56000000006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3.91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7490</v>
      </c>
      <c r="AW1430">
        <v>3350</v>
      </c>
      <c r="AX1430">
        <v>1219</v>
      </c>
      <c r="AY1430">
        <v>12059</v>
      </c>
      <c r="AZ1430">
        <v>4202</v>
      </c>
      <c r="BA1430">
        <v>7438</v>
      </c>
      <c r="BB1430">
        <v>1432</v>
      </c>
      <c r="BC1430">
        <v>13072</v>
      </c>
      <c r="BD1430">
        <v>9486</v>
      </c>
      <c r="BE1430">
        <v>9222</v>
      </c>
      <c r="BF1430">
        <v>1768</v>
      </c>
      <c r="BG1430">
        <v>20476</v>
      </c>
      <c r="BH1430">
        <v>0</v>
      </c>
      <c r="BI1430">
        <v>0</v>
      </c>
      <c r="BJ1430">
        <v>0</v>
      </c>
      <c r="BK1430">
        <v>0</v>
      </c>
      <c r="BL1430" s="2">
        <v>24.82</v>
      </c>
      <c r="BM1430" s="2">
        <v>42005.095138888886</v>
      </c>
      <c r="BN1430" s="2">
        <v>5.4</v>
      </c>
      <c r="BO1430" s="2">
        <v>42005.092361111114</v>
      </c>
      <c r="BP1430" s="2">
        <v>6.92</v>
      </c>
      <c r="BQ1430" s="2">
        <v>42005.092361111114</v>
      </c>
      <c r="BR1430" s="2">
        <v>11.07</v>
      </c>
      <c r="BS1430" s="2">
        <v>42005.092361111114</v>
      </c>
      <c r="BT1430">
        <v>0</v>
      </c>
      <c r="BU1430">
        <v>0</v>
      </c>
      <c r="BV1430" t="s">
        <v>135</v>
      </c>
      <c r="BW1430">
        <v>0</v>
      </c>
      <c r="BX1430">
        <v>0</v>
      </c>
      <c r="BY1430" t="s">
        <v>135</v>
      </c>
      <c r="BZ1430">
        <v>0</v>
      </c>
      <c r="CA1430">
        <v>0</v>
      </c>
      <c r="CB1430" t="s">
        <v>135</v>
      </c>
      <c r="CH1430" s="2"/>
      <c r="CJ1430" s="2"/>
      <c r="CL1430" s="2"/>
      <c r="CN1430" s="2"/>
      <c r="CQ1430" s="2"/>
      <c r="CT1430" s="2"/>
      <c r="CW1430" s="2"/>
    </row>
    <row r="1431" spans="1:101" x14ac:dyDescent="0.25">
      <c r="A1431" s="1" t="s">
        <v>163</v>
      </c>
      <c r="B1431" s="75" t="s">
        <v>164</v>
      </c>
      <c r="C1431">
        <v>0</v>
      </c>
      <c r="D1431">
        <v>0</v>
      </c>
      <c r="E1431">
        <v>0</v>
      </c>
      <c r="F1431">
        <v>604324.56000000006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3.91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7490</v>
      </c>
      <c r="AW1431">
        <v>3350</v>
      </c>
      <c r="AX1431">
        <v>1219</v>
      </c>
      <c r="AY1431">
        <v>12059</v>
      </c>
      <c r="AZ1431">
        <v>4202</v>
      </c>
      <c r="BA1431">
        <v>7438</v>
      </c>
      <c r="BB1431">
        <v>1432</v>
      </c>
      <c r="BC1431">
        <v>13072</v>
      </c>
      <c r="BD1431">
        <v>9486</v>
      </c>
      <c r="BE1431">
        <v>9222</v>
      </c>
      <c r="BF1431">
        <v>1768</v>
      </c>
      <c r="BG1431">
        <v>20476</v>
      </c>
      <c r="BH1431">
        <v>0</v>
      </c>
      <c r="BI1431">
        <v>0</v>
      </c>
      <c r="BJ1431">
        <v>0</v>
      </c>
      <c r="BK1431">
        <v>0</v>
      </c>
      <c r="BL1431" s="2">
        <v>24.82</v>
      </c>
      <c r="BM1431" s="2">
        <v>42005.095138888886</v>
      </c>
      <c r="BN1431" s="2">
        <v>5.4</v>
      </c>
      <c r="BO1431" s="2">
        <v>42005.092361111114</v>
      </c>
      <c r="BP1431" s="2">
        <v>6.92</v>
      </c>
      <c r="BQ1431" s="2">
        <v>42005.092361111114</v>
      </c>
      <c r="BR1431" s="2">
        <v>11.07</v>
      </c>
      <c r="BS1431" s="2">
        <v>42005.092361111114</v>
      </c>
      <c r="BT1431">
        <v>0</v>
      </c>
      <c r="BU1431">
        <v>0</v>
      </c>
      <c r="BV1431" t="s">
        <v>135</v>
      </c>
      <c r="BW1431">
        <v>0</v>
      </c>
      <c r="BX1431">
        <v>0</v>
      </c>
      <c r="BY1431" t="s">
        <v>135</v>
      </c>
      <c r="BZ1431">
        <v>0</v>
      </c>
      <c r="CA1431">
        <v>0</v>
      </c>
      <c r="CB1431" t="s">
        <v>135</v>
      </c>
      <c r="CH1431" s="2"/>
      <c r="CJ1431" s="2"/>
      <c r="CL1431" s="2"/>
      <c r="CN1431" s="2"/>
      <c r="CQ1431" s="2"/>
      <c r="CT1431" s="2"/>
      <c r="CW1431" s="2"/>
    </row>
    <row r="1432" spans="1:101" x14ac:dyDescent="0.25">
      <c r="A1432" s="1" t="s">
        <v>163</v>
      </c>
      <c r="B1432" s="75" t="s">
        <v>164</v>
      </c>
      <c r="C1432">
        <v>0</v>
      </c>
      <c r="D1432">
        <v>0</v>
      </c>
      <c r="E1432">
        <v>0</v>
      </c>
      <c r="F1432">
        <v>604324.56000000006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3.91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7490</v>
      </c>
      <c r="AW1432">
        <v>3350</v>
      </c>
      <c r="AX1432">
        <v>1219</v>
      </c>
      <c r="AY1432">
        <v>12059</v>
      </c>
      <c r="AZ1432">
        <v>4202</v>
      </c>
      <c r="BA1432">
        <v>7438</v>
      </c>
      <c r="BB1432">
        <v>1432</v>
      </c>
      <c r="BC1432">
        <v>13072</v>
      </c>
      <c r="BD1432">
        <v>9486</v>
      </c>
      <c r="BE1432">
        <v>9222</v>
      </c>
      <c r="BF1432">
        <v>1768</v>
      </c>
      <c r="BG1432">
        <v>20476</v>
      </c>
      <c r="BH1432">
        <v>0</v>
      </c>
      <c r="BI1432">
        <v>0</v>
      </c>
      <c r="BJ1432">
        <v>0</v>
      </c>
      <c r="BK1432">
        <v>0</v>
      </c>
      <c r="BL1432" s="2">
        <v>24.82</v>
      </c>
      <c r="BM1432" s="2">
        <v>42005.095138888886</v>
      </c>
      <c r="BN1432" s="2">
        <v>5.4</v>
      </c>
      <c r="BO1432" s="2">
        <v>42005.092361111114</v>
      </c>
      <c r="BP1432" s="2">
        <v>6.92</v>
      </c>
      <c r="BQ1432" s="2">
        <v>42005.092361111114</v>
      </c>
      <c r="BR1432" s="2">
        <v>11.07</v>
      </c>
      <c r="BS1432" s="2">
        <v>42005.092361111114</v>
      </c>
      <c r="BT1432">
        <v>0</v>
      </c>
      <c r="BU1432">
        <v>0</v>
      </c>
      <c r="BV1432" t="s">
        <v>135</v>
      </c>
      <c r="BW1432">
        <v>0</v>
      </c>
      <c r="BX1432">
        <v>0</v>
      </c>
      <c r="BY1432" t="s">
        <v>135</v>
      </c>
      <c r="BZ1432">
        <v>0</v>
      </c>
      <c r="CA1432">
        <v>0</v>
      </c>
      <c r="CB1432" t="s">
        <v>135</v>
      </c>
      <c r="CH1432" s="2"/>
      <c r="CJ1432" s="2"/>
      <c r="CL1432" s="2"/>
      <c r="CN1432" s="2"/>
      <c r="CQ1432" s="2"/>
      <c r="CT1432" s="2"/>
      <c r="CW1432" s="2"/>
    </row>
    <row r="1433" spans="1:101" x14ac:dyDescent="0.25">
      <c r="A1433" s="1" t="s">
        <v>163</v>
      </c>
      <c r="B1433" s="75" t="s">
        <v>164</v>
      </c>
      <c r="C1433">
        <v>0</v>
      </c>
      <c r="D1433">
        <v>0</v>
      </c>
      <c r="E1433">
        <v>0</v>
      </c>
      <c r="F1433">
        <v>604324.56000000006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3.91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7490</v>
      </c>
      <c r="AW1433">
        <v>3350</v>
      </c>
      <c r="AX1433">
        <v>1219</v>
      </c>
      <c r="AY1433">
        <v>12059</v>
      </c>
      <c r="AZ1433">
        <v>4202</v>
      </c>
      <c r="BA1433">
        <v>7438</v>
      </c>
      <c r="BB1433">
        <v>1432</v>
      </c>
      <c r="BC1433">
        <v>13072</v>
      </c>
      <c r="BD1433">
        <v>9486</v>
      </c>
      <c r="BE1433">
        <v>9222</v>
      </c>
      <c r="BF1433">
        <v>1768</v>
      </c>
      <c r="BG1433">
        <v>20476</v>
      </c>
      <c r="BH1433">
        <v>0</v>
      </c>
      <c r="BI1433">
        <v>0</v>
      </c>
      <c r="BJ1433">
        <v>0</v>
      </c>
      <c r="BK1433">
        <v>0</v>
      </c>
      <c r="BL1433" s="2">
        <v>24.82</v>
      </c>
      <c r="BM1433" s="2">
        <v>42005.095138888886</v>
      </c>
      <c r="BN1433" s="2">
        <v>5.4</v>
      </c>
      <c r="BO1433" s="2">
        <v>42005.092361111114</v>
      </c>
      <c r="BP1433" s="2">
        <v>6.92</v>
      </c>
      <c r="BQ1433" s="2">
        <v>42005.092361111114</v>
      </c>
      <c r="BR1433" s="2">
        <v>11.07</v>
      </c>
      <c r="BS1433" s="2">
        <v>42005.092361111114</v>
      </c>
      <c r="BT1433">
        <v>0</v>
      </c>
      <c r="BU1433">
        <v>0</v>
      </c>
      <c r="BV1433" t="s">
        <v>135</v>
      </c>
      <c r="BW1433">
        <v>0</v>
      </c>
      <c r="BX1433">
        <v>0</v>
      </c>
      <c r="BY1433" t="s">
        <v>135</v>
      </c>
      <c r="BZ1433">
        <v>0</v>
      </c>
      <c r="CA1433">
        <v>0</v>
      </c>
      <c r="CB1433" t="s">
        <v>135</v>
      </c>
      <c r="CH1433" s="2"/>
      <c r="CJ1433" s="2"/>
      <c r="CL1433" s="2"/>
      <c r="CN1433" s="2"/>
      <c r="CQ1433" s="2"/>
      <c r="CT1433" s="2"/>
      <c r="CW1433" s="2"/>
    </row>
    <row r="1434" spans="1:101" x14ac:dyDescent="0.25">
      <c r="A1434" s="1" t="s">
        <v>163</v>
      </c>
      <c r="B1434" s="75" t="s">
        <v>164</v>
      </c>
      <c r="C1434">
        <v>0</v>
      </c>
      <c r="D1434">
        <v>0</v>
      </c>
      <c r="E1434">
        <v>0</v>
      </c>
      <c r="F1434">
        <v>604324.56000000006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3.91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7490</v>
      </c>
      <c r="AW1434">
        <v>3350</v>
      </c>
      <c r="AX1434">
        <v>1219</v>
      </c>
      <c r="AY1434">
        <v>12059</v>
      </c>
      <c r="AZ1434">
        <v>4202</v>
      </c>
      <c r="BA1434">
        <v>7438</v>
      </c>
      <c r="BB1434">
        <v>1432</v>
      </c>
      <c r="BC1434">
        <v>13072</v>
      </c>
      <c r="BD1434">
        <v>9486</v>
      </c>
      <c r="BE1434">
        <v>9222</v>
      </c>
      <c r="BF1434">
        <v>1768</v>
      </c>
      <c r="BG1434">
        <v>20476</v>
      </c>
      <c r="BH1434">
        <v>0</v>
      </c>
      <c r="BI1434">
        <v>0</v>
      </c>
      <c r="BJ1434">
        <v>0</v>
      </c>
      <c r="BK1434">
        <v>0</v>
      </c>
      <c r="BL1434" s="2">
        <v>24.82</v>
      </c>
      <c r="BM1434" s="2">
        <v>42005.095138888886</v>
      </c>
      <c r="BN1434" s="2">
        <v>5.4</v>
      </c>
      <c r="BO1434" s="2">
        <v>42005.092361111114</v>
      </c>
      <c r="BP1434" s="2">
        <v>6.92</v>
      </c>
      <c r="BQ1434" s="2">
        <v>42005.092361111114</v>
      </c>
      <c r="BR1434" s="2">
        <v>11.07</v>
      </c>
      <c r="BS1434" s="2">
        <v>42005.092361111114</v>
      </c>
      <c r="BT1434">
        <v>0</v>
      </c>
      <c r="BU1434">
        <v>0</v>
      </c>
      <c r="BV1434" t="s">
        <v>135</v>
      </c>
      <c r="BW1434">
        <v>0</v>
      </c>
      <c r="BX1434">
        <v>0</v>
      </c>
      <c r="BY1434" t="s">
        <v>135</v>
      </c>
      <c r="BZ1434">
        <v>0</v>
      </c>
      <c r="CA1434">
        <v>0</v>
      </c>
      <c r="CB1434" t="s">
        <v>135</v>
      </c>
      <c r="CH1434" s="2"/>
      <c r="CJ1434" s="2"/>
      <c r="CL1434" s="2"/>
      <c r="CN1434" s="2"/>
      <c r="CQ1434" s="2"/>
      <c r="CT1434" s="2"/>
      <c r="CW1434" s="2"/>
    </row>
    <row r="1435" spans="1:101" x14ac:dyDescent="0.25">
      <c r="A1435" s="1" t="s">
        <v>163</v>
      </c>
      <c r="B1435" s="75" t="s">
        <v>164</v>
      </c>
      <c r="C1435">
        <v>0</v>
      </c>
      <c r="D1435">
        <v>0</v>
      </c>
      <c r="E1435">
        <v>0</v>
      </c>
      <c r="F1435">
        <v>604324.56000000006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3.91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7490</v>
      </c>
      <c r="AW1435">
        <v>3350</v>
      </c>
      <c r="AX1435">
        <v>1219</v>
      </c>
      <c r="AY1435">
        <v>12059</v>
      </c>
      <c r="AZ1435">
        <v>4202</v>
      </c>
      <c r="BA1435">
        <v>7438</v>
      </c>
      <c r="BB1435">
        <v>1432</v>
      </c>
      <c r="BC1435">
        <v>13072</v>
      </c>
      <c r="BD1435">
        <v>9486</v>
      </c>
      <c r="BE1435">
        <v>9222</v>
      </c>
      <c r="BF1435">
        <v>1768</v>
      </c>
      <c r="BG1435">
        <v>20476</v>
      </c>
      <c r="BH1435">
        <v>0</v>
      </c>
      <c r="BI1435">
        <v>0</v>
      </c>
      <c r="BJ1435">
        <v>0</v>
      </c>
      <c r="BK1435">
        <v>0</v>
      </c>
      <c r="BL1435" s="2">
        <v>24.82</v>
      </c>
      <c r="BM1435" s="2">
        <v>42005.095138888886</v>
      </c>
      <c r="BN1435" s="2">
        <v>5.4</v>
      </c>
      <c r="BO1435" s="2">
        <v>42005.092361111114</v>
      </c>
      <c r="BP1435" s="2">
        <v>6.92</v>
      </c>
      <c r="BQ1435" s="2">
        <v>42005.092361111114</v>
      </c>
      <c r="BR1435" s="2">
        <v>11.07</v>
      </c>
      <c r="BS1435" s="2">
        <v>42005.092361111114</v>
      </c>
      <c r="BT1435">
        <v>0</v>
      </c>
      <c r="BU1435">
        <v>0</v>
      </c>
      <c r="BV1435" t="s">
        <v>135</v>
      </c>
      <c r="BW1435">
        <v>0</v>
      </c>
      <c r="BX1435">
        <v>0</v>
      </c>
      <c r="BY1435" t="s">
        <v>135</v>
      </c>
      <c r="BZ1435">
        <v>0</v>
      </c>
      <c r="CA1435">
        <v>0</v>
      </c>
      <c r="CB1435" t="s">
        <v>135</v>
      </c>
      <c r="CH1435" s="2"/>
      <c r="CJ1435" s="2"/>
      <c r="CL1435" s="2"/>
      <c r="CN1435" s="2"/>
      <c r="CQ1435" s="2"/>
      <c r="CT1435" s="2"/>
      <c r="CW1435" s="2"/>
    </row>
    <row r="1436" spans="1:101" x14ac:dyDescent="0.25">
      <c r="A1436" s="1" t="s">
        <v>163</v>
      </c>
      <c r="B1436" s="75" t="s">
        <v>164</v>
      </c>
      <c r="C1436">
        <v>0</v>
      </c>
      <c r="D1436">
        <v>0</v>
      </c>
      <c r="E1436">
        <v>0</v>
      </c>
      <c r="F1436">
        <v>604324.56000000006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3.91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7490</v>
      </c>
      <c r="AW1436">
        <v>3350</v>
      </c>
      <c r="AX1436">
        <v>1219</v>
      </c>
      <c r="AY1436">
        <v>12059</v>
      </c>
      <c r="AZ1436">
        <v>4202</v>
      </c>
      <c r="BA1436">
        <v>7438</v>
      </c>
      <c r="BB1436">
        <v>1432</v>
      </c>
      <c r="BC1436">
        <v>13072</v>
      </c>
      <c r="BD1436">
        <v>9486</v>
      </c>
      <c r="BE1436">
        <v>9222</v>
      </c>
      <c r="BF1436">
        <v>1768</v>
      </c>
      <c r="BG1436">
        <v>20476</v>
      </c>
      <c r="BH1436">
        <v>0</v>
      </c>
      <c r="BI1436">
        <v>0</v>
      </c>
      <c r="BJ1436">
        <v>0</v>
      </c>
      <c r="BK1436">
        <v>0</v>
      </c>
      <c r="BL1436" s="2">
        <v>24.82</v>
      </c>
      <c r="BM1436" s="2">
        <v>42005.095138888886</v>
      </c>
      <c r="BN1436" s="2">
        <v>5.4</v>
      </c>
      <c r="BO1436" s="2">
        <v>42005.092361111114</v>
      </c>
      <c r="BP1436" s="2">
        <v>6.92</v>
      </c>
      <c r="BQ1436" s="2">
        <v>42005.092361111114</v>
      </c>
      <c r="BR1436" s="2">
        <v>11.07</v>
      </c>
      <c r="BS1436" s="2">
        <v>42005.092361111114</v>
      </c>
      <c r="BT1436">
        <v>0</v>
      </c>
      <c r="BU1436">
        <v>0</v>
      </c>
      <c r="BV1436" t="s">
        <v>135</v>
      </c>
      <c r="BW1436">
        <v>0</v>
      </c>
      <c r="BX1436">
        <v>0</v>
      </c>
      <c r="BY1436" t="s">
        <v>135</v>
      </c>
      <c r="BZ1436">
        <v>0</v>
      </c>
      <c r="CA1436">
        <v>0</v>
      </c>
      <c r="CB1436" t="s">
        <v>135</v>
      </c>
      <c r="CH1436" s="2"/>
      <c r="CJ1436" s="2"/>
      <c r="CL1436" s="2"/>
      <c r="CN1436" s="2"/>
      <c r="CQ1436" s="2"/>
      <c r="CT1436" s="2"/>
      <c r="CW1436" s="2"/>
    </row>
    <row r="1437" spans="1:101" x14ac:dyDescent="0.25">
      <c r="A1437" s="1" t="s">
        <v>163</v>
      </c>
      <c r="B1437" s="75" t="s">
        <v>164</v>
      </c>
      <c r="C1437">
        <v>0</v>
      </c>
      <c r="D1437">
        <v>0</v>
      </c>
      <c r="E1437">
        <v>0</v>
      </c>
      <c r="F1437">
        <v>604324.56000000006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3.91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7490</v>
      </c>
      <c r="AW1437">
        <v>3350</v>
      </c>
      <c r="AX1437">
        <v>1219</v>
      </c>
      <c r="AY1437">
        <v>12059</v>
      </c>
      <c r="AZ1437">
        <v>4202</v>
      </c>
      <c r="BA1437">
        <v>7438</v>
      </c>
      <c r="BB1437">
        <v>1432</v>
      </c>
      <c r="BC1437">
        <v>13072</v>
      </c>
      <c r="BD1437">
        <v>9486</v>
      </c>
      <c r="BE1437">
        <v>9222</v>
      </c>
      <c r="BF1437">
        <v>1768</v>
      </c>
      <c r="BG1437">
        <v>20476</v>
      </c>
      <c r="BH1437">
        <v>0</v>
      </c>
      <c r="BI1437">
        <v>0</v>
      </c>
      <c r="BJ1437">
        <v>0</v>
      </c>
      <c r="BK1437">
        <v>0</v>
      </c>
      <c r="BL1437" s="2">
        <v>24.82</v>
      </c>
      <c r="BM1437" s="2">
        <v>42005.095138888886</v>
      </c>
      <c r="BN1437" s="2">
        <v>5.4</v>
      </c>
      <c r="BO1437" s="2">
        <v>42005.092361111114</v>
      </c>
      <c r="BP1437" s="2">
        <v>6.92</v>
      </c>
      <c r="BQ1437" s="2">
        <v>42005.092361111114</v>
      </c>
      <c r="BR1437" s="2">
        <v>11.07</v>
      </c>
      <c r="BS1437" s="2">
        <v>42005.092361111114</v>
      </c>
      <c r="BT1437">
        <v>0</v>
      </c>
      <c r="BU1437">
        <v>0</v>
      </c>
      <c r="BV1437" t="s">
        <v>135</v>
      </c>
      <c r="BW1437">
        <v>0</v>
      </c>
      <c r="BX1437">
        <v>0</v>
      </c>
      <c r="BY1437" t="s">
        <v>135</v>
      </c>
      <c r="BZ1437">
        <v>0</v>
      </c>
      <c r="CA1437">
        <v>0</v>
      </c>
      <c r="CB1437" t="s">
        <v>135</v>
      </c>
      <c r="CH1437" s="2"/>
      <c r="CJ1437" s="2"/>
      <c r="CL1437" s="2"/>
      <c r="CN1437" s="2"/>
      <c r="CQ1437" s="2"/>
      <c r="CT1437" s="2"/>
      <c r="CW1437" s="2"/>
    </row>
    <row r="1438" spans="1:101" x14ac:dyDescent="0.25">
      <c r="A1438" s="1" t="s">
        <v>163</v>
      </c>
      <c r="B1438" s="75" t="s">
        <v>164</v>
      </c>
      <c r="C1438">
        <v>0</v>
      </c>
      <c r="D1438">
        <v>0</v>
      </c>
      <c r="E1438">
        <v>0</v>
      </c>
      <c r="F1438">
        <v>604324.56000000006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3.91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7490</v>
      </c>
      <c r="AW1438">
        <v>3350</v>
      </c>
      <c r="AX1438">
        <v>1219</v>
      </c>
      <c r="AY1438">
        <v>12059</v>
      </c>
      <c r="AZ1438">
        <v>4202</v>
      </c>
      <c r="BA1438">
        <v>7438</v>
      </c>
      <c r="BB1438">
        <v>1432</v>
      </c>
      <c r="BC1438">
        <v>13072</v>
      </c>
      <c r="BD1438">
        <v>9486</v>
      </c>
      <c r="BE1438">
        <v>9222</v>
      </c>
      <c r="BF1438">
        <v>1768</v>
      </c>
      <c r="BG1438">
        <v>20476</v>
      </c>
      <c r="BH1438">
        <v>0</v>
      </c>
      <c r="BI1438">
        <v>0</v>
      </c>
      <c r="BJ1438">
        <v>0</v>
      </c>
      <c r="BK1438">
        <v>0</v>
      </c>
      <c r="BL1438" s="2">
        <v>24.82</v>
      </c>
      <c r="BM1438" s="2">
        <v>42005.095138888886</v>
      </c>
      <c r="BN1438" s="2">
        <v>5.4</v>
      </c>
      <c r="BO1438" s="2">
        <v>42005.092361111114</v>
      </c>
      <c r="BP1438" s="2">
        <v>6.92</v>
      </c>
      <c r="BQ1438" s="2">
        <v>42005.092361111114</v>
      </c>
      <c r="BR1438" s="2">
        <v>11.07</v>
      </c>
      <c r="BS1438" s="2">
        <v>42005.092361111114</v>
      </c>
      <c r="BT1438">
        <v>0</v>
      </c>
      <c r="BU1438">
        <v>0</v>
      </c>
      <c r="BV1438" t="s">
        <v>135</v>
      </c>
      <c r="BW1438">
        <v>0</v>
      </c>
      <c r="BX1438">
        <v>0</v>
      </c>
      <c r="BY1438" t="s">
        <v>135</v>
      </c>
      <c r="BZ1438">
        <v>0</v>
      </c>
      <c r="CA1438">
        <v>0</v>
      </c>
      <c r="CB1438" t="s">
        <v>135</v>
      </c>
      <c r="CH1438" s="2"/>
      <c r="CJ1438" s="2"/>
      <c r="CL1438" s="2"/>
      <c r="CN1438" s="2"/>
      <c r="CQ1438" s="2"/>
      <c r="CT1438" s="2"/>
      <c r="CW1438" s="2"/>
    </row>
    <row r="1439" spans="1:101" x14ac:dyDescent="0.25">
      <c r="A1439" s="1" t="s">
        <v>163</v>
      </c>
      <c r="B1439" s="75" t="s">
        <v>164</v>
      </c>
      <c r="C1439">
        <v>0</v>
      </c>
      <c r="D1439">
        <v>0</v>
      </c>
      <c r="E1439">
        <v>0</v>
      </c>
      <c r="F1439">
        <v>604324.56000000006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3.91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7490</v>
      </c>
      <c r="AW1439">
        <v>3350</v>
      </c>
      <c r="AX1439">
        <v>1219</v>
      </c>
      <c r="AY1439">
        <v>12059</v>
      </c>
      <c r="AZ1439">
        <v>4202</v>
      </c>
      <c r="BA1439">
        <v>7438</v>
      </c>
      <c r="BB1439">
        <v>1432</v>
      </c>
      <c r="BC1439">
        <v>13072</v>
      </c>
      <c r="BD1439">
        <v>9486</v>
      </c>
      <c r="BE1439">
        <v>9222</v>
      </c>
      <c r="BF1439">
        <v>1768</v>
      </c>
      <c r="BG1439">
        <v>20476</v>
      </c>
      <c r="BH1439">
        <v>0</v>
      </c>
      <c r="BI1439">
        <v>0</v>
      </c>
      <c r="BJ1439">
        <v>0</v>
      </c>
      <c r="BK1439">
        <v>0</v>
      </c>
      <c r="BL1439" s="2">
        <v>24.82</v>
      </c>
      <c r="BM1439" s="2">
        <v>42005.095138888886</v>
      </c>
      <c r="BN1439" s="2">
        <v>5.4</v>
      </c>
      <c r="BO1439" s="2">
        <v>42005.092361111114</v>
      </c>
      <c r="BP1439" s="2">
        <v>6.92</v>
      </c>
      <c r="BQ1439" s="2">
        <v>42005.092361111114</v>
      </c>
      <c r="BR1439" s="2">
        <v>11.07</v>
      </c>
      <c r="BS1439" s="2">
        <v>42005.092361111114</v>
      </c>
      <c r="BT1439">
        <v>0</v>
      </c>
      <c r="BU1439">
        <v>0</v>
      </c>
      <c r="BV1439" t="s">
        <v>135</v>
      </c>
      <c r="BW1439">
        <v>0</v>
      </c>
      <c r="BX1439">
        <v>0</v>
      </c>
      <c r="BY1439" t="s">
        <v>135</v>
      </c>
      <c r="BZ1439">
        <v>0</v>
      </c>
      <c r="CA1439">
        <v>0</v>
      </c>
      <c r="CB1439" t="s">
        <v>135</v>
      </c>
      <c r="CH1439" s="2"/>
      <c r="CJ1439" s="2"/>
      <c r="CL1439" s="2"/>
      <c r="CN1439" s="2"/>
      <c r="CQ1439" s="2"/>
      <c r="CT1439" s="2"/>
      <c r="CW1439" s="2"/>
    </row>
    <row r="1440" spans="1:101" x14ac:dyDescent="0.25">
      <c r="A1440" s="1" t="s">
        <v>163</v>
      </c>
      <c r="B1440" s="75" t="s">
        <v>164</v>
      </c>
      <c r="C1440">
        <v>0</v>
      </c>
      <c r="D1440">
        <v>0</v>
      </c>
      <c r="E1440">
        <v>0</v>
      </c>
      <c r="F1440">
        <v>604324.56000000006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3.91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7490</v>
      </c>
      <c r="AW1440">
        <v>3350</v>
      </c>
      <c r="AX1440">
        <v>1219</v>
      </c>
      <c r="AY1440">
        <v>12059</v>
      </c>
      <c r="AZ1440">
        <v>4202</v>
      </c>
      <c r="BA1440">
        <v>7438</v>
      </c>
      <c r="BB1440">
        <v>1432</v>
      </c>
      <c r="BC1440">
        <v>13072</v>
      </c>
      <c r="BD1440">
        <v>9486</v>
      </c>
      <c r="BE1440">
        <v>9222</v>
      </c>
      <c r="BF1440">
        <v>1768</v>
      </c>
      <c r="BG1440">
        <v>20476</v>
      </c>
      <c r="BH1440">
        <v>0</v>
      </c>
      <c r="BI1440">
        <v>0</v>
      </c>
      <c r="BJ1440">
        <v>0</v>
      </c>
      <c r="BK1440">
        <v>0</v>
      </c>
      <c r="BL1440" s="2">
        <v>24.82</v>
      </c>
      <c r="BM1440" s="2">
        <v>42005.095138888886</v>
      </c>
      <c r="BN1440" s="2">
        <v>5.4</v>
      </c>
      <c r="BO1440" s="2">
        <v>42005.092361111114</v>
      </c>
      <c r="BP1440" s="2">
        <v>6.92</v>
      </c>
      <c r="BQ1440" s="2">
        <v>42005.092361111114</v>
      </c>
      <c r="BR1440" s="2">
        <v>11.07</v>
      </c>
      <c r="BS1440" s="2">
        <v>42005.092361111114</v>
      </c>
      <c r="BT1440">
        <v>0</v>
      </c>
      <c r="BU1440">
        <v>0</v>
      </c>
      <c r="BV1440" t="s">
        <v>135</v>
      </c>
      <c r="BW1440">
        <v>0</v>
      </c>
      <c r="BX1440">
        <v>0</v>
      </c>
      <c r="BY1440" t="s">
        <v>135</v>
      </c>
      <c r="BZ1440">
        <v>0</v>
      </c>
      <c r="CA1440">
        <v>0</v>
      </c>
      <c r="CB1440" t="s">
        <v>135</v>
      </c>
      <c r="CH1440" s="2"/>
      <c r="CJ1440" s="2"/>
      <c r="CL1440" s="2"/>
      <c r="CN1440" s="2"/>
      <c r="CQ1440" s="2"/>
      <c r="CT1440" s="2"/>
      <c r="CW1440" s="2"/>
    </row>
    <row r="1441" spans="1:101" x14ac:dyDescent="0.25">
      <c r="A1441" s="1" t="s">
        <v>163</v>
      </c>
      <c r="B1441" s="75" t="s">
        <v>164</v>
      </c>
      <c r="C1441">
        <v>0</v>
      </c>
      <c r="D1441">
        <v>0</v>
      </c>
      <c r="E1441">
        <v>0</v>
      </c>
      <c r="F1441">
        <v>604324.56000000006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3.91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7490</v>
      </c>
      <c r="AW1441">
        <v>3350</v>
      </c>
      <c r="AX1441">
        <v>1219</v>
      </c>
      <c r="AY1441">
        <v>12059</v>
      </c>
      <c r="AZ1441">
        <v>4202</v>
      </c>
      <c r="BA1441">
        <v>7438</v>
      </c>
      <c r="BB1441">
        <v>1432</v>
      </c>
      <c r="BC1441">
        <v>13072</v>
      </c>
      <c r="BD1441">
        <v>9486</v>
      </c>
      <c r="BE1441">
        <v>9222</v>
      </c>
      <c r="BF1441">
        <v>1768</v>
      </c>
      <c r="BG1441">
        <v>20476</v>
      </c>
      <c r="BH1441">
        <v>0</v>
      </c>
      <c r="BI1441">
        <v>0</v>
      </c>
      <c r="BJ1441">
        <v>0</v>
      </c>
      <c r="BK1441">
        <v>0</v>
      </c>
      <c r="BL1441" s="2">
        <v>24.82</v>
      </c>
      <c r="BM1441" s="2">
        <v>42005.095138888886</v>
      </c>
      <c r="BN1441" s="2">
        <v>5.4</v>
      </c>
      <c r="BO1441" s="2">
        <v>42005.092361111114</v>
      </c>
      <c r="BP1441" s="2">
        <v>6.92</v>
      </c>
      <c r="BQ1441" s="2">
        <v>42005.092361111114</v>
      </c>
      <c r="BR1441" s="2">
        <v>11.07</v>
      </c>
      <c r="BS1441" s="2">
        <v>42005.092361111114</v>
      </c>
      <c r="BT1441">
        <v>0</v>
      </c>
      <c r="BU1441">
        <v>0</v>
      </c>
      <c r="BV1441" t="s">
        <v>135</v>
      </c>
      <c r="BW1441">
        <v>0</v>
      </c>
      <c r="BX1441">
        <v>0</v>
      </c>
      <c r="BY1441" t="s">
        <v>135</v>
      </c>
      <c r="BZ1441">
        <v>0</v>
      </c>
      <c r="CA1441">
        <v>0</v>
      </c>
      <c r="CB1441" t="s">
        <v>135</v>
      </c>
      <c r="CH1441" s="2"/>
      <c r="CJ1441" s="2"/>
      <c r="CL1441" s="2"/>
      <c r="CN1441" s="2"/>
      <c r="CQ1441" s="2"/>
      <c r="CT1441" s="2"/>
      <c r="CW1441" s="2"/>
    </row>
    <row r="1442" spans="1:101" x14ac:dyDescent="0.25">
      <c r="A1442" s="1" t="s">
        <v>163</v>
      </c>
      <c r="B1442" s="75" t="s">
        <v>164</v>
      </c>
      <c r="C1442">
        <v>0</v>
      </c>
      <c r="D1442">
        <v>0</v>
      </c>
      <c r="E1442">
        <v>0</v>
      </c>
      <c r="F1442">
        <v>604324.56000000006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3.91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7490</v>
      </c>
      <c r="AW1442">
        <v>3350</v>
      </c>
      <c r="AX1442">
        <v>1219</v>
      </c>
      <c r="AY1442">
        <v>12059</v>
      </c>
      <c r="AZ1442">
        <v>4202</v>
      </c>
      <c r="BA1442">
        <v>7438</v>
      </c>
      <c r="BB1442">
        <v>1432</v>
      </c>
      <c r="BC1442">
        <v>13072</v>
      </c>
      <c r="BD1442">
        <v>9486</v>
      </c>
      <c r="BE1442">
        <v>9222</v>
      </c>
      <c r="BF1442">
        <v>1768</v>
      </c>
      <c r="BG1442">
        <v>20476</v>
      </c>
      <c r="BH1442">
        <v>0</v>
      </c>
      <c r="BI1442">
        <v>0</v>
      </c>
      <c r="BJ1442">
        <v>0</v>
      </c>
      <c r="BK1442">
        <v>0</v>
      </c>
      <c r="BL1442" s="2">
        <v>24.82</v>
      </c>
      <c r="BM1442" s="2">
        <v>42005.095138888886</v>
      </c>
      <c r="BN1442" s="2">
        <v>5.4</v>
      </c>
      <c r="BO1442" s="2">
        <v>42005.092361111114</v>
      </c>
      <c r="BP1442" s="2">
        <v>6.92</v>
      </c>
      <c r="BQ1442" s="2">
        <v>42005.092361111114</v>
      </c>
      <c r="BR1442" s="2">
        <v>11.07</v>
      </c>
      <c r="BS1442" s="2">
        <v>42005.092361111114</v>
      </c>
      <c r="BT1442">
        <v>0</v>
      </c>
      <c r="BU1442">
        <v>0</v>
      </c>
      <c r="BV1442" t="s">
        <v>135</v>
      </c>
      <c r="BW1442">
        <v>0</v>
      </c>
      <c r="BX1442">
        <v>0</v>
      </c>
      <c r="BY1442" t="s">
        <v>135</v>
      </c>
      <c r="BZ1442">
        <v>0</v>
      </c>
      <c r="CA1442">
        <v>0</v>
      </c>
      <c r="CB1442" t="s">
        <v>135</v>
      </c>
      <c r="CH1442" s="2"/>
      <c r="CJ1442" s="2"/>
      <c r="CL1442" s="2"/>
      <c r="CN1442" s="2"/>
      <c r="CQ1442" s="2"/>
      <c r="CT1442" s="2"/>
      <c r="CW1442" s="2"/>
    </row>
    <row r="1443" spans="1:101" x14ac:dyDescent="0.25">
      <c r="A1443" s="1" t="s">
        <v>163</v>
      </c>
      <c r="B1443" s="75" t="s">
        <v>164</v>
      </c>
      <c r="C1443">
        <v>0</v>
      </c>
      <c r="D1443">
        <v>0</v>
      </c>
      <c r="E1443">
        <v>0</v>
      </c>
      <c r="F1443">
        <v>604324.56000000006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3.91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7490</v>
      </c>
      <c r="AW1443">
        <v>3350</v>
      </c>
      <c r="AX1443">
        <v>1219</v>
      </c>
      <c r="AY1443">
        <v>12059</v>
      </c>
      <c r="AZ1443">
        <v>4202</v>
      </c>
      <c r="BA1443">
        <v>7438</v>
      </c>
      <c r="BB1443">
        <v>1432</v>
      </c>
      <c r="BC1443">
        <v>13072</v>
      </c>
      <c r="BD1443">
        <v>9486</v>
      </c>
      <c r="BE1443">
        <v>9222</v>
      </c>
      <c r="BF1443">
        <v>1768</v>
      </c>
      <c r="BG1443">
        <v>20476</v>
      </c>
      <c r="BH1443">
        <v>0</v>
      </c>
      <c r="BI1443">
        <v>0</v>
      </c>
      <c r="BJ1443">
        <v>0</v>
      </c>
      <c r="BK1443">
        <v>0</v>
      </c>
      <c r="BL1443" s="2">
        <v>24.82</v>
      </c>
      <c r="BM1443" s="2">
        <v>42005.095138888886</v>
      </c>
      <c r="BN1443" s="2">
        <v>5.4</v>
      </c>
      <c r="BO1443" s="2">
        <v>42005.092361111114</v>
      </c>
      <c r="BP1443" s="2">
        <v>6.92</v>
      </c>
      <c r="BQ1443" s="2">
        <v>42005.092361111114</v>
      </c>
      <c r="BR1443" s="2">
        <v>11.07</v>
      </c>
      <c r="BS1443" s="2">
        <v>42005.092361111114</v>
      </c>
      <c r="BT1443">
        <v>0</v>
      </c>
      <c r="BU1443">
        <v>0</v>
      </c>
      <c r="BV1443" t="s">
        <v>135</v>
      </c>
      <c r="BW1443">
        <v>0</v>
      </c>
      <c r="BX1443">
        <v>0</v>
      </c>
      <c r="BY1443" t="s">
        <v>135</v>
      </c>
      <c r="BZ1443">
        <v>0</v>
      </c>
      <c r="CA1443">
        <v>0</v>
      </c>
      <c r="CB1443" t="s">
        <v>135</v>
      </c>
      <c r="CH1443" s="2"/>
      <c r="CJ1443" s="2"/>
      <c r="CL1443" s="2"/>
      <c r="CN1443" s="2"/>
      <c r="CQ1443" s="2"/>
      <c r="CT1443" s="2"/>
      <c r="CW1443" s="2"/>
    </row>
    <row r="1444" spans="1:101" x14ac:dyDescent="0.25">
      <c r="A1444" s="1" t="s">
        <v>163</v>
      </c>
      <c r="B1444" s="75" t="s">
        <v>164</v>
      </c>
      <c r="C1444">
        <v>0</v>
      </c>
      <c r="D1444">
        <v>0</v>
      </c>
      <c r="E1444">
        <v>0</v>
      </c>
      <c r="F1444">
        <v>604324.56000000006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3.91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7490</v>
      </c>
      <c r="AW1444">
        <v>3350</v>
      </c>
      <c r="AX1444">
        <v>1219</v>
      </c>
      <c r="AY1444">
        <v>12059</v>
      </c>
      <c r="AZ1444">
        <v>4202</v>
      </c>
      <c r="BA1444">
        <v>7438</v>
      </c>
      <c r="BB1444">
        <v>1432</v>
      </c>
      <c r="BC1444">
        <v>13072</v>
      </c>
      <c r="BD1444">
        <v>9486</v>
      </c>
      <c r="BE1444">
        <v>9222</v>
      </c>
      <c r="BF1444">
        <v>1768</v>
      </c>
      <c r="BG1444">
        <v>20476</v>
      </c>
      <c r="BH1444">
        <v>0</v>
      </c>
      <c r="BI1444">
        <v>0</v>
      </c>
      <c r="BJ1444">
        <v>0</v>
      </c>
      <c r="BK1444">
        <v>0</v>
      </c>
      <c r="BL1444" s="2">
        <v>24.82</v>
      </c>
      <c r="BM1444" s="2">
        <v>42005.095138888886</v>
      </c>
      <c r="BN1444" s="2">
        <v>5.4</v>
      </c>
      <c r="BO1444" s="2">
        <v>42005.092361111114</v>
      </c>
      <c r="BP1444" s="2">
        <v>6.92</v>
      </c>
      <c r="BQ1444" s="2">
        <v>42005.092361111114</v>
      </c>
      <c r="BR1444" s="2">
        <v>11.07</v>
      </c>
      <c r="BS1444" s="2">
        <v>42005.092361111114</v>
      </c>
      <c r="BT1444">
        <v>0</v>
      </c>
      <c r="BU1444">
        <v>0</v>
      </c>
      <c r="BV1444" t="s">
        <v>135</v>
      </c>
      <c r="BW1444">
        <v>0</v>
      </c>
      <c r="BX1444">
        <v>0</v>
      </c>
      <c r="BY1444" t="s">
        <v>135</v>
      </c>
      <c r="BZ1444">
        <v>0</v>
      </c>
      <c r="CA1444">
        <v>0</v>
      </c>
      <c r="CB1444" t="s">
        <v>135</v>
      </c>
      <c r="CH1444" s="2"/>
      <c r="CJ1444" s="2"/>
      <c r="CL1444" s="2"/>
      <c r="CN1444" s="2"/>
      <c r="CQ1444" s="2"/>
      <c r="CT1444" s="2"/>
      <c r="CW1444" s="2"/>
    </row>
    <row r="1445" spans="1:101" x14ac:dyDescent="0.25">
      <c r="A1445" s="1" t="s">
        <v>163</v>
      </c>
      <c r="B1445" s="75" t="s">
        <v>164</v>
      </c>
      <c r="C1445">
        <v>0</v>
      </c>
      <c r="D1445">
        <v>0</v>
      </c>
      <c r="E1445">
        <v>0</v>
      </c>
      <c r="F1445">
        <v>604324.56000000006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3.91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7490</v>
      </c>
      <c r="AW1445">
        <v>3350</v>
      </c>
      <c r="AX1445">
        <v>1219</v>
      </c>
      <c r="AY1445">
        <v>12059</v>
      </c>
      <c r="AZ1445">
        <v>4202</v>
      </c>
      <c r="BA1445">
        <v>7438</v>
      </c>
      <c r="BB1445">
        <v>1432</v>
      </c>
      <c r="BC1445">
        <v>13072</v>
      </c>
      <c r="BD1445">
        <v>9486</v>
      </c>
      <c r="BE1445">
        <v>9222</v>
      </c>
      <c r="BF1445">
        <v>1768</v>
      </c>
      <c r="BG1445">
        <v>20476</v>
      </c>
      <c r="BH1445">
        <v>0</v>
      </c>
      <c r="BI1445">
        <v>0</v>
      </c>
      <c r="BJ1445">
        <v>0</v>
      </c>
      <c r="BK1445">
        <v>0</v>
      </c>
      <c r="BL1445" s="2">
        <v>24.82</v>
      </c>
      <c r="BM1445" s="2">
        <v>42005.095138888886</v>
      </c>
      <c r="BN1445" s="2">
        <v>5.4</v>
      </c>
      <c r="BO1445" s="2">
        <v>42005.092361111114</v>
      </c>
      <c r="BP1445" s="2">
        <v>6.92</v>
      </c>
      <c r="BQ1445" s="2">
        <v>42005.092361111114</v>
      </c>
      <c r="BR1445" s="2">
        <v>11.07</v>
      </c>
      <c r="BS1445" s="2">
        <v>42005.092361111114</v>
      </c>
      <c r="BT1445">
        <v>0</v>
      </c>
      <c r="BU1445">
        <v>0</v>
      </c>
      <c r="BV1445" t="s">
        <v>135</v>
      </c>
      <c r="BW1445">
        <v>0</v>
      </c>
      <c r="BX1445">
        <v>0</v>
      </c>
      <c r="BY1445" t="s">
        <v>135</v>
      </c>
      <c r="BZ1445">
        <v>0</v>
      </c>
      <c r="CA1445">
        <v>0</v>
      </c>
      <c r="CB1445" t="s">
        <v>135</v>
      </c>
      <c r="CH1445" s="2"/>
      <c r="CJ1445" s="2"/>
      <c r="CL1445" s="2"/>
      <c r="CN1445" s="2"/>
      <c r="CQ1445" s="2"/>
      <c r="CT1445" s="2"/>
      <c r="CW1445" s="2"/>
    </row>
    <row r="1446" spans="1:101" x14ac:dyDescent="0.25">
      <c r="A1446" s="1" t="s">
        <v>163</v>
      </c>
      <c r="B1446" s="75" t="s">
        <v>164</v>
      </c>
      <c r="C1446">
        <v>0</v>
      </c>
      <c r="D1446">
        <v>0</v>
      </c>
      <c r="E1446">
        <v>0</v>
      </c>
      <c r="F1446">
        <v>604324.56000000006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3.91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7490</v>
      </c>
      <c r="AW1446">
        <v>3350</v>
      </c>
      <c r="AX1446">
        <v>1219</v>
      </c>
      <c r="AY1446">
        <v>12059</v>
      </c>
      <c r="AZ1446">
        <v>4202</v>
      </c>
      <c r="BA1446">
        <v>7438</v>
      </c>
      <c r="BB1446">
        <v>1432</v>
      </c>
      <c r="BC1446">
        <v>13072</v>
      </c>
      <c r="BD1446">
        <v>9486</v>
      </c>
      <c r="BE1446">
        <v>9222</v>
      </c>
      <c r="BF1446">
        <v>1768</v>
      </c>
      <c r="BG1446">
        <v>20476</v>
      </c>
      <c r="BH1446">
        <v>0</v>
      </c>
      <c r="BI1446">
        <v>0</v>
      </c>
      <c r="BJ1446">
        <v>0</v>
      </c>
      <c r="BK1446">
        <v>0</v>
      </c>
      <c r="BL1446" s="2">
        <v>24.82</v>
      </c>
      <c r="BM1446" s="2">
        <v>42005.095138888886</v>
      </c>
      <c r="BN1446" s="2">
        <v>5.4</v>
      </c>
      <c r="BO1446" s="2">
        <v>42005.092361111114</v>
      </c>
      <c r="BP1446" s="2">
        <v>6.92</v>
      </c>
      <c r="BQ1446" s="2">
        <v>42005.092361111114</v>
      </c>
      <c r="BR1446" s="2">
        <v>11.07</v>
      </c>
      <c r="BS1446" s="2">
        <v>42005.092361111114</v>
      </c>
      <c r="BT1446">
        <v>0</v>
      </c>
      <c r="BU1446">
        <v>0</v>
      </c>
      <c r="BV1446" t="s">
        <v>135</v>
      </c>
      <c r="BW1446">
        <v>0</v>
      </c>
      <c r="BX1446">
        <v>0</v>
      </c>
      <c r="BY1446" t="s">
        <v>135</v>
      </c>
      <c r="BZ1446">
        <v>0</v>
      </c>
      <c r="CA1446">
        <v>0</v>
      </c>
      <c r="CB1446" t="s">
        <v>135</v>
      </c>
      <c r="CH1446" s="2"/>
      <c r="CJ1446" s="2"/>
      <c r="CL1446" s="2"/>
      <c r="CN1446" s="2"/>
      <c r="CQ1446" s="2"/>
      <c r="CT1446" s="2"/>
      <c r="CW1446" s="2"/>
    </row>
    <row r="1447" spans="1:101" x14ac:dyDescent="0.25">
      <c r="A1447" s="1" t="s">
        <v>163</v>
      </c>
      <c r="B1447" s="75" t="s">
        <v>164</v>
      </c>
      <c r="C1447">
        <v>0</v>
      </c>
      <c r="D1447">
        <v>0</v>
      </c>
      <c r="E1447">
        <v>0</v>
      </c>
      <c r="F1447">
        <v>604324.56000000006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3.91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7490</v>
      </c>
      <c r="AW1447">
        <v>3350</v>
      </c>
      <c r="AX1447">
        <v>1219</v>
      </c>
      <c r="AY1447">
        <v>12059</v>
      </c>
      <c r="AZ1447">
        <v>4202</v>
      </c>
      <c r="BA1447">
        <v>7438</v>
      </c>
      <c r="BB1447">
        <v>1432</v>
      </c>
      <c r="BC1447">
        <v>13072</v>
      </c>
      <c r="BD1447">
        <v>9486</v>
      </c>
      <c r="BE1447">
        <v>9222</v>
      </c>
      <c r="BF1447">
        <v>1768</v>
      </c>
      <c r="BG1447">
        <v>20476</v>
      </c>
      <c r="BH1447">
        <v>0</v>
      </c>
      <c r="BI1447">
        <v>0</v>
      </c>
      <c r="BJ1447">
        <v>0</v>
      </c>
      <c r="BK1447">
        <v>0</v>
      </c>
      <c r="BL1447" s="2">
        <v>24.82</v>
      </c>
      <c r="BM1447" s="2">
        <v>42005.095138888886</v>
      </c>
      <c r="BN1447" s="2">
        <v>5.4</v>
      </c>
      <c r="BO1447" s="2">
        <v>42005.092361111114</v>
      </c>
      <c r="BP1447" s="2">
        <v>6.92</v>
      </c>
      <c r="BQ1447" s="2">
        <v>42005.092361111114</v>
      </c>
      <c r="BR1447" s="2">
        <v>11.07</v>
      </c>
      <c r="BS1447" s="2">
        <v>42005.092361111114</v>
      </c>
      <c r="BT1447">
        <v>0</v>
      </c>
      <c r="BU1447">
        <v>0</v>
      </c>
      <c r="BV1447" t="s">
        <v>135</v>
      </c>
      <c r="BW1447">
        <v>0</v>
      </c>
      <c r="BX1447">
        <v>0</v>
      </c>
      <c r="BY1447" t="s">
        <v>135</v>
      </c>
      <c r="BZ1447">
        <v>0</v>
      </c>
      <c r="CA1447">
        <v>0</v>
      </c>
      <c r="CB1447" t="s">
        <v>135</v>
      </c>
      <c r="CH1447" s="2"/>
      <c r="CJ1447" s="2"/>
      <c r="CL1447" s="2"/>
      <c r="CN1447" s="2"/>
      <c r="CQ1447" s="2"/>
      <c r="CT1447" s="2"/>
      <c r="CW1447" s="2"/>
    </row>
    <row r="1448" spans="1:101" x14ac:dyDescent="0.25">
      <c r="A1448" s="1" t="s">
        <v>163</v>
      </c>
      <c r="B1448" s="75" t="s">
        <v>164</v>
      </c>
      <c r="C1448">
        <v>0</v>
      </c>
      <c r="D1448">
        <v>0</v>
      </c>
      <c r="E1448">
        <v>0</v>
      </c>
      <c r="F1448">
        <v>604324.56000000006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3.91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7490</v>
      </c>
      <c r="AW1448">
        <v>3350</v>
      </c>
      <c r="AX1448">
        <v>1219</v>
      </c>
      <c r="AY1448">
        <v>12059</v>
      </c>
      <c r="AZ1448">
        <v>4202</v>
      </c>
      <c r="BA1448">
        <v>7438</v>
      </c>
      <c r="BB1448">
        <v>1432</v>
      </c>
      <c r="BC1448">
        <v>13072</v>
      </c>
      <c r="BD1448">
        <v>9486</v>
      </c>
      <c r="BE1448">
        <v>9222</v>
      </c>
      <c r="BF1448">
        <v>1768</v>
      </c>
      <c r="BG1448">
        <v>20476</v>
      </c>
      <c r="BH1448">
        <v>0</v>
      </c>
      <c r="BI1448">
        <v>0</v>
      </c>
      <c r="BJ1448">
        <v>0</v>
      </c>
      <c r="BK1448">
        <v>0</v>
      </c>
      <c r="BL1448" s="2">
        <v>24.82</v>
      </c>
      <c r="BM1448" s="2">
        <v>42005.095138888886</v>
      </c>
      <c r="BN1448" s="2">
        <v>5.4</v>
      </c>
      <c r="BO1448" s="2">
        <v>42005.092361111114</v>
      </c>
      <c r="BP1448" s="2">
        <v>6.92</v>
      </c>
      <c r="BQ1448" s="2">
        <v>42005.092361111114</v>
      </c>
      <c r="BR1448" s="2">
        <v>11.07</v>
      </c>
      <c r="BS1448" s="2">
        <v>42005.092361111114</v>
      </c>
      <c r="BT1448">
        <v>0</v>
      </c>
      <c r="BU1448">
        <v>0</v>
      </c>
      <c r="BV1448" t="s">
        <v>135</v>
      </c>
      <c r="BW1448">
        <v>0</v>
      </c>
      <c r="BX1448">
        <v>0</v>
      </c>
      <c r="BY1448" t="s">
        <v>135</v>
      </c>
      <c r="BZ1448">
        <v>0</v>
      </c>
      <c r="CA1448">
        <v>0</v>
      </c>
      <c r="CB1448" t="s">
        <v>135</v>
      </c>
      <c r="CH1448" s="2"/>
      <c r="CJ1448" s="2"/>
      <c r="CL1448" s="2"/>
      <c r="CN1448" s="2"/>
      <c r="CQ1448" s="2"/>
      <c r="CT1448" s="2"/>
      <c r="CW1448" s="2"/>
    </row>
    <row r="1449" spans="1:101" x14ac:dyDescent="0.25">
      <c r="A1449" s="1" t="s">
        <v>163</v>
      </c>
      <c r="B1449" s="75" t="s">
        <v>164</v>
      </c>
      <c r="C1449">
        <v>0</v>
      </c>
      <c r="D1449">
        <v>0</v>
      </c>
      <c r="E1449">
        <v>0</v>
      </c>
      <c r="F1449">
        <v>604324.56000000006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3.91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7490</v>
      </c>
      <c r="AW1449">
        <v>3350</v>
      </c>
      <c r="AX1449">
        <v>1219</v>
      </c>
      <c r="AY1449">
        <v>12059</v>
      </c>
      <c r="AZ1449">
        <v>4202</v>
      </c>
      <c r="BA1449">
        <v>7438</v>
      </c>
      <c r="BB1449">
        <v>1432</v>
      </c>
      <c r="BC1449">
        <v>13072</v>
      </c>
      <c r="BD1449">
        <v>9486</v>
      </c>
      <c r="BE1449">
        <v>9222</v>
      </c>
      <c r="BF1449">
        <v>1768</v>
      </c>
      <c r="BG1449">
        <v>20476</v>
      </c>
      <c r="BH1449">
        <v>0</v>
      </c>
      <c r="BI1449">
        <v>0</v>
      </c>
      <c r="BJ1449">
        <v>0</v>
      </c>
      <c r="BK1449">
        <v>0</v>
      </c>
      <c r="BL1449" s="2">
        <v>24.82</v>
      </c>
      <c r="BM1449" s="2">
        <v>42005.095138888886</v>
      </c>
      <c r="BN1449" s="2">
        <v>5.4</v>
      </c>
      <c r="BO1449" s="2">
        <v>42005.092361111114</v>
      </c>
      <c r="BP1449" s="2">
        <v>6.92</v>
      </c>
      <c r="BQ1449" s="2">
        <v>42005.092361111114</v>
      </c>
      <c r="BR1449" s="2">
        <v>11.07</v>
      </c>
      <c r="BS1449" s="2">
        <v>42005.092361111114</v>
      </c>
      <c r="BT1449">
        <v>0</v>
      </c>
      <c r="BU1449">
        <v>0</v>
      </c>
      <c r="BV1449" t="s">
        <v>135</v>
      </c>
      <c r="BW1449">
        <v>0</v>
      </c>
      <c r="BX1449">
        <v>0</v>
      </c>
      <c r="BY1449" t="s">
        <v>135</v>
      </c>
      <c r="BZ1449">
        <v>0</v>
      </c>
      <c r="CA1449">
        <v>0</v>
      </c>
      <c r="CB1449" t="s">
        <v>135</v>
      </c>
      <c r="CH1449" s="2"/>
      <c r="CJ1449" s="2"/>
      <c r="CL1449" s="2"/>
      <c r="CN1449" s="2"/>
      <c r="CQ1449" s="2"/>
      <c r="CT1449" s="2"/>
      <c r="CW1449" s="2"/>
    </row>
    <row r="1450" spans="1:101" x14ac:dyDescent="0.25">
      <c r="A1450" s="1" t="s">
        <v>163</v>
      </c>
      <c r="B1450" s="75" t="s">
        <v>164</v>
      </c>
      <c r="C1450">
        <v>0</v>
      </c>
      <c r="D1450">
        <v>0</v>
      </c>
      <c r="E1450">
        <v>0</v>
      </c>
      <c r="F1450">
        <v>604324.56000000006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3.91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7490</v>
      </c>
      <c r="AW1450">
        <v>3350</v>
      </c>
      <c r="AX1450">
        <v>1219</v>
      </c>
      <c r="AY1450">
        <v>12059</v>
      </c>
      <c r="AZ1450">
        <v>4202</v>
      </c>
      <c r="BA1450">
        <v>7438</v>
      </c>
      <c r="BB1450">
        <v>1432</v>
      </c>
      <c r="BC1450">
        <v>13072</v>
      </c>
      <c r="BD1450">
        <v>9486</v>
      </c>
      <c r="BE1450">
        <v>9222</v>
      </c>
      <c r="BF1450">
        <v>1768</v>
      </c>
      <c r="BG1450">
        <v>20476</v>
      </c>
      <c r="BH1450">
        <v>0</v>
      </c>
      <c r="BI1450">
        <v>0</v>
      </c>
      <c r="BJ1450">
        <v>0</v>
      </c>
      <c r="BK1450">
        <v>0</v>
      </c>
      <c r="BL1450" s="2">
        <v>24.82</v>
      </c>
      <c r="BM1450" s="2">
        <v>42005.095138888886</v>
      </c>
      <c r="BN1450" s="2">
        <v>5.4</v>
      </c>
      <c r="BO1450" s="2">
        <v>42005.092361111114</v>
      </c>
      <c r="BP1450" s="2">
        <v>6.92</v>
      </c>
      <c r="BQ1450" s="2">
        <v>42005.092361111114</v>
      </c>
      <c r="BR1450" s="2">
        <v>11.07</v>
      </c>
      <c r="BS1450" s="2">
        <v>42005.092361111114</v>
      </c>
      <c r="BT1450">
        <v>0</v>
      </c>
      <c r="BU1450">
        <v>0</v>
      </c>
      <c r="BV1450" t="s">
        <v>135</v>
      </c>
      <c r="BW1450">
        <v>0</v>
      </c>
      <c r="BX1450">
        <v>0</v>
      </c>
      <c r="BY1450" t="s">
        <v>135</v>
      </c>
      <c r="BZ1450">
        <v>0</v>
      </c>
      <c r="CA1450">
        <v>0</v>
      </c>
      <c r="CB1450" t="s">
        <v>135</v>
      </c>
      <c r="CH1450" s="2"/>
      <c r="CJ1450" s="2"/>
      <c r="CL1450" s="2"/>
      <c r="CN1450" s="2"/>
      <c r="CQ1450" s="2"/>
      <c r="CT1450" s="2"/>
      <c r="CW1450" s="2"/>
    </row>
    <row r="1451" spans="1:101" x14ac:dyDescent="0.25">
      <c r="A1451" s="1" t="s">
        <v>163</v>
      </c>
      <c r="B1451" s="75" t="s">
        <v>164</v>
      </c>
      <c r="C1451">
        <v>0</v>
      </c>
      <c r="D1451">
        <v>0</v>
      </c>
      <c r="E1451">
        <v>0</v>
      </c>
      <c r="F1451">
        <v>604324.56000000006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3.91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7490</v>
      </c>
      <c r="AW1451">
        <v>3350</v>
      </c>
      <c r="AX1451">
        <v>1219</v>
      </c>
      <c r="AY1451">
        <v>12059</v>
      </c>
      <c r="AZ1451">
        <v>4202</v>
      </c>
      <c r="BA1451">
        <v>7438</v>
      </c>
      <c r="BB1451">
        <v>1432</v>
      </c>
      <c r="BC1451">
        <v>13072</v>
      </c>
      <c r="BD1451">
        <v>9486</v>
      </c>
      <c r="BE1451">
        <v>9222</v>
      </c>
      <c r="BF1451">
        <v>1768</v>
      </c>
      <c r="BG1451">
        <v>20476</v>
      </c>
      <c r="BH1451">
        <v>0</v>
      </c>
      <c r="BI1451">
        <v>0</v>
      </c>
      <c r="BJ1451">
        <v>0</v>
      </c>
      <c r="BK1451">
        <v>0</v>
      </c>
      <c r="BL1451" s="2">
        <v>24.82</v>
      </c>
      <c r="BM1451" s="2">
        <v>42005.095138888886</v>
      </c>
      <c r="BN1451" s="2">
        <v>5.4</v>
      </c>
      <c r="BO1451" s="2">
        <v>42005.092361111114</v>
      </c>
      <c r="BP1451" s="2">
        <v>6.92</v>
      </c>
      <c r="BQ1451" s="2">
        <v>42005.092361111114</v>
      </c>
      <c r="BR1451" s="2">
        <v>11.07</v>
      </c>
      <c r="BS1451" s="2">
        <v>42005.092361111114</v>
      </c>
      <c r="BT1451">
        <v>0</v>
      </c>
      <c r="BU1451">
        <v>0</v>
      </c>
      <c r="BV1451" t="s">
        <v>135</v>
      </c>
      <c r="BW1451">
        <v>0</v>
      </c>
      <c r="BX1451">
        <v>0</v>
      </c>
      <c r="BY1451" t="s">
        <v>135</v>
      </c>
      <c r="BZ1451">
        <v>0</v>
      </c>
      <c r="CA1451">
        <v>0</v>
      </c>
      <c r="CB1451" t="s">
        <v>135</v>
      </c>
      <c r="CH1451" s="2"/>
      <c r="CJ1451" s="2"/>
      <c r="CL1451" s="2"/>
      <c r="CN1451" s="2"/>
      <c r="CQ1451" s="2"/>
      <c r="CT1451" s="2"/>
      <c r="CW1451" s="2"/>
    </row>
    <row r="1452" spans="1:101" x14ac:dyDescent="0.25">
      <c r="A1452" s="1" t="s">
        <v>163</v>
      </c>
      <c r="B1452" s="75" t="s">
        <v>164</v>
      </c>
      <c r="C1452">
        <v>0</v>
      </c>
      <c r="D1452">
        <v>0</v>
      </c>
      <c r="E1452">
        <v>0</v>
      </c>
      <c r="F1452">
        <v>604324.56000000006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3.91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7490</v>
      </c>
      <c r="AW1452">
        <v>3350</v>
      </c>
      <c r="AX1452">
        <v>1219</v>
      </c>
      <c r="AY1452">
        <v>12059</v>
      </c>
      <c r="AZ1452">
        <v>4202</v>
      </c>
      <c r="BA1452">
        <v>7438</v>
      </c>
      <c r="BB1452">
        <v>1432</v>
      </c>
      <c r="BC1452">
        <v>13072</v>
      </c>
      <c r="BD1452">
        <v>9486</v>
      </c>
      <c r="BE1452">
        <v>9222</v>
      </c>
      <c r="BF1452">
        <v>1768</v>
      </c>
      <c r="BG1452">
        <v>20476</v>
      </c>
      <c r="BH1452">
        <v>0</v>
      </c>
      <c r="BI1452">
        <v>0</v>
      </c>
      <c r="BJ1452">
        <v>0</v>
      </c>
      <c r="BK1452">
        <v>0</v>
      </c>
      <c r="BL1452" s="2">
        <v>24.82</v>
      </c>
      <c r="BM1452" s="2">
        <v>42005.095138888886</v>
      </c>
      <c r="BN1452" s="2">
        <v>5.4</v>
      </c>
      <c r="BO1452" s="2">
        <v>42005.092361111114</v>
      </c>
      <c r="BP1452" s="2">
        <v>6.92</v>
      </c>
      <c r="BQ1452" s="2">
        <v>42005.092361111114</v>
      </c>
      <c r="BR1452" s="2">
        <v>11.07</v>
      </c>
      <c r="BS1452" s="2">
        <v>42005.092361111114</v>
      </c>
      <c r="BT1452">
        <v>0</v>
      </c>
      <c r="BU1452">
        <v>0</v>
      </c>
      <c r="BV1452" t="s">
        <v>135</v>
      </c>
      <c r="BW1452">
        <v>0</v>
      </c>
      <c r="BX1452">
        <v>0</v>
      </c>
      <c r="BY1452" t="s">
        <v>135</v>
      </c>
      <c r="BZ1452">
        <v>0</v>
      </c>
      <c r="CA1452">
        <v>0</v>
      </c>
      <c r="CB1452" t="s">
        <v>135</v>
      </c>
      <c r="CH1452" s="2"/>
      <c r="CJ1452" s="2"/>
      <c r="CL1452" s="2"/>
      <c r="CN1452" s="2"/>
      <c r="CQ1452" s="2"/>
      <c r="CT1452" s="2"/>
      <c r="CW1452" s="2"/>
    </row>
    <row r="1453" spans="1:101" x14ac:dyDescent="0.25">
      <c r="A1453" s="1" t="s">
        <v>163</v>
      </c>
      <c r="B1453" s="75" t="s">
        <v>164</v>
      </c>
      <c r="C1453">
        <v>0</v>
      </c>
      <c r="D1453">
        <v>0</v>
      </c>
      <c r="E1453">
        <v>0</v>
      </c>
      <c r="F1453">
        <v>604324.56000000006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3.91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7490</v>
      </c>
      <c r="AW1453">
        <v>3350</v>
      </c>
      <c r="AX1453">
        <v>1219</v>
      </c>
      <c r="AY1453">
        <v>12059</v>
      </c>
      <c r="AZ1453">
        <v>4202</v>
      </c>
      <c r="BA1453">
        <v>7438</v>
      </c>
      <c r="BB1453">
        <v>1432</v>
      </c>
      <c r="BC1453">
        <v>13072</v>
      </c>
      <c r="BD1453">
        <v>9486</v>
      </c>
      <c r="BE1453">
        <v>9222</v>
      </c>
      <c r="BF1453">
        <v>1768</v>
      </c>
      <c r="BG1453">
        <v>20476</v>
      </c>
      <c r="BH1453">
        <v>0</v>
      </c>
      <c r="BI1453">
        <v>0</v>
      </c>
      <c r="BJ1453">
        <v>0</v>
      </c>
      <c r="BK1453">
        <v>0</v>
      </c>
      <c r="BL1453" s="2">
        <v>24.82</v>
      </c>
      <c r="BM1453" s="2">
        <v>42005.095138888886</v>
      </c>
      <c r="BN1453" s="2">
        <v>5.4</v>
      </c>
      <c r="BO1453" s="2">
        <v>42005.092361111114</v>
      </c>
      <c r="BP1453" s="2">
        <v>6.92</v>
      </c>
      <c r="BQ1453" s="2">
        <v>42005.092361111114</v>
      </c>
      <c r="BR1453" s="2">
        <v>11.07</v>
      </c>
      <c r="BS1453" s="2">
        <v>42005.092361111114</v>
      </c>
      <c r="BT1453">
        <v>0</v>
      </c>
      <c r="BU1453">
        <v>0</v>
      </c>
      <c r="BV1453" t="s">
        <v>135</v>
      </c>
      <c r="BW1453">
        <v>0</v>
      </c>
      <c r="BX1453">
        <v>0</v>
      </c>
      <c r="BY1453" t="s">
        <v>135</v>
      </c>
      <c r="BZ1453">
        <v>0</v>
      </c>
      <c r="CA1453">
        <v>0</v>
      </c>
      <c r="CB1453" t="s">
        <v>135</v>
      </c>
      <c r="CH1453" s="2"/>
      <c r="CJ1453" s="2"/>
      <c r="CL1453" s="2"/>
      <c r="CN1453" s="2"/>
      <c r="CQ1453" s="2"/>
      <c r="CT1453" s="2"/>
      <c r="CW1453" s="2"/>
    </row>
    <row r="1454" spans="1:101" x14ac:dyDescent="0.25">
      <c r="A1454" s="1" t="s">
        <v>163</v>
      </c>
      <c r="B1454" s="75" t="s">
        <v>164</v>
      </c>
      <c r="C1454">
        <v>0</v>
      </c>
      <c r="D1454">
        <v>0</v>
      </c>
      <c r="E1454">
        <v>0</v>
      </c>
      <c r="F1454">
        <v>604324.56000000006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3.91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7490</v>
      </c>
      <c r="AW1454">
        <v>3350</v>
      </c>
      <c r="AX1454">
        <v>1219</v>
      </c>
      <c r="AY1454">
        <v>12059</v>
      </c>
      <c r="AZ1454">
        <v>4202</v>
      </c>
      <c r="BA1454">
        <v>7438</v>
      </c>
      <c r="BB1454">
        <v>1432</v>
      </c>
      <c r="BC1454">
        <v>13072</v>
      </c>
      <c r="BD1454">
        <v>9486</v>
      </c>
      <c r="BE1454">
        <v>9222</v>
      </c>
      <c r="BF1454">
        <v>1768</v>
      </c>
      <c r="BG1454">
        <v>20476</v>
      </c>
      <c r="BH1454">
        <v>0</v>
      </c>
      <c r="BI1454">
        <v>0</v>
      </c>
      <c r="BJ1454">
        <v>0</v>
      </c>
      <c r="BK1454">
        <v>0</v>
      </c>
      <c r="BL1454" s="2">
        <v>24.82</v>
      </c>
      <c r="BM1454" s="2">
        <v>42005.095138888886</v>
      </c>
      <c r="BN1454" s="2">
        <v>5.4</v>
      </c>
      <c r="BO1454" s="2">
        <v>42005.092361111114</v>
      </c>
      <c r="BP1454" s="2">
        <v>6.92</v>
      </c>
      <c r="BQ1454" s="2">
        <v>42005.092361111114</v>
      </c>
      <c r="BR1454" s="2">
        <v>11.07</v>
      </c>
      <c r="BS1454" s="2">
        <v>42005.092361111114</v>
      </c>
      <c r="BT1454">
        <v>0</v>
      </c>
      <c r="BU1454">
        <v>0</v>
      </c>
      <c r="BV1454" t="s">
        <v>135</v>
      </c>
      <c r="BW1454">
        <v>0</v>
      </c>
      <c r="BX1454">
        <v>0</v>
      </c>
      <c r="BY1454" t="s">
        <v>135</v>
      </c>
      <c r="BZ1454">
        <v>0</v>
      </c>
      <c r="CA1454">
        <v>0</v>
      </c>
      <c r="CB1454" t="s">
        <v>135</v>
      </c>
      <c r="CH1454" s="2"/>
      <c r="CJ1454" s="2"/>
      <c r="CL1454" s="2"/>
      <c r="CN1454" s="2"/>
      <c r="CQ1454" s="2"/>
      <c r="CT1454" s="2"/>
      <c r="CW1454" s="2"/>
    </row>
    <row r="1455" spans="1:101" x14ac:dyDescent="0.25">
      <c r="A1455" s="1" t="s">
        <v>163</v>
      </c>
      <c r="B1455" s="75" t="s">
        <v>164</v>
      </c>
      <c r="C1455">
        <v>0</v>
      </c>
      <c r="D1455">
        <v>0</v>
      </c>
      <c r="E1455">
        <v>0</v>
      </c>
      <c r="F1455">
        <v>604324.56000000006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3.91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7490</v>
      </c>
      <c r="AW1455">
        <v>3350</v>
      </c>
      <c r="AX1455">
        <v>1219</v>
      </c>
      <c r="AY1455">
        <v>12059</v>
      </c>
      <c r="AZ1455">
        <v>4202</v>
      </c>
      <c r="BA1455">
        <v>7438</v>
      </c>
      <c r="BB1455">
        <v>1432</v>
      </c>
      <c r="BC1455">
        <v>13072</v>
      </c>
      <c r="BD1455">
        <v>9486</v>
      </c>
      <c r="BE1455">
        <v>9222</v>
      </c>
      <c r="BF1455">
        <v>1768</v>
      </c>
      <c r="BG1455">
        <v>20476</v>
      </c>
      <c r="BH1455">
        <v>0</v>
      </c>
      <c r="BI1455">
        <v>0</v>
      </c>
      <c r="BJ1455">
        <v>0</v>
      </c>
      <c r="BK1455">
        <v>0</v>
      </c>
      <c r="BL1455" s="2">
        <v>24.82</v>
      </c>
      <c r="BM1455" s="2">
        <v>42005.095138888886</v>
      </c>
      <c r="BN1455" s="2">
        <v>5.4</v>
      </c>
      <c r="BO1455" s="2">
        <v>42005.092361111114</v>
      </c>
      <c r="BP1455" s="2">
        <v>6.92</v>
      </c>
      <c r="BQ1455" s="2">
        <v>42005.092361111114</v>
      </c>
      <c r="BR1455" s="2">
        <v>11.07</v>
      </c>
      <c r="BS1455" s="2">
        <v>42005.092361111114</v>
      </c>
      <c r="BT1455">
        <v>0</v>
      </c>
      <c r="BU1455">
        <v>0</v>
      </c>
      <c r="BV1455" t="s">
        <v>135</v>
      </c>
      <c r="BW1455">
        <v>0</v>
      </c>
      <c r="BX1455">
        <v>0</v>
      </c>
      <c r="BY1455" t="s">
        <v>135</v>
      </c>
      <c r="BZ1455">
        <v>0</v>
      </c>
      <c r="CA1455">
        <v>0</v>
      </c>
      <c r="CB1455" t="s">
        <v>135</v>
      </c>
      <c r="CH1455" s="2"/>
      <c r="CJ1455" s="2"/>
      <c r="CL1455" s="2"/>
      <c r="CN1455" s="2"/>
      <c r="CQ1455" s="2"/>
      <c r="CT1455" s="2"/>
      <c r="CW1455" s="2"/>
    </row>
    <row r="1456" spans="1:101" x14ac:dyDescent="0.25">
      <c r="A1456" s="1" t="s">
        <v>163</v>
      </c>
      <c r="B1456" s="75" t="s">
        <v>164</v>
      </c>
      <c r="C1456">
        <v>0</v>
      </c>
      <c r="D1456">
        <v>0</v>
      </c>
      <c r="E1456">
        <v>0</v>
      </c>
      <c r="F1456">
        <v>604324.56000000006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3.91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7490</v>
      </c>
      <c r="AW1456">
        <v>3350</v>
      </c>
      <c r="AX1456">
        <v>1219</v>
      </c>
      <c r="AY1456">
        <v>12059</v>
      </c>
      <c r="AZ1456">
        <v>4202</v>
      </c>
      <c r="BA1456">
        <v>7438</v>
      </c>
      <c r="BB1456">
        <v>1432</v>
      </c>
      <c r="BC1456">
        <v>13072</v>
      </c>
      <c r="BD1456">
        <v>9486</v>
      </c>
      <c r="BE1456">
        <v>9222</v>
      </c>
      <c r="BF1456">
        <v>1768</v>
      </c>
      <c r="BG1456">
        <v>20476</v>
      </c>
      <c r="BH1456">
        <v>0</v>
      </c>
      <c r="BI1456">
        <v>0</v>
      </c>
      <c r="BJ1456">
        <v>0</v>
      </c>
      <c r="BK1456">
        <v>0</v>
      </c>
      <c r="BL1456" s="2">
        <v>24.82</v>
      </c>
      <c r="BM1456" s="2">
        <v>42005.095138888886</v>
      </c>
      <c r="BN1456" s="2">
        <v>5.4</v>
      </c>
      <c r="BO1456" s="2">
        <v>42005.092361111114</v>
      </c>
      <c r="BP1456" s="2">
        <v>6.92</v>
      </c>
      <c r="BQ1456" s="2">
        <v>42005.092361111114</v>
      </c>
      <c r="BR1456" s="2">
        <v>11.07</v>
      </c>
      <c r="BS1456" s="2">
        <v>42005.092361111114</v>
      </c>
      <c r="BT1456">
        <v>0</v>
      </c>
      <c r="BU1456">
        <v>0</v>
      </c>
      <c r="BV1456" t="s">
        <v>135</v>
      </c>
      <c r="BW1456">
        <v>0</v>
      </c>
      <c r="BX1456">
        <v>0</v>
      </c>
      <c r="BY1456" t="s">
        <v>135</v>
      </c>
      <c r="BZ1456">
        <v>0</v>
      </c>
      <c r="CA1456">
        <v>0</v>
      </c>
      <c r="CB1456" t="s">
        <v>135</v>
      </c>
      <c r="CH1456" s="2"/>
      <c r="CJ1456" s="2"/>
      <c r="CL1456" s="2"/>
      <c r="CN1456" s="2"/>
      <c r="CQ1456" s="2"/>
      <c r="CT1456" s="2"/>
      <c r="CW1456" s="2"/>
    </row>
    <row r="1457" spans="1:101" x14ac:dyDescent="0.25">
      <c r="A1457" s="1" t="s">
        <v>163</v>
      </c>
      <c r="B1457" s="75" t="s">
        <v>164</v>
      </c>
      <c r="C1457">
        <v>0</v>
      </c>
      <c r="D1457">
        <v>0</v>
      </c>
      <c r="E1457">
        <v>0</v>
      </c>
      <c r="F1457">
        <v>604324.56000000006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3.91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7490</v>
      </c>
      <c r="AW1457">
        <v>3350</v>
      </c>
      <c r="AX1457">
        <v>1219</v>
      </c>
      <c r="AY1457">
        <v>12059</v>
      </c>
      <c r="AZ1457">
        <v>4202</v>
      </c>
      <c r="BA1457">
        <v>7438</v>
      </c>
      <c r="BB1457">
        <v>1432</v>
      </c>
      <c r="BC1457">
        <v>13072</v>
      </c>
      <c r="BD1457">
        <v>9486</v>
      </c>
      <c r="BE1457">
        <v>9222</v>
      </c>
      <c r="BF1457">
        <v>1768</v>
      </c>
      <c r="BG1457">
        <v>20476</v>
      </c>
      <c r="BH1457">
        <v>0</v>
      </c>
      <c r="BI1457">
        <v>0</v>
      </c>
      <c r="BJ1457">
        <v>0</v>
      </c>
      <c r="BK1457">
        <v>0</v>
      </c>
      <c r="BL1457" s="2">
        <v>24.82</v>
      </c>
      <c r="BM1457" s="2">
        <v>42005.095138888886</v>
      </c>
      <c r="BN1457" s="2">
        <v>5.4</v>
      </c>
      <c r="BO1457" s="2">
        <v>42005.092361111114</v>
      </c>
      <c r="BP1457" s="2">
        <v>6.92</v>
      </c>
      <c r="BQ1457" s="2">
        <v>42005.092361111114</v>
      </c>
      <c r="BR1457" s="2">
        <v>11.07</v>
      </c>
      <c r="BS1457" s="2">
        <v>42005.092361111114</v>
      </c>
      <c r="BT1457">
        <v>0</v>
      </c>
      <c r="BU1457">
        <v>0</v>
      </c>
      <c r="BV1457" t="s">
        <v>135</v>
      </c>
      <c r="BW1457">
        <v>0</v>
      </c>
      <c r="BX1457">
        <v>0</v>
      </c>
      <c r="BY1457" t="s">
        <v>135</v>
      </c>
      <c r="BZ1457">
        <v>0</v>
      </c>
      <c r="CA1457">
        <v>0</v>
      </c>
      <c r="CB1457" t="s">
        <v>135</v>
      </c>
      <c r="CH1457" s="2"/>
      <c r="CJ1457" s="2"/>
      <c r="CL1457" s="2"/>
      <c r="CN1457" s="2"/>
      <c r="CQ1457" s="2"/>
      <c r="CT1457" s="2"/>
      <c r="CW1457" s="2"/>
    </row>
    <row r="1458" spans="1:101" x14ac:dyDescent="0.25">
      <c r="A1458" s="1" t="s">
        <v>163</v>
      </c>
      <c r="B1458" s="75" t="s">
        <v>164</v>
      </c>
      <c r="C1458">
        <v>0</v>
      </c>
      <c r="D1458">
        <v>0</v>
      </c>
      <c r="E1458">
        <v>0</v>
      </c>
      <c r="F1458">
        <v>604324.56000000006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3.91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7490</v>
      </c>
      <c r="AW1458">
        <v>3350</v>
      </c>
      <c r="AX1458">
        <v>1219</v>
      </c>
      <c r="AY1458">
        <v>12059</v>
      </c>
      <c r="AZ1458">
        <v>4202</v>
      </c>
      <c r="BA1458">
        <v>7438</v>
      </c>
      <c r="BB1458">
        <v>1432</v>
      </c>
      <c r="BC1458">
        <v>13072</v>
      </c>
      <c r="BD1458">
        <v>9486</v>
      </c>
      <c r="BE1458">
        <v>9222</v>
      </c>
      <c r="BF1458">
        <v>1768</v>
      </c>
      <c r="BG1458">
        <v>20476</v>
      </c>
      <c r="BH1458">
        <v>0</v>
      </c>
      <c r="BI1458">
        <v>0</v>
      </c>
      <c r="BJ1458">
        <v>0</v>
      </c>
      <c r="BK1458">
        <v>0</v>
      </c>
      <c r="BL1458" s="2">
        <v>24.82</v>
      </c>
      <c r="BM1458" s="2">
        <v>42005.095138888886</v>
      </c>
      <c r="BN1458" s="2">
        <v>5.4</v>
      </c>
      <c r="BO1458" s="2">
        <v>42005.092361111114</v>
      </c>
      <c r="BP1458" s="2">
        <v>6.92</v>
      </c>
      <c r="BQ1458" s="2">
        <v>42005.092361111114</v>
      </c>
      <c r="BR1458" s="2">
        <v>11.07</v>
      </c>
      <c r="BS1458" s="2">
        <v>42005.092361111114</v>
      </c>
      <c r="BT1458">
        <v>0</v>
      </c>
      <c r="BU1458">
        <v>0</v>
      </c>
      <c r="BV1458" t="s">
        <v>135</v>
      </c>
      <c r="BW1458">
        <v>0</v>
      </c>
      <c r="BX1458">
        <v>0</v>
      </c>
      <c r="BY1458" t="s">
        <v>135</v>
      </c>
      <c r="BZ1458">
        <v>0</v>
      </c>
      <c r="CA1458">
        <v>0</v>
      </c>
      <c r="CB1458" t="s">
        <v>135</v>
      </c>
      <c r="CH1458" s="2"/>
      <c r="CJ1458" s="2"/>
      <c r="CL1458" s="2"/>
      <c r="CN1458" s="2"/>
      <c r="CQ1458" s="2"/>
      <c r="CT1458" s="2"/>
      <c r="CW1458" s="2"/>
    </row>
    <row r="1459" spans="1:101" x14ac:dyDescent="0.25">
      <c r="A1459" s="1" t="s">
        <v>163</v>
      </c>
      <c r="B1459" s="75" t="s">
        <v>164</v>
      </c>
      <c r="C1459">
        <v>0</v>
      </c>
      <c r="D1459">
        <v>0</v>
      </c>
      <c r="E1459">
        <v>0</v>
      </c>
      <c r="F1459">
        <v>604324.56000000006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3.91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7490</v>
      </c>
      <c r="AW1459">
        <v>3350</v>
      </c>
      <c r="AX1459">
        <v>1219</v>
      </c>
      <c r="AY1459">
        <v>12059</v>
      </c>
      <c r="AZ1459">
        <v>4202</v>
      </c>
      <c r="BA1459">
        <v>7438</v>
      </c>
      <c r="BB1459">
        <v>1432</v>
      </c>
      <c r="BC1459">
        <v>13072</v>
      </c>
      <c r="BD1459">
        <v>9486</v>
      </c>
      <c r="BE1459">
        <v>9222</v>
      </c>
      <c r="BF1459">
        <v>1768</v>
      </c>
      <c r="BG1459">
        <v>20476</v>
      </c>
      <c r="BH1459">
        <v>0</v>
      </c>
      <c r="BI1459">
        <v>0</v>
      </c>
      <c r="BJ1459">
        <v>0</v>
      </c>
      <c r="BK1459">
        <v>0</v>
      </c>
      <c r="BL1459" s="2">
        <v>24.82</v>
      </c>
      <c r="BM1459" s="2">
        <v>42005.095138888886</v>
      </c>
      <c r="BN1459" s="2">
        <v>5.4</v>
      </c>
      <c r="BO1459" s="2">
        <v>42005.092361111114</v>
      </c>
      <c r="BP1459" s="2">
        <v>6.92</v>
      </c>
      <c r="BQ1459" s="2">
        <v>42005.092361111114</v>
      </c>
      <c r="BR1459" s="2">
        <v>11.07</v>
      </c>
      <c r="BS1459" s="2">
        <v>42005.092361111114</v>
      </c>
      <c r="BT1459">
        <v>0</v>
      </c>
      <c r="BU1459">
        <v>0</v>
      </c>
      <c r="BV1459" t="s">
        <v>135</v>
      </c>
      <c r="BW1459">
        <v>0</v>
      </c>
      <c r="BX1459">
        <v>0</v>
      </c>
      <c r="BY1459" t="s">
        <v>135</v>
      </c>
      <c r="BZ1459">
        <v>0</v>
      </c>
      <c r="CA1459">
        <v>0</v>
      </c>
      <c r="CB1459" t="s">
        <v>135</v>
      </c>
      <c r="CH1459" s="2"/>
      <c r="CJ1459" s="2"/>
      <c r="CL1459" s="2"/>
      <c r="CN1459" s="2"/>
      <c r="CQ1459" s="2"/>
      <c r="CT1459" s="2"/>
      <c r="CW1459" s="2"/>
    </row>
    <row r="1460" spans="1:101" x14ac:dyDescent="0.25">
      <c r="A1460" s="1" t="s">
        <v>163</v>
      </c>
      <c r="B1460" s="75" t="s">
        <v>164</v>
      </c>
      <c r="C1460">
        <v>0</v>
      </c>
      <c r="D1460">
        <v>0</v>
      </c>
      <c r="E1460">
        <v>0</v>
      </c>
      <c r="F1460">
        <v>604324.56000000006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3.91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7490</v>
      </c>
      <c r="AW1460">
        <v>3350</v>
      </c>
      <c r="AX1460">
        <v>1219</v>
      </c>
      <c r="AY1460">
        <v>12059</v>
      </c>
      <c r="AZ1460">
        <v>4202</v>
      </c>
      <c r="BA1460">
        <v>7438</v>
      </c>
      <c r="BB1460">
        <v>1432</v>
      </c>
      <c r="BC1460">
        <v>13072</v>
      </c>
      <c r="BD1460">
        <v>9486</v>
      </c>
      <c r="BE1460">
        <v>9222</v>
      </c>
      <c r="BF1460">
        <v>1768</v>
      </c>
      <c r="BG1460">
        <v>20476</v>
      </c>
      <c r="BH1460">
        <v>0</v>
      </c>
      <c r="BI1460">
        <v>0</v>
      </c>
      <c r="BJ1460">
        <v>0</v>
      </c>
      <c r="BK1460">
        <v>0</v>
      </c>
      <c r="BL1460" s="2">
        <v>24.82</v>
      </c>
      <c r="BM1460" s="2">
        <v>42005.095138888886</v>
      </c>
      <c r="BN1460" s="2">
        <v>5.4</v>
      </c>
      <c r="BO1460" s="2">
        <v>42005.092361111114</v>
      </c>
      <c r="BP1460" s="2">
        <v>6.92</v>
      </c>
      <c r="BQ1460" s="2">
        <v>42005.092361111114</v>
      </c>
      <c r="BR1460" s="2">
        <v>11.07</v>
      </c>
      <c r="BS1460" s="2">
        <v>42005.092361111114</v>
      </c>
      <c r="BT1460">
        <v>0</v>
      </c>
      <c r="BU1460">
        <v>0</v>
      </c>
      <c r="BV1460" t="s">
        <v>135</v>
      </c>
      <c r="BW1460">
        <v>0</v>
      </c>
      <c r="BX1460">
        <v>0</v>
      </c>
      <c r="BY1460" t="s">
        <v>135</v>
      </c>
      <c r="BZ1460">
        <v>0</v>
      </c>
      <c r="CA1460">
        <v>0</v>
      </c>
      <c r="CB1460" t="s">
        <v>135</v>
      </c>
      <c r="CH1460" s="2"/>
      <c r="CJ1460" s="2"/>
      <c r="CL1460" s="2"/>
      <c r="CN1460" s="2"/>
      <c r="CQ1460" s="2"/>
      <c r="CT1460" s="2"/>
      <c r="CW1460" s="2"/>
    </row>
    <row r="1461" spans="1:101" x14ac:dyDescent="0.25">
      <c r="A1461" s="1" t="s">
        <v>163</v>
      </c>
      <c r="B1461" s="75" t="s">
        <v>164</v>
      </c>
      <c r="C1461">
        <v>0</v>
      </c>
      <c r="D1461">
        <v>0</v>
      </c>
      <c r="E1461">
        <v>0</v>
      </c>
      <c r="F1461">
        <v>604324.56000000006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3.91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7490</v>
      </c>
      <c r="AW1461">
        <v>3350</v>
      </c>
      <c r="AX1461">
        <v>1219</v>
      </c>
      <c r="AY1461">
        <v>12059</v>
      </c>
      <c r="AZ1461">
        <v>4202</v>
      </c>
      <c r="BA1461">
        <v>7438</v>
      </c>
      <c r="BB1461">
        <v>1432</v>
      </c>
      <c r="BC1461">
        <v>13072</v>
      </c>
      <c r="BD1461">
        <v>9486</v>
      </c>
      <c r="BE1461">
        <v>9222</v>
      </c>
      <c r="BF1461">
        <v>1768</v>
      </c>
      <c r="BG1461">
        <v>20476</v>
      </c>
      <c r="BH1461">
        <v>0</v>
      </c>
      <c r="BI1461">
        <v>0</v>
      </c>
      <c r="BJ1461">
        <v>0</v>
      </c>
      <c r="BK1461">
        <v>0</v>
      </c>
      <c r="BL1461" s="2">
        <v>24.82</v>
      </c>
      <c r="BM1461" s="2">
        <v>42005.095138888886</v>
      </c>
      <c r="BN1461" s="2">
        <v>5.4</v>
      </c>
      <c r="BO1461" s="2">
        <v>42005.092361111114</v>
      </c>
      <c r="BP1461" s="2">
        <v>6.92</v>
      </c>
      <c r="BQ1461" s="2">
        <v>42005.092361111114</v>
      </c>
      <c r="BR1461" s="2">
        <v>11.07</v>
      </c>
      <c r="BS1461" s="2">
        <v>42005.092361111114</v>
      </c>
      <c r="BT1461">
        <v>0</v>
      </c>
      <c r="BU1461">
        <v>0</v>
      </c>
      <c r="BV1461" t="s">
        <v>135</v>
      </c>
      <c r="BW1461">
        <v>0</v>
      </c>
      <c r="BX1461">
        <v>0</v>
      </c>
      <c r="BY1461" t="s">
        <v>135</v>
      </c>
      <c r="BZ1461">
        <v>0</v>
      </c>
      <c r="CA1461">
        <v>0</v>
      </c>
      <c r="CB1461" t="s">
        <v>135</v>
      </c>
      <c r="CH1461" s="2"/>
      <c r="CJ1461" s="2"/>
      <c r="CL1461" s="2"/>
      <c r="CN1461" s="2"/>
      <c r="CQ1461" s="2"/>
      <c r="CT1461" s="2"/>
      <c r="CW1461" s="2"/>
    </row>
    <row r="1462" spans="1:101" x14ac:dyDescent="0.25">
      <c r="A1462" s="1" t="s">
        <v>163</v>
      </c>
      <c r="B1462" s="75" t="s">
        <v>164</v>
      </c>
      <c r="C1462">
        <v>0</v>
      </c>
      <c r="D1462">
        <v>0</v>
      </c>
      <c r="E1462">
        <v>0</v>
      </c>
      <c r="F1462">
        <v>604324.56000000006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3.91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7490</v>
      </c>
      <c r="AW1462">
        <v>3350</v>
      </c>
      <c r="AX1462">
        <v>1219</v>
      </c>
      <c r="AY1462">
        <v>12059</v>
      </c>
      <c r="AZ1462">
        <v>4202</v>
      </c>
      <c r="BA1462">
        <v>7438</v>
      </c>
      <c r="BB1462">
        <v>1432</v>
      </c>
      <c r="BC1462">
        <v>13072</v>
      </c>
      <c r="BD1462">
        <v>9486</v>
      </c>
      <c r="BE1462">
        <v>9222</v>
      </c>
      <c r="BF1462">
        <v>1768</v>
      </c>
      <c r="BG1462">
        <v>20476</v>
      </c>
      <c r="BH1462">
        <v>0</v>
      </c>
      <c r="BI1462">
        <v>0</v>
      </c>
      <c r="BJ1462">
        <v>0</v>
      </c>
      <c r="BK1462">
        <v>0</v>
      </c>
      <c r="BL1462" s="2">
        <v>24.82</v>
      </c>
      <c r="BM1462" s="2">
        <v>42005.095138888886</v>
      </c>
      <c r="BN1462" s="2">
        <v>5.4</v>
      </c>
      <c r="BO1462" s="2">
        <v>42005.092361111114</v>
      </c>
      <c r="BP1462" s="2">
        <v>6.92</v>
      </c>
      <c r="BQ1462" s="2">
        <v>42005.092361111114</v>
      </c>
      <c r="BR1462" s="2">
        <v>11.07</v>
      </c>
      <c r="BS1462" s="2">
        <v>42005.092361111114</v>
      </c>
      <c r="BT1462">
        <v>0</v>
      </c>
      <c r="BU1462">
        <v>0</v>
      </c>
      <c r="BV1462" t="s">
        <v>135</v>
      </c>
      <c r="BW1462">
        <v>0</v>
      </c>
      <c r="BX1462">
        <v>0</v>
      </c>
      <c r="BY1462" t="s">
        <v>135</v>
      </c>
      <c r="BZ1462">
        <v>0</v>
      </c>
      <c r="CA1462">
        <v>0</v>
      </c>
      <c r="CB1462" t="s">
        <v>135</v>
      </c>
      <c r="CH1462" s="2"/>
      <c r="CJ1462" s="2"/>
      <c r="CL1462" s="2"/>
      <c r="CN1462" s="2"/>
      <c r="CQ1462" s="2"/>
      <c r="CT1462" s="2"/>
      <c r="CW1462" s="2"/>
    </row>
    <row r="1463" spans="1:101" x14ac:dyDescent="0.25">
      <c r="A1463" s="1" t="s">
        <v>163</v>
      </c>
      <c r="B1463" s="75" t="s">
        <v>164</v>
      </c>
      <c r="C1463">
        <v>0</v>
      </c>
      <c r="D1463">
        <v>0</v>
      </c>
      <c r="E1463">
        <v>0</v>
      </c>
      <c r="F1463">
        <v>604324.56000000006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3.91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7490</v>
      </c>
      <c r="AW1463">
        <v>3350</v>
      </c>
      <c r="AX1463">
        <v>1219</v>
      </c>
      <c r="AY1463">
        <v>12059</v>
      </c>
      <c r="AZ1463">
        <v>4202</v>
      </c>
      <c r="BA1463">
        <v>7438</v>
      </c>
      <c r="BB1463">
        <v>1432</v>
      </c>
      <c r="BC1463">
        <v>13072</v>
      </c>
      <c r="BD1463">
        <v>9486</v>
      </c>
      <c r="BE1463">
        <v>9222</v>
      </c>
      <c r="BF1463">
        <v>1768</v>
      </c>
      <c r="BG1463">
        <v>20476</v>
      </c>
      <c r="BH1463">
        <v>0</v>
      </c>
      <c r="BI1463">
        <v>0</v>
      </c>
      <c r="BJ1463">
        <v>0</v>
      </c>
      <c r="BK1463">
        <v>0</v>
      </c>
      <c r="BL1463" s="2">
        <v>24.82</v>
      </c>
      <c r="BM1463" s="2">
        <v>42005.095138888886</v>
      </c>
      <c r="BN1463" s="2">
        <v>5.4</v>
      </c>
      <c r="BO1463" s="2">
        <v>42005.092361111114</v>
      </c>
      <c r="BP1463" s="2">
        <v>6.92</v>
      </c>
      <c r="BQ1463" s="2">
        <v>42005.092361111114</v>
      </c>
      <c r="BR1463" s="2">
        <v>11.07</v>
      </c>
      <c r="BS1463" s="2">
        <v>42005.092361111114</v>
      </c>
      <c r="BT1463">
        <v>0</v>
      </c>
      <c r="BU1463">
        <v>0</v>
      </c>
      <c r="BV1463" t="s">
        <v>135</v>
      </c>
      <c r="BW1463">
        <v>0</v>
      </c>
      <c r="BX1463">
        <v>0</v>
      </c>
      <c r="BY1463" t="s">
        <v>135</v>
      </c>
      <c r="BZ1463">
        <v>0</v>
      </c>
      <c r="CA1463">
        <v>0</v>
      </c>
      <c r="CB1463" t="s">
        <v>135</v>
      </c>
      <c r="CH1463" s="2"/>
      <c r="CJ1463" s="2"/>
      <c r="CL1463" s="2"/>
      <c r="CN1463" s="2"/>
      <c r="CQ1463" s="2"/>
      <c r="CT1463" s="2"/>
      <c r="CW1463" s="2"/>
    </row>
    <row r="1464" spans="1:101" x14ac:dyDescent="0.25">
      <c r="A1464" s="1" t="s">
        <v>163</v>
      </c>
      <c r="B1464" s="75" t="s">
        <v>164</v>
      </c>
      <c r="C1464">
        <v>0</v>
      </c>
      <c r="D1464">
        <v>0</v>
      </c>
      <c r="E1464">
        <v>0</v>
      </c>
      <c r="F1464">
        <v>604324.56000000006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3.91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7490</v>
      </c>
      <c r="AW1464">
        <v>3350</v>
      </c>
      <c r="AX1464">
        <v>1219</v>
      </c>
      <c r="AY1464">
        <v>12059</v>
      </c>
      <c r="AZ1464">
        <v>4202</v>
      </c>
      <c r="BA1464">
        <v>7438</v>
      </c>
      <c r="BB1464">
        <v>1432</v>
      </c>
      <c r="BC1464">
        <v>13072</v>
      </c>
      <c r="BD1464">
        <v>9486</v>
      </c>
      <c r="BE1464">
        <v>9222</v>
      </c>
      <c r="BF1464">
        <v>1768</v>
      </c>
      <c r="BG1464">
        <v>20476</v>
      </c>
      <c r="BH1464">
        <v>0</v>
      </c>
      <c r="BI1464">
        <v>0</v>
      </c>
      <c r="BJ1464">
        <v>0</v>
      </c>
      <c r="BK1464">
        <v>0</v>
      </c>
      <c r="BL1464" s="2">
        <v>24.82</v>
      </c>
      <c r="BM1464" s="2">
        <v>42005.095138888886</v>
      </c>
      <c r="BN1464" s="2">
        <v>5.4</v>
      </c>
      <c r="BO1464" s="2">
        <v>42005.092361111114</v>
      </c>
      <c r="BP1464" s="2">
        <v>6.92</v>
      </c>
      <c r="BQ1464" s="2">
        <v>42005.092361111114</v>
      </c>
      <c r="BR1464" s="2">
        <v>11.07</v>
      </c>
      <c r="BS1464" s="2">
        <v>42005.092361111114</v>
      </c>
      <c r="BT1464">
        <v>0</v>
      </c>
      <c r="BU1464">
        <v>0</v>
      </c>
      <c r="BV1464" t="s">
        <v>135</v>
      </c>
      <c r="BW1464">
        <v>0</v>
      </c>
      <c r="BX1464">
        <v>0</v>
      </c>
      <c r="BY1464" t="s">
        <v>135</v>
      </c>
      <c r="BZ1464">
        <v>0</v>
      </c>
      <c r="CA1464">
        <v>0</v>
      </c>
      <c r="CB1464" t="s">
        <v>135</v>
      </c>
      <c r="CH1464" s="2"/>
      <c r="CJ1464" s="2"/>
      <c r="CL1464" s="2"/>
      <c r="CN1464" s="2"/>
      <c r="CQ1464" s="2"/>
      <c r="CT1464" s="2"/>
      <c r="CW1464" s="2"/>
    </row>
    <row r="1465" spans="1:101" x14ac:dyDescent="0.25">
      <c r="A1465" s="1" t="s">
        <v>163</v>
      </c>
      <c r="B1465" s="75" t="s">
        <v>164</v>
      </c>
      <c r="C1465">
        <v>0</v>
      </c>
      <c r="D1465">
        <v>0</v>
      </c>
      <c r="E1465">
        <v>0</v>
      </c>
      <c r="F1465">
        <v>604324.56000000006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3.91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7490</v>
      </c>
      <c r="AW1465">
        <v>3350</v>
      </c>
      <c r="AX1465">
        <v>1219</v>
      </c>
      <c r="AY1465">
        <v>12059</v>
      </c>
      <c r="AZ1465">
        <v>4202</v>
      </c>
      <c r="BA1465">
        <v>7438</v>
      </c>
      <c r="BB1465">
        <v>1432</v>
      </c>
      <c r="BC1465">
        <v>13072</v>
      </c>
      <c r="BD1465">
        <v>9486</v>
      </c>
      <c r="BE1465">
        <v>9222</v>
      </c>
      <c r="BF1465">
        <v>1768</v>
      </c>
      <c r="BG1465">
        <v>20476</v>
      </c>
      <c r="BH1465">
        <v>0</v>
      </c>
      <c r="BI1465">
        <v>0</v>
      </c>
      <c r="BJ1465">
        <v>0</v>
      </c>
      <c r="BK1465">
        <v>0</v>
      </c>
      <c r="BL1465" s="2">
        <v>24.82</v>
      </c>
      <c r="BM1465" s="2">
        <v>42005.095138888886</v>
      </c>
      <c r="BN1465" s="2">
        <v>5.4</v>
      </c>
      <c r="BO1465" s="2">
        <v>42005.092361111114</v>
      </c>
      <c r="BP1465" s="2">
        <v>6.92</v>
      </c>
      <c r="BQ1465" s="2">
        <v>42005.092361111114</v>
      </c>
      <c r="BR1465" s="2">
        <v>11.07</v>
      </c>
      <c r="BS1465" s="2">
        <v>42005.092361111114</v>
      </c>
      <c r="BT1465">
        <v>0</v>
      </c>
      <c r="BU1465">
        <v>0</v>
      </c>
      <c r="BV1465" t="s">
        <v>135</v>
      </c>
      <c r="BW1465">
        <v>0</v>
      </c>
      <c r="BX1465">
        <v>0</v>
      </c>
      <c r="BY1465" t="s">
        <v>135</v>
      </c>
      <c r="BZ1465">
        <v>0</v>
      </c>
      <c r="CA1465">
        <v>0</v>
      </c>
      <c r="CB1465" t="s">
        <v>135</v>
      </c>
      <c r="CH1465" s="2"/>
      <c r="CJ1465" s="2"/>
      <c r="CL1465" s="2"/>
      <c r="CN1465" s="2"/>
      <c r="CQ1465" s="2"/>
      <c r="CT1465" s="2"/>
      <c r="CW1465" s="2"/>
    </row>
    <row r="1466" spans="1:101" x14ac:dyDescent="0.25">
      <c r="A1466" s="1" t="s">
        <v>163</v>
      </c>
      <c r="B1466" s="75" t="s">
        <v>164</v>
      </c>
      <c r="C1466">
        <v>0</v>
      </c>
      <c r="D1466">
        <v>0</v>
      </c>
      <c r="E1466">
        <v>0</v>
      </c>
      <c r="F1466">
        <v>604324.56000000006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3.91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7490</v>
      </c>
      <c r="AW1466">
        <v>3350</v>
      </c>
      <c r="AX1466">
        <v>1219</v>
      </c>
      <c r="AY1466">
        <v>12059</v>
      </c>
      <c r="AZ1466">
        <v>4202</v>
      </c>
      <c r="BA1466">
        <v>7438</v>
      </c>
      <c r="BB1466">
        <v>1432</v>
      </c>
      <c r="BC1466">
        <v>13072</v>
      </c>
      <c r="BD1466">
        <v>9486</v>
      </c>
      <c r="BE1466">
        <v>9222</v>
      </c>
      <c r="BF1466">
        <v>1768</v>
      </c>
      <c r="BG1466">
        <v>20476</v>
      </c>
      <c r="BH1466">
        <v>0</v>
      </c>
      <c r="BI1466">
        <v>0</v>
      </c>
      <c r="BJ1466">
        <v>0</v>
      </c>
      <c r="BK1466">
        <v>0</v>
      </c>
      <c r="BL1466" s="2">
        <v>24.82</v>
      </c>
      <c r="BM1466" s="2">
        <v>42005.095138888886</v>
      </c>
      <c r="BN1466" s="2">
        <v>5.4</v>
      </c>
      <c r="BO1466" s="2">
        <v>42005.092361111114</v>
      </c>
      <c r="BP1466" s="2">
        <v>6.92</v>
      </c>
      <c r="BQ1466" s="2">
        <v>42005.092361111114</v>
      </c>
      <c r="BR1466" s="2">
        <v>11.07</v>
      </c>
      <c r="BS1466" s="2">
        <v>42005.092361111114</v>
      </c>
      <c r="BT1466">
        <v>0</v>
      </c>
      <c r="BU1466">
        <v>0</v>
      </c>
      <c r="BV1466" t="s">
        <v>135</v>
      </c>
      <c r="BW1466">
        <v>0</v>
      </c>
      <c r="BX1466">
        <v>0</v>
      </c>
      <c r="BY1466" t="s">
        <v>135</v>
      </c>
      <c r="BZ1466">
        <v>0</v>
      </c>
      <c r="CA1466">
        <v>0</v>
      </c>
      <c r="CB1466" t="s">
        <v>135</v>
      </c>
      <c r="CH1466" s="2"/>
      <c r="CJ1466" s="2"/>
      <c r="CL1466" s="2"/>
      <c r="CN1466" s="2"/>
      <c r="CQ1466" s="2"/>
      <c r="CT1466" s="2"/>
      <c r="CW1466" s="2"/>
    </row>
    <row r="1467" spans="1:101" x14ac:dyDescent="0.25">
      <c r="A1467" s="1" t="s">
        <v>163</v>
      </c>
      <c r="B1467" s="75" t="s">
        <v>164</v>
      </c>
      <c r="C1467">
        <v>0</v>
      </c>
      <c r="D1467">
        <v>0</v>
      </c>
      <c r="E1467">
        <v>0</v>
      </c>
      <c r="F1467">
        <v>604324.56000000006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3.91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7490</v>
      </c>
      <c r="AW1467">
        <v>3350</v>
      </c>
      <c r="AX1467">
        <v>1219</v>
      </c>
      <c r="AY1467">
        <v>12059</v>
      </c>
      <c r="AZ1467">
        <v>4202</v>
      </c>
      <c r="BA1467">
        <v>7438</v>
      </c>
      <c r="BB1467">
        <v>1432</v>
      </c>
      <c r="BC1467">
        <v>13072</v>
      </c>
      <c r="BD1467">
        <v>9486</v>
      </c>
      <c r="BE1467">
        <v>9222</v>
      </c>
      <c r="BF1467">
        <v>1768</v>
      </c>
      <c r="BG1467">
        <v>20476</v>
      </c>
      <c r="BH1467">
        <v>0</v>
      </c>
      <c r="BI1467">
        <v>0</v>
      </c>
      <c r="BJ1467">
        <v>0</v>
      </c>
      <c r="BK1467">
        <v>0</v>
      </c>
      <c r="BL1467" s="2">
        <v>24.82</v>
      </c>
      <c r="BM1467" s="2">
        <v>42005.095138888886</v>
      </c>
      <c r="BN1467" s="2">
        <v>5.4</v>
      </c>
      <c r="BO1467" s="2">
        <v>42005.092361111114</v>
      </c>
      <c r="BP1467" s="2">
        <v>6.92</v>
      </c>
      <c r="BQ1467" s="2">
        <v>42005.092361111114</v>
      </c>
      <c r="BR1467" s="2">
        <v>11.07</v>
      </c>
      <c r="BS1467" s="2">
        <v>42005.092361111114</v>
      </c>
      <c r="BT1467">
        <v>0</v>
      </c>
      <c r="BU1467">
        <v>0</v>
      </c>
      <c r="BV1467" t="s">
        <v>135</v>
      </c>
      <c r="BW1467">
        <v>0</v>
      </c>
      <c r="BX1467">
        <v>0</v>
      </c>
      <c r="BY1467" t="s">
        <v>135</v>
      </c>
      <c r="BZ1467">
        <v>0</v>
      </c>
      <c r="CA1467">
        <v>0</v>
      </c>
      <c r="CB1467" t="s">
        <v>135</v>
      </c>
      <c r="CH1467" s="2"/>
      <c r="CJ1467" s="2"/>
      <c r="CL1467" s="2"/>
      <c r="CN1467" s="2"/>
      <c r="CQ1467" s="2"/>
      <c r="CT1467" s="2"/>
      <c r="CW1467" s="2"/>
    </row>
    <row r="1468" spans="1:101" x14ac:dyDescent="0.25">
      <c r="A1468" s="1" t="s">
        <v>163</v>
      </c>
      <c r="B1468" s="75" t="s">
        <v>164</v>
      </c>
      <c r="C1468">
        <v>0</v>
      </c>
      <c r="D1468">
        <v>0</v>
      </c>
      <c r="E1468">
        <v>0</v>
      </c>
      <c r="F1468">
        <v>604324.56000000006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3.91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7490</v>
      </c>
      <c r="AW1468">
        <v>3350</v>
      </c>
      <c r="AX1468">
        <v>1219</v>
      </c>
      <c r="AY1468">
        <v>12059</v>
      </c>
      <c r="AZ1468">
        <v>4202</v>
      </c>
      <c r="BA1468">
        <v>7438</v>
      </c>
      <c r="BB1468">
        <v>1432</v>
      </c>
      <c r="BC1468">
        <v>13072</v>
      </c>
      <c r="BD1468">
        <v>9486</v>
      </c>
      <c r="BE1468">
        <v>9222</v>
      </c>
      <c r="BF1468">
        <v>1768</v>
      </c>
      <c r="BG1468">
        <v>20476</v>
      </c>
      <c r="BH1468">
        <v>0</v>
      </c>
      <c r="BI1468">
        <v>0</v>
      </c>
      <c r="BJ1468">
        <v>0</v>
      </c>
      <c r="BK1468">
        <v>0</v>
      </c>
      <c r="BL1468" s="2">
        <v>24.82</v>
      </c>
      <c r="BM1468" s="2">
        <v>42005.095138888886</v>
      </c>
      <c r="BN1468" s="2">
        <v>5.4</v>
      </c>
      <c r="BO1468" s="2">
        <v>42005.092361111114</v>
      </c>
      <c r="BP1468" s="2">
        <v>6.92</v>
      </c>
      <c r="BQ1468" s="2">
        <v>42005.092361111114</v>
      </c>
      <c r="BR1468" s="2">
        <v>11.07</v>
      </c>
      <c r="BS1468" s="2">
        <v>42005.092361111114</v>
      </c>
      <c r="BT1468">
        <v>0</v>
      </c>
      <c r="BU1468">
        <v>0</v>
      </c>
      <c r="BV1468" t="s">
        <v>135</v>
      </c>
      <c r="BW1468">
        <v>0</v>
      </c>
      <c r="BX1468">
        <v>0</v>
      </c>
      <c r="BY1468" t="s">
        <v>135</v>
      </c>
      <c r="BZ1468">
        <v>0</v>
      </c>
      <c r="CA1468">
        <v>0</v>
      </c>
      <c r="CB1468" t="s">
        <v>135</v>
      </c>
      <c r="CH1468" s="2"/>
      <c r="CJ1468" s="2"/>
      <c r="CL1468" s="2"/>
      <c r="CN1468" s="2"/>
      <c r="CQ1468" s="2"/>
      <c r="CT1468" s="2"/>
      <c r="CW1468" s="2"/>
    </row>
    <row r="1469" spans="1:101" x14ac:dyDescent="0.25">
      <c r="A1469" s="1" t="s">
        <v>163</v>
      </c>
      <c r="B1469" s="75" t="s">
        <v>164</v>
      </c>
      <c r="C1469">
        <v>0</v>
      </c>
      <c r="D1469">
        <v>0</v>
      </c>
      <c r="E1469">
        <v>0</v>
      </c>
      <c r="F1469">
        <v>604324.56000000006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3.91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7490</v>
      </c>
      <c r="AW1469">
        <v>3350</v>
      </c>
      <c r="AX1469">
        <v>1219</v>
      </c>
      <c r="AY1469">
        <v>12059</v>
      </c>
      <c r="AZ1469">
        <v>4202</v>
      </c>
      <c r="BA1469">
        <v>7438</v>
      </c>
      <c r="BB1469">
        <v>1432</v>
      </c>
      <c r="BC1469">
        <v>13072</v>
      </c>
      <c r="BD1469">
        <v>9486</v>
      </c>
      <c r="BE1469">
        <v>9222</v>
      </c>
      <c r="BF1469">
        <v>1768</v>
      </c>
      <c r="BG1469">
        <v>20476</v>
      </c>
      <c r="BH1469">
        <v>0</v>
      </c>
      <c r="BI1469">
        <v>0</v>
      </c>
      <c r="BJ1469">
        <v>0</v>
      </c>
      <c r="BK1469">
        <v>0</v>
      </c>
      <c r="BL1469" s="2">
        <v>24.82</v>
      </c>
      <c r="BM1469" s="2">
        <v>42005.095138888886</v>
      </c>
      <c r="BN1469" s="2">
        <v>5.4</v>
      </c>
      <c r="BO1469" s="2">
        <v>42005.092361111114</v>
      </c>
      <c r="BP1469" s="2">
        <v>6.92</v>
      </c>
      <c r="BQ1469" s="2">
        <v>42005.092361111114</v>
      </c>
      <c r="BR1469" s="2">
        <v>11.07</v>
      </c>
      <c r="BS1469" s="2">
        <v>42005.092361111114</v>
      </c>
      <c r="BT1469">
        <v>0</v>
      </c>
      <c r="BU1469">
        <v>0</v>
      </c>
      <c r="BV1469" t="s">
        <v>135</v>
      </c>
      <c r="BW1469">
        <v>0</v>
      </c>
      <c r="BX1469">
        <v>0</v>
      </c>
      <c r="BY1469" t="s">
        <v>135</v>
      </c>
      <c r="BZ1469">
        <v>0</v>
      </c>
      <c r="CA1469">
        <v>0</v>
      </c>
      <c r="CB1469" t="s">
        <v>135</v>
      </c>
      <c r="CH1469" s="2"/>
      <c r="CJ1469" s="2"/>
      <c r="CL1469" s="2"/>
      <c r="CN1469" s="2"/>
      <c r="CQ1469" s="2"/>
      <c r="CT1469" s="2"/>
      <c r="CW1469" s="2"/>
    </row>
    <row r="1470" spans="1:101" x14ac:dyDescent="0.25">
      <c r="A1470" s="1" t="s">
        <v>163</v>
      </c>
      <c r="B1470" s="75" t="s">
        <v>164</v>
      </c>
      <c r="C1470">
        <v>0</v>
      </c>
      <c r="D1470">
        <v>0</v>
      </c>
      <c r="E1470">
        <v>0</v>
      </c>
      <c r="F1470">
        <v>604324.56000000006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3.91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7490</v>
      </c>
      <c r="AW1470">
        <v>3350</v>
      </c>
      <c r="AX1470">
        <v>1219</v>
      </c>
      <c r="AY1470">
        <v>12059</v>
      </c>
      <c r="AZ1470">
        <v>4202</v>
      </c>
      <c r="BA1470">
        <v>7438</v>
      </c>
      <c r="BB1470">
        <v>1432</v>
      </c>
      <c r="BC1470">
        <v>13072</v>
      </c>
      <c r="BD1470">
        <v>9486</v>
      </c>
      <c r="BE1470">
        <v>9222</v>
      </c>
      <c r="BF1470">
        <v>1768</v>
      </c>
      <c r="BG1470">
        <v>20476</v>
      </c>
      <c r="BH1470">
        <v>0</v>
      </c>
      <c r="BI1470">
        <v>0</v>
      </c>
      <c r="BJ1470">
        <v>0</v>
      </c>
      <c r="BK1470">
        <v>0</v>
      </c>
      <c r="BL1470" s="2">
        <v>24.82</v>
      </c>
      <c r="BM1470" s="2">
        <v>42005.095138888886</v>
      </c>
      <c r="BN1470" s="2">
        <v>5.4</v>
      </c>
      <c r="BO1470" s="2">
        <v>42005.092361111114</v>
      </c>
      <c r="BP1470" s="2">
        <v>6.92</v>
      </c>
      <c r="BQ1470" s="2">
        <v>42005.092361111114</v>
      </c>
      <c r="BR1470" s="2">
        <v>11.07</v>
      </c>
      <c r="BS1470" s="2">
        <v>42005.092361111114</v>
      </c>
      <c r="BT1470">
        <v>0</v>
      </c>
      <c r="BU1470">
        <v>0</v>
      </c>
      <c r="BV1470" t="s">
        <v>135</v>
      </c>
      <c r="BW1470">
        <v>0</v>
      </c>
      <c r="BX1470">
        <v>0</v>
      </c>
      <c r="BY1470" t="s">
        <v>135</v>
      </c>
      <c r="BZ1470">
        <v>0</v>
      </c>
      <c r="CA1470">
        <v>0</v>
      </c>
      <c r="CB1470" t="s">
        <v>135</v>
      </c>
      <c r="CH1470" s="2"/>
      <c r="CJ1470" s="2"/>
      <c r="CL1470" s="2"/>
      <c r="CN1470" s="2"/>
      <c r="CQ1470" s="2"/>
      <c r="CT1470" s="2"/>
      <c r="CW1470" s="2"/>
    </row>
    <row r="1471" spans="1:101" x14ac:dyDescent="0.25">
      <c r="A1471" s="1" t="s">
        <v>163</v>
      </c>
      <c r="B1471" s="75" t="s">
        <v>164</v>
      </c>
      <c r="C1471">
        <v>0</v>
      </c>
      <c r="D1471">
        <v>0</v>
      </c>
      <c r="E1471">
        <v>0</v>
      </c>
      <c r="F1471">
        <v>604324.56000000006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3.91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7490</v>
      </c>
      <c r="AW1471">
        <v>3350</v>
      </c>
      <c r="AX1471">
        <v>1219</v>
      </c>
      <c r="AY1471">
        <v>12059</v>
      </c>
      <c r="AZ1471">
        <v>4202</v>
      </c>
      <c r="BA1471">
        <v>7438</v>
      </c>
      <c r="BB1471">
        <v>1432</v>
      </c>
      <c r="BC1471">
        <v>13072</v>
      </c>
      <c r="BD1471">
        <v>9486</v>
      </c>
      <c r="BE1471">
        <v>9222</v>
      </c>
      <c r="BF1471">
        <v>1768</v>
      </c>
      <c r="BG1471">
        <v>20476</v>
      </c>
      <c r="BH1471">
        <v>0</v>
      </c>
      <c r="BI1471">
        <v>0</v>
      </c>
      <c r="BJ1471">
        <v>0</v>
      </c>
      <c r="BK1471">
        <v>0</v>
      </c>
      <c r="BL1471" s="2">
        <v>24.82</v>
      </c>
      <c r="BM1471" s="2">
        <v>42005.095138888886</v>
      </c>
      <c r="BN1471" s="2">
        <v>5.4</v>
      </c>
      <c r="BO1471" s="2">
        <v>42005.092361111114</v>
      </c>
      <c r="BP1471" s="2">
        <v>6.92</v>
      </c>
      <c r="BQ1471" s="2">
        <v>42005.092361111114</v>
      </c>
      <c r="BR1471" s="2">
        <v>11.07</v>
      </c>
      <c r="BS1471" s="2">
        <v>42005.092361111114</v>
      </c>
      <c r="BT1471">
        <v>0</v>
      </c>
      <c r="BU1471">
        <v>0</v>
      </c>
      <c r="BV1471" t="s">
        <v>135</v>
      </c>
      <c r="BW1471">
        <v>0</v>
      </c>
      <c r="BX1471">
        <v>0</v>
      </c>
      <c r="BY1471" t="s">
        <v>135</v>
      </c>
      <c r="BZ1471">
        <v>0</v>
      </c>
      <c r="CA1471">
        <v>0</v>
      </c>
      <c r="CB1471" t="s">
        <v>135</v>
      </c>
      <c r="CH1471" s="2"/>
      <c r="CJ1471" s="2"/>
      <c r="CL1471" s="2"/>
      <c r="CN1471" s="2"/>
      <c r="CQ1471" s="2"/>
      <c r="CT1471" s="2"/>
      <c r="CW1471" s="2"/>
    </row>
    <row r="1472" spans="1:101" x14ac:dyDescent="0.25">
      <c r="A1472" s="1" t="s">
        <v>163</v>
      </c>
      <c r="B1472" s="75" t="s">
        <v>164</v>
      </c>
      <c r="C1472">
        <v>0</v>
      </c>
      <c r="D1472">
        <v>0</v>
      </c>
      <c r="E1472">
        <v>0</v>
      </c>
      <c r="F1472">
        <v>604324.56000000006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3.91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7490</v>
      </c>
      <c r="AW1472">
        <v>3350</v>
      </c>
      <c r="AX1472">
        <v>1219</v>
      </c>
      <c r="AY1472">
        <v>12059</v>
      </c>
      <c r="AZ1472">
        <v>4202</v>
      </c>
      <c r="BA1472">
        <v>7438</v>
      </c>
      <c r="BB1472">
        <v>1432</v>
      </c>
      <c r="BC1472">
        <v>13072</v>
      </c>
      <c r="BD1472">
        <v>9486</v>
      </c>
      <c r="BE1472">
        <v>9222</v>
      </c>
      <c r="BF1472">
        <v>1768</v>
      </c>
      <c r="BG1472">
        <v>20476</v>
      </c>
      <c r="BH1472">
        <v>0</v>
      </c>
      <c r="BI1472">
        <v>0</v>
      </c>
      <c r="BJ1472">
        <v>0</v>
      </c>
      <c r="BK1472">
        <v>0</v>
      </c>
      <c r="BL1472" s="2">
        <v>24.82</v>
      </c>
      <c r="BM1472" s="2">
        <v>42005.095138888886</v>
      </c>
      <c r="BN1472" s="2">
        <v>5.4</v>
      </c>
      <c r="BO1472" s="2">
        <v>42005.092361111114</v>
      </c>
      <c r="BP1472" s="2">
        <v>6.92</v>
      </c>
      <c r="BQ1472" s="2">
        <v>42005.092361111114</v>
      </c>
      <c r="BR1472" s="2">
        <v>11.07</v>
      </c>
      <c r="BS1472" s="2">
        <v>42005.092361111114</v>
      </c>
      <c r="BT1472">
        <v>0</v>
      </c>
      <c r="BU1472">
        <v>0</v>
      </c>
      <c r="BV1472" t="s">
        <v>135</v>
      </c>
      <c r="BW1472">
        <v>0</v>
      </c>
      <c r="BX1472">
        <v>0</v>
      </c>
      <c r="BY1472" t="s">
        <v>135</v>
      </c>
      <c r="BZ1472">
        <v>0</v>
      </c>
      <c r="CA1472">
        <v>0</v>
      </c>
      <c r="CB1472" t="s">
        <v>135</v>
      </c>
      <c r="CH1472" s="2"/>
      <c r="CJ1472" s="2"/>
      <c r="CL1472" s="2"/>
      <c r="CN1472" s="2"/>
      <c r="CQ1472" s="2"/>
      <c r="CT1472" s="2"/>
      <c r="CW1472" s="2"/>
    </row>
    <row r="1473" spans="1:101" x14ac:dyDescent="0.25">
      <c r="A1473" s="1" t="s">
        <v>163</v>
      </c>
      <c r="B1473" s="75" t="s">
        <v>164</v>
      </c>
      <c r="C1473">
        <v>0</v>
      </c>
      <c r="D1473">
        <v>0</v>
      </c>
      <c r="E1473">
        <v>0</v>
      </c>
      <c r="F1473">
        <v>604324.56000000006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3.91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7490</v>
      </c>
      <c r="AW1473">
        <v>3350</v>
      </c>
      <c r="AX1473">
        <v>1219</v>
      </c>
      <c r="AY1473">
        <v>12059</v>
      </c>
      <c r="AZ1473">
        <v>4202</v>
      </c>
      <c r="BA1473">
        <v>7438</v>
      </c>
      <c r="BB1473">
        <v>1432</v>
      </c>
      <c r="BC1473">
        <v>13072</v>
      </c>
      <c r="BD1473">
        <v>9486</v>
      </c>
      <c r="BE1473">
        <v>9222</v>
      </c>
      <c r="BF1473">
        <v>1768</v>
      </c>
      <c r="BG1473">
        <v>20476</v>
      </c>
      <c r="BH1473">
        <v>0</v>
      </c>
      <c r="BI1473">
        <v>0</v>
      </c>
      <c r="BJ1473">
        <v>0</v>
      </c>
      <c r="BK1473">
        <v>0</v>
      </c>
      <c r="BL1473" s="2">
        <v>24.82</v>
      </c>
      <c r="BM1473" s="2">
        <v>42005.095138888886</v>
      </c>
      <c r="BN1473" s="2">
        <v>5.4</v>
      </c>
      <c r="BO1473" s="2">
        <v>42005.092361111114</v>
      </c>
      <c r="BP1473" s="2">
        <v>6.92</v>
      </c>
      <c r="BQ1473" s="2">
        <v>42005.092361111114</v>
      </c>
      <c r="BR1473" s="2">
        <v>11.07</v>
      </c>
      <c r="BS1473" s="2">
        <v>42005.092361111114</v>
      </c>
      <c r="BT1473">
        <v>0</v>
      </c>
      <c r="BU1473">
        <v>0</v>
      </c>
      <c r="BV1473" t="s">
        <v>135</v>
      </c>
      <c r="BW1473">
        <v>0</v>
      </c>
      <c r="BX1473">
        <v>0</v>
      </c>
      <c r="BY1473" t="s">
        <v>135</v>
      </c>
      <c r="BZ1473">
        <v>0</v>
      </c>
      <c r="CA1473">
        <v>0</v>
      </c>
      <c r="CB1473" t="s">
        <v>135</v>
      </c>
      <c r="CH1473" s="2"/>
      <c r="CJ1473" s="2"/>
      <c r="CL1473" s="2"/>
      <c r="CN1473" s="2"/>
      <c r="CQ1473" s="2"/>
      <c r="CT1473" s="2"/>
      <c r="CW1473" s="2"/>
    </row>
    <row r="1474" spans="1:101" x14ac:dyDescent="0.25">
      <c r="A1474" s="1" t="s">
        <v>163</v>
      </c>
      <c r="B1474" s="75" t="s">
        <v>164</v>
      </c>
      <c r="C1474">
        <v>0</v>
      </c>
      <c r="D1474">
        <v>0</v>
      </c>
      <c r="E1474">
        <v>0</v>
      </c>
      <c r="F1474">
        <v>604324.56000000006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3.91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7490</v>
      </c>
      <c r="AW1474">
        <v>3350</v>
      </c>
      <c r="AX1474">
        <v>1219</v>
      </c>
      <c r="AY1474">
        <v>12059</v>
      </c>
      <c r="AZ1474">
        <v>4202</v>
      </c>
      <c r="BA1474">
        <v>7438</v>
      </c>
      <c r="BB1474">
        <v>1432</v>
      </c>
      <c r="BC1474">
        <v>13072</v>
      </c>
      <c r="BD1474">
        <v>9486</v>
      </c>
      <c r="BE1474">
        <v>9222</v>
      </c>
      <c r="BF1474">
        <v>1768</v>
      </c>
      <c r="BG1474">
        <v>20476</v>
      </c>
      <c r="BH1474">
        <v>0</v>
      </c>
      <c r="BI1474">
        <v>0</v>
      </c>
      <c r="BJ1474">
        <v>0</v>
      </c>
      <c r="BK1474">
        <v>0</v>
      </c>
      <c r="BL1474" s="2">
        <v>24.82</v>
      </c>
      <c r="BM1474" s="2">
        <v>42005.095138888886</v>
      </c>
      <c r="BN1474" s="2">
        <v>5.4</v>
      </c>
      <c r="BO1474" s="2">
        <v>42005.092361111114</v>
      </c>
      <c r="BP1474" s="2">
        <v>6.92</v>
      </c>
      <c r="BQ1474" s="2">
        <v>42005.092361111114</v>
      </c>
      <c r="BR1474" s="2">
        <v>11.07</v>
      </c>
      <c r="BS1474" s="2">
        <v>42005.092361111114</v>
      </c>
      <c r="BT1474">
        <v>0</v>
      </c>
      <c r="BU1474">
        <v>0</v>
      </c>
      <c r="BV1474" t="s">
        <v>135</v>
      </c>
      <c r="BW1474">
        <v>0</v>
      </c>
      <c r="BX1474">
        <v>0</v>
      </c>
      <c r="BY1474" t="s">
        <v>135</v>
      </c>
      <c r="BZ1474">
        <v>0</v>
      </c>
      <c r="CA1474">
        <v>0</v>
      </c>
      <c r="CB1474" t="s">
        <v>135</v>
      </c>
      <c r="CH1474" s="2"/>
      <c r="CJ1474" s="2"/>
      <c r="CL1474" s="2"/>
      <c r="CN1474" s="2"/>
      <c r="CQ1474" s="2"/>
      <c r="CT1474" s="2"/>
      <c r="CW1474" s="2"/>
    </row>
    <row r="1475" spans="1:101" x14ac:dyDescent="0.25">
      <c r="A1475" s="1" t="s">
        <v>163</v>
      </c>
      <c r="B1475" s="75" t="s">
        <v>164</v>
      </c>
      <c r="C1475">
        <v>0</v>
      </c>
      <c r="D1475">
        <v>0</v>
      </c>
      <c r="E1475">
        <v>0</v>
      </c>
      <c r="F1475">
        <v>604324.56000000006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3.91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7490</v>
      </c>
      <c r="AW1475">
        <v>3350</v>
      </c>
      <c r="AX1475">
        <v>1219</v>
      </c>
      <c r="AY1475">
        <v>12059</v>
      </c>
      <c r="AZ1475">
        <v>4202</v>
      </c>
      <c r="BA1475">
        <v>7438</v>
      </c>
      <c r="BB1475">
        <v>1432</v>
      </c>
      <c r="BC1475">
        <v>13072</v>
      </c>
      <c r="BD1475">
        <v>9486</v>
      </c>
      <c r="BE1475">
        <v>9222</v>
      </c>
      <c r="BF1475">
        <v>1768</v>
      </c>
      <c r="BG1475">
        <v>20476</v>
      </c>
      <c r="BH1475">
        <v>0</v>
      </c>
      <c r="BI1475">
        <v>0</v>
      </c>
      <c r="BJ1475">
        <v>0</v>
      </c>
      <c r="BK1475">
        <v>0</v>
      </c>
      <c r="BL1475" s="2">
        <v>24.82</v>
      </c>
      <c r="BM1475" s="2">
        <v>42005.095138888886</v>
      </c>
      <c r="BN1475" s="2">
        <v>5.4</v>
      </c>
      <c r="BO1475" s="2">
        <v>42005.092361111114</v>
      </c>
      <c r="BP1475" s="2">
        <v>6.92</v>
      </c>
      <c r="BQ1475" s="2">
        <v>42005.092361111114</v>
      </c>
      <c r="BR1475" s="2">
        <v>11.07</v>
      </c>
      <c r="BS1475" s="2">
        <v>42005.092361111114</v>
      </c>
      <c r="BT1475">
        <v>0</v>
      </c>
      <c r="BU1475">
        <v>0</v>
      </c>
      <c r="BV1475" t="s">
        <v>135</v>
      </c>
      <c r="BW1475">
        <v>0</v>
      </c>
      <c r="BX1475">
        <v>0</v>
      </c>
      <c r="BY1475" t="s">
        <v>135</v>
      </c>
      <c r="BZ1475">
        <v>0</v>
      </c>
      <c r="CA1475">
        <v>0</v>
      </c>
      <c r="CB1475" t="s">
        <v>135</v>
      </c>
      <c r="CH1475" s="2"/>
      <c r="CJ1475" s="2"/>
      <c r="CL1475" s="2"/>
      <c r="CN1475" s="2"/>
      <c r="CQ1475" s="2"/>
      <c r="CT1475" s="2"/>
      <c r="CW1475" s="2"/>
    </row>
    <row r="1476" spans="1:101" x14ac:dyDescent="0.25">
      <c r="A1476" s="1" t="s">
        <v>163</v>
      </c>
      <c r="B1476" s="75" t="s">
        <v>164</v>
      </c>
      <c r="C1476">
        <v>0</v>
      </c>
      <c r="D1476">
        <v>0</v>
      </c>
      <c r="E1476">
        <v>0</v>
      </c>
      <c r="F1476">
        <v>604324.56000000006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3.91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7490</v>
      </c>
      <c r="AW1476">
        <v>3350</v>
      </c>
      <c r="AX1476">
        <v>1219</v>
      </c>
      <c r="AY1476">
        <v>12059</v>
      </c>
      <c r="AZ1476">
        <v>4202</v>
      </c>
      <c r="BA1476">
        <v>7438</v>
      </c>
      <c r="BB1476">
        <v>1432</v>
      </c>
      <c r="BC1476">
        <v>13072</v>
      </c>
      <c r="BD1476">
        <v>9486</v>
      </c>
      <c r="BE1476">
        <v>9222</v>
      </c>
      <c r="BF1476">
        <v>1768</v>
      </c>
      <c r="BG1476">
        <v>20476</v>
      </c>
      <c r="BH1476">
        <v>0</v>
      </c>
      <c r="BI1476">
        <v>0</v>
      </c>
      <c r="BJ1476">
        <v>0</v>
      </c>
      <c r="BK1476">
        <v>0</v>
      </c>
      <c r="BL1476" s="2">
        <v>24.82</v>
      </c>
      <c r="BM1476" s="2">
        <v>42005.095138888886</v>
      </c>
      <c r="BN1476" s="2">
        <v>5.4</v>
      </c>
      <c r="BO1476" s="2">
        <v>42005.092361111114</v>
      </c>
      <c r="BP1476" s="2">
        <v>6.92</v>
      </c>
      <c r="BQ1476" s="2">
        <v>42005.092361111114</v>
      </c>
      <c r="BR1476" s="2">
        <v>11.07</v>
      </c>
      <c r="BS1476" s="2">
        <v>42005.092361111114</v>
      </c>
      <c r="BT1476">
        <v>0</v>
      </c>
      <c r="BU1476">
        <v>0</v>
      </c>
      <c r="BV1476" t="s">
        <v>135</v>
      </c>
      <c r="BW1476">
        <v>0</v>
      </c>
      <c r="BX1476">
        <v>0</v>
      </c>
      <c r="BY1476" t="s">
        <v>135</v>
      </c>
      <c r="BZ1476">
        <v>0</v>
      </c>
      <c r="CA1476">
        <v>0</v>
      </c>
      <c r="CB1476" t="s">
        <v>135</v>
      </c>
      <c r="CH1476" s="2"/>
      <c r="CJ1476" s="2"/>
      <c r="CL1476" s="2"/>
      <c r="CN1476" s="2"/>
      <c r="CQ1476" s="2"/>
      <c r="CT1476" s="2"/>
      <c r="CW1476" s="2"/>
    </row>
    <row r="1477" spans="1:101" x14ac:dyDescent="0.25">
      <c r="A1477" s="1" t="s">
        <v>163</v>
      </c>
      <c r="B1477" s="75" t="s">
        <v>164</v>
      </c>
      <c r="C1477">
        <v>0</v>
      </c>
      <c r="D1477">
        <v>0</v>
      </c>
      <c r="E1477">
        <v>0</v>
      </c>
      <c r="F1477">
        <v>604324.56000000006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3.91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7490</v>
      </c>
      <c r="AW1477">
        <v>3350</v>
      </c>
      <c r="AX1477">
        <v>1219</v>
      </c>
      <c r="AY1477">
        <v>12059</v>
      </c>
      <c r="AZ1477">
        <v>4202</v>
      </c>
      <c r="BA1477">
        <v>7438</v>
      </c>
      <c r="BB1477">
        <v>1432</v>
      </c>
      <c r="BC1477">
        <v>13072</v>
      </c>
      <c r="BD1477">
        <v>9486</v>
      </c>
      <c r="BE1477">
        <v>9222</v>
      </c>
      <c r="BF1477">
        <v>1768</v>
      </c>
      <c r="BG1477">
        <v>20476</v>
      </c>
      <c r="BH1477">
        <v>0</v>
      </c>
      <c r="BI1477">
        <v>0</v>
      </c>
      <c r="BJ1477">
        <v>0</v>
      </c>
      <c r="BK1477">
        <v>0</v>
      </c>
      <c r="BL1477" s="2">
        <v>24.82</v>
      </c>
      <c r="BM1477" s="2">
        <v>42005.095138888886</v>
      </c>
      <c r="BN1477" s="2">
        <v>5.4</v>
      </c>
      <c r="BO1477" s="2">
        <v>42005.092361111114</v>
      </c>
      <c r="BP1477" s="2">
        <v>6.92</v>
      </c>
      <c r="BQ1477" s="2">
        <v>42005.092361111114</v>
      </c>
      <c r="BR1477" s="2">
        <v>11.07</v>
      </c>
      <c r="BS1477" s="2">
        <v>42005.092361111114</v>
      </c>
      <c r="BT1477">
        <v>0</v>
      </c>
      <c r="BU1477">
        <v>0</v>
      </c>
      <c r="BV1477" t="s">
        <v>135</v>
      </c>
      <c r="BW1477">
        <v>0</v>
      </c>
      <c r="BX1477">
        <v>0</v>
      </c>
      <c r="BY1477" t="s">
        <v>135</v>
      </c>
      <c r="BZ1477">
        <v>0</v>
      </c>
      <c r="CA1477">
        <v>0</v>
      </c>
      <c r="CB1477" t="s">
        <v>135</v>
      </c>
      <c r="CH1477" s="2"/>
      <c r="CJ1477" s="2"/>
      <c r="CL1477" s="2"/>
      <c r="CN1477" s="2"/>
      <c r="CQ1477" s="2"/>
      <c r="CT1477" s="2"/>
      <c r="CW1477" s="2"/>
    </row>
    <row r="1478" spans="1:101" x14ac:dyDescent="0.25">
      <c r="A1478" s="1" t="s">
        <v>163</v>
      </c>
      <c r="B1478" s="75" t="s">
        <v>164</v>
      </c>
      <c r="C1478">
        <v>0</v>
      </c>
      <c r="D1478">
        <v>0</v>
      </c>
      <c r="E1478">
        <v>0</v>
      </c>
      <c r="F1478">
        <v>604324.56000000006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3.91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7490</v>
      </c>
      <c r="AW1478">
        <v>3350</v>
      </c>
      <c r="AX1478">
        <v>1219</v>
      </c>
      <c r="AY1478">
        <v>12059</v>
      </c>
      <c r="AZ1478">
        <v>4202</v>
      </c>
      <c r="BA1478">
        <v>7438</v>
      </c>
      <c r="BB1478">
        <v>1432</v>
      </c>
      <c r="BC1478">
        <v>13072</v>
      </c>
      <c r="BD1478">
        <v>9486</v>
      </c>
      <c r="BE1478">
        <v>9222</v>
      </c>
      <c r="BF1478">
        <v>1768</v>
      </c>
      <c r="BG1478">
        <v>20476</v>
      </c>
      <c r="BH1478">
        <v>0</v>
      </c>
      <c r="BI1478">
        <v>0</v>
      </c>
      <c r="BJ1478">
        <v>0</v>
      </c>
      <c r="BK1478">
        <v>0</v>
      </c>
      <c r="BL1478" s="2">
        <v>24.82</v>
      </c>
      <c r="BM1478" s="2">
        <v>42005.095138888886</v>
      </c>
      <c r="BN1478" s="2">
        <v>5.4</v>
      </c>
      <c r="BO1478" s="2">
        <v>42005.092361111114</v>
      </c>
      <c r="BP1478" s="2">
        <v>6.92</v>
      </c>
      <c r="BQ1478" s="2">
        <v>42005.092361111114</v>
      </c>
      <c r="BR1478" s="2">
        <v>11.07</v>
      </c>
      <c r="BS1478" s="2">
        <v>42005.092361111114</v>
      </c>
      <c r="BT1478">
        <v>0</v>
      </c>
      <c r="BU1478">
        <v>0</v>
      </c>
      <c r="BV1478" t="s">
        <v>135</v>
      </c>
      <c r="BW1478">
        <v>0</v>
      </c>
      <c r="BX1478">
        <v>0</v>
      </c>
      <c r="BY1478" t="s">
        <v>135</v>
      </c>
      <c r="BZ1478">
        <v>0</v>
      </c>
      <c r="CA1478">
        <v>0</v>
      </c>
      <c r="CB1478" t="s">
        <v>135</v>
      </c>
      <c r="CH1478" s="2"/>
      <c r="CJ1478" s="2"/>
      <c r="CL1478" s="2"/>
      <c r="CN1478" s="2"/>
      <c r="CQ1478" s="2"/>
      <c r="CT1478" s="2"/>
      <c r="CW1478" s="2"/>
    </row>
    <row r="1479" spans="1:101" x14ac:dyDescent="0.25">
      <c r="A1479" s="1" t="s">
        <v>163</v>
      </c>
      <c r="B1479" s="75" t="s">
        <v>164</v>
      </c>
      <c r="C1479">
        <v>0</v>
      </c>
      <c r="D1479">
        <v>0</v>
      </c>
      <c r="E1479">
        <v>0</v>
      </c>
      <c r="F1479">
        <v>604324.56000000006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3.91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7490</v>
      </c>
      <c r="AW1479">
        <v>3350</v>
      </c>
      <c r="AX1479">
        <v>1219</v>
      </c>
      <c r="AY1479">
        <v>12059</v>
      </c>
      <c r="AZ1479">
        <v>4202</v>
      </c>
      <c r="BA1479">
        <v>7438</v>
      </c>
      <c r="BB1479">
        <v>1432</v>
      </c>
      <c r="BC1479">
        <v>13072</v>
      </c>
      <c r="BD1479">
        <v>9486</v>
      </c>
      <c r="BE1479">
        <v>9222</v>
      </c>
      <c r="BF1479">
        <v>1768</v>
      </c>
      <c r="BG1479">
        <v>20476</v>
      </c>
      <c r="BH1479">
        <v>0</v>
      </c>
      <c r="BI1479">
        <v>0</v>
      </c>
      <c r="BJ1479">
        <v>0</v>
      </c>
      <c r="BK1479">
        <v>0</v>
      </c>
      <c r="BL1479" s="2">
        <v>24.82</v>
      </c>
      <c r="BM1479" s="2">
        <v>42005.095138888886</v>
      </c>
      <c r="BN1479" s="2">
        <v>5.4</v>
      </c>
      <c r="BO1479" s="2">
        <v>42005.092361111114</v>
      </c>
      <c r="BP1479" s="2">
        <v>6.92</v>
      </c>
      <c r="BQ1479" s="2">
        <v>42005.092361111114</v>
      </c>
      <c r="BR1479" s="2">
        <v>11.07</v>
      </c>
      <c r="BS1479" s="2">
        <v>42005.092361111114</v>
      </c>
      <c r="BT1479">
        <v>0</v>
      </c>
      <c r="BU1479">
        <v>0</v>
      </c>
      <c r="BV1479" t="s">
        <v>135</v>
      </c>
      <c r="BW1479">
        <v>0</v>
      </c>
      <c r="BX1479">
        <v>0</v>
      </c>
      <c r="BY1479" t="s">
        <v>135</v>
      </c>
      <c r="BZ1479">
        <v>0</v>
      </c>
      <c r="CA1479">
        <v>0</v>
      </c>
      <c r="CB1479" t="s">
        <v>135</v>
      </c>
      <c r="CH1479" s="2"/>
      <c r="CJ1479" s="2"/>
      <c r="CL1479" s="2"/>
      <c r="CN1479" s="2"/>
      <c r="CQ1479" s="2"/>
      <c r="CT1479" s="2"/>
      <c r="CW1479" s="2"/>
    </row>
    <row r="1480" spans="1:101" x14ac:dyDescent="0.25">
      <c r="A1480" s="1" t="s">
        <v>163</v>
      </c>
      <c r="B1480" s="75" t="s">
        <v>164</v>
      </c>
      <c r="C1480">
        <v>0</v>
      </c>
      <c r="D1480">
        <v>0</v>
      </c>
      <c r="E1480">
        <v>0</v>
      </c>
      <c r="F1480">
        <v>604324.56000000006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3.91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7490</v>
      </c>
      <c r="AW1480">
        <v>3350</v>
      </c>
      <c r="AX1480">
        <v>1219</v>
      </c>
      <c r="AY1480">
        <v>12059</v>
      </c>
      <c r="AZ1480">
        <v>4202</v>
      </c>
      <c r="BA1480">
        <v>7438</v>
      </c>
      <c r="BB1480">
        <v>1432</v>
      </c>
      <c r="BC1480">
        <v>13072</v>
      </c>
      <c r="BD1480">
        <v>9486</v>
      </c>
      <c r="BE1480">
        <v>9222</v>
      </c>
      <c r="BF1480">
        <v>1768</v>
      </c>
      <c r="BG1480">
        <v>20476</v>
      </c>
      <c r="BH1480">
        <v>0</v>
      </c>
      <c r="BI1480">
        <v>0</v>
      </c>
      <c r="BJ1480">
        <v>0</v>
      </c>
      <c r="BK1480">
        <v>0</v>
      </c>
      <c r="BL1480" s="2">
        <v>24.82</v>
      </c>
      <c r="BM1480" s="2">
        <v>42005.095138888886</v>
      </c>
      <c r="BN1480" s="2">
        <v>5.4</v>
      </c>
      <c r="BO1480" s="2">
        <v>42005.092361111114</v>
      </c>
      <c r="BP1480" s="2">
        <v>6.92</v>
      </c>
      <c r="BQ1480" s="2">
        <v>42005.092361111114</v>
      </c>
      <c r="BR1480" s="2">
        <v>11.07</v>
      </c>
      <c r="BS1480" s="2">
        <v>42005.092361111114</v>
      </c>
      <c r="BT1480">
        <v>0</v>
      </c>
      <c r="BU1480">
        <v>0</v>
      </c>
      <c r="BV1480" t="s">
        <v>135</v>
      </c>
      <c r="BW1480">
        <v>0</v>
      </c>
      <c r="BX1480">
        <v>0</v>
      </c>
      <c r="BY1480" t="s">
        <v>135</v>
      </c>
      <c r="BZ1480">
        <v>0</v>
      </c>
      <c r="CA1480">
        <v>0</v>
      </c>
      <c r="CB1480" t="s">
        <v>135</v>
      </c>
      <c r="CH1480" s="2"/>
      <c r="CJ1480" s="2"/>
      <c r="CL1480" s="2"/>
      <c r="CN1480" s="2"/>
      <c r="CQ1480" s="2"/>
      <c r="CT1480" s="2"/>
      <c r="CW1480" s="2"/>
    </row>
    <row r="1481" spans="1:101" x14ac:dyDescent="0.25">
      <c r="A1481" s="1" t="s">
        <v>163</v>
      </c>
      <c r="B1481" s="75" t="s">
        <v>164</v>
      </c>
      <c r="C1481">
        <v>0</v>
      </c>
      <c r="D1481">
        <v>0</v>
      </c>
      <c r="E1481">
        <v>0</v>
      </c>
      <c r="F1481">
        <v>604324.56000000006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3.91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7490</v>
      </c>
      <c r="AW1481">
        <v>3350</v>
      </c>
      <c r="AX1481">
        <v>1219</v>
      </c>
      <c r="AY1481">
        <v>12059</v>
      </c>
      <c r="AZ1481">
        <v>4202</v>
      </c>
      <c r="BA1481">
        <v>7438</v>
      </c>
      <c r="BB1481">
        <v>1432</v>
      </c>
      <c r="BC1481">
        <v>13072</v>
      </c>
      <c r="BD1481">
        <v>9486</v>
      </c>
      <c r="BE1481">
        <v>9222</v>
      </c>
      <c r="BF1481">
        <v>1768</v>
      </c>
      <c r="BG1481">
        <v>20476</v>
      </c>
      <c r="BH1481">
        <v>0</v>
      </c>
      <c r="BI1481">
        <v>0</v>
      </c>
      <c r="BJ1481">
        <v>0</v>
      </c>
      <c r="BK1481">
        <v>0</v>
      </c>
      <c r="BL1481" s="2">
        <v>24.82</v>
      </c>
      <c r="BM1481" s="2">
        <v>42005.095138888886</v>
      </c>
      <c r="BN1481" s="2">
        <v>5.4</v>
      </c>
      <c r="BO1481" s="2">
        <v>42005.092361111114</v>
      </c>
      <c r="BP1481" s="2">
        <v>6.92</v>
      </c>
      <c r="BQ1481" s="2">
        <v>42005.092361111114</v>
      </c>
      <c r="BR1481" s="2">
        <v>11.07</v>
      </c>
      <c r="BS1481" s="2">
        <v>42005.092361111114</v>
      </c>
      <c r="BT1481">
        <v>0</v>
      </c>
      <c r="BU1481">
        <v>0</v>
      </c>
      <c r="BV1481" t="s">
        <v>135</v>
      </c>
      <c r="BW1481">
        <v>0</v>
      </c>
      <c r="BX1481">
        <v>0</v>
      </c>
      <c r="BY1481" t="s">
        <v>135</v>
      </c>
      <c r="BZ1481">
        <v>0</v>
      </c>
      <c r="CA1481">
        <v>0</v>
      </c>
      <c r="CB1481" t="s">
        <v>135</v>
      </c>
      <c r="CH1481" s="2"/>
      <c r="CJ1481" s="2"/>
      <c r="CL1481" s="2"/>
      <c r="CN1481" s="2"/>
      <c r="CQ1481" s="2"/>
      <c r="CT1481" s="2"/>
      <c r="CW1481" s="2"/>
    </row>
    <row r="1482" spans="1:101" x14ac:dyDescent="0.25">
      <c r="A1482" s="1" t="s">
        <v>163</v>
      </c>
      <c r="B1482" s="75" t="s">
        <v>164</v>
      </c>
      <c r="C1482">
        <v>0</v>
      </c>
      <c r="D1482">
        <v>0</v>
      </c>
      <c r="E1482">
        <v>0</v>
      </c>
      <c r="F1482">
        <v>604324.56000000006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3.91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7490</v>
      </c>
      <c r="AW1482">
        <v>3350</v>
      </c>
      <c r="AX1482">
        <v>1219</v>
      </c>
      <c r="AY1482">
        <v>12059</v>
      </c>
      <c r="AZ1482">
        <v>4202</v>
      </c>
      <c r="BA1482">
        <v>7438</v>
      </c>
      <c r="BB1482">
        <v>1432</v>
      </c>
      <c r="BC1482">
        <v>13072</v>
      </c>
      <c r="BD1482">
        <v>9486</v>
      </c>
      <c r="BE1482">
        <v>9222</v>
      </c>
      <c r="BF1482">
        <v>1768</v>
      </c>
      <c r="BG1482">
        <v>20476</v>
      </c>
      <c r="BH1482">
        <v>0</v>
      </c>
      <c r="BI1482">
        <v>0</v>
      </c>
      <c r="BJ1482">
        <v>0</v>
      </c>
      <c r="BK1482">
        <v>0</v>
      </c>
      <c r="BL1482" s="2">
        <v>24.82</v>
      </c>
      <c r="BM1482" s="2">
        <v>42005.095138888886</v>
      </c>
      <c r="BN1482" s="2">
        <v>5.4</v>
      </c>
      <c r="BO1482" s="2">
        <v>42005.092361111114</v>
      </c>
      <c r="BP1482" s="2">
        <v>6.92</v>
      </c>
      <c r="BQ1482" s="2">
        <v>42005.092361111114</v>
      </c>
      <c r="BR1482" s="2">
        <v>11.07</v>
      </c>
      <c r="BS1482" s="2">
        <v>42005.092361111114</v>
      </c>
      <c r="BT1482">
        <v>0</v>
      </c>
      <c r="BU1482">
        <v>0</v>
      </c>
      <c r="BV1482" t="s">
        <v>135</v>
      </c>
      <c r="BW1482">
        <v>0</v>
      </c>
      <c r="BX1482">
        <v>0</v>
      </c>
      <c r="BY1482" t="s">
        <v>135</v>
      </c>
      <c r="BZ1482">
        <v>0</v>
      </c>
      <c r="CA1482">
        <v>0</v>
      </c>
      <c r="CB1482" t="s">
        <v>135</v>
      </c>
      <c r="CH1482" s="2"/>
      <c r="CJ1482" s="2"/>
      <c r="CL1482" s="2"/>
      <c r="CN1482" s="2"/>
      <c r="CQ1482" s="2"/>
      <c r="CT1482" s="2"/>
      <c r="CW1482" s="2"/>
    </row>
    <row r="1483" spans="1:101" x14ac:dyDescent="0.25">
      <c r="A1483" s="1" t="s">
        <v>163</v>
      </c>
      <c r="B1483" s="75" t="s">
        <v>164</v>
      </c>
      <c r="C1483">
        <v>0</v>
      </c>
      <c r="D1483">
        <v>0</v>
      </c>
      <c r="E1483">
        <v>0</v>
      </c>
      <c r="F1483">
        <v>604324.56000000006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3.91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7490</v>
      </c>
      <c r="AW1483">
        <v>3350</v>
      </c>
      <c r="AX1483">
        <v>1219</v>
      </c>
      <c r="AY1483">
        <v>12059</v>
      </c>
      <c r="AZ1483">
        <v>4202</v>
      </c>
      <c r="BA1483">
        <v>7438</v>
      </c>
      <c r="BB1483">
        <v>1432</v>
      </c>
      <c r="BC1483">
        <v>13072</v>
      </c>
      <c r="BD1483">
        <v>9486</v>
      </c>
      <c r="BE1483">
        <v>9222</v>
      </c>
      <c r="BF1483">
        <v>1768</v>
      </c>
      <c r="BG1483">
        <v>20476</v>
      </c>
      <c r="BH1483">
        <v>0</v>
      </c>
      <c r="BI1483">
        <v>0</v>
      </c>
      <c r="BJ1483">
        <v>0</v>
      </c>
      <c r="BK1483">
        <v>0</v>
      </c>
      <c r="BL1483" s="2">
        <v>24.82</v>
      </c>
      <c r="BM1483" s="2">
        <v>42005.095138888886</v>
      </c>
      <c r="BN1483" s="2">
        <v>5.4</v>
      </c>
      <c r="BO1483" s="2">
        <v>42005.092361111114</v>
      </c>
      <c r="BP1483" s="2">
        <v>6.92</v>
      </c>
      <c r="BQ1483" s="2">
        <v>42005.092361111114</v>
      </c>
      <c r="BR1483" s="2">
        <v>11.07</v>
      </c>
      <c r="BS1483" s="2">
        <v>42005.092361111114</v>
      </c>
      <c r="BT1483">
        <v>0</v>
      </c>
      <c r="BU1483">
        <v>0</v>
      </c>
      <c r="BV1483" t="s">
        <v>135</v>
      </c>
      <c r="BW1483">
        <v>0</v>
      </c>
      <c r="BX1483">
        <v>0</v>
      </c>
      <c r="BY1483" t="s">
        <v>135</v>
      </c>
      <c r="BZ1483">
        <v>0</v>
      </c>
      <c r="CA1483">
        <v>0</v>
      </c>
      <c r="CB1483" t="s">
        <v>135</v>
      </c>
      <c r="CH1483" s="2"/>
      <c r="CJ1483" s="2"/>
      <c r="CL1483" s="2"/>
      <c r="CN1483" s="2"/>
      <c r="CQ1483" s="2"/>
      <c r="CT1483" s="2"/>
      <c r="CW1483" s="2"/>
    </row>
    <row r="1484" spans="1:101" x14ac:dyDescent="0.25">
      <c r="A1484" s="1" t="s">
        <v>163</v>
      </c>
      <c r="B1484" s="75" t="s">
        <v>164</v>
      </c>
      <c r="C1484">
        <v>0</v>
      </c>
      <c r="D1484">
        <v>0</v>
      </c>
      <c r="E1484">
        <v>0</v>
      </c>
      <c r="F1484">
        <v>604324.56000000006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3.91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7490</v>
      </c>
      <c r="AW1484">
        <v>3350</v>
      </c>
      <c r="AX1484">
        <v>1219</v>
      </c>
      <c r="AY1484">
        <v>12059</v>
      </c>
      <c r="AZ1484">
        <v>4202</v>
      </c>
      <c r="BA1484">
        <v>7438</v>
      </c>
      <c r="BB1484">
        <v>1432</v>
      </c>
      <c r="BC1484">
        <v>13072</v>
      </c>
      <c r="BD1484">
        <v>9486</v>
      </c>
      <c r="BE1484">
        <v>9222</v>
      </c>
      <c r="BF1484">
        <v>1768</v>
      </c>
      <c r="BG1484">
        <v>20476</v>
      </c>
      <c r="BH1484">
        <v>0</v>
      </c>
      <c r="BI1484">
        <v>0</v>
      </c>
      <c r="BJ1484">
        <v>0</v>
      </c>
      <c r="BK1484">
        <v>0</v>
      </c>
      <c r="BL1484" s="2">
        <v>24.82</v>
      </c>
      <c r="BM1484" s="2">
        <v>42005.095138888886</v>
      </c>
      <c r="BN1484" s="2">
        <v>5.4</v>
      </c>
      <c r="BO1484" s="2">
        <v>42005.092361111114</v>
      </c>
      <c r="BP1484" s="2">
        <v>6.92</v>
      </c>
      <c r="BQ1484" s="2">
        <v>42005.092361111114</v>
      </c>
      <c r="BR1484" s="2">
        <v>11.07</v>
      </c>
      <c r="BS1484" s="2">
        <v>42005.092361111114</v>
      </c>
      <c r="BT1484">
        <v>0</v>
      </c>
      <c r="BU1484">
        <v>0</v>
      </c>
      <c r="BV1484" t="s">
        <v>135</v>
      </c>
      <c r="BW1484">
        <v>0</v>
      </c>
      <c r="BX1484">
        <v>0</v>
      </c>
      <c r="BY1484" t="s">
        <v>135</v>
      </c>
      <c r="BZ1484">
        <v>0</v>
      </c>
      <c r="CA1484">
        <v>0</v>
      </c>
      <c r="CB1484" t="s">
        <v>135</v>
      </c>
      <c r="CH1484" s="2"/>
      <c r="CJ1484" s="2"/>
      <c r="CL1484" s="2"/>
      <c r="CN1484" s="2"/>
      <c r="CQ1484" s="2"/>
      <c r="CT1484" s="2"/>
      <c r="CW1484" s="2"/>
    </row>
    <row r="1485" spans="1:101" x14ac:dyDescent="0.25">
      <c r="A1485" s="1" t="s">
        <v>163</v>
      </c>
      <c r="B1485" s="75" t="s">
        <v>164</v>
      </c>
      <c r="C1485">
        <v>0</v>
      </c>
      <c r="D1485">
        <v>0</v>
      </c>
      <c r="E1485">
        <v>0</v>
      </c>
      <c r="F1485">
        <v>604324.56000000006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3.91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7490</v>
      </c>
      <c r="AW1485">
        <v>3350</v>
      </c>
      <c r="AX1485">
        <v>1219</v>
      </c>
      <c r="AY1485">
        <v>12059</v>
      </c>
      <c r="AZ1485">
        <v>4202</v>
      </c>
      <c r="BA1485">
        <v>7438</v>
      </c>
      <c r="BB1485">
        <v>1432</v>
      </c>
      <c r="BC1485">
        <v>13072</v>
      </c>
      <c r="BD1485">
        <v>9486</v>
      </c>
      <c r="BE1485">
        <v>9222</v>
      </c>
      <c r="BF1485">
        <v>1768</v>
      </c>
      <c r="BG1485">
        <v>20476</v>
      </c>
      <c r="BH1485">
        <v>0</v>
      </c>
      <c r="BI1485">
        <v>0</v>
      </c>
      <c r="BJ1485">
        <v>0</v>
      </c>
      <c r="BK1485">
        <v>0</v>
      </c>
      <c r="BL1485" s="2">
        <v>24.82</v>
      </c>
      <c r="BM1485" s="2">
        <v>42005.095138888886</v>
      </c>
      <c r="BN1485" s="2">
        <v>5.4</v>
      </c>
      <c r="BO1485" s="2">
        <v>42005.092361111114</v>
      </c>
      <c r="BP1485" s="2">
        <v>6.92</v>
      </c>
      <c r="BQ1485" s="2">
        <v>42005.092361111114</v>
      </c>
      <c r="BR1485" s="2">
        <v>11.07</v>
      </c>
      <c r="BS1485" s="2">
        <v>42005.092361111114</v>
      </c>
      <c r="BT1485">
        <v>0</v>
      </c>
      <c r="BU1485">
        <v>0</v>
      </c>
      <c r="BV1485" t="s">
        <v>135</v>
      </c>
      <c r="BW1485">
        <v>0</v>
      </c>
      <c r="BX1485">
        <v>0</v>
      </c>
      <c r="BY1485" t="s">
        <v>135</v>
      </c>
      <c r="BZ1485">
        <v>0</v>
      </c>
      <c r="CA1485">
        <v>0</v>
      </c>
      <c r="CB1485" t="s">
        <v>135</v>
      </c>
      <c r="CH1485" s="2"/>
      <c r="CJ1485" s="2"/>
      <c r="CL1485" s="2"/>
      <c r="CN1485" s="2"/>
      <c r="CQ1485" s="2"/>
      <c r="CT1485" s="2"/>
      <c r="CW1485" s="2"/>
    </row>
    <row r="1486" spans="1:101" x14ac:dyDescent="0.25">
      <c r="A1486" s="1" t="s">
        <v>163</v>
      </c>
      <c r="B1486" s="75" t="s">
        <v>164</v>
      </c>
      <c r="C1486">
        <v>0</v>
      </c>
      <c r="D1486">
        <v>0</v>
      </c>
      <c r="E1486">
        <v>0</v>
      </c>
      <c r="F1486">
        <v>604324.56000000006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3.91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7490</v>
      </c>
      <c r="AW1486">
        <v>3350</v>
      </c>
      <c r="AX1486">
        <v>1219</v>
      </c>
      <c r="AY1486">
        <v>12059</v>
      </c>
      <c r="AZ1486">
        <v>4202</v>
      </c>
      <c r="BA1486">
        <v>7438</v>
      </c>
      <c r="BB1486">
        <v>1432</v>
      </c>
      <c r="BC1486">
        <v>13072</v>
      </c>
      <c r="BD1486">
        <v>9486</v>
      </c>
      <c r="BE1486">
        <v>9222</v>
      </c>
      <c r="BF1486">
        <v>1768</v>
      </c>
      <c r="BG1486">
        <v>20476</v>
      </c>
      <c r="BH1486">
        <v>0</v>
      </c>
      <c r="BI1486">
        <v>0</v>
      </c>
      <c r="BJ1486">
        <v>0</v>
      </c>
      <c r="BK1486">
        <v>0</v>
      </c>
      <c r="BL1486" s="2">
        <v>24.82</v>
      </c>
      <c r="BM1486" s="2">
        <v>42005.095138888886</v>
      </c>
      <c r="BN1486" s="2">
        <v>5.4</v>
      </c>
      <c r="BO1486" s="2">
        <v>42005.092361111114</v>
      </c>
      <c r="BP1486" s="2">
        <v>6.92</v>
      </c>
      <c r="BQ1486" s="2">
        <v>42005.092361111114</v>
      </c>
      <c r="BR1486" s="2">
        <v>11.07</v>
      </c>
      <c r="BS1486" s="2">
        <v>42005.092361111114</v>
      </c>
      <c r="BT1486">
        <v>0</v>
      </c>
      <c r="BU1486">
        <v>0</v>
      </c>
      <c r="BV1486" t="s">
        <v>135</v>
      </c>
      <c r="BW1486">
        <v>0</v>
      </c>
      <c r="BX1486">
        <v>0</v>
      </c>
      <c r="BY1486" t="s">
        <v>135</v>
      </c>
      <c r="BZ1486">
        <v>0</v>
      </c>
      <c r="CA1486">
        <v>0</v>
      </c>
      <c r="CB1486" t="s">
        <v>135</v>
      </c>
      <c r="CH1486" s="2"/>
      <c r="CJ1486" s="2"/>
      <c r="CL1486" s="2"/>
      <c r="CN1486" s="2"/>
      <c r="CQ1486" s="2"/>
      <c r="CT1486" s="2"/>
      <c r="CW1486" s="2"/>
    </row>
    <row r="1487" spans="1:101" x14ac:dyDescent="0.25">
      <c r="A1487" s="1" t="s">
        <v>163</v>
      </c>
      <c r="B1487" s="75" t="s">
        <v>164</v>
      </c>
      <c r="C1487">
        <v>0</v>
      </c>
      <c r="D1487">
        <v>0</v>
      </c>
      <c r="E1487">
        <v>0</v>
      </c>
      <c r="F1487">
        <v>604324.56000000006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3.91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7490</v>
      </c>
      <c r="AW1487">
        <v>3350</v>
      </c>
      <c r="AX1487">
        <v>1219</v>
      </c>
      <c r="AY1487">
        <v>12059</v>
      </c>
      <c r="AZ1487">
        <v>4202</v>
      </c>
      <c r="BA1487">
        <v>7438</v>
      </c>
      <c r="BB1487">
        <v>1432</v>
      </c>
      <c r="BC1487">
        <v>13072</v>
      </c>
      <c r="BD1487">
        <v>9486</v>
      </c>
      <c r="BE1487">
        <v>9222</v>
      </c>
      <c r="BF1487">
        <v>1768</v>
      </c>
      <c r="BG1487">
        <v>20476</v>
      </c>
      <c r="BH1487">
        <v>0</v>
      </c>
      <c r="BI1487">
        <v>0</v>
      </c>
      <c r="BJ1487">
        <v>0</v>
      </c>
      <c r="BK1487">
        <v>0</v>
      </c>
      <c r="BL1487" s="2">
        <v>24.82</v>
      </c>
      <c r="BM1487" s="2">
        <v>42005.095138888886</v>
      </c>
      <c r="BN1487" s="2">
        <v>5.4</v>
      </c>
      <c r="BO1487" s="2">
        <v>42005.092361111114</v>
      </c>
      <c r="BP1487" s="2">
        <v>6.92</v>
      </c>
      <c r="BQ1487" s="2">
        <v>42005.092361111114</v>
      </c>
      <c r="BR1487" s="2">
        <v>11.07</v>
      </c>
      <c r="BS1487" s="2">
        <v>42005.092361111114</v>
      </c>
      <c r="BT1487">
        <v>0</v>
      </c>
      <c r="BU1487">
        <v>0</v>
      </c>
      <c r="BV1487" t="s">
        <v>135</v>
      </c>
      <c r="BW1487">
        <v>0</v>
      </c>
      <c r="BX1487">
        <v>0</v>
      </c>
      <c r="BY1487" t="s">
        <v>135</v>
      </c>
      <c r="BZ1487">
        <v>0</v>
      </c>
      <c r="CA1487">
        <v>0</v>
      </c>
      <c r="CB1487" t="s">
        <v>135</v>
      </c>
      <c r="CH1487" s="2"/>
      <c r="CJ1487" s="2"/>
      <c r="CL1487" s="2"/>
      <c r="CN1487" s="2"/>
      <c r="CQ1487" s="2"/>
      <c r="CT1487" s="2"/>
      <c r="CW1487" s="2"/>
    </row>
    <row r="1488" spans="1:101" x14ac:dyDescent="0.25">
      <c r="A1488" s="1" t="s">
        <v>163</v>
      </c>
      <c r="B1488" s="75" t="s">
        <v>164</v>
      </c>
      <c r="C1488">
        <v>0</v>
      </c>
      <c r="D1488">
        <v>0</v>
      </c>
      <c r="E1488">
        <v>0</v>
      </c>
      <c r="F1488">
        <v>604324.56000000006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3.91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7490</v>
      </c>
      <c r="AW1488">
        <v>3350</v>
      </c>
      <c r="AX1488">
        <v>1219</v>
      </c>
      <c r="AY1488">
        <v>12059</v>
      </c>
      <c r="AZ1488">
        <v>4202</v>
      </c>
      <c r="BA1488">
        <v>7438</v>
      </c>
      <c r="BB1488">
        <v>1432</v>
      </c>
      <c r="BC1488">
        <v>13072</v>
      </c>
      <c r="BD1488">
        <v>9486</v>
      </c>
      <c r="BE1488">
        <v>9222</v>
      </c>
      <c r="BF1488">
        <v>1768</v>
      </c>
      <c r="BG1488">
        <v>20476</v>
      </c>
      <c r="BH1488">
        <v>0</v>
      </c>
      <c r="BI1488">
        <v>0</v>
      </c>
      <c r="BJ1488">
        <v>0</v>
      </c>
      <c r="BK1488">
        <v>0</v>
      </c>
      <c r="BL1488" s="2">
        <v>24.82</v>
      </c>
      <c r="BM1488" s="2">
        <v>42005.095138888886</v>
      </c>
      <c r="BN1488" s="2">
        <v>5.4</v>
      </c>
      <c r="BO1488" s="2">
        <v>42005.092361111114</v>
      </c>
      <c r="BP1488" s="2">
        <v>6.92</v>
      </c>
      <c r="BQ1488" s="2">
        <v>42005.092361111114</v>
      </c>
      <c r="BR1488" s="2">
        <v>11.07</v>
      </c>
      <c r="BS1488" s="2">
        <v>42005.092361111114</v>
      </c>
      <c r="BT1488">
        <v>0</v>
      </c>
      <c r="BU1488">
        <v>0</v>
      </c>
      <c r="BV1488" t="s">
        <v>135</v>
      </c>
      <c r="BW1488">
        <v>0</v>
      </c>
      <c r="BX1488">
        <v>0</v>
      </c>
      <c r="BY1488" t="s">
        <v>135</v>
      </c>
      <c r="BZ1488">
        <v>0</v>
      </c>
      <c r="CA1488">
        <v>0</v>
      </c>
      <c r="CB1488" t="s">
        <v>135</v>
      </c>
      <c r="CH1488" s="2"/>
      <c r="CJ1488" s="2"/>
      <c r="CL1488" s="2"/>
      <c r="CN1488" s="2"/>
      <c r="CQ1488" s="2"/>
      <c r="CT1488" s="2"/>
      <c r="CW1488" s="2"/>
    </row>
    <row r="1489" spans="1:101" x14ac:dyDescent="0.25">
      <c r="A1489" s="1" t="s">
        <v>163</v>
      </c>
      <c r="B1489" s="75" t="s">
        <v>164</v>
      </c>
      <c r="C1489">
        <v>0</v>
      </c>
      <c r="D1489">
        <v>0</v>
      </c>
      <c r="E1489">
        <v>0</v>
      </c>
      <c r="F1489">
        <v>604324.56000000006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3.91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7490</v>
      </c>
      <c r="AW1489">
        <v>3350</v>
      </c>
      <c r="AX1489">
        <v>1219</v>
      </c>
      <c r="AY1489">
        <v>12059</v>
      </c>
      <c r="AZ1489">
        <v>4202</v>
      </c>
      <c r="BA1489">
        <v>7438</v>
      </c>
      <c r="BB1489">
        <v>1432</v>
      </c>
      <c r="BC1489">
        <v>13072</v>
      </c>
      <c r="BD1489">
        <v>9486</v>
      </c>
      <c r="BE1489">
        <v>9222</v>
      </c>
      <c r="BF1489">
        <v>1768</v>
      </c>
      <c r="BG1489">
        <v>20476</v>
      </c>
      <c r="BH1489">
        <v>0</v>
      </c>
      <c r="BI1489">
        <v>0</v>
      </c>
      <c r="BJ1489">
        <v>0</v>
      </c>
      <c r="BK1489">
        <v>0</v>
      </c>
      <c r="BL1489" s="2">
        <v>24.82</v>
      </c>
      <c r="BM1489" s="2">
        <v>42005.095138888886</v>
      </c>
      <c r="BN1489" s="2">
        <v>5.4</v>
      </c>
      <c r="BO1489" s="2">
        <v>42005.092361111114</v>
      </c>
      <c r="BP1489" s="2">
        <v>6.92</v>
      </c>
      <c r="BQ1489" s="2">
        <v>42005.092361111114</v>
      </c>
      <c r="BR1489" s="2">
        <v>11.07</v>
      </c>
      <c r="BS1489" s="2">
        <v>42005.092361111114</v>
      </c>
      <c r="BT1489">
        <v>0</v>
      </c>
      <c r="BU1489">
        <v>0</v>
      </c>
      <c r="BV1489" t="s">
        <v>135</v>
      </c>
      <c r="BW1489">
        <v>0</v>
      </c>
      <c r="BX1489">
        <v>0</v>
      </c>
      <c r="BY1489" t="s">
        <v>135</v>
      </c>
      <c r="BZ1489">
        <v>0</v>
      </c>
      <c r="CA1489">
        <v>0</v>
      </c>
      <c r="CB1489" t="s">
        <v>135</v>
      </c>
      <c r="CH1489" s="2"/>
      <c r="CJ1489" s="2"/>
      <c r="CL1489" s="2"/>
      <c r="CN1489" s="2"/>
      <c r="CQ1489" s="2"/>
      <c r="CT1489" s="2"/>
      <c r="CW1489" s="2"/>
    </row>
    <row r="1490" spans="1:101" x14ac:dyDescent="0.25">
      <c r="A1490" s="1" t="s">
        <v>163</v>
      </c>
      <c r="B1490" s="75" t="s">
        <v>164</v>
      </c>
      <c r="C1490">
        <v>0</v>
      </c>
      <c r="D1490">
        <v>0</v>
      </c>
      <c r="E1490">
        <v>0</v>
      </c>
      <c r="F1490">
        <v>604324.56000000006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3.91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7490</v>
      </c>
      <c r="AW1490">
        <v>3350</v>
      </c>
      <c r="AX1490">
        <v>1219</v>
      </c>
      <c r="AY1490">
        <v>12059</v>
      </c>
      <c r="AZ1490">
        <v>4202</v>
      </c>
      <c r="BA1490">
        <v>7438</v>
      </c>
      <c r="BB1490">
        <v>1432</v>
      </c>
      <c r="BC1490">
        <v>13072</v>
      </c>
      <c r="BD1490">
        <v>9486</v>
      </c>
      <c r="BE1490">
        <v>9222</v>
      </c>
      <c r="BF1490">
        <v>1768</v>
      </c>
      <c r="BG1490">
        <v>20476</v>
      </c>
      <c r="BH1490">
        <v>0</v>
      </c>
      <c r="BI1490">
        <v>0</v>
      </c>
      <c r="BJ1490">
        <v>0</v>
      </c>
      <c r="BK1490">
        <v>0</v>
      </c>
      <c r="BL1490" s="2">
        <v>24.82</v>
      </c>
      <c r="BM1490" s="2">
        <v>42005.095138888886</v>
      </c>
      <c r="BN1490" s="2">
        <v>5.4</v>
      </c>
      <c r="BO1490" s="2">
        <v>42005.092361111114</v>
      </c>
      <c r="BP1490" s="2">
        <v>6.92</v>
      </c>
      <c r="BQ1490" s="2">
        <v>42005.092361111114</v>
      </c>
      <c r="BR1490" s="2">
        <v>11.07</v>
      </c>
      <c r="BS1490" s="2">
        <v>42005.092361111114</v>
      </c>
      <c r="BT1490">
        <v>0</v>
      </c>
      <c r="BU1490">
        <v>0</v>
      </c>
      <c r="BV1490" t="s">
        <v>135</v>
      </c>
      <c r="BW1490">
        <v>0</v>
      </c>
      <c r="BX1490">
        <v>0</v>
      </c>
      <c r="BY1490" t="s">
        <v>135</v>
      </c>
      <c r="BZ1490">
        <v>0</v>
      </c>
      <c r="CA1490">
        <v>0</v>
      </c>
      <c r="CB1490" t="s">
        <v>135</v>
      </c>
      <c r="CH1490" s="2"/>
      <c r="CJ1490" s="2"/>
      <c r="CL1490" s="2"/>
      <c r="CN1490" s="2"/>
      <c r="CQ1490" s="2"/>
      <c r="CT1490" s="2"/>
      <c r="CW1490" s="2"/>
    </row>
    <row r="1491" spans="1:101" x14ac:dyDescent="0.25">
      <c r="A1491" s="1" t="s">
        <v>163</v>
      </c>
      <c r="B1491" s="75" t="s">
        <v>164</v>
      </c>
      <c r="C1491">
        <v>0</v>
      </c>
      <c r="D1491">
        <v>0</v>
      </c>
      <c r="E1491">
        <v>0</v>
      </c>
      <c r="F1491">
        <v>604324.56000000006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3.91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7490</v>
      </c>
      <c r="AW1491">
        <v>3350</v>
      </c>
      <c r="AX1491">
        <v>1219</v>
      </c>
      <c r="AY1491">
        <v>12059</v>
      </c>
      <c r="AZ1491">
        <v>4202</v>
      </c>
      <c r="BA1491">
        <v>7438</v>
      </c>
      <c r="BB1491">
        <v>1432</v>
      </c>
      <c r="BC1491">
        <v>13072</v>
      </c>
      <c r="BD1491">
        <v>9486</v>
      </c>
      <c r="BE1491">
        <v>9222</v>
      </c>
      <c r="BF1491">
        <v>1768</v>
      </c>
      <c r="BG1491">
        <v>20476</v>
      </c>
      <c r="BH1491">
        <v>0</v>
      </c>
      <c r="BI1491">
        <v>0</v>
      </c>
      <c r="BJ1491">
        <v>0</v>
      </c>
      <c r="BK1491">
        <v>0</v>
      </c>
      <c r="BL1491" s="2">
        <v>24.82</v>
      </c>
      <c r="BM1491" s="2">
        <v>42005.095138888886</v>
      </c>
      <c r="BN1491" s="2">
        <v>5.4</v>
      </c>
      <c r="BO1491" s="2">
        <v>42005.092361111114</v>
      </c>
      <c r="BP1491" s="2">
        <v>6.92</v>
      </c>
      <c r="BQ1491" s="2">
        <v>42005.092361111114</v>
      </c>
      <c r="BR1491" s="2">
        <v>11.07</v>
      </c>
      <c r="BS1491" s="2">
        <v>42005.092361111114</v>
      </c>
      <c r="BT1491">
        <v>0</v>
      </c>
      <c r="BU1491">
        <v>0</v>
      </c>
      <c r="BV1491" t="s">
        <v>135</v>
      </c>
      <c r="BW1491">
        <v>0</v>
      </c>
      <c r="BX1491">
        <v>0</v>
      </c>
      <c r="BY1491" t="s">
        <v>135</v>
      </c>
      <c r="BZ1491">
        <v>0</v>
      </c>
      <c r="CA1491">
        <v>0</v>
      </c>
      <c r="CB1491" t="s">
        <v>135</v>
      </c>
      <c r="CH1491" s="2"/>
      <c r="CJ1491" s="2"/>
      <c r="CL1491" s="2"/>
      <c r="CN1491" s="2"/>
      <c r="CQ1491" s="2"/>
      <c r="CT1491" s="2"/>
      <c r="CW1491" s="2"/>
    </row>
    <row r="1492" spans="1:101" x14ac:dyDescent="0.25">
      <c r="A1492" s="1" t="s">
        <v>163</v>
      </c>
      <c r="B1492" s="75" t="s">
        <v>164</v>
      </c>
      <c r="C1492">
        <v>0</v>
      </c>
      <c r="D1492">
        <v>0</v>
      </c>
      <c r="E1492">
        <v>0</v>
      </c>
      <c r="F1492">
        <v>604324.56000000006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3.91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7490</v>
      </c>
      <c r="AW1492">
        <v>3350</v>
      </c>
      <c r="AX1492">
        <v>1219</v>
      </c>
      <c r="AY1492">
        <v>12059</v>
      </c>
      <c r="AZ1492">
        <v>4202</v>
      </c>
      <c r="BA1492">
        <v>7438</v>
      </c>
      <c r="BB1492">
        <v>1432</v>
      </c>
      <c r="BC1492">
        <v>13072</v>
      </c>
      <c r="BD1492">
        <v>9486</v>
      </c>
      <c r="BE1492">
        <v>9222</v>
      </c>
      <c r="BF1492">
        <v>1768</v>
      </c>
      <c r="BG1492">
        <v>20476</v>
      </c>
      <c r="BH1492">
        <v>0</v>
      </c>
      <c r="BI1492">
        <v>0</v>
      </c>
      <c r="BJ1492">
        <v>0</v>
      </c>
      <c r="BK1492">
        <v>0</v>
      </c>
      <c r="BL1492" s="2">
        <v>24.82</v>
      </c>
      <c r="BM1492" s="2">
        <v>42005.095138888886</v>
      </c>
      <c r="BN1492" s="2">
        <v>5.4</v>
      </c>
      <c r="BO1492" s="2">
        <v>42005.092361111114</v>
      </c>
      <c r="BP1492" s="2">
        <v>6.92</v>
      </c>
      <c r="BQ1492" s="2">
        <v>42005.092361111114</v>
      </c>
      <c r="BR1492" s="2">
        <v>11.07</v>
      </c>
      <c r="BS1492" s="2">
        <v>42005.092361111114</v>
      </c>
      <c r="BT1492">
        <v>0</v>
      </c>
      <c r="BU1492">
        <v>0</v>
      </c>
      <c r="BV1492" t="s">
        <v>135</v>
      </c>
      <c r="BW1492">
        <v>0</v>
      </c>
      <c r="BX1492">
        <v>0</v>
      </c>
      <c r="BY1492" t="s">
        <v>135</v>
      </c>
      <c r="BZ1492">
        <v>0</v>
      </c>
      <c r="CA1492">
        <v>0</v>
      </c>
      <c r="CB1492" t="s">
        <v>135</v>
      </c>
      <c r="CH1492" s="2"/>
      <c r="CJ1492" s="2"/>
      <c r="CL1492" s="2"/>
      <c r="CN1492" s="2"/>
      <c r="CQ1492" s="2"/>
      <c r="CT1492" s="2"/>
      <c r="CW1492" s="2"/>
    </row>
    <row r="1493" spans="1:101" x14ac:dyDescent="0.25">
      <c r="A1493" s="1" t="s">
        <v>163</v>
      </c>
      <c r="B1493" s="75" t="s">
        <v>164</v>
      </c>
      <c r="C1493">
        <v>0</v>
      </c>
      <c r="D1493">
        <v>0</v>
      </c>
      <c r="E1493">
        <v>0</v>
      </c>
      <c r="F1493">
        <v>604324.56000000006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3.91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7490</v>
      </c>
      <c r="AW1493">
        <v>3350</v>
      </c>
      <c r="AX1493">
        <v>1219</v>
      </c>
      <c r="AY1493">
        <v>12059</v>
      </c>
      <c r="AZ1493">
        <v>4202</v>
      </c>
      <c r="BA1493">
        <v>7438</v>
      </c>
      <c r="BB1493">
        <v>1432</v>
      </c>
      <c r="BC1493">
        <v>13072</v>
      </c>
      <c r="BD1493">
        <v>9486</v>
      </c>
      <c r="BE1493">
        <v>9222</v>
      </c>
      <c r="BF1493">
        <v>1768</v>
      </c>
      <c r="BG1493">
        <v>20476</v>
      </c>
      <c r="BH1493">
        <v>0</v>
      </c>
      <c r="BI1493">
        <v>0</v>
      </c>
      <c r="BJ1493">
        <v>0</v>
      </c>
      <c r="BK1493">
        <v>0</v>
      </c>
      <c r="BL1493" s="2">
        <v>24.82</v>
      </c>
      <c r="BM1493" s="2">
        <v>42005.095138888886</v>
      </c>
      <c r="BN1493" s="2">
        <v>5.4</v>
      </c>
      <c r="BO1493" s="2">
        <v>42005.092361111114</v>
      </c>
      <c r="BP1493" s="2">
        <v>6.92</v>
      </c>
      <c r="BQ1493" s="2">
        <v>42005.092361111114</v>
      </c>
      <c r="BR1493" s="2">
        <v>11.07</v>
      </c>
      <c r="BS1493" s="2">
        <v>42005.092361111114</v>
      </c>
      <c r="BT1493">
        <v>0</v>
      </c>
      <c r="BU1493">
        <v>0</v>
      </c>
      <c r="BV1493" t="s">
        <v>135</v>
      </c>
      <c r="BW1493">
        <v>0</v>
      </c>
      <c r="BX1493">
        <v>0</v>
      </c>
      <c r="BY1493" t="s">
        <v>135</v>
      </c>
      <c r="BZ1493">
        <v>0</v>
      </c>
      <c r="CA1493">
        <v>0</v>
      </c>
      <c r="CB1493" t="s">
        <v>135</v>
      </c>
      <c r="CH1493" s="2"/>
      <c r="CJ1493" s="2"/>
      <c r="CL1493" s="2"/>
      <c r="CN1493" s="2"/>
      <c r="CQ1493" s="2"/>
      <c r="CT1493" s="2"/>
      <c r="CW1493" s="2"/>
    </row>
    <row r="1494" spans="1:101" x14ac:dyDescent="0.25">
      <c r="A1494" s="1" t="s">
        <v>163</v>
      </c>
      <c r="B1494" s="75" t="s">
        <v>164</v>
      </c>
      <c r="C1494">
        <v>0</v>
      </c>
      <c r="D1494">
        <v>0</v>
      </c>
      <c r="E1494">
        <v>0</v>
      </c>
      <c r="F1494">
        <v>604324.56000000006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3.91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7490</v>
      </c>
      <c r="AW1494">
        <v>3350</v>
      </c>
      <c r="AX1494">
        <v>1219</v>
      </c>
      <c r="AY1494">
        <v>12059</v>
      </c>
      <c r="AZ1494">
        <v>4202</v>
      </c>
      <c r="BA1494">
        <v>7438</v>
      </c>
      <c r="BB1494">
        <v>1432</v>
      </c>
      <c r="BC1494">
        <v>13072</v>
      </c>
      <c r="BD1494">
        <v>9486</v>
      </c>
      <c r="BE1494">
        <v>9222</v>
      </c>
      <c r="BF1494">
        <v>1768</v>
      </c>
      <c r="BG1494">
        <v>20476</v>
      </c>
      <c r="BH1494">
        <v>0</v>
      </c>
      <c r="BI1494">
        <v>0</v>
      </c>
      <c r="BJ1494">
        <v>0</v>
      </c>
      <c r="BK1494">
        <v>0</v>
      </c>
      <c r="BL1494" s="2">
        <v>24.82</v>
      </c>
      <c r="BM1494" s="2">
        <v>42005.095138888886</v>
      </c>
      <c r="BN1494" s="2">
        <v>5.4</v>
      </c>
      <c r="BO1494" s="2">
        <v>42005.092361111114</v>
      </c>
      <c r="BP1494" s="2">
        <v>6.92</v>
      </c>
      <c r="BQ1494" s="2">
        <v>42005.092361111114</v>
      </c>
      <c r="BR1494" s="2">
        <v>11.07</v>
      </c>
      <c r="BS1494" s="2">
        <v>42005.092361111114</v>
      </c>
      <c r="BT1494">
        <v>0</v>
      </c>
      <c r="BU1494">
        <v>0</v>
      </c>
      <c r="BV1494" t="s">
        <v>135</v>
      </c>
      <c r="BW1494">
        <v>0</v>
      </c>
      <c r="BX1494">
        <v>0</v>
      </c>
      <c r="BY1494" t="s">
        <v>135</v>
      </c>
      <c r="BZ1494">
        <v>0</v>
      </c>
      <c r="CA1494">
        <v>0</v>
      </c>
      <c r="CB1494" t="s">
        <v>135</v>
      </c>
      <c r="CH1494" s="2"/>
      <c r="CJ1494" s="2"/>
      <c r="CL1494" s="2"/>
      <c r="CN1494" s="2"/>
      <c r="CQ1494" s="2"/>
      <c r="CT1494" s="2"/>
      <c r="CW1494" s="2"/>
    </row>
    <row r="1495" spans="1:101" x14ac:dyDescent="0.25">
      <c r="A1495" s="1" t="s">
        <v>163</v>
      </c>
      <c r="B1495" s="75" t="s">
        <v>164</v>
      </c>
      <c r="C1495">
        <v>0</v>
      </c>
      <c r="D1495">
        <v>0</v>
      </c>
      <c r="E1495">
        <v>0</v>
      </c>
      <c r="F1495">
        <v>604324.56000000006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3.91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7490</v>
      </c>
      <c r="AW1495">
        <v>3350</v>
      </c>
      <c r="AX1495">
        <v>1219</v>
      </c>
      <c r="AY1495">
        <v>12059</v>
      </c>
      <c r="AZ1495">
        <v>4202</v>
      </c>
      <c r="BA1495">
        <v>7438</v>
      </c>
      <c r="BB1495">
        <v>1432</v>
      </c>
      <c r="BC1495">
        <v>13072</v>
      </c>
      <c r="BD1495">
        <v>9486</v>
      </c>
      <c r="BE1495">
        <v>9222</v>
      </c>
      <c r="BF1495">
        <v>1768</v>
      </c>
      <c r="BG1495">
        <v>20476</v>
      </c>
      <c r="BH1495">
        <v>0</v>
      </c>
      <c r="BI1495">
        <v>0</v>
      </c>
      <c r="BJ1495">
        <v>0</v>
      </c>
      <c r="BK1495">
        <v>0</v>
      </c>
      <c r="BL1495" s="2">
        <v>24.82</v>
      </c>
      <c r="BM1495" s="2">
        <v>42005.095138888886</v>
      </c>
      <c r="BN1495" s="2">
        <v>5.4</v>
      </c>
      <c r="BO1495" s="2">
        <v>42005.092361111114</v>
      </c>
      <c r="BP1495" s="2">
        <v>6.92</v>
      </c>
      <c r="BQ1495" s="2">
        <v>42005.092361111114</v>
      </c>
      <c r="BR1495" s="2">
        <v>11.07</v>
      </c>
      <c r="BS1495" s="2">
        <v>42005.092361111114</v>
      </c>
      <c r="BT1495">
        <v>0</v>
      </c>
      <c r="BU1495">
        <v>0</v>
      </c>
      <c r="BV1495" t="s">
        <v>135</v>
      </c>
      <c r="BW1495">
        <v>0</v>
      </c>
      <c r="BX1495">
        <v>0</v>
      </c>
      <c r="BY1495" t="s">
        <v>135</v>
      </c>
      <c r="BZ1495">
        <v>0</v>
      </c>
      <c r="CA1495">
        <v>0</v>
      </c>
      <c r="CB1495" t="s">
        <v>135</v>
      </c>
      <c r="CH1495" s="2"/>
      <c r="CJ1495" s="2"/>
      <c r="CL1495" s="2"/>
      <c r="CN1495" s="2"/>
      <c r="CQ1495" s="2"/>
      <c r="CT1495" s="2"/>
      <c r="CW1495" s="2"/>
    </row>
    <row r="1496" spans="1:101" x14ac:dyDescent="0.25">
      <c r="A1496" s="1" t="s">
        <v>163</v>
      </c>
      <c r="B1496" s="75" t="s">
        <v>164</v>
      </c>
      <c r="C1496">
        <v>0</v>
      </c>
      <c r="D1496">
        <v>0</v>
      </c>
      <c r="E1496">
        <v>0</v>
      </c>
      <c r="F1496">
        <v>604324.56000000006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3.91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7490</v>
      </c>
      <c r="AW1496">
        <v>3350</v>
      </c>
      <c r="AX1496">
        <v>1219</v>
      </c>
      <c r="AY1496">
        <v>12059</v>
      </c>
      <c r="AZ1496">
        <v>4202</v>
      </c>
      <c r="BA1496">
        <v>7438</v>
      </c>
      <c r="BB1496">
        <v>1432</v>
      </c>
      <c r="BC1496">
        <v>13072</v>
      </c>
      <c r="BD1496">
        <v>9486</v>
      </c>
      <c r="BE1496">
        <v>9222</v>
      </c>
      <c r="BF1496">
        <v>1768</v>
      </c>
      <c r="BG1496">
        <v>20476</v>
      </c>
      <c r="BH1496">
        <v>0</v>
      </c>
      <c r="BI1496">
        <v>0</v>
      </c>
      <c r="BJ1496">
        <v>0</v>
      </c>
      <c r="BK1496">
        <v>0</v>
      </c>
      <c r="BL1496" s="2">
        <v>24.82</v>
      </c>
      <c r="BM1496" s="2">
        <v>42005.095138888886</v>
      </c>
      <c r="BN1496" s="2">
        <v>5.4</v>
      </c>
      <c r="BO1496" s="2">
        <v>42005.092361111114</v>
      </c>
      <c r="BP1496" s="2">
        <v>6.92</v>
      </c>
      <c r="BQ1496" s="2">
        <v>42005.092361111114</v>
      </c>
      <c r="BR1496" s="2">
        <v>11.07</v>
      </c>
      <c r="BS1496" s="2">
        <v>42005.092361111114</v>
      </c>
      <c r="BT1496">
        <v>0</v>
      </c>
      <c r="BU1496">
        <v>0</v>
      </c>
      <c r="BV1496" t="s">
        <v>135</v>
      </c>
      <c r="BW1496">
        <v>0</v>
      </c>
      <c r="BX1496">
        <v>0</v>
      </c>
      <c r="BY1496" t="s">
        <v>135</v>
      </c>
      <c r="BZ1496">
        <v>0</v>
      </c>
      <c r="CA1496">
        <v>0</v>
      </c>
      <c r="CB1496" t="s">
        <v>135</v>
      </c>
      <c r="CH1496" s="2"/>
      <c r="CJ1496" s="2"/>
      <c r="CL1496" s="2"/>
      <c r="CN1496" s="2"/>
      <c r="CQ1496" s="2"/>
      <c r="CT1496" s="2"/>
      <c r="CW1496" s="2"/>
    </row>
    <row r="1497" spans="1:101" x14ac:dyDescent="0.25">
      <c r="A1497" s="1" t="s">
        <v>163</v>
      </c>
      <c r="B1497" s="75" t="s">
        <v>164</v>
      </c>
      <c r="C1497">
        <v>0</v>
      </c>
      <c r="D1497">
        <v>0</v>
      </c>
      <c r="E1497">
        <v>0</v>
      </c>
      <c r="F1497">
        <v>604324.56000000006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3.91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7490</v>
      </c>
      <c r="AW1497">
        <v>3350</v>
      </c>
      <c r="AX1497">
        <v>1219</v>
      </c>
      <c r="AY1497">
        <v>12059</v>
      </c>
      <c r="AZ1497">
        <v>4202</v>
      </c>
      <c r="BA1497">
        <v>7438</v>
      </c>
      <c r="BB1497">
        <v>1432</v>
      </c>
      <c r="BC1497">
        <v>13072</v>
      </c>
      <c r="BD1497">
        <v>9486</v>
      </c>
      <c r="BE1497">
        <v>9222</v>
      </c>
      <c r="BF1497">
        <v>1768</v>
      </c>
      <c r="BG1497">
        <v>20476</v>
      </c>
      <c r="BH1497">
        <v>0</v>
      </c>
      <c r="BI1497">
        <v>0</v>
      </c>
      <c r="BJ1497">
        <v>0</v>
      </c>
      <c r="BK1497">
        <v>0</v>
      </c>
      <c r="BL1497" s="2">
        <v>24.82</v>
      </c>
      <c r="BM1497" s="2">
        <v>42005.095138888886</v>
      </c>
      <c r="BN1497" s="2">
        <v>5.4</v>
      </c>
      <c r="BO1497" s="2">
        <v>42005.092361111114</v>
      </c>
      <c r="BP1497" s="2">
        <v>6.92</v>
      </c>
      <c r="BQ1497" s="2">
        <v>42005.092361111114</v>
      </c>
      <c r="BR1497" s="2">
        <v>11.07</v>
      </c>
      <c r="BS1497" s="2">
        <v>42005.092361111114</v>
      </c>
      <c r="BT1497">
        <v>0</v>
      </c>
      <c r="BU1497">
        <v>0</v>
      </c>
      <c r="BV1497" t="s">
        <v>135</v>
      </c>
      <c r="BW1497">
        <v>0</v>
      </c>
      <c r="BX1497">
        <v>0</v>
      </c>
      <c r="BY1497" t="s">
        <v>135</v>
      </c>
      <c r="BZ1497">
        <v>0</v>
      </c>
      <c r="CA1497">
        <v>0</v>
      </c>
      <c r="CB1497" t="s">
        <v>135</v>
      </c>
      <c r="CH1497" s="2"/>
      <c r="CJ1497" s="2"/>
      <c r="CL1497" s="2"/>
      <c r="CN1497" s="2"/>
      <c r="CQ1497" s="2"/>
      <c r="CT1497" s="2"/>
      <c r="CW1497" s="2"/>
    </row>
    <row r="1498" spans="1:101" x14ac:dyDescent="0.25">
      <c r="A1498" s="1" t="s">
        <v>163</v>
      </c>
      <c r="B1498" s="75" t="s">
        <v>164</v>
      </c>
      <c r="C1498">
        <v>0</v>
      </c>
      <c r="D1498">
        <v>0</v>
      </c>
      <c r="E1498">
        <v>0</v>
      </c>
      <c r="F1498">
        <v>604324.56000000006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3.91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7490</v>
      </c>
      <c r="AW1498">
        <v>3350</v>
      </c>
      <c r="AX1498">
        <v>1219</v>
      </c>
      <c r="AY1498">
        <v>12059</v>
      </c>
      <c r="AZ1498">
        <v>4202</v>
      </c>
      <c r="BA1498">
        <v>7438</v>
      </c>
      <c r="BB1498">
        <v>1432</v>
      </c>
      <c r="BC1498">
        <v>13072</v>
      </c>
      <c r="BD1498">
        <v>9486</v>
      </c>
      <c r="BE1498">
        <v>9222</v>
      </c>
      <c r="BF1498">
        <v>1768</v>
      </c>
      <c r="BG1498">
        <v>20476</v>
      </c>
      <c r="BH1498">
        <v>0</v>
      </c>
      <c r="BI1498">
        <v>0</v>
      </c>
      <c r="BJ1498">
        <v>0</v>
      </c>
      <c r="BK1498">
        <v>0</v>
      </c>
      <c r="BL1498" s="2">
        <v>24.82</v>
      </c>
      <c r="BM1498" s="2">
        <v>42005.095138888886</v>
      </c>
      <c r="BN1498" s="2">
        <v>5.4</v>
      </c>
      <c r="BO1498" s="2">
        <v>42005.092361111114</v>
      </c>
      <c r="BP1498" s="2">
        <v>6.92</v>
      </c>
      <c r="BQ1498" s="2">
        <v>42005.092361111114</v>
      </c>
      <c r="BR1498" s="2">
        <v>11.07</v>
      </c>
      <c r="BS1498" s="2">
        <v>42005.092361111114</v>
      </c>
      <c r="BT1498">
        <v>0</v>
      </c>
      <c r="BU1498">
        <v>0</v>
      </c>
      <c r="BV1498" t="s">
        <v>135</v>
      </c>
      <c r="BW1498">
        <v>0</v>
      </c>
      <c r="BX1498">
        <v>0</v>
      </c>
      <c r="BY1498" t="s">
        <v>135</v>
      </c>
      <c r="BZ1498">
        <v>0</v>
      </c>
      <c r="CA1498">
        <v>0</v>
      </c>
      <c r="CB1498" t="s">
        <v>135</v>
      </c>
      <c r="CH1498" s="2"/>
      <c r="CJ1498" s="2"/>
      <c r="CL1498" s="2"/>
      <c r="CN1498" s="2"/>
      <c r="CQ1498" s="2"/>
      <c r="CT1498" s="2"/>
      <c r="CW1498" s="2"/>
    </row>
    <row r="1499" spans="1:101" x14ac:dyDescent="0.25">
      <c r="A1499" s="1" t="s">
        <v>163</v>
      </c>
      <c r="B1499" s="75" t="s">
        <v>164</v>
      </c>
      <c r="C1499">
        <v>0</v>
      </c>
      <c r="D1499">
        <v>0</v>
      </c>
      <c r="E1499">
        <v>0</v>
      </c>
      <c r="F1499">
        <v>604324.56000000006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3.91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7490</v>
      </c>
      <c r="AW1499">
        <v>3350</v>
      </c>
      <c r="AX1499">
        <v>1219</v>
      </c>
      <c r="AY1499">
        <v>12059</v>
      </c>
      <c r="AZ1499">
        <v>4202</v>
      </c>
      <c r="BA1499">
        <v>7438</v>
      </c>
      <c r="BB1499">
        <v>1432</v>
      </c>
      <c r="BC1499">
        <v>13072</v>
      </c>
      <c r="BD1499">
        <v>9486</v>
      </c>
      <c r="BE1499">
        <v>9222</v>
      </c>
      <c r="BF1499">
        <v>1768</v>
      </c>
      <c r="BG1499">
        <v>20476</v>
      </c>
      <c r="BH1499">
        <v>0</v>
      </c>
      <c r="BI1499">
        <v>0</v>
      </c>
      <c r="BJ1499">
        <v>0</v>
      </c>
      <c r="BK1499">
        <v>0</v>
      </c>
      <c r="BL1499" s="2">
        <v>24.82</v>
      </c>
      <c r="BM1499" s="2">
        <v>42005.095138888886</v>
      </c>
      <c r="BN1499" s="2">
        <v>5.4</v>
      </c>
      <c r="BO1499" s="2">
        <v>42005.092361111114</v>
      </c>
      <c r="BP1499" s="2">
        <v>6.92</v>
      </c>
      <c r="BQ1499" s="2">
        <v>42005.092361111114</v>
      </c>
      <c r="BR1499" s="2">
        <v>11.07</v>
      </c>
      <c r="BS1499" s="2">
        <v>42005.092361111114</v>
      </c>
      <c r="BT1499">
        <v>0</v>
      </c>
      <c r="BU1499">
        <v>0</v>
      </c>
      <c r="BV1499" t="s">
        <v>135</v>
      </c>
      <c r="BW1499">
        <v>0</v>
      </c>
      <c r="BX1499">
        <v>0</v>
      </c>
      <c r="BY1499" t="s">
        <v>135</v>
      </c>
      <c r="BZ1499">
        <v>0</v>
      </c>
      <c r="CA1499">
        <v>0</v>
      </c>
      <c r="CB1499" t="s">
        <v>135</v>
      </c>
      <c r="CH1499" s="2"/>
      <c r="CJ1499" s="2"/>
      <c r="CL1499" s="2"/>
      <c r="CN1499" s="2"/>
      <c r="CQ1499" s="2"/>
      <c r="CT1499" s="2"/>
      <c r="CW1499" s="2"/>
    </row>
    <row r="1500" spans="1:101" x14ac:dyDescent="0.25">
      <c r="A1500" s="1" t="s">
        <v>163</v>
      </c>
      <c r="B1500" s="75" t="s">
        <v>164</v>
      </c>
      <c r="C1500">
        <v>0</v>
      </c>
      <c r="D1500">
        <v>0</v>
      </c>
      <c r="E1500">
        <v>0</v>
      </c>
      <c r="F1500">
        <v>604324.56000000006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3.91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7490</v>
      </c>
      <c r="AW1500">
        <v>3350</v>
      </c>
      <c r="AX1500">
        <v>1219</v>
      </c>
      <c r="AY1500">
        <v>12059</v>
      </c>
      <c r="AZ1500">
        <v>4202</v>
      </c>
      <c r="BA1500">
        <v>7438</v>
      </c>
      <c r="BB1500">
        <v>1432</v>
      </c>
      <c r="BC1500">
        <v>13072</v>
      </c>
      <c r="BD1500">
        <v>9486</v>
      </c>
      <c r="BE1500">
        <v>9222</v>
      </c>
      <c r="BF1500">
        <v>1768</v>
      </c>
      <c r="BG1500">
        <v>20476</v>
      </c>
      <c r="BH1500">
        <v>0</v>
      </c>
      <c r="BI1500">
        <v>0</v>
      </c>
      <c r="BJ1500">
        <v>0</v>
      </c>
      <c r="BK1500">
        <v>0</v>
      </c>
      <c r="BL1500" s="2">
        <v>24.82</v>
      </c>
      <c r="BM1500" s="2">
        <v>42005.095138888886</v>
      </c>
      <c r="BN1500" s="2">
        <v>5.4</v>
      </c>
      <c r="BO1500" s="2">
        <v>42005.092361111114</v>
      </c>
      <c r="BP1500" s="2">
        <v>6.92</v>
      </c>
      <c r="BQ1500" s="2">
        <v>42005.092361111114</v>
      </c>
      <c r="BR1500" s="2">
        <v>11.07</v>
      </c>
      <c r="BS1500" s="2">
        <v>42005.092361111114</v>
      </c>
      <c r="BT1500">
        <v>0</v>
      </c>
      <c r="BU1500">
        <v>0</v>
      </c>
      <c r="BV1500" t="s">
        <v>135</v>
      </c>
      <c r="BW1500">
        <v>0</v>
      </c>
      <c r="BX1500">
        <v>0</v>
      </c>
      <c r="BY1500" t="s">
        <v>135</v>
      </c>
      <c r="BZ1500">
        <v>0</v>
      </c>
      <c r="CA1500">
        <v>0</v>
      </c>
      <c r="CB1500" t="s">
        <v>135</v>
      </c>
      <c r="CH1500" s="2"/>
      <c r="CJ1500" s="2"/>
      <c r="CL1500" s="2"/>
      <c r="CN1500" s="2"/>
      <c r="CQ1500" s="2"/>
      <c r="CT1500" s="2"/>
      <c r="CW1500" s="2"/>
    </row>
    <row r="1501" spans="1:101" x14ac:dyDescent="0.25">
      <c r="A1501" s="1" t="s">
        <v>163</v>
      </c>
      <c r="B1501" s="75" t="s">
        <v>164</v>
      </c>
      <c r="C1501">
        <v>0</v>
      </c>
      <c r="D1501">
        <v>0</v>
      </c>
      <c r="E1501">
        <v>0</v>
      </c>
      <c r="F1501">
        <v>604324.56000000006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3.91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7490</v>
      </c>
      <c r="AW1501">
        <v>3350</v>
      </c>
      <c r="AX1501">
        <v>1219</v>
      </c>
      <c r="AY1501">
        <v>12059</v>
      </c>
      <c r="AZ1501">
        <v>4202</v>
      </c>
      <c r="BA1501">
        <v>7438</v>
      </c>
      <c r="BB1501">
        <v>1432</v>
      </c>
      <c r="BC1501">
        <v>13072</v>
      </c>
      <c r="BD1501">
        <v>9486</v>
      </c>
      <c r="BE1501">
        <v>9222</v>
      </c>
      <c r="BF1501">
        <v>1768</v>
      </c>
      <c r="BG1501">
        <v>20476</v>
      </c>
      <c r="BH1501">
        <v>0</v>
      </c>
      <c r="BI1501">
        <v>0</v>
      </c>
      <c r="BJ1501">
        <v>0</v>
      </c>
      <c r="BK1501">
        <v>0</v>
      </c>
      <c r="BL1501" s="2">
        <v>24.82</v>
      </c>
      <c r="BM1501" s="2">
        <v>42005.095138888886</v>
      </c>
      <c r="BN1501" s="2">
        <v>5.4</v>
      </c>
      <c r="BO1501" s="2">
        <v>42005.092361111114</v>
      </c>
      <c r="BP1501" s="2">
        <v>6.92</v>
      </c>
      <c r="BQ1501" s="2">
        <v>42005.092361111114</v>
      </c>
      <c r="BR1501" s="2">
        <v>11.07</v>
      </c>
      <c r="BS1501" s="2">
        <v>42005.092361111114</v>
      </c>
      <c r="BT1501">
        <v>0</v>
      </c>
      <c r="BU1501">
        <v>0</v>
      </c>
      <c r="BV1501" t="s">
        <v>135</v>
      </c>
      <c r="BW1501">
        <v>0</v>
      </c>
      <c r="BX1501">
        <v>0</v>
      </c>
      <c r="BY1501" t="s">
        <v>135</v>
      </c>
      <c r="BZ1501">
        <v>0</v>
      </c>
      <c r="CA1501">
        <v>0</v>
      </c>
      <c r="CB1501" t="s">
        <v>135</v>
      </c>
      <c r="CH1501" s="2"/>
      <c r="CJ1501" s="2"/>
      <c r="CL1501" s="2"/>
      <c r="CN1501" s="2"/>
      <c r="CQ1501" s="2"/>
      <c r="CT1501" s="2"/>
      <c r="CW1501" s="2"/>
    </row>
    <row r="1502" spans="1:101" x14ac:dyDescent="0.25">
      <c r="A1502" s="1" t="s">
        <v>163</v>
      </c>
      <c r="B1502" s="75" t="s">
        <v>164</v>
      </c>
      <c r="C1502">
        <v>0</v>
      </c>
      <c r="D1502">
        <v>0</v>
      </c>
      <c r="E1502">
        <v>0</v>
      </c>
      <c r="F1502">
        <v>604324.56000000006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3.91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7490</v>
      </c>
      <c r="AW1502">
        <v>3350</v>
      </c>
      <c r="AX1502">
        <v>1219</v>
      </c>
      <c r="AY1502">
        <v>12059</v>
      </c>
      <c r="AZ1502">
        <v>4202</v>
      </c>
      <c r="BA1502">
        <v>7438</v>
      </c>
      <c r="BB1502">
        <v>1432</v>
      </c>
      <c r="BC1502">
        <v>13072</v>
      </c>
      <c r="BD1502">
        <v>9486</v>
      </c>
      <c r="BE1502">
        <v>9222</v>
      </c>
      <c r="BF1502">
        <v>1768</v>
      </c>
      <c r="BG1502">
        <v>20476</v>
      </c>
      <c r="BH1502">
        <v>0</v>
      </c>
      <c r="BI1502">
        <v>0</v>
      </c>
      <c r="BJ1502">
        <v>0</v>
      </c>
      <c r="BK1502">
        <v>0</v>
      </c>
      <c r="BL1502" s="2">
        <v>24.82</v>
      </c>
      <c r="BM1502" s="2">
        <v>42005.095138888886</v>
      </c>
      <c r="BN1502" s="2">
        <v>5.4</v>
      </c>
      <c r="BO1502" s="2">
        <v>42005.092361111114</v>
      </c>
      <c r="BP1502" s="2">
        <v>6.92</v>
      </c>
      <c r="BQ1502" s="2">
        <v>42005.092361111114</v>
      </c>
      <c r="BR1502" s="2">
        <v>11.07</v>
      </c>
      <c r="BS1502" s="2">
        <v>42005.092361111114</v>
      </c>
      <c r="BT1502">
        <v>0</v>
      </c>
      <c r="BU1502">
        <v>0</v>
      </c>
      <c r="BV1502" t="s">
        <v>135</v>
      </c>
      <c r="BW1502">
        <v>0</v>
      </c>
      <c r="BX1502">
        <v>0</v>
      </c>
      <c r="BY1502" t="s">
        <v>135</v>
      </c>
      <c r="BZ1502">
        <v>0</v>
      </c>
      <c r="CA1502">
        <v>0</v>
      </c>
      <c r="CB1502" t="s">
        <v>135</v>
      </c>
      <c r="CH1502" s="2"/>
      <c r="CJ1502" s="2"/>
      <c r="CL1502" s="2"/>
      <c r="CN1502" s="2"/>
      <c r="CQ1502" s="2"/>
      <c r="CT1502" s="2"/>
      <c r="CW1502" s="2"/>
    </row>
    <row r="1503" spans="1:101" x14ac:dyDescent="0.25">
      <c r="A1503" s="1" t="s">
        <v>163</v>
      </c>
      <c r="B1503" s="75" t="s">
        <v>164</v>
      </c>
      <c r="C1503">
        <v>0</v>
      </c>
      <c r="D1503">
        <v>0</v>
      </c>
      <c r="E1503">
        <v>0</v>
      </c>
      <c r="F1503">
        <v>604324.56000000006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3.91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7490</v>
      </c>
      <c r="AW1503">
        <v>3350</v>
      </c>
      <c r="AX1503">
        <v>1219</v>
      </c>
      <c r="AY1503">
        <v>12059</v>
      </c>
      <c r="AZ1503">
        <v>4202</v>
      </c>
      <c r="BA1503">
        <v>7438</v>
      </c>
      <c r="BB1503">
        <v>1432</v>
      </c>
      <c r="BC1503">
        <v>13072</v>
      </c>
      <c r="BD1503">
        <v>9486</v>
      </c>
      <c r="BE1503">
        <v>9222</v>
      </c>
      <c r="BF1503">
        <v>1768</v>
      </c>
      <c r="BG1503">
        <v>20476</v>
      </c>
      <c r="BH1503">
        <v>0</v>
      </c>
      <c r="BI1503">
        <v>0</v>
      </c>
      <c r="BJ1503">
        <v>0</v>
      </c>
      <c r="BK1503">
        <v>0</v>
      </c>
      <c r="BL1503" s="2">
        <v>24.82</v>
      </c>
      <c r="BM1503" s="2">
        <v>42005.095138888886</v>
      </c>
      <c r="BN1503" s="2">
        <v>5.4</v>
      </c>
      <c r="BO1503" s="2">
        <v>42005.092361111114</v>
      </c>
      <c r="BP1503" s="2">
        <v>6.92</v>
      </c>
      <c r="BQ1503" s="2">
        <v>42005.092361111114</v>
      </c>
      <c r="BR1503" s="2">
        <v>11.07</v>
      </c>
      <c r="BS1503" s="2">
        <v>42005.092361111114</v>
      </c>
      <c r="BT1503">
        <v>0</v>
      </c>
      <c r="BU1503">
        <v>0</v>
      </c>
      <c r="BV1503" t="s">
        <v>135</v>
      </c>
      <c r="BW1503">
        <v>0</v>
      </c>
      <c r="BX1503">
        <v>0</v>
      </c>
      <c r="BY1503" t="s">
        <v>135</v>
      </c>
      <c r="BZ1503">
        <v>0</v>
      </c>
      <c r="CA1503">
        <v>0</v>
      </c>
      <c r="CB1503" t="s">
        <v>135</v>
      </c>
      <c r="CH1503" s="2"/>
      <c r="CJ1503" s="2"/>
      <c r="CL1503" s="2"/>
      <c r="CN1503" s="2"/>
      <c r="CQ1503" s="2"/>
      <c r="CT1503" s="2"/>
      <c r="CW1503" s="2"/>
    </row>
    <row r="1504" spans="1:101" x14ac:dyDescent="0.25">
      <c r="A1504" s="1" t="s">
        <v>163</v>
      </c>
      <c r="B1504" s="75" t="s">
        <v>164</v>
      </c>
      <c r="C1504">
        <v>0</v>
      </c>
      <c r="D1504">
        <v>0</v>
      </c>
      <c r="E1504">
        <v>0</v>
      </c>
      <c r="F1504">
        <v>604324.56000000006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3.91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7490</v>
      </c>
      <c r="AW1504">
        <v>3350</v>
      </c>
      <c r="AX1504">
        <v>1219</v>
      </c>
      <c r="AY1504">
        <v>12059</v>
      </c>
      <c r="AZ1504">
        <v>4202</v>
      </c>
      <c r="BA1504">
        <v>7438</v>
      </c>
      <c r="BB1504">
        <v>1432</v>
      </c>
      <c r="BC1504">
        <v>13072</v>
      </c>
      <c r="BD1504">
        <v>9486</v>
      </c>
      <c r="BE1504">
        <v>9222</v>
      </c>
      <c r="BF1504">
        <v>1768</v>
      </c>
      <c r="BG1504">
        <v>20476</v>
      </c>
      <c r="BH1504">
        <v>0</v>
      </c>
      <c r="BI1504">
        <v>0</v>
      </c>
      <c r="BJ1504">
        <v>0</v>
      </c>
      <c r="BK1504">
        <v>0</v>
      </c>
      <c r="BL1504" s="2">
        <v>24.82</v>
      </c>
      <c r="BM1504" s="2">
        <v>42005.095138888886</v>
      </c>
      <c r="BN1504" s="2">
        <v>5.4</v>
      </c>
      <c r="BO1504" s="2">
        <v>42005.092361111114</v>
      </c>
      <c r="BP1504" s="2">
        <v>6.92</v>
      </c>
      <c r="BQ1504" s="2">
        <v>42005.092361111114</v>
      </c>
      <c r="BR1504" s="2">
        <v>11.07</v>
      </c>
      <c r="BS1504" s="2">
        <v>42005.092361111114</v>
      </c>
      <c r="BT1504">
        <v>0</v>
      </c>
      <c r="BU1504">
        <v>0</v>
      </c>
      <c r="BV1504" t="s">
        <v>135</v>
      </c>
      <c r="BW1504">
        <v>0</v>
      </c>
      <c r="BX1504">
        <v>0</v>
      </c>
      <c r="BY1504" t="s">
        <v>135</v>
      </c>
      <c r="BZ1504">
        <v>0</v>
      </c>
      <c r="CA1504">
        <v>0</v>
      </c>
      <c r="CB1504" t="s">
        <v>135</v>
      </c>
      <c r="CH1504" s="2"/>
      <c r="CJ1504" s="2"/>
      <c r="CL1504" s="2"/>
      <c r="CN1504" s="2"/>
      <c r="CQ1504" s="2"/>
      <c r="CT1504" s="2"/>
      <c r="CW1504" s="2"/>
    </row>
    <row r="1505" spans="1:101" x14ac:dyDescent="0.25">
      <c r="A1505" s="1" t="s">
        <v>163</v>
      </c>
      <c r="B1505" s="75" t="s">
        <v>164</v>
      </c>
      <c r="C1505">
        <v>0</v>
      </c>
      <c r="D1505">
        <v>0</v>
      </c>
      <c r="E1505">
        <v>0</v>
      </c>
      <c r="F1505">
        <v>604324.56000000006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3.91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7490</v>
      </c>
      <c r="AW1505">
        <v>3350</v>
      </c>
      <c r="AX1505">
        <v>1219</v>
      </c>
      <c r="AY1505">
        <v>12059</v>
      </c>
      <c r="AZ1505">
        <v>4202</v>
      </c>
      <c r="BA1505">
        <v>7438</v>
      </c>
      <c r="BB1505">
        <v>1432</v>
      </c>
      <c r="BC1505">
        <v>13072</v>
      </c>
      <c r="BD1505">
        <v>9486</v>
      </c>
      <c r="BE1505">
        <v>9222</v>
      </c>
      <c r="BF1505">
        <v>1768</v>
      </c>
      <c r="BG1505">
        <v>20476</v>
      </c>
      <c r="BH1505">
        <v>0</v>
      </c>
      <c r="BI1505">
        <v>0</v>
      </c>
      <c r="BJ1505">
        <v>0</v>
      </c>
      <c r="BK1505">
        <v>0</v>
      </c>
      <c r="BL1505" s="2">
        <v>24.82</v>
      </c>
      <c r="BM1505" s="2">
        <v>42005.095138888886</v>
      </c>
      <c r="BN1505" s="2">
        <v>5.4</v>
      </c>
      <c r="BO1505" s="2">
        <v>42005.092361111114</v>
      </c>
      <c r="BP1505" s="2">
        <v>6.92</v>
      </c>
      <c r="BQ1505" s="2">
        <v>42005.092361111114</v>
      </c>
      <c r="BR1505" s="2">
        <v>11.07</v>
      </c>
      <c r="BS1505" s="2">
        <v>42005.092361111114</v>
      </c>
      <c r="BT1505">
        <v>0</v>
      </c>
      <c r="BU1505">
        <v>0</v>
      </c>
      <c r="BV1505" t="s">
        <v>135</v>
      </c>
      <c r="BW1505">
        <v>0</v>
      </c>
      <c r="BX1505">
        <v>0</v>
      </c>
      <c r="BY1505" t="s">
        <v>135</v>
      </c>
      <c r="BZ1505">
        <v>0</v>
      </c>
      <c r="CA1505">
        <v>0</v>
      </c>
      <c r="CB1505" t="s">
        <v>135</v>
      </c>
      <c r="CH1505" s="2"/>
      <c r="CJ1505" s="2"/>
      <c r="CL1505" s="2"/>
      <c r="CN1505" s="2"/>
      <c r="CQ1505" s="2"/>
      <c r="CT1505" s="2"/>
      <c r="CW1505" s="2"/>
    </row>
    <row r="1506" spans="1:101" x14ac:dyDescent="0.25">
      <c r="A1506" s="1" t="s">
        <v>163</v>
      </c>
      <c r="B1506" s="75" t="s">
        <v>164</v>
      </c>
      <c r="C1506">
        <v>0</v>
      </c>
      <c r="D1506">
        <v>0</v>
      </c>
      <c r="E1506">
        <v>0</v>
      </c>
      <c r="F1506">
        <v>604324.56000000006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3.91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7490</v>
      </c>
      <c r="AW1506">
        <v>3350</v>
      </c>
      <c r="AX1506">
        <v>1219</v>
      </c>
      <c r="AY1506">
        <v>12059</v>
      </c>
      <c r="AZ1506">
        <v>4202</v>
      </c>
      <c r="BA1506">
        <v>7438</v>
      </c>
      <c r="BB1506">
        <v>1432</v>
      </c>
      <c r="BC1506">
        <v>13072</v>
      </c>
      <c r="BD1506">
        <v>9486</v>
      </c>
      <c r="BE1506">
        <v>9222</v>
      </c>
      <c r="BF1506">
        <v>1768</v>
      </c>
      <c r="BG1506">
        <v>20476</v>
      </c>
      <c r="BH1506">
        <v>0</v>
      </c>
      <c r="BI1506">
        <v>0</v>
      </c>
      <c r="BJ1506">
        <v>0</v>
      </c>
      <c r="BK1506">
        <v>0</v>
      </c>
      <c r="BL1506" s="2">
        <v>24.82</v>
      </c>
      <c r="BM1506" s="2">
        <v>42005.095138888886</v>
      </c>
      <c r="BN1506" s="2">
        <v>5.4</v>
      </c>
      <c r="BO1506" s="2">
        <v>42005.092361111114</v>
      </c>
      <c r="BP1506" s="2">
        <v>6.92</v>
      </c>
      <c r="BQ1506" s="2">
        <v>42005.092361111114</v>
      </c>
      <c r="BR1506" s="2">
        <v>11.07</v>
      </c>
      <c r="BS1506" s="2">
        <v>42005.092361111114</v>
      </c>
      <c r="BT1506">
        <v>0</v>
      </c>
      <c r="BU1506">
        <v>0</v>
      </c>
      <c r="BV1506" t="s">
        <v>135</v>
      </c>
      <c r="BW1506">
        <v>0</v>
      </c>
      <c r="BX1506">
        <v>0</v>
      </c>
      <c r="BY1506" t="s">
        <v>135</v>
      </c>
      <c r="BZ1506">
        <v>0</v>
      </c>
      <c r="CA1506">
        <v>0</v>
      </c>
      <c r="CB1506" t="s">
        <v>135</v>
      </c>
      <c r="CH1506" s="2"/>
      <c r="CJ1506" s="2"/>
      <c r="CL1506" s="2"/>
      <c r="CN1506" s="2"/>
      <c r="CQ1506" s="2"/>
      <c r="CT1506" s="2"/>
      <c r="CW1506" s="2"/>
    </row>
    <row r="1507" spans="1:101" x14ac:dyDescent="0.25">
      <c r="A1507" s="1" t="s">
        <v>163</v>
      </c>
      <c r="B1507" s="75" t="s">
        <v>164</v>
      </c>
      <c r="C1507">
        <v>0</v>
      </c>
      <c r="D1507">
        <v>0</v>
      </c>
      <c r="E1507">
        <v>0</v>
      </c>
      <c r="F1507">
        <v>604324.56000000006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3.91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7490</v>
      </c>
      <c r="AW1507">
        <v>3350</v>
      </c>
      <c r="AX1507">
        <v>1219</v>
      </c>
      <c r="AY1507">
        <v>12059</v>
      </c>
      <c r="AZ1507">
        <v>4202</v>
      </c>
      <c r="BA1507">
        <v>7438</v>
      </c>
      <c r="BB1507">
        <v>1432</v>
      </c>
      <c r="BC1507">
        <v>13072</v>
      </c>
      <c r="BD1507">
        <v>9486</v>
      </c>
      <c r="BE1507">
        <v>9222</v>
      </c>
      <c r="BF1507">
        <v>1768</v>
      </c>
      <c r="BG1507">
        <v>20476</v>
      </c>
      <c r="BH1507">
        <v>0</v>
      </c>
      <c r="BI1507">
        <v>0</v>
      </c>
      <c r="BJ1507">
        <v>0</v>
      </c>
      <c r="BK1507">
        <v>0</v>
      </c>
      <c r="BL1507" s="2">
        <v>24.82</v>
      </c>
      <c r="BM1507" s="2">
        <v>42005.095138888886</v>
      </c>
      <c r="BN1507" s="2">
        <v>5.4</v>
      </c>
      <c r="BO1507" s="2">
        <v>42005.092361111114</v>
      </c>
      <c r="BP1507" s="2">
        <v>6.92</v>
      </c>
      <c r="BQ1507" s="2">
        <v>42005.092361111114</v>
      </c>
      <c r="BR1507" s="2">
        <v>11.07</v>
      </c>
      <c r="BS1507" s="2">
        <v>42005.092361111114</v>
      </c>
      <c r="BT1507">
        <v>0</v>
      </c>
      <c r="BU1507">
        <v>0</v>
      </c>
      <c r="BV1507" t="s">
        <v>135</v>
      </c>
      <c r="BW1507">
        <v>0</v>
      </c>
      <c r="BX1507">
        <v>0</v>
      </c>
      <c r="BY1507" t="s">
        <v>135</v>
      </c>
      <c r="BZ1507">
        <v>0</v>
      </c>
      <c r="CA1507">
        <v>0</v>
      </c>
      <c r="CB1507" t="s">
        <v>135</v>
      </c>
      <c r="CH1507" s="2"/>
      <c r="CJ1507" s="2"/>
      <c r="CL1507" s="2"/>
      <c r="CN1507" s="2"/>
      <c r="CQ1507" s="2"/>
      <c r="CT1507" s="2"/>
      <c r="CW1507" s="2"/>
    </row>
    <row r="1508" spans="1:101" x14ac:dyDescent="0.25">
      <c r="A1508" s="1" t="s">
        <v>163</v>
      </c>
      <c r="B1508" s="75" t="s">
        <v>164</v>
      </c>
      <c r="C1508">
        <v>0</v>
      </c>
      <c r="D1508">
        <v>0</v>
      </c>
      <c r="E1508">
        <v>0</v>
      </c>
      <c r="F1508">
        <v>604324.56000000006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3.91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7490</v>
      </c>
      <c r="AW1508">
        <v>3350</v>
      </c>
      <c r="AX1508">
        <v>1219</v>
      </c>
      <c r="AY1508">
        <v>12059</v>
      </c>
      <c r="AZ1508">
        <v>4202</v>
      </c>
      <c r="BA1508">
        <v>7438</v>
      </c>
      <c r="BB1508">
        <v>1432</v>
      </c>
      <c r="BC1508">
        <v>13072</v>
      </c>
      <c r="BD1508">
        <v>9486</v>
      </c>
      <c r="BE1508">
        <v>9222</v>
      </c>
      <c r="BF1508">
        <v>1768</v>
      </c>
      <c r="BG1508">
        <v>20476</v>
      </c>
      <c r="BH1508">
        <v>0</v>
      </c>
      <c r="BI1508">
        <v>0</v>
      </c>
      <c r="BJ1508">
        <v>0</v>
      </c>
      <c r="BK1508">
        <v>0</v>
      </c>
      <c r="BL1508" s="2">
        <v>24.82</v>
      </c>
      <c r="BM1508" s="2">
        <v>42005.095138888886</v>
      </c>
      <c r="BN1508" s="2">
        <v>5.4</v>
      </c>
      <c r="BO1508" s="2">
        <v>42005.092361111114</v>
      </c>
      <c r="BP1508" s="2">
        <v>6.92</v>
      </c>
      <c r="BQ1508" s="2">
        <v>42005.092361111114</v>
      </c>
      <c r="BR1508" s="2">
        <v>11.07</v>
      </c>
      <c r="BS1508" s="2">
        <v>42005.092361111114</v>
      </c>
      <c r="BT1508">
        <v>0</v>
      </c>
      <c r="BU1508">
        <v>0</v>
      </c>
      <c r="BV1508" t="s">
        <v>135</v>
      </c>
      <c r="BW1508">
        <v>0</v>
      </c>
      <c r="BX1508">
        <v>0</v>
      </c>
      <c r="BY1508" t="s">
        <v>135</v>
      </c>
      <c r="BZ1508">
        <v>0</v>
      </c>
      <c r="CA1508">
        <v>0</v>
      </c>
      <c r="CB1508" t="s">
        <v>135</v>
      </c>
      <c r="CH1508" s="2"/>
      <c r="CJ1508" s="2"/>
      <c r="CL1508" s="2"/>
      <c r="CN1508" s="2"/>
      <c r="CQ1508" s="2"/>
      <c r="CT1508" s="2"/>
      <c r="CW1508" s="2"/>
    </row>
    <row r="1509" spans="1:101" x14ac:dyDescent="0.25">
      <c r="A1509" s="1" t="s">
        <v>163</v>
      </c>
      <c r="B1509" s="75" t="s">
        <v>164</v>
      </c>
      <c r="C1509">
        <v>0</v>
      </c>
      <c r="D1509">
        <v>0</v>
      </c>
      <c r="E1509">
        <v>0</v>
      </c>
      <c r="F1509">
        <v>604324.56000000006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3.91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7490</v>
      </c>
      <c r="AW1509">
        <v>3350</v>
      </c>
      <c r="AX1509">
        <v>1219</v>
      </c>
      <c r="AY1509">
        <v>12059</v>
      </c>
      <c r="AZ1509">
        <v>4202</v>
      </c>
      <c r="BA1509">
        <v>7438</v>
      </c>
      <c r="BB1509">
        <v>1432</v>
      </c>
      <c r="BC1509">
        <v>13072</v>
      </c>
      <c r="BD1509">
        <v>9486</v>
      </c>
      <c r="BE1509">
        <v>9222</v>
      </c>
      <c r="BF1509">
        <v>1768</v>
      </c>
      <c r="BG1509">
        <v>20476</v>
      </c>
      <c r="BH1509">
        <v>0</v>
      </c>
      <c r="BI1509">
        <v>0</v>
      </c>
      <c r="BJ1509">
        <v>0</v>
      </c>
      <c r="BK1509">
        <v>0</v>
      </c>
      <c r="BL1509" s="2">
        <v>24.82</v>
      </c>
      <c r="BM1509" s="2">
        <v>42005.095138888886</v>
      </c>
      <c r="BN1509" s="2">
        <v>5.4</v>
      </c>
      <c r="BO1509" s="2">
        <v>42005.092361111114</v>
      </c>
      <c r="BP1509" s="2">
        <v>6.92</v>
      </c>
      <c r="BQ1509" s="2">
        <v>42005.092361111114</v>
      </c>
      <c r="BR1509" s="2">
        <v>11.07</v>
      </c>
      <c r="BS1509" s="2">
        <v>42005.092361111114</v>
      </c>
      <c r="BT1509">
        <v>0</v>
      </c>
      <c r="BU1509">
        <v>0</v>
      </c>
      <c r="BV1509" t="s">
        <v>135</v>
      </c>
      <c r="BW1509">
        <v>0</v>
      </c>
      <c r="BX1509">
        <v>0</v>
      </c>
      <c r="BY1509" t="s">
        <v>135</v>
      </c>
      <c r="BZ1509">
        <v>0</v>
      </c>
      <c r="CA1509">
        <v>0</v>
      </c>
      <c r="CB1509" t="s">
        <v>135</v>
      </c>
      <c r="CH1509" s="2"/>
      <c r="CJ1509" s="2"/>
      <c r="CL1509" s="2"/>
      <c r="CN1509" s="2"/>
      <c r="CQ1509" s="2"/>
      <c r="CT1509" s="2"/>
      <c r="CW1509" s="2"/>
    </row>
    <row r="1510" spans="1:101" x14ac:dyDescent="0.25">
      <c r="A1510" s="1" t="s">
        <v>163</v>
      </c>
      <c r="B1510" s="75" t="s">
        <v>164</v>
      </c>
      <c r="C1510">
        <v>0</v>
      </c>
      <c r="D1510">
        <v>0</v>
      </c>
      <c r="E1510">
        <v>0</v>
      </c>
      <c r="F1510">
        <v>604324.56000000006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3.91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7490</v>
      </c>
      <c r="AW1510">
        <v>3350</v>
      </c>
      <c r="AX1510">
        <v>1219</v>
      </c>
      <c r="AY1510">
        <v>12059</v>
      </c>
      <c r="AZ1510">
        <v>4202</v>
      </c>
      <c r="BA1510">
        <v>7438</v>
      </c>
      <c r="BB1510">
        <v>1432</v>
      </c>
      <c r="BC1510">
        <v>13072</v>
      </c>
      <c r="BD1510">
        <v>9486</v>
      </c>
      <c r="BE1510">
        <v>9222</v>
      </c>
      <c r="BF1510">
        <v>1768</v>
      </c>
      <c r="BG1510">
        <v>20476</v>
      </c>
      <c r="BH1510">
        <v>0</v>
      </c>
      <c r="BI1510">
        <v>0</v>
      </c>
      <c r="BJ1510">
        <v>0</v>
      </c>
      <c r="BK1510">
        <v>0</v>
      </c>
      <c r="BL1510" s="2">
        <v>24.82</v>
      </c>
      <c r="BM1510" s="2">
        <v>42005.095138888886</v>
      </c>
      <c r="BN1510" s="2">
        <v>5.4</v>
      </c>
      <c r="BO1510" s="2">
        <v>42005.092361111114</v>
      </c>
      <c r="BP1510" s="2">
        <v>6.92</v>
      </c>
      <c r="BQ1510" s="2">
        <v>42005.092361111114</v>
      </c>
      <c r="BR1510" s="2">
        <v>11.07</v>
      </c>
      <c r="BS1510" s="2">
        <v>42005.092361111114</v>
      </c>
      <c r="BT1510">
        <v>0</v>
      </c>
      <c r="BU1510">
        <v>0</v>
      </c>
      <c r="BV1510" t="s">
        <v>135</v>
      </c>
      <c r="BW1510">
        <v>0</v>
      </c>
      <c r="BX1510">
        <v>0</v>
      </c>
      <c r="BY1510" t="s">
        <v>135</v>
      </c>
      <c r="BZ1510">
        <v>0</v>
      </c>
      <c r="CA1510">
        <v>0</v>
      </c>
      <c r="CB1510" t="s">
        <v>135</v>
      </c>
      <c r="CH1510" s="2"/>
      <c r="CJ1510" s="2"/>
      <c r="CL1510" s="2"/>
      <c r="CN1510" s="2"/>
      <c r="CQ1510" s="2"/>
      <c r="CT1510" s="2"/>
      <c r="CW1510" s="2"/>
    </row>
    <row r="1511" spans="1:101" x14ac:dyDescent="0.25">
      <c r="A1511" s="1" t="s">
        <v>163</v>
      </c>
      <c r="B1511" s="75" t="s">
        <v>164</v>
      </c>
      <c r="C1511">
        <v>0</v>
      </c>
      <c r="D1511">
        <v>0</v>
      </c>
      <c r="E1511">
        <v>0</v>
      </c>
      <c r="F1511">
        <v>604324.56000000006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3.91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7490</v>
      </c>
      <c r="AW1511">
        <v>3350</v>
      </c>
      <c r="AX1511">
        <v>1219</v>
      </c>
      <c r="AY1511">
        <v>12059</v>
      </c>
      <c r="AZ1511">
        <v>4202</v>
      </c>
      <c r="BA1511">
        <v>7438</v>
      </c>
      <c r="BB1511">
        <v>1432</v>
      </c>
      <c r="BC1511">
        <v>13072</v>
      </c>
      <c r="BD1511">
        <v>9486</v>
      </c>
      <c r="BE1511">
        <v>9222</v>
      </c>
      <c r="BF1511">
        <v>1768</v>
      </c>
      <c r="BG1511">
        <v>20476</v>
      </c>
      <c r="BH1511">
        <v>0</v>
      </c>
      <c r="BI1511">
        <v>0</v>
      </c>
      <c r="BJ1511">
        <v>0</v>
      </c>
      <c r="BK1511">
        <v>0</v>
      </c>
      <c r="BL1511" s="2">
        <v>24.82</v>
      </c>
      <c r="BM1511" s="2">
        <v>42005.095138888886</v>
      </c>
      <c r="BN1511" s="2">
        <v>5.4</v>
      </c>
      <c r="BO1511" s="2">
        <v>42005.092361111114</v>
      </c>
      <c r="BP1511" s="2">
        <v>6.92</v>
      </c>
      <c r="BQ1511" s="2">
        <v>42005.092361111114</v>
      </c>
      <c r="BR1511" s="2">
        <v>11.07</v>
      </c>
      <c r="BS1511" s="2">
        <v>42005.092361111114</v>
      </c>
      <c r="BT1511">
        <v>0</v>
      </c>
      <c r="BU1511">
        <v>0</v>
      </c>
      <c r="BV1511" t="s">
        <v>135</v>
      </c>
      <c r="BW1511">
        <v>0</v>
      </c>
      <c r="BX1511">
        <v>0</v>
      </c>
      <c r="BY1511" t="s">
        <v>135</v>
      </c>
      <c r="BZ1511">
        <v>0</v>
      </c>
      <c r="CA1511">
        <v>0</v>
      </c>
      <c r="CB1511" t="s">
        <v>135</v>
      </c>
      <c r="CH1511" s="2"/>
      <c r="CJ1511" s="2"/>
      <c r="CL1511" s="2"/>
      <c r="CN1511" s="2"/>
      <c r="CQ1511" s="2"/>
      <c r="CT1511" s="2"/>
      <c r="CW1511" s="2"/>
    </row>
    <row r="1512" spans="1:101" x14ac:dyDescent="0.25">
      <c r="A1512" s="1" t="s">
        <v>163</v>
      </c>
      <c r="B1512" s="75" t="s">
        <v>164</v>
      </c>
      <c r="C1512">
        <v>0</v>
      </c>
      <c r="D1512">
        <v>0</v>
      </c>
      <c r="E1512">
        <v>0</v>
      </c>
      <c r="F1512">
        <v>604324.56000000006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3.91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7490</v>
      </c>
      <c r="AW1512">
        <v>3350</v>
      </c>
      <c r="AX1512">
        <v>1219</v>
      </c>
      <c r="AY1512">
        <v>12059</v>
      </c>
      <c r="AZ1512">
        <v>4202</v>
      </c>
      <c r="BA1512">
        <v>7438</v>
      </c>
      <c r="BB1512">
        <v>1432</v>
      </c>
      <c r="BC1512">
        <v>13072</v>
      </c>
      <c r="BD1512">
        <v>9486</v>
      </c>
      <c r="BE1512">
        <v>9222</v>
      </c>
      <c r="BF1512">
        <v>1768</v>
      </c>
      <c r="BG1512">
        <v>20476</v>
      </c>
      <c r="BH1512">
        <v>0</v>
      </c>
      <c r="BI1512">
        <v>0</v>
      </c>
      <c r="BJ1512">
        <v>0</v>
      </c>
      <c r="BK1512">
        <v>0</v>
      </c>
      <c r="BL1512" s="2">
        <v>24.82</v>
      </c>
      <c r="BM1512" s="2">
        <v>42005.095138888886</v>
      </c>
      <c r="BN1512" s="2">
        <v>5.4</v>
      </c>
      <c r="BO1512" s="2">
        <v>42005.092361111114</v>
      </c>
      <c r="BP1512" s="2">
        <v>6.92</v>
      </c>
      <c r="BQ1512" s="2">
        <v>42005.092361111114</v>
      </c>
      <c r="BR1512" s="2">
        <v>11.07</v>
      </c>
      <c r="BS1512" s="2">
        <v>42005.092361111114</v>
      </c>
      <c r="BT1512">
        <v>0</v>
      </c>
      <c r="BU1512">
        <v>0</v>
      </c>
      <c r="BV1512" t="s">
        <v>135</v>
      </c>
      <c r="BW1512">
        <v>0</v>
      </c>
      <c r="BX1512">
        <v>0</v>
      </c>
      <c r="BY1512" t="s">
        <v>135</v>
      </c>
      <c r="BZ1512">
        <v>0</v>
      </c>
      <c r="CA1512">
        <v>0</v>
      </c>
      <c r="CB1512" t="s">
        <v>135</v>
      </c>
      <c r="CH1512" s="2"/>
      <c r="CJ1512" s="2"/>
      <c r="CL1512" s="2"/>
      <c r="CN1512" s="2"/>
      <c r="CQ1512" s="2"/>
      <c r="CT1512" s="2"/>
      <c r="CW1512" s="2"/>
    </row>
    <row r="1513" spans="1:101" x14ac:dyDescent="0.25">
      <c r="A1513" s="1" t="s">
        <v>163</v>
      </c>
      <c r="B1513" s="75" t="s">
        <v>164</v>
      </c>
      <c r="C1513">
        <v>0</v>
      </c>
      <c r="D1513">
        <v>0</v>
      </c>
      <c r="E1513">
        <v>0</v>
      </c>
      <c r="F1513">
        <v>604324.56000000006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3.91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7490</v>
      </c>
      <c r="AW1513">
        <v>3350</v>
      </c>
      <c r="AX1513">
        <v>1219</v>
      </c>
      <c r="AY1513">
        <v>12059</v>
      </c>
      <c r="AZ1513">
        <v>4202</v>
      </c>
      <c r="BA1513">
        <v>7438</v>
      </c>
      <c r="BB1513">
        <v>1432</v>
      </c>
      <c r="BC1513">
        <v>13072</v>
      </c>
      <c r="BD1513">
        <v>9486</v>
      </c>
      <c r="BE1513">
        <v>9222</v>
      </c>
      <c r="BF1513">
        <v>1768</v>
      </c>
      <c r="BG1513">
        <v>20476</v>
      </c>
      <c r="BH1513">
        <v>0</v>
      </c>
      <c r="BI1513">
        <v>0</v>
      </c>
      <c r="BJ1513">
        <v>0</v>
      </c>
      <c r="BK1513">
        <v>0</v>
      </c>
      <c r="BL1513" s="2">
        <v>24.82</v>
      </c>
      <c r="BM1513" s="2">
        <v>42005.095138888886</v>
      </c>
      <c r="BN1513" s="2">
        <v>5.4</v>
      </c>
      <c r="BO1513" s="2">
        <v>42005.092361111114</v>
      </c>
      <c r="BP1513" s="2">
        <v>6.92</v>
      </c>
      <c r="BQ1513" s="2">
        <v>42005.092361111114</v>
      </c>
      <c r="BR1513" s="2">
        <v>11.07</v>
      </c>
      <c r="BS1513" s="2">
        <v>42005.092361111114</v>
      </c>
      <c r="BT1513">
        <v>0</v>
      </c>
      <c r="BU1513">
        <v>0</v>
      </c>
      <c r="BV1513" t="s">
        <v>135</v>
      </c>
      <c r="BW1513">
        <v>0</v>
      </c>
      <c r="BX1513">
        <v>0</v>
      </c>
      <c r="BY1513" t="s">
        <v>135</v>
      </c>
      <c r="BZ1513">
        <v>0</v>
      </c>
      <c r="CA1513">
        <v>0</v>
      </c>
      <c r="CB1513" t="s">
        <v>135</v>
      </c>
      <c r="CH1513" s="2"/>
      <c r="CJ1513" s="2"/>
      <c r="CL1513" s="2"/>
      <c r="CN1513" s="2"/>
      <c r="CQ1513" s="2"/>
      <c r="CT1513" s="2"/>
      <c r="CW1513" s="2"/>
    </row>
    <row r="1514" spans="1:101" x14ac:dyDescent="0.25">
      <c r="A1514" s="1" t="s">
        <v>163</v>
      </c>
      <c r="B1514" s="75" t="s">
        <v>164</v>
      </c>
      <c r="C1514">
        <v>0</v>
      </c>
      <c r="D1514">
        <v>0</v>
      </c>
      <c r="E1514">
        <v>0</v>
      </c>
      <c r="F1514">
        <v>604324.56000000006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3.91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7490</v>
      </c>
      <c r="AW1514">
        <v>3350</v>
      </c>
      <c r="AX1514">
        <v>1219</v>
      </c>
      <c r="AY1514">
        <v>12059</v>
      </c>
      <c r="AZ1514">
        <v>4202</v>
      </c>
      <c r="BA1514">
        <v>7438</v>
      </c>
      <c r="BB1514">
        <v>1432</v>
      </c>
      <c r="BC1514">
        <v>13072</v>
      </c>
      <c r="BD1514">
        <v>9486</v>
      </c>
      <c r="BE1514">
        <v>9222</v>
      </c>
      <c r="BF1514">
        <v>1768</v>
      </c>
      <c r="BG1514">
        <v>20476</v>
      </c>
      <c r="BH1514">
        <v>0</v>
      </c>
      <c r="BI1514">
        <v>0</v>
      </c>
      <c r="BJ1514">
        <v>0</v>
      </c>
      <c r="BK1514">
        <v>0</v>
      </c>
      <c r="BL1514" s="2">
        <v>24.82</v>
      </c>
      <c r="BM1514" s="2">
        <v>42005.095138888886</v>
      </c>
      <c r="BN1514" s="2">
        <v>5.4</v>
      </c>
      <c r="BO1514" s="2">
        <v>42005.092361111114</v>
      </c>
      <c r="BP1514" s="2">
        <v>6.92</v>
      </c>
      <c r="BQ1514" s="2">
        <v>42005.092361111114</v>
      </c>
      <c r="BR1514" s="2">
        <v>11.07</v>
      </c>
      <c r="BS1514" s="2">
        <v>42005.092361111114</v>
      </c>
      <c r="BT1514">
        <v>0</v>
      </c>
      <c r="BU1514">
        <v>0</v>
      </c>
      <c r="BV1514" t="s">
        <v>135</v>
      </c>
      <c r="BW1514">
        <v>0</v>
      </c>
      <c r="BX1514">
        <v>0</v>
      </c>
      <c r="BY1514" t="s">
        <v>135</v>
      </c>
      <c r="BZ1514">
        <v>0</v>
      </c>
      <c r="CA1514">
        <v>0</v>
      </c>
      <c r="CB1514" t="s">
        <v>135</v>
      </c>
      <c r="CH1514" s="2"/>
      <c r="CJ1514" s="2"/>
      <c r="CL1514" s="2"/>
      <c r="CN1514" s="2"/>
      <c r="CQ1514" s="2"/>
      <c r="CT1514" s="2"/>
      <c r="CW1514" s="2"/>
    </row>
    <row r="1515" spans="1:101" x14ac:dyDescent="0.25">
      <c r="A1515" s="1" t="s">
        <v>163</v>
      </c>
      <c r="B1515" s="75" t="s">
        <v>164</v>
      </c>
      <c r="C1515">
        <v>0</v>
      </c>
      <c r="D1515">
        <v>0</v>
      </c>
      <c r="E1515">
        <v>0</v>
      </c>
      <c r="F1515">
        <v>604324.56000000006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3.91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7490</v>
      </c>
      <c r="AW1515">
        <v>3350</v>
      </c>
      <c r="AX1515">
        <v>1219</v>
      </c>
      <c r="AY1515">
        <v>12059</v>
      </c>
      <c r="AZ1515">
        <v>4202</v>
      </c>
      <c r="BA1515">
        <v>7438</v>
      </c>
      <c r="BB1515">
        <v>1432</v>
      </c>
      <c r="BC1515">
        <v>13072</v>
      </c>
      <c r="BD1515">
        <v>9486</v>
      </c>
      <c r="BE1515">
        <v>9222</v>
      </c>
      <c r="BF1515">
        <v>1768</v>
      </c>
      <c r="BG1515">
        <v>20476</v>
      </c>
      <c r="BH1515">
        <v>0</v>
      </c>
      <c r="BI1515">
        <v>0</v>
      </c>
      <c r="BJ1515">
        <v>0</v>
      </c>
      <c r="BK1515">
        <v>0</v>
      </c>
      <c r="BL1515" s="2">
        <v>24.82</v>
      </c>
      <c r="BM1515" s="2">
        <v>42005.095138888886</v>
      </c>
      <c r="BN1515" s="2">
        <v>5.4</v>
      </c>
      <c r="BO1515" s="2">
        <v>42005.092361111114</v>
      </c>
      <c r="BP1515" s="2">
        <v>6.92</v>
      </c>
      <c r="BQ1515" s="2">
        <v>42005.092361111114</v>
      </c>
      <c r="BR1515" s="2">
        <v>11.07</v>
      </c>
      <c r="BS1515" s="2">
        <v>42005.092361111114</v>
      </c>
      <c r="BT1515">
        <v>0</v>
      </c>
      <c r="BU1515">
        <v>0</v>
      </c>
      <c r="BV1515" t="s">
        <v>135</v>
      </c>
      <c r="BW1515">
        <v>0</v>
      </c>
      <c r="BX1515">
        <v>0</v>
      </c>
      <c r="BY1515" t="s">
        <v>135</v>
      </c>
      <c r="BZ1515">
        <v>0</v>
      </c>
      <c r="CA1515">
        <v>0</v>
      </c>
      <c r="CB1515" t="s">
        <v>135</v>
      </c>
      <c r="CH1515" s="2"/>
      <c r="CJ1515" s="2"/>
      <c r="CL1515" s="2"/>
      <c r="CN1515" s="2"/>
      <c r="CQ1515" s="2"/>
      <c r="CT1515" s="2"/>
      <c r="CW1515" s="2"/>
    </row>
    <row r="1516" spans="1:101" x14ac:dyDescent="0.25">
      <c r="A1516" s="1" t="s">
        <v>163</v>
      </c>
      <c r="B1516" s="75" t="s">
        <v>164</v>
      </c>
      <c r="C1516">
        <v>0</v>
      </c>
      <c r="D1516">
        <v>0</v>
      </c>
      <c r="E1516">
        <v>0</v>
      </c>
      <c r="F1516">
        <v>604324.56000000006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3.91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7490</v>
      </c>
      <c r="AW1516">
        <v>3350</v>
      </c>
      <c r="AX1516">
        <v>1219</v>
      </c>
      <c r="AY1516">
        <v>12059</v>
      </c>
      <c r="AZ1516">
        <v>4202</v>
      </c>
      <c r="BA1516">
        <v>7438</v>
      </c>
      <c r="BB1516">
        <v>1432</v>
      </c>
      <c r="BC1516">
        <v>13072</v>
      </c>
      <c r="BD1516">
        <v>9486</v>
      </c>
      <c r="BE1516">
        <v>9222</v>
      </c>
      <c r="BF1516">
        <v>1768</v>
      </c>
      <c r="BG1516">
        <v>20476</v>
      </c>
      <c r="BH1516">
        <v>0</v>
      </c>
      <c r="BI1516">
        <v>0</v>
      </c>
      <c r="BJ1516">
        <v>0</v>
      </c>
      <c r="BK1516">
        <v>0</v>
      </c>
      <c r="BL1516" s="2">
        <v>24.82</v>
      </c>
      <c r="BM1516" s="2">
        <v>42005.095138888886</v>
      </c>
      <c r="BN1516" s="2">
        <v>5.4</v>
      </c>
      <c r="BO1516" s="2">
        <v>42005.092361111114</v>
      </c>
      <c r="BP1516" s="2">
        <v>6.92</v>
      </c>
      <c r="BQ1516" s="2">
        <v>42005.092361111114</v>
      </c>
      <c r="BR1516" s="2">
        <v>11.07</v>
      </c>
      <c r="BS1516" s="2">
        <v>42005.092361111114</v>
      </c>
      <c r="BT1516">
        <v>0</v>
      </c>
      <c r="BU1516">
        <v>0</v>
      </c>
      <c r="BV1516" t="s">
        <v>135</v>
      </c>
      <c r="BW1516">
        <v>0</v>
      </c>
      <c r="BX1516">
        <v>0</v>
      </c>
      <c r="BY1516" t="s">
        <v>135</v>
      </c>
      <c r="BZ1516">
        <v>0</v>
      </c>
      <c r="CA1516">
        <v>0</v>
      </c>
      <c r="CB1516" t="s">
        <v>135</v>
      </c>
      <c r="CH1516" s="2"/>
      <c r="CJ1516" s="2"/>
      <c r="CL1516" s="2"/>
      <c r="CN1516" s="2"/>
      <c r="CQ1516" s="2"/>
      <c r="CT1516" s="2"/>
      <c r="CW1516" s="2"/>
    </row>
    <row r="1517" spans="1:101" x14ac:dyDescent="0.25">
      <c r="A1517" s="1" t="s">
        <v>163</v>
      </c>
      <c r="B1517" s="75" t="s">
        <v>164</v>
      </c>
      <c r="C1517">
        <v>0</v>
      </c>
      <c r="D1517">
        <v>0</v>
      </c>
      <c r="E1517">
        <v>0</v>
      </c>
      <c r="F1517">
        <v>604324.56000000006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3.91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7490</v>
      </c>
      <c r="AW1517">
        <v>3350</v>
      </c>
      <c r="AX1517">
        <v>1219</v>
      </c>
      <c r="AY1517">
        <v>12059</v>
      </c>
      <c r="AZ1517">
        <v>4202</v>
      </c>
      <c r="BA1517">
        <v>7438</v>
      </c>
      <c r="BB1517">
        <v>1432</v>
      </c>
      <c r="BC1517">
        <v>13072</v>
      </c>
      <c r="BD1517">
        <v>9486</v>
      </c>
      <c r="BE1517">
        <v>9222</v>
      </c>
      <c r="BF1517">
        <v>1768</v>
      </c>
      <c r="BG1517">
        <v>20476</v>
      </c>
      <c r="BH1517">
        <v>0</v>
      </c>
      <c r="BI1517">
        <v>0</v>
      </c>
      <c r="BJ1517">
        <v>0</v>
      </c>
      <c r="BK1517">
        <v>0</v>
      </c>
      <c r="BL1517" s="2">
        <v>24.82</v>
      </c>
      <c r="BM1517" s="2">
        <v>42005.095138888886</v>
      </c>
      <c r="BN1517" s="2">
        <v>5.4</v>
      </c>
      <c r="BO1517" s="2">
        <v>42005.092361111114</v>
      </c>
      <c r="BP1517" s="2">
        <v>6.92</v>
      </c>
      <c r="BQ1517" s="2">
        <v>42005.092361111114</v>
      </c>
      <c r="BR1517" s="2">
        <v>11.07</v>
      </c>
      <c r="BS1517" s="2">
        <v>42005.092361111114</v>
      </c>
      <c r="BT1517">
        <v>0</v>
      </c>
      <c r="BU1517">
        <v>0</v>
      </c>
      <c r="BV1517" t="s">
        <v>135</v>
      </c>
      <c r="BW1517">
        <v>0</v>
      </c>
      <c r="BX1517">
        <v>0</v>
      </c>
      <c r="BY1517" t="s">
        <v>135</v>
      </c>
      <c r="BZ1517">
        <v>0</v>
      </c>
      <c r="CA1517">
        <v>0</v>
      </c>
      <c r="CB1517" t="s">
        <v>135</v>
      </c>
      <c r="CH1517" s="2"/>
      <c r="CJ1517" s="2"/>
      <c r="CL1517" s="2"/>
      <c r="CN1517" s="2"/>
      <c r="CQ1517" s="2"/>
      <c r="CT1517" s="2"/>
      <c r="CW1517" s="2"/>
    </row>
    <row r="1518" spans="1:101" x14ac:dyDescent="0.25">
      <c r="A1518" s="1" t="s">
        <v>163</v>
      </c>
      <c r="B1518" s="75" t="s">
        <v>164</v>
      </c>
      <c r="C1518">
        <v>0</v>
      </c>
      <c r="D1518">
        <v>0</v>
      </c>
      <c r="E1518">
        <v>0</v>
      </c>
      <c r="F1518">
        <v>604324.56000000006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3.91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7490</v>
      </c>
      <c r="AW1518">
        <v>3350</v>
      </c>
      <c r="AX1518">
        <v>1219</v>
      </c>
      <c r="AY1518">
        <v>12059</v>
      </c>
      <c r="AZ1518">
        <v>4202</v>
      </c>
      <c r="BA1518">
        <v>7438</v>
      </c>
      <c r="BB1518">
        <v>1432</v>
      </c>
      <c r="BC1518">
        <v>13072</v>
      </c>
      <c r="BD1518">
        <v>9486</v>
      </c>
      <c r="BE1518">
        <v>9222</v>
      </c>
      <c r="BF1518">
        <v>1768</v>
      </c>
      <c r="BG1518">
        <v>20476</v>
      </c>
      <c r="BH1518">
        <v>0</v>
      </c>
      <c r="BI1518">
        <v>0</v>
      </c>
      <c r="BJ1518">
        <v>0</v>
      </c>
      <c r="BK1518">
        <v>0</v>
      </c>
      <c r="BL1518" s="2">
        <v>24.82</v>
      </c>
      <c r="BM1518" s="2">
        <v>42005.095138888886</v>
      </c>
      <c r="BN1518" s="2">
        <v>5.4</v>
      </c>
      <c r="BO1518" s="2">
        <v>42005.092361111114</v>
      </c>
      <c r="BP1518" s="2">
        <v>6.92</v>
      </c>
      <c r="BQ1518" s="2">
        <v>42005.092361111114</v>
      </c>
      <c r="BR1518" s="2">
        <v>11.07</v>
      </c>
      <c r="BS1518" s="2">
        <v>42005.092361111114</v>
      </c>
      <c r="BT1518">
        <v>0</v>
      </c>
      <c r="BU1518">
        <v>0</v>
      </c>
      <c r="BV1518" t="s">
        <v>135</v>
      </c>
      <c r="BW1518">
        <v>0</v>
      </c>
      <c r="BX1518">
        <v>0</v>
      </c>
      <c r="BY1518" t="s">
        <v>135</v>
      </c>
      <c r="BZ1518">
        <v>0</v>
      </c>
      <c r="CA1518">
        <v>0</v>
      </c>
      <c r="CB1518" t="s">
        <v>135</v>
      </c>
      <c r="CH1518" s="2"/>
      <c r="CJ1518" s="2"/>
      <c r="CL1518" s="2"/>
      <c r="CN1518" s="2"/>
      <c r="CQ1518" s="2"/>
      <c r="CT1518" s="2"/>
      <c r="CW1518" s="2"/>
    </row>
    <row r="1519" spans="1:101" x14ac:dyDescent="0.25">
      <c r="A1519" s="1" t="s">
        <v>163</v>
      </c>
      <c r="B1519" s="75" t="s">
        <v>164</v>
      </c>
      <c r="C1519">
        <v>0</v>
      </c>
      <c r="D1519">
        <v>0</v>
      </c>
      <c r="E1519">
        <v>0</v>
      </c>
      <c r="F1519">
        <v>604324.56000000006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3.91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7490</v>
      </c>
      <c r="AW1519">
        <v>3350</v>
      </c>
      <c r="AX1519">
        <v>1219</v>
      </c>
      <c r="AY1519">
        <v>12059</v>
      </c>
      <c r="AZ1519">
        <v>4202</v>
      </c>
      <c r="BA1519">
        <v>7438</v>
      </c>
      <c r="BB1519">
        <v>1432</v>
      </c>
      <c r="BC1519">
        <v>13072</v>
      </c>
      <c r="BD1519">
        <v>9486</v>
      </c>
      <c r="BE1519">
        <v>9222</v>
      </c>
      <c r="BF1519">
        <v>1768</v>
      </c>
      <c r="BG1519">
        <v>20476</v>
      </c>
      <c r="BH1519">
        <v>0</v>
      </c>
      <c r="BI1519">
        <v>0</v>
      </c>
      <c r="BJ1519">
        <v>0</v>
      </c>
      <c r="BK1519">
        <v>0</v>
      </c>
      <c r="BL1519" s="2">
        <v>24.82</v>
      </c>
      <c r="BM1519" s="2">
        <v>42005.095138888886</v>
      </c>
      <c r="BN1519" s="2">
        <v>5.4</v>
      </c>
      <c r="BO1519" s="2">
        <v>42005.092361111114</v>
      </c>
      <c r="BP1519" s="2">
        <v>6.92</v>
      </c>
      <c r="BQ1519" s="2">
        <v>42005.092361111114</v>
      </c>
      <c r="BR1519" s="2">
        <v>11.07</v>
      </c>
      <c r="BS1519" s="2">
        <v>42005.092361111114</v>
      </c>
      <c r="BT1519">
        <v>0</v>
      </c>
      <c r="BU1519">
        <v>0</v>
      </c>
      <c r="BV1519" t="s">
        <v>135</v>
      </c>
      <c r="BW1519">
        <v>0</v>
      </c>
      <c r="BX1519">
        <v>0</v>
      </c>
      <c r="BY1519" t="s">
        <v>135</v>
      </c>
      <c r="BZ1519">
        <v>0</v>
      </c>
      <c r="CA1519">
        <v>0</v>
      </c>
      <c r="CB1519" t="s">
        <v>135</v>
      </c>
      <c r="CH1519" s="2"/>
      <c r="CJ1519" s="2"/>
      <c r="CL1519" s="2"/>
      <c r="CN1519" s="2"/>
      <c r="CQ1519" s="2"/>
      <c r="CT1519" s="2"/>
      <c r="CW1519" s="2"/>
    </row>
    <row r="1520" spans="1:101" x14ac:dyDescent="0.25">
      <c r="A1520" s="1" t="s">
        <v>163</v>
      </c>
      <c r="B1520" s="75" t="s">
        <v>164</v>
      </c>
      <c r="C1520">
        <v>0</v>
      </c>
      <c r="D1520">
        <v>0</v>
      </c>
      <c r="E1520">
        <v>0</v>
      </c>
      <c r="F1520">
        <v>604324.56000000006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3.91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7490</v>
      </c>
      <c r="AW1520">
        <v>3350</v>
      </c>
      <c r="AX1520">
        <v>1219</v>
      </c>
      <c r="AY1520">
        <v>12059</v>
      </c>
      <c r="AZ1520">
        <v>4202</v>
      </c>
      <c r="BA1520">
        <v>7438</v>
      </c>
      <c r="BB1520">
        <v>1432</v>
      </c>
      <c r="BC1520">
        <v>13072</v>
      </c>
      <c r="BD1520">
        <v>9486</v>
      </c>
      <c r="BE1520">
        <v>9222</v>
      </c>
      <c r="BF1520">
        <v>1768</v>
      </c>
      <c r="BG1520">
        <v>20476</v>
      </c>
      <c r="BH1520">
        <v>0</v>
      </c>
      <c r="BI1520">
        <v>0</v>
      </c>
      <c r="BJ1520">
        <v>0</v>
      </c>
      <c r="BK1520">
        <v>0</v>
      </c>
      <c r="BL1520" s="2">
        <v>24.82</v>
      </c>
      <c r="BM1520" s="2">
        <v>42005.095138888886</v>
      </c>
      <c r="BN1520" s="2">
        <v>5.4</v>
      </c>
      <c r="BO1520" s="2">
        <v>42005.092361111114</v>
      </c>
      <c r="BP1520" s="2">
        <v>6.92</v>
      </c>
      <c r="BQ1520" s="2">
        <v>42005.092361111114</v>
      </c>
      <c r="BR1520" s="2">
        <v>11.07</v>
      </c>
      <c r="BS1520" s="2">
        <v>42005.092361111114</v>
      </c>
      <c r="BT1520">
        <v>0</v>
      </c>
      <c r="BU1520">
        <v>0</v>
      </c>
      <c r="BV1520" t="s">
        <v>135</v>
      </c>
      <c r="BW1520">
        <v>0</v>
      </c>
      <c r="BX1520">
        <v>0</v>
      </c>
      <c r="BY1520" t="s">
        <v>135</v>
      </c>
      <c r="BZ1520">
        <v>0</v>
      </c>
      <c r="CA1520">
        <v>0</v>
      </c>
      <c r="CB1520" t="s">
        <v>135</v>
      </c>
      <c r="CH1520" s="2"/>
      <c r="CJ1520" s="2"/>
      <c r="CL1520" s="2"/>
      <c r="CN1520" s="2"/>
      <c r="CQ1520" s="2"/>
      <c r="CT1520" s="2"/>
      <c r="CW1520" s="2"/>
    </row>
    <row r="1521" spans="1:101" x14ac:dyDescent="0.25">
      <c r="A1521" s="1" t="s">
        <v>163</v>
      </c>
      <c r="B1521" s="75" t="s">
        <v>164</v>
      </c>
      <c r="C1521">
        <v>0</v>
      </c>
      <c r="D1521">
        <v>0</v>
      </c>
      <c r="E1521">
        <v>0</v>
      </c>
      <c r="F1521">
        <v>604324.56000000006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3.91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7490</v>
      </c>
      <c r="AW1521">
        <v>3350</v>
      </c>
      <c r="AX1521">
        <v>1219</v>
      </c>
      <c r="AY1521">
        <v>12059</v>
      </c>
      <c r="AZ1521">
        <v>4202</v>
      </c>
      <c r="BA1521">
        <v>7438</v>
      </c>
      <c r="BB1521">
        <v>1432</v>
      </c>
      <c r="BC1521">
        <v>13072</v>
      </c>
      <c r="BD1521">
        <v>9486</v>
      </c>
      <c r="BE1521">
        <v>9222</v>
      </c>
      <c r="BF1521">
        <v>1768</v>
      </c>
      <c r="BG1521">
        <v>20476</v>
      </c>
      <c r="BH1521">
        <v>0</v>
      </c>
      <c r="BI1521">
        <v>0</v>
      </c>
      <c r="BJ1521">
        <v>0</v>
      </c>
      <c r="BK1521">
        <v>0</v>
      </c>
      <c r="BL1521" s="2">
        <v>24.82</v>
      </c>
      <c r="BM1521" s="2">
        <v>42005.095138888886</v>
      </c>
      <c r="BN1521" s="2">
        <v>5.4</v>
      </c>
      <c r="BO1521" s="2">
        <v>42005.092361111114</v>
      </c>
      <c r="BP1521" s="2">
        <v>6.92</v>
      </c>
      <c r="BQ1521" s="2">
        <v>42005.092361111114</v>
      </c>
      <c r="BR1521" s="2">
        <v>11.07</v>
      </c>
      <c r="BS1521" s="2">
        <v>42005.092361111114</v>
      </c>
      <c r="BT1521">
        <v>0</v>
      </c>
      <c r="BU1521">
        <v>0</v>
      </c>
      <c r="BV1521" t="s">
        <v>135</v>
      </c>
      <c r="BW1521">
        <v>0</v>
      </c>
      <c r="BX1521">
        <v>0</v>
      </c>
      <c r="BY1521" t="s">
        <v>135</v>
      </c>
      <c r="BZ1521">
        <v>0</v>
      </c>
      <c r="CA1521">
        <v>0</v>
      </c>
      <c r="CB1521" t="s">
        <v>135</v>
      </c>
      <c r="CH1521" s="2"/>
      <c r="CJ1521" s="2"/>
      <c r="CL1521" s="2"/>
      <c r="CN1521" s="2"/>
      <c r="CQ1521" s="2"/>
      <c r="CT1521" s="2"/>
      <c r="CW1521" s="2"/>
    </row>
    <row r="1522" spans="1:101" x14ac:dyDescent="0.25">
      <c r="A1522" s="1" t="s">
        <v>163</v>
      </c>
      <c r="B1522" s="75" t="s">
        <v>164</v>
      </c>
      <c r="C1522">
        <v>0</v>
      </c>
      <c r="D1522">
        <v>0</v>
      </c>
      <c r="E1522">
        <v>0</v>
      </c>
      <c r="F1522">
        <v>604324.56000000006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3.91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7490</v>
      </c>
      <c r="AW1522">
        <v>3350</v>
      </c>
      <c r="AX1522">
        <v>1219</v>
      </c>
      <c r="AY1522">
        <v>12059</v>
      </c>
      <c r="AZ1522">
        <v>4202</v>
      </c>
      <c r="BA1522">
        <v>7438</v>
      </c>
      <c r="BB1522">
        <v>1432</v>
      </c>
      <c r="BC1522">
        <v>13072</v>
      </c>
      <c r="BD1522">
        <v>9486</v>
      </c>
      <c r="BE1522">
        <v>9222</v>
      </c>
      <c r="BF1522">
        <v>1768</v>
      </c>
      <c r="BG1522">
        <v>20476</v>
      </c>
      <c r="BH1522">
        <v>0</v>
      </c>
      <c r="BI1522">
        <v>0</v>
      </c>
      <c r="BJ1522">
        <v>0</v>
      </c>
      <c r="BK1522">
        <v>0</v>
      </c>
      <c r="BL1522" s="2">
        <v>24.82</v>
      </c>
      <c r="BM1522" s="2">
        <v>42005.095138888886</v>
      </c>
      <c r="BN1522" s="2">
        <v>5.4</v>
      </c>
      <c r="BO1522" s="2">
        <v>42005.092361111114</v>
      </c>
      <c r="BP1522" s="2">
        <v>6.92</v>
      </c>
      <c r="BQ1522" s="2">
        <v>42005.092361111114</v>
      </c>
      <c r="BR1522" s="2">
        <v>11.07</v>
      </c>
      <c r="BS1522" s="2">
        <v>42005.092361111114</v>
      </c>
      <c r="BT1522">
        <v>0</v>
      </c>
      <c r="BU1522">
        <v>0</v>
      </c>
      <c r="BV1522" t="s">
        <v>135</v>
      </c>
      <c r="BW1522">
        <v>0</v>
      </c>
      <c r="BX1522">
        <v>0</v>
      </c>
      <c r="BY1522" t="s">
        <v>135</v>
      </c>
      <c r="BZ1522">
        <v>0</v>
      </c>
      <c r="CA1522">
        <v>0</v>
      </c>
      <c r="CB1522" t="s">
        <v>135</v>
      </c>
      <c r="CH1522" s="2"/>
      <c r="CJ1522" s="2"/>
      <c r="CL1522" s="2"/>
      <c r="CN1522" s="2"/>
      <c r="CQ1522" s="2"/>
      <c r="CT1522" s="2"/>
      <c r="CW1522" s="2"/>
    </row>
    <row r="1523" spans="1:101" x14ac:dyDescent="0.25">
      <c r="A1523" s="1" t="s">
        <v>163</v>
      </c>
      <c r="B1523" s="75" t="s">
        <v>164</v>
      </c>
      <c r="C1523">
        <v>0</v>
      </c>
      <c r="D1523">
        <v>0</v>
      </c>
      <c r="E1523">
        <v>0</v>
      </c>
      <c r="F1523">
        <v>604324.56000000006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3.91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7490</v>
      </c>
      <c r="AW1523">
        <v>3350</v>
      </c>
      <c r="AX1523">
        <v>1219</v>
      </c>
      <c r="AY1523">
        <v>12059</v>
      </c>
      <c r="AZ1523">
        <v>4202</v>
      </c>
      <c r="BA1523">
        <v>7438</v>
      </c>
      <c r="BB1523">
        <v>1432</v>
      </c>
      <c r="BC1523">
        <v>13072</v>
      </c>
      <c r="BD1523">
        <v>9486</v>
      </c>
      <c r="BE1523">
        <v>9222</v>
      </c>
      <c r="BF1523">
        <v>1768</v>
      </c>
      <c r="BG1523">
        <v>20476</v>
      </c>
      <c r="BH1523">
        <v>0</v>
      </c>
      <c r="BI1523">
        <v>0</v>
      </c>
      <c r="BJ1523">
        <v>0</v>
      </c>
      <c r="BK1523">
        <v>0</v>
      </c>
      <c r="BL1523" s="2">
        <v>24.82</v>
      </c>
      <c r="BM1523" s="2">
        <v>42005.095138888886</v>
      </c>
      <c r="BN1523" s="2">
        <v>5.4</v>
      </c>
      <c r="BO1523" s="2">
        <v>42005.092361111114</v>
      </c>
      <c r="BP1523" s="2">
        <v>6.92</v>
      </c>
      <c r="BQ1523" s="2">
        <v>42005.092361111114</v>
      </c>
      <c r="BR1523" s="2">
        <v>11.07</v>
      </c>
      <c r="BS1523" s="2">
        <v>42005.092361111114</v>
      </c>
      <c r="BT1523">
        <v>0</v>
      </c>
      <c r="BU1523">
        <v>0</v>
      </c>
      <c r="BV1523" t="s">
        <v>135</v>
      </c>
      <c r="BW1523">
        <v>0</v>
      </c>
      <c r="BX1523">
        <v>0</v>
      </c>
      <c r="BY1523" t="s">
        <v>135</v>
      </c>
      <c r="BZ1523">
        <v>0</v>
      </c>
      <c r="CA1523">
        <v>0</v>
      </c>
      <c r="CB1523" t="s">
        <v>135</v>
      </c>
      <c r="CH1523" s="2"/>
      <c r="CJ1523" s="2"/>
      <c r="CL1523" s="2"/>
      <c r="CN1523" s="2"/>
      <c r="CQ1523" s="2"/>
      <c r="CT1523" s="2"/>
      <c r="CW1523" s="2"/>
    </row>
    <row r="1524" spans="1:101" x14ac:dyDescent="0.25">
      <c r="A1524" s="1" t="s">
        <v>163</v>
      </c>
      <c r="B1524" s="75" t="s">
        <v>164</v>
      </c>
      <c r="C1524">
        <v>0</v>
      </c>
      <c r="D1524">
        <v>0</v>
      </c>
      <c r="E1524">
        <v>0</v>
      </c>
      <c r="F1524">
        <v>604324.56000000006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3.91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7490</v>
      </c>
      <c r="AW1524">
        <v>3350</v>
      </c>
      <c r="AX1524">
        <v>1219</v>
      </c>
      <c r="AY1524">
        <v>12059</v>
      </c>
      <c r="AZ1524">
        <v>4202</v>
      </c>
      <c r="BA1524">
        <v>7438</v>
      </c>
      <c r="BB1524">
        <v>1432</v>
      </c>
      <c r="BC1524">
        <v>13072</v>
      </c>
      <c r="BD1524">
        <v>9486</v>
      </c>
      <c r="BE1524">
        <v>9222</v>
      </c>
      <c r="BF1524">
        <v>1768</v>
      </c>
      <c r="BG1524">
        <v>20476</v>
      </c>
      <c r="BH1524">
        <v>0</v>
      </c>
      <c r="BI1524">
        <v>0</v>
      </c>
      <c r="BJ1524">
        <v>0</v>
      </c>
      <c r="BK1524">
        <v>0</v>
      </c>
      <c r="BL1524" s="2">
        <v>24.82</v>
      </c>
      <c r="BM1524" s="2">
        <v>42005.095138888886</v>
      </c>
      <c r="BN1524" s="2">
        <v>5.4</v>
      </c>
      <c r="BO1524" s="2">
        <v>42005.092361111114</v>
      </c>
      <c r="BP1524" s="2">
        <v>6.92</v>
      </c>
      <c r="BQ1524" s="2">
        <v>42005.092361111114</v>
      </c>
      <c r="BR1524" s="2">
        <v>11.07</v>
      </c>
      <c r="BS1524" s="2">
        <v>42005.092361111114</v>
      </c>
      <c r="BT1524">
        <v>0</v>
      </c>
      <c r="BU1524">
        <v>0</v>
      </c>
      <c r="BV1524" t="s">
        <v>135</v>
      </c>
      <c r="BW1524">
        <v>0</v>
      </c>
      <c r="BX1524">
        <v>0</v>
      </c>
      <c r="BY1524" t="s">
        <v>135</v>
      </c>
      <c r="BZ1524">
        <v>0</v>
      </c>
      <c r="CA1524">
        <v>0</v>
      </c>
      <c r="CB1524" t="s">
        <v>135</v>
      </c>
      <c r="CH1524" s="2"/>
      <c r="CJ1524" s="2"/>
      <c r="CL1524" s="2"/>
      <c r="CN1524" s="2"/>
      <c r="CQ1524" s="2"/>
      <c r="CT1524" s="2"/>
      <c r="CW1524" s="2"/>
    </row>
    <row r="1525" spans="1:101" x14ac:dyDescent="0.25">
      <c r="A1525" s="1" t="s">
        <v>163</v>
      </c>
      <c r="B1525" s="75" t="s">
        <v>164</v>
      </c>
      <c r="C1525">
        <v>0</v>
      </c>
      <c r="D1525">
        <v>0</v>
      </c>
      <c r="E1525">
        <v>0</v>
      </c>
      <c r="F1525">
        <v>604324.56000000006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3.91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7490</v>
      </c>
      <c r="AW1525">
        <v>3350</v>
      </c>
      <c r="AX1525">
        <v>1219</v>
      </c>
      <c r="AY1525">
        <v>12059</v>
      </c>
      <c r="AZ1525">
        <v>4202</v>
      </c>
      <c r="BA1525">
        <v>7438</v>
      </c>
      <c r="BB1525">
        <v>1432</v>
      </c>
      <c r="BC1525">
        <v>13072</v>
      </c>
      <c r="BD1525">
        <v>9486</v>
      </c>
      <c r="BE1525">
        <v>9222</v>
      </c>
      <c r="BF1525">
        <v>1768</v>
      </c>
      <c r="BG1525">
        <v>20476</v>
      </c>
      <c r="BH1525">
        <v>0</v>
      </c>
      <c r="BI1525">
        <v>0</v>
      </c>
      <c r="BJ1525">
        <v>0</v>
      </c>
      <c r="BK1525">
        <v>0</v>
      </c>
      <c r="BL1525" s="2">
        <v>24.82</v>
      </c>
      <c r="BM1525" s="2">
        <v>42005.095138888886</v>
      </c>
      <c r="BN1525" s="2">
        <v>5.4</v>
      </c>
      <c r="BO1525" s="2">
        <v>42005.092361111114</v>
      </c>
      <c r="BP1525" s="2">
        <v>6.92</v>
      </c>
      <c r="BQ1525" s="2">
        <v>42005.092361111114</v>
      </c>
      <c r="BR1525" s="2">
        <v>11.07</v>
      </c>
      <c r="BS1525" s="2">
        <v>42005.092361111114</v>
      </c>
      <c r="BT1525">
        <v>0</v>
      </c>
      <c r="BU1525">
        <v>0</v>
      </c>
      <c r="BV1525" t="s">
        <v>135</v>
      </c>
      <c r="BW1525">
        <v>0</v>
      </c>
      <c r="BX1525">
        <v>0</v>
      </c>
      <c r="BY1525" t="s">
        <v>135</v>
      </c>
      <c r="BZ1525">
        <v>0</v>
      </c>
      <c r="CA1525">
        <v>0</v>
      </c>
      <c r="CB1525" t="s">
        <v>135</v>
      </c>
      <c r="CH1525" s="2"/>
      <c r="CJ1525" s="2"/>
      <c r="CL1525" s="2"/>
      <c r="CN1525" s="2"/>
      <c r="CQ1525" s="2"/>
      <c r="CT1525" s="2"/>
      <c r="CW1525" s="2"/>
    </row>
    <row r="1526" spans="1:101" x14ac:dyDescent="0.25">
      <c r="A1526" s="1" t="s">
        <v>163</v>
      </c>
      <c r="B1526" s="75" t="s">
        <v>164</v>
      </c>
      <c r="C1526">
        <v>0</v>
      </c>
      <c r="D1526">
        <v>0</v>
      </c>
      <c r="E1526">
        <v>0</v>
      </c>
      <c r="F1526">
        <v>604324.56000000006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3.91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7490</v>
      </c>
      <c r="AW1526">
        <v>3350</v>
      </c>
      <c r="AX1526">
        <v>1219</v>
      </c>
      <c r="AY1526">
        <v>12059</v>
      </c>
      <c r="AZ1526">
        <v>4202</v>
      </c>
      <c r="BA1526">
        <v>7438</v>
      </c>
      <c r="BB1526">
        <v>1432</v>
      </c>
      <c r="BC1526">
        <v>13072</v>
      </c>
      <c r="BD1526">
        <v>9486</v>
      </c>
      <c r="BE1526">
        <v>9222</v>
      </c>
      <c r="BF1526">
        <v>1768</v>
      </c>
      <c r="BG1526">
        <v>20476</v>
      </c>
      <c r="BH1526">
        <v>0</v>
      </c>
      <c r="BI1526">
        <v>0</v>
      </c>
      <c r="BJ1526">
        <v>0</v>
      </c>
      <c r="BK1526">
        <v>0</v>
      </c>
      <c r="BL1526" s="2">
        <v>24.82</v>
      </c>
      <c r="BM1526" s="2">
        <v>42005.095138888886</v>
      </c>
      <c r="BN1526" s="2">
        <v>5.4</v>
      </c>
      <c r="BO1526" s="2">
        <v>42005.092361111114</v>
      </c>
      <c r="BP1526" s="2">
        <v>6.92</v>
      </c>
      <c r="BQ1526" s="2">
        <v>42005.092361111114</v>
      </c>
      <c r="BR1526" s="2">
        <v>11.07</v>
      </c>
      <c r="BS1526" s="2">
        <v>42005.092361111114</v>
      </c>
      <c r="BT1526">
        <v>0</v>
      </c>
      <c r="BU1526">
        <v>0</v>
      </c>
      <c r="BV1526" t="s">
        <v>135</v>
      </c>
      <c r="BW1526">
        <v>0</v>
      </c>
      <c r="BX1526">
        <v>0</v>
      </c>
      <c r="BY1526" t="s">
        <v>135</v>
      </c>
      <c r="BZ1526">
        <v>0</v>
      </c>
      <c r="CA1526">
        <v>0</v>
      </c>
      <c r="CB1526" t="s">
        <v>135</v>
      </c>
      <c r="CH1526" s="2"/>
      <c r="CJ1526" s="2"/>
      <c r="CL1526" s="2"/>
      <c r="CN1526" s="2"/>
      <c r="CQ1526" s="2"/>
      <c r="CT1526" s="2"/>
      <c r="CW1526" s="2"/>
    </row>
    <row r="1527" spans="1:101" x14ac:dyDescent="0.25">
      <c r="A1527" s="1" t="s">
        <v>163</v>
      </c>
      <c r="B1527" s="75" t="s">
        <v>164</v>
      </c>
      <c r="C1527">
        <v>0</v>
      </c>
      <c r="D1527">
        <v>0</v>
      </c>
      <c r="E1527">
        <v>0</v>
      </c>
      <c r="F1527">
        <v>604324.56000000006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3.91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7490</v>
      </c>
      <c r="AW1527">
        <v>3350</v>
      </c>
      <c r="AX1527">
        <v>1219</v>
      </c>
      <c r="AY1527">
        <v>12059</v>
      </c>
      <c r="AZ1527">
        <v>4202</v>
      </c>
      <c r="BA1527">
        <v>7438</v>
      </c>
      <c r="BB1527">
        <v>1432</v>
      </c>
      <c r="BC1527">
        <v>13072</v>
      </c>
      <c r="BD1527">
        <v>9486</v>
      </c>
      <c r="BE1527">
        <v>9222</v>
      </c>
      <c r="BF1527">
        <v>1768</v>
      </c>
      <c r="BG1527">
        <v>20476</v>
      </c>
      <c r="BH1527">
        <v>0</v>
      </c>
      <c r="BI1527">
        <v>0</v>
      </c>
      <c r="BJ1527">
        <v>0</v>
      </c>
      <c r="BK1527">
        <v>0</v>
      </c>
      <c r="BL1527" s="2">
        <v>24.82</v>
      </c>
      <c r="BM1527" s="2">
        <v>42005.095138888886</v>
      </c>
      <c r="BN1527" s="2">
        <v>5.4</v>
      </c>
      <c r="BO1527" s="2">
        <v>42005.092361111114</v>
      </c>
      <c r="BP1527" s="2">
        <v>6.92</v>
      </c>
      <c r="BQ1527" s="2">
        <v>42005.092361111114</v>
      </c>
      <c r="BR1527" s="2">
        <v>11.07</v>
      </c>
      <c r="BS1527" s="2">
        <v>42005.092361111114</v>
      </c>
      <c r="BT1527">
        <v>0</v>
      </c>
      <c r="BU1527">
        <v>0</v>
      </c>
      <c r="BV1527" t="s">
        <v>135</v>
      </c>
      <c r="BW1527">
        <v>0</v>
      </c>
      <c r="BX1527">
        <v>0</v>
      </c>
      <c r="BY1527" t="s">
        <v>135</v>
      </c>
      <c r="BZ1527">
        <v>0</v>
      </c>
      <c r="CA1527">
        <v>0</v>
      </c>
      <c r="CB1527" t="s">
        <v>135</v>
      </c>
      <c r="CH1527" s="2"/>
      <c r="CJ1527" s="2"/>
      <c r="CL1527" s="2"/>
      <c r="CN1527" s="2"/>
      <c r="CQ1527" s="2"/>
      <c r="CT1527" s="2"/>
      <c r="CW1527" s="2"/>
    </row>
    <row r="1528" spans="1:101" x14ac:dyDescent="0.25">
      <c r="A1528" s="1" t="s">
        <v>163</v>
      </c>
      <c r="B1528" s="75" t="s">
        <v>164</v>
      </c>
      <c r="C1528">
        <v>0</v>
      </c>
      <c r="D1528">
        <v>0</v>
      </c>
      <c r="E1528">
        <v>0</v>
      </c>
      <c r="F1528">
        <v>604324.56000000006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3.91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7490</v>
      </c>
      <c r="AW1528">
        <v>3350</v>
      </c>
      <c r="AX1528">
        <v>1219</v>
      </c>
      <c r="AY1528">
        <v>12059</v>
      </c>
      <c r="AZ1528">
        <v>4202</v>
      </c>
      <c r="BA1528">
        <v>7438</v>
      </c>
      <c r="BB1528">
        <v>1432</v>
      </c>
      <c r="BC1528">
        <v>13072</v>
      </c>
      <c r="BD1528">
        <v>9486</v>
      </c>
      <c r="BE1528">
        <v>9222</v>
      </c>
      <c r="BF1528">
        <v>1768</v>
      </c>
      <c r="BG1528">
        <v>20476</v>
      </c>
      <c r="BH1528">
        <v>0</v>
      </c>
      <c r="BI1528">
        <v>0</v>
      </c>
      <c r="BJ1528">
        <v>0</v>
      </c>
      <c r="BK1528">
        <v>0</v>
      </c>
      <c r="BL1528" s="2">
        <v>24.82</v>
      </c>
      <c r="BM1528" s="2">
        <v>42005.095138888886</v>
      </c>
      <c r="BN1528" s="2">
        <v>5.4</v>
      </c>
      <c r="BO1528" s="2">
        <v>42005.092361111114</v>
      </c>
      <c r="BP1528" s="2">
        <v>6.92</v>
      </c>
      <c r="BQ1528" s="2">
        <v>42005.092361111114</v>
      </c>
      <c r="BR1528" s="2">
        <v>11.07</v>
      </c>
      <c r="BS1528" s="2">
        <v>42005.092361111114</v>
      </c>
      <c r="BT1528">
        <v>0</v>
      </c>
      <c r="BU1528">
        <v>0</v>
      </c>
      <c r="BV1528" t="s">
        <v>135</v>
      </c>
      <c r="BW1528">
        <v>0</v>
      </c>
      <c r="BX1528">
        <v>0</v>
      </c>
      <c r="BY1528" t="s">
        <v>135</v>
      </c>
      <c r="BZ1528">
        <v>0</v>
      </c>
      <c r="CA1528">
        <v>0</v>
      </c>
      <c r="CB1528" t="s">
        <v>135</v>
      </c>
      <c r="CH1528" s="2"/>
      <c r="CJ1528" s="2"/>
      <c r="CL1528" s="2"/>
      <c r="CN1528" s="2"/>
      <c r="CQ1528" s="2"/>
      <c r="CT1528" s="2"/>
      <c r="CW1528" s="2"/>
    </row>
    <row r="1529" spans="1:101" x14ac:dyDescent="0.25">
      <c r="A1529" s="1" t="s">
        <v>163</v>
      </c>
      <c r="B1529" s="75" t="s">
        <v>164</v>
      </c>
      <c r="C1529">
        <v>0</v>
      </c>
      <c r="D1529">
        <v>0</v>
      </c>
      <c r="E1529">
        <v>0</v>
      </c>
      <c r="F1529">
        <v>604324.56000000006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3.91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7490</v>
      </c>
      <c r="AW1529">
        <v>3350</v>
      </c>
      <c r="AX1529">
        <v>1219</v>
      </c>
      <c r="AY1529">
        <v>12059</v>
      </c>
      <c r="AZ1529">
        <v>4202</v>
      </c>
      <c r="BA1529">
        <v>7438</v>
      </c>
      <c r="BB1529">
        <v>1432</v>
      </c>
      <c r="BC1529">
        <v>13072</v>
      </c>
      <c r="BD1529">
        <v>9486</v>
      </c>
      <c r="BE1529">
        <v>9222</v>
      </c>
      <c r="BF1529">
        <v>1768</v>
      </c>
      <c r="BG1529">
        <v>20476</v>
      </c>
      <c r="BH1529">
        <v>0</v>
      </c>
      <c r="BI1529">
        <v>0</v>
      </c>
      <c r="BJ1529">
        <v>0</v>
      </c>
      <c r="BK1529">
        <v>0</v>
      </c>
      <c r="BL1529" s="2">
        <v>24.82</v>
      </c>
      <c r="BM1529" s="2">
        <v>42005.095138888886</v>
      </c>
      <c r="BN1529" s="2">
        <v>5.4</v>
      </c>
      <c r="BO1529" s="2">
        <v>42005.092361111114</v>
      </c>
      <c r="BP1529" s="2">
        <v>6.92</v>
      </c>
      <c r="BQ1529" s="2">
        <v>42005.092361111114</v>
      </c>
      <c r="BR1529" s="2">
        <v>11.07</v>
      </c>
      <c r="BS1529" s="2">
        <v>42005.092361111114</v>
      </c>
      <c r="BT1529">
        <v>0</v>
      </c>
      <c r="BU1529">
        <v>0</v>
      </c>
      <c r="BV1529" t="s">
        <v>135</v>
      </c>
      <c r="BW1529">
        <v>0</v>
      </c>
      <c r="BX1529">
        <v>0</v>
      </c>
      <c r="BY1529" t="s">
        <v>135</v>
      </c>
      <c r="BZ1529">
        <v>0</v>
      </c>
      <c r="CA1529">
        <v>0</v>
      </c>
      <c r="CB1529" t="s">
        <v>135</v>
      </c>
      <c r="CH1529" s="2"/>
      <c r="CJ1529" s="2"/>
      <c r="CL1529" s="2"/>
      <c r="CN1529" s="2"/>
      <c r="CQ1529" s="2"/>
      <c r="CT1529" s="2"/>
      <c r="CW1529" s="2"/>
    </row>
    <row r="1530" spans="1:101" x14ac:dyDescent="0.25">
      <c r="A1530" s="1" t="s">
        <v>163</v>
      </c>
      <c r="B1530" s="75" t="s">
        <v>164</v>
      </c>
      <c r="C1530">
        <v>0</v>
      </c>
      <c r="D1530">
        <v>0</v>
      </c>
      <c r="E1530">
        <v>0</v>
      </c>
      <c r="F1530">
        <v>604324.56000000006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3.91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7490</v>
      </c>
      <c r="AW1530">
        <v>3350</v>
      </c>
      <c r="AX1530">
        <v>1219</v>
      </c>
      <c r="AY1530">
        <v>12059</v>
      </c>
      <c r="AZ1530">
        <v>4202</v>
      </c>
      <c r="BA1530">
        <v>7438</v>
      </c>
      <c r="BB1530">
        <v>1432</v>
      </c>
      <c r="BC1530">
        <v>13072</v>
      </c>
      <c r="BD1530">
        <v>9486</v>
      </c>
      <c r="BE1530">
        <v>9222</v>
      </c>
      <c r="BF1530">
        <v>1768</v>
      </c>
      <c r="BG1530">
        <v>20476</v>
      </c>
      <c r="BH1530">
        <v>0</v>
      </c>
      <c r="BI1530">
        <v>0</v>
      </c>
      <c r="BJ1530">
        <v>0</v>
      </c>
      <c r="BK1530">
        <v>0</v>
      </c>
      <c r="BL1530" s="2">
        <v>24.82</v>
      </c>
      <c r="BM1530" s="2">
        <v>42005.095138888886</v>
      </c>
      <c r="BN1530" s="2">
        <v>5.4</v>
      </c>
      <c r="BO1530" s="2">
        <v>42005.092361111114</v>
      </c>
      <c r="BP1530" s="2">
        <v>6.92</v>
      </c>
      <c r="BQ1530" s="2">
        <v>42005.092361111114</v>
      </c>
      <c r="BR1530" s="2">
        <v>11.07</v>
      </c>
      <c r="BS1530" s="2">
        <v>42005.092361111114</v>
      </c>
      <c r="BT1530">
        <v>0</v>
      </c>
      <c r="BU1530">
        <v>0</v>
      </c>
      <c r="BV1530" t="s">
        <v>135</v>
      </c>
      <c r="BW1530">
        <v>0</v>
      </c>
      <c r="BX1530">
        <v>0</v>
      </c>
      <c r="BY1530" t="s">
        <v>135</v>
      </c>
      <c r="BZ1530">
        <v>0</v>
      </c>
      <c r="CA1530">
        <v>0</v>
      </c>
      <c r="CB1530" t="s">
        <v>135</v>
      </c>
      <c r="CH1530" s="2"/>
      <c r="CJ1530" s="2"/>
      <c r="CL1530" s="2"/>
      <c r="CN1530" s="2"/>
      <c r="CQ1530" s="2"/>
      <c r="CT1530" s="2"/>
      <c r="CW1530" s="2"/>
    </row>
    <row r="1531" spans="1:101" x14ac:dyDescent="0.25">
      <c r="A1531" s="1" t="s">
        <v>163</v>
      </c>
      <c r="B1531" s="75" t="s">
        <v>164</v>
      </c>
      <c r="C1531">
        <v>0</v>
      </c>
      <c r="D1531">
        <v>0</v>
      </c>
      <c r="E1531">
        <v>0</v>
      </c>
      <c r="F1531">
        <v>604324.56000000006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3.91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7490</v>
      </c>
      <c r="AW1531">
        <v>3350</v>
      </c>
      <c r="AX1531">
        <v>1219</v>
      </c>
      <c r="AY1531">
        <v>12059</v>
      </c>
      <c r="AZ1531">
        <v>4202</v>
      </c>
      <c r="BA1531">
        <v>7438</v>
      </c>
      <c r="BB1531">
        <v>1432</v>
      </c>
      <c r="BC1531">
        <v>13072</v>
      </c>
      <c r="BD1531">
        <v>9486</v>
      </c>
      <c r="BE1531">
        <v>9222</v>
      </c>
      <c r="BF1531">
        <v>1768</v>
      </c>
      <c r="BG1531">
        <v>20476</v>
      </c>
      <c r="BH1531">
        <v>0</v>
      </c>
      <c r="BI1531">
        <v>0</v>
      </c>
      <c r="BJ1531">
        <v>0</v>
      </c>
      <c r="BK1531">
        <v>0</v>
      </c>
      <c r="BL1531" s="2">
        <v>24.82</v>
      </c>
      <c r="BM1531" s="2">
        <v>42005.095138888886</v>
      </c>
      <c r="BN1531" s="2">
        <v>5.4</v>
      </c>
      <c r="BO1531" s="2">
        <v>42005.092361111114</v>
      </c>
      <c r="BP1531" s="2">
        <v>6.92</v>
      </c>
      <c r="BQ1531" s="2">
        <v>42005.092361111114</v>
      </c>
      <c r="BR1531" s="2">
        <v>11.07</v>
      </c>
      <c r="BS1531" s="2">
        <v>42005.092361111114</v>
      </c>
      <c r="BT1531">
        <v>0</v>
      </c>
      <c r="BU1531">
        <v>0</v>
      </c>
      <c r="BV1531" t="s">
        <v>135</v>
      </c>
      <c r="BW1531">
        <v>0</v>
      </c>
      <c r="BX1531">
        <v>0</v>
      </c>
      <c r="BY1531" t="s">
        <v>135</v>
      </c>
      <c r="BZ1531">
        <v>0</v>
      </c>
      <c r="CA1531">
        <v>0</v>
      </c>
      <c r="CB1531" t="s">
        <v>135</v>
      </c>
      <c r="CH1531" s="2"/>
      <c r="CJ1531" s="2"/>
      <c r="CL1531" s="2"/>
      <c r="CN1531" s="2"/>
      <c r="CQ1531" s="2"/>
      <c r="CT1531" s="2"/>
      <c r="CW1531" s="2"/>
    </row>
    <row r="1532" spans="1:101" x14ac:dyDescent="0.25">
      <c r="A1532" s="1" t="s">
        <v>163</v>
      </c>
      <c r="B1532" s="75" t="s">
        <v>164</v>
      </c>
      <c r="C1532">
        <v>0</v>
      </c>
      <c r="D1532">
        <v>0</v>
      </c>
      <c r="E1532">
        <v>0</v>
      </c>
      <c r="F1532">
        <v>604324.56000000006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3.91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7490</v>
      </c>
      <c r="AW1532">
        <v>3350</v>
      </c>
      <c r="AX1532">
        <v>1219</v>
      </c>
      <c r="AY1532">
        <v>12059</v>
      </c>
      <c r="AZ1532">
        <v>4202</v>
      </c>
      <c r="BA1532">
        <v>7438</v>
      </c>
      <c r="BB1532">
        <v>1432</v>
      </c>
      <c r="BC1532">
        <v>13072</v>
      </c>
      <c r="BD1532">
        <v>9486</v>
      </c>
      <c r="BE1532">
        <v>9222</v>
      </c>
      <c r="BF1532">
        <v>1768</v>
      </c>
      <c r="BG1532">
        <v>20476</v>
      </c>
      <c r="BH1532">
        <v>0</v>
      </c>
      <c r="BI1532">
        <v>0</v>
      </c>
      <c r="BJ1532">
        <v>0</v>
      </c>
      <c r="BK1532">
        <v>0</v>
      </c>
      <c r="BL1532" s="2">
        <v>24.82</v>
      </c>
      <c r="BM1532" s="2">
        <v>42005.095138888886</v>
      </c>
      <c r="BN1532" s="2">
        <v>5.4</v>
      </c>
      <c r="BO1532" s="2">
        <v>42005.092361111114</v>
      </c>
      <c r="BP1532" s="2">
        <v>6.92</v>
      </c>
      <c r="BQ1532" s="2">
        <v>42005.092361111114</v>
      </c>
      <c r="BR1532" s="2">
        <v>11.07</v>
      </c>
      <c r="BS1532" s="2">
        <v>42005.092361111114</v>
      </c>
      <c r="BT1532">
        <v>0</v>
      </c>
      <c r="BU1532">
        <v>0</v>
      </c>
      <c r="BV1532" t="s">
        <v>135</v>
      </c>
      <c r="BW1532">
        <v>0</v>
      </c>
      <c r="BX1532">
        <v>0</v>
      </c>
      <c r="BY1532" t="s">
        <v>135</v>
      </c>
      <c r="BZ1532">
        <v>0</v>
      </c>
      <c r="CA1532">
        <v>0</v>
      </c>
      <c r="CB1532" t="s">
        <v>135</v>
      </c>
      <c r="CH1532" s="2"/>
      <c r="CJ1532" s="2"/>
      <c r="CL1532" s="2"/>
      <c r="CN1532" s="2"/>
      <c r="CQ1532" s="2"/>
      <c r="CT1532" s="2"/>
      <c r="CW1532" s="2"/>
    </row>
    <row r="1533" spans="1:101" x14ac:dyDescent="0.25">
      <c r="A1533" s="1" t="s">
        <v>163</v>
      </c>
      <c r="B1533" s="75" t="s">
        <v>164</v>
      </c>
      <c r="C1533">
        <v>0</v>
      </c>
      <c r="D1533">
        <v>0</v>
      </c>
      <c r="E1533">
        <v>0</v>
      </c>
      <c r="F1533">
        <v>604324.56000000006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3.91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7490</v>
      </c>
      <c r="AW1533">
        <v>3350</v>
      </c>
      <c r="AX1533">
        <v>1219</v>
      </c>
      <c r="AY1533">
        <v>12059</v>
      </c>
      <c r="AZ1533">
        <v>4202</v>
      </c>
      <c r="BA1533">
        <v>7438</v>
      </c>
      <c r="BB1533">
        <v>1432</v>
      </c>
      <c r="BC1533">
        <v>13072</v>
      </c>
      <c r="BD1533">
        <v>9486</v>
      </c>
      <c r="BE1533">
        <v>9222</v>
      </c>
      <c r="BF1533">
        <v>1768</v>
      </c>
      <c r="BG1533">
        <v>20476</v>
      </c>
      <c r="BH1533">
        <v>0</v>
      </c>
      <c r="BI1533">
        <v>0</v>
      </c>
      <c r="BJ1533">
        <v>0</v>
      </c>
      <c r="BK1533">
        <v>0</v>
      </c>
      <c r="BL1533" s="2">
        <v>24.82</v>
      </c>
      <c r="BM1533" s="2">
        <v>42005.095138888886</v>
      </c>
      <c r="BN1533" s="2">
        <v>5.4</v>
      </c>
      <c r="BO1533" s="2">
        <v>42005.092361111114</v>
      </c>
      <c r="BP1533" s="2">
        <v>6.92</v>
      </c>
      <c r="BQ1533" s="2">
        <v>42005.092361111114</v>
      </c>
      <c r="BR1533" s="2">
        <v>11.07</v>
      </c>
      <c r="BS1533" s="2">
        <v>42005.092361111114</v>
      </c>
      <c r="BT1533">
        <v>0</v>
      </c>
      <c r="BU1533">
        <v>0</v>
      </c>
      <c r="BV1533" t="s">
        <v>135</v>
      </c>
      <c r="BW1533">
        <v>0</v>
      </c>
      <c r="BX1533">
        <v>0</v>
      </c>
      <c r="BY1533" t="s">
        <v>135</v>
      </c>
      <c r="BZ1533">
        <v>0</v>
      </c>
      <c r="CA1533">
        <v>0</v>
      </c>
      <c r="CB1533" t="s">
        <v>135</v>
      </c>
      <c r="CH1533" s="2"/>
      <c r="CJ1533" s="2"/>
      <c r="CL1533" s="2"/>
      <c r="CN1533" s="2"/>
      <c r="CQ1533" s="2"/>
      <c r="CT1533" s="2"/>
      <c r="CW1533" s="2"/>
    </row>
    <row r="1534" spans="1:101" x14ac:dyDescent="0.25">
      <c r="A1534" s="1" t="s">
        <v>163</v>
      </c>
      <c r="B1534" s="75" t="s">
        <v>164</v>
      </c>
      <c r="C1534">
        <v>0</v>
      </c>
      <c r="D1534">
        <v>0</v>
      </c>
      <c r="E1534">
        <v>0</v>
      </c>
      <c r="F1534">
        <v>604324.56000000006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3.91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7490</v>
      </c>
      <c r="AW1534">
        <v>3350</v>
      </c>
      <c r="AX1534">
        <v>1219</v>
      </c>
      <c r="AY1534">
        <v>12059</v>
      </c>
      <c r="AZ1534">
        <v>4202</v>
      </c>
      <c r="BA1534">
        <v>7438</v>
      </c>
      <c r="BB1534">
        <v>1432</v>
      </c>
      <c r="BC1534">
        <v>13072</v>
      </c>
      <c r="BD1534">
        <v>9486</v>
      </c>
      <c r="BE1534">
        <v>9222</v>
      </c>
      <c r="BF1534">
        <v>1768</v>
      </c>
      <c r="BG1534">
        <v>20476</v>
      </c>
      <c r="BH1534">
        <v>0</v>
      </c>
      <c r="BI1534">
        <v>0</v>
      </c>
      <c r="BJ1534">
        <v>0</v>
      </c>
      <c r="BK1534">
        <v>0</v>
      </c>
      <c r="BL1534" s="2">
        <v>24.82</v>
      </c>
      <c r="BM1534" s="2">
        <v>42005.095138888886</v>
      </c>
      <c r="BN1534" s="2">
        <v>5.4</v>
      </c>
      <c r="BO1534" s="2">
        <v>42005.092361111114</v>
      </c>
      <c r="BP1534" s="2">
        <v>6.92</v>
      </c>
      <c r="BQ1534" s="2">
        <v>42005.092361111114</v>
      </c>
      <c r="BR1534" s="2">
        <v>11.07</v>
      </c>
      <c r="BS1534" s="2">
        <v>42005.092361111114</v>
      </c>
      <c r="BT1534">
        <v>0</v>
      </c>
      <c r="BU1534">
        <v>0</v>
      </c>
      <c r="BV1534" t="s">
        <v>135</v>
      </c>
      <c r="BW1534">
        <v>0</v>
      </c>
      <c r="BX1534">
        <v>0</v>
      </c>
      <c r="BY1534" t="s">
        <v>135</v>
      </c>
      <c r="BZ1534">
        <v>0</v>
      </c>
      <c r="CA1534">
        <v>0</v>
      </c>
      <c r="CB1534" t="s">
        <v>135</v>
      </c>
      <c r="CH1534" s="2"/>
      <c r="CJ1534" s="2"/>
      <c r="CL1534" s="2"/>
      <c r="CN1534" s="2"/>
      <c r="CQ1534" s="2"/>
      <c r="CT1534" s="2"/>
      <c r="CW1534" s="2"/>
    </row>
    <row r="1535" spans="1:101" x14ac:dyDescent="0.25">
      <c r="A1535" s="1" t="s">
        <v>163</v>
      </c>
      <c r="B1535" s="75" t="s">
        <v>164</v>
      </c>
      <c r="C1535">
        <v>0</v>
      </c>
      <c r="D1535">
        <v>0</v>
      </c>
      <c r="E1535">
        <v>0</v>
      </c>
      <c r="F1535">
        <v>604324.56000000006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3.91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7490</v>
      </c>
      <c r="AW1535">
        <v>3350</v>
      </c>
      <c r="AX1535">
        <v>1219</v>
      </c>
      <c r="AY1535">
        <v>12059</v>
      </c>
      <c r="AZ1535">
        <v>4202</v>
      </c>
      <c r="BA1535">
        <v>7438</v>
      </c>
      <c r="BB1535">
        <v>1432</v>
      </c>
      <c r="BC1535">
        <v>13072</v>
      </c>
      <c r="BD1535">
        <v>9486</v>
      </c>
      <c r="BE1535">
        <v>9222</v>
      </c>
      <c r="BF1535">
        <v>1768</v>
      </c>
      <c r="BG1535">
        <v>20476</v>
      </c>
      <c r="BH1535">
        <v>0</v>
      </c>
      <c r="BI1535">
        <v>0</v>
      </c>
      <c r="BJ1535">
        <v>0</v>
      </c>
      <c r="BK1535">
        <v>0</v>
      </c>
      <c r="BL1535" s="2">
        <v>24.82</v>
      </c>
      <c r="BM1535" s="2">
        <v>42005.095138888886</v>
      </c>
      <c r="BN1535" s="2">
        <v>5.4</v>
      </c>
      <c r="BO1535" s="2">
        <v>42005.092361111114</v>
      </c>
      <c r="BP1535" s="2">
        <v>6.92</v>
      </c>
      <c r="BQ1535" s="2">
        <v>42005.092361111114</v>
      </c>
      <c r="BR1535" s="2">
        <v>11.07</v>
      </c>
      <c r="BS1535" s="2">
        <v>42005.092361111114</v>
      </c>
      <c r="BT1535">
        <v>0</v>
      </c>
      <c r="BU1535">
        <v>0</v>
      </c>
      <c r="BV1535" t="s">
        <v>135</v>
      </c>
      <c r="BW1535">
        <v>0</v>
      </c>
      <c r="BX1535">
        <v>0</v>
      </c>
      <c r="BY1535" t="s">
        <v>135</v>
      </c>
      <c r="BZ1535">
        <v>0</v>
      </c>
      <c r="CA1535">
        <v>0</v>
      </c>
      <c r="CB1535" t="s">
        <v>135</v>
      </c>
      <c r="CH1535" s="2"/>
      <c r="CJ1535" s="2"/>
      <c r="CL1535" s="2"/>
      <c r="CN1535" s="2"/>
      <c r="CQ1535" s="2"/>
      <c r="CT1535" s="2"/>
      <c r="CW1535" s="2"/>
    </row>
    <row r="1536" spans="1:101" x14ac:dyDescent="0.25">
      <c r="A1536" s="1" t="s">
        <v>163</v>
      </c>
      <c r="B1536" s="75" t="s">
        <v>164</v>
      </c>
      <c r="C1536">
        <v>0</v>
      </c>
      <c r="D1536">
        <v>0</v>
      </c>
      <c r="E1536">
        <v>0</v>
      </c>
      <c r="F1536">
        <v>604324.56000000006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3.91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7490</v>
      </c>
      <c r="AW1536">
        <v>3350</v>
      </c>
      <c r="AX1536">
        <v>1219</v>
      </c>
      <c r="AY1536">
        <v>12059</v>
      </c>
      <c r="AZ1536">
        <v>4202</v>
      </c>
      <c r="BA1536">
        <v>7438</v>
      </c>
      <c r="BB1536">
        <v>1432</v>
      </c>
      <c r="BC1536">
        <v>13072</v>
      </c>
      <c r="BD1536">
        <v>9486</v>
      </c>
      <c r="BE1536">
        <v>9222</v>
      </c>
      <c r="BF1536">
        <v>1768</v>
      </c>
      <c r="BG1536">
        <v>20476</v>
      </c>
      <c r="BH1536">
        <v>0</v>
      </c>
      <c r="BI1536">
        <v>0</v>
      </c>
      <c r="BJ1536">
        <v>0</v>
      </c>
      <c r="BK1536">
        <v>0</v>
      </c>
      <c r="BL1536" s="2">
        <v>24.82</v>
      </c>
      <c r="BM1536" s="2">
        <v>42005.095138888886</v>
      </c>
      <c r="BN1536" s="2">
        <v>5.4</v>
      </c>
      <c r="BO1536" s="2">
        <v>42005.092361111114</v>
      </c>
      <c r="BP1536" s="2">
        <v>6.92</v>
      </c>
      <c r="BQ1536" s="2">
        <v>42005.092361111114</v>
      </c>
      <c r="BR1536" s="2">
        <v>11.07</v>
      </c>
      <c r="BS1536" s="2">
        <v>42005.092361111114</v>
      </c>
      <c r="BT1536">
        <v>0</v>
      </c>
      <c r="BU1536">
        <v>0</v>
      </c>
      <c r="BV1536" t="s">
        <v>135</v>
      </c>
      <c r="BW1536">
        <v>0</v>
      </c>
      <c r="BX1536">
        <v>0</v>
      </c>
      <c r="BY1536" t="s">
        <v>135</v>
      </c>
      <c r="BZ1536">
        <v>0</v>
      </c>
      <c r="CA1536">
        <v>0</v>
      </c>
      <c r="CB1536" t="s">
        <v>135</v>
      </c>
      <c r="CH1536" s="2"/>
      <c r="CJ1536" s="2"/>
      <c r="CL1536" s="2"/>
      <c r="CN1536" s="2"/>
      <c r="CQ1536" s="2"/>
      <c r="CT1536" s="2"/>
      <c r="CW1536" s="2"/>
    </row>
    <row r="1537" spans="1:101" x14ac:dyDescent="0.25">
      <c r="A1537" s="1" t="s">
        <v>163</v>
      </c>
      <c r="B1537" s="75" t="s">
        <v>164</v>
      </c>
      <c r="C1537">
        <v>0</v>
      </c>
      <c r="D1537">
        <v>0</v>
      </c>
      <c r="E1537">
        <v>0</v>
      </c>
      <c r="F1537">
        <v>604324.56000000006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3.91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7490</v>
      </c>
      <c r="AW1537">
        <v>3350</v>
      </c>
      <c r="AX1537">
        <v>1219</v>
      </c>
      <c r="AY1537">
        <v>12059</v>
      </c>
      <c r="AZ1537">
        <v>4202</v>
      </c>
      <c r="BA1537">
        <v>7438</v>
      </c>
      <c r="BB1537">
        <v>1432</v>
      </c>
      <c r="BC1537">
        <v>13072</v>
      </c>
      <c r="BD1537">
        <v>9486</v>
      </c>
      <c r="BE1537">
        <v>9222</v>
      </c>
      <c r="BF1537">
        <v>1768</v>
      </c>
      <c r="BG1537">
        <v>20476</v>
      </c>
      <c r="BH1537">
        <v>0</v>
      </c>
      <c r="BI1537">
        <v>0</v>
      </c>
      <c r="BJ1537">
        <v>0</v>
      </c>
      <c r="BK1537">
        <v>0</v>
      </c>
      <c r="BL1537" s="2">
        <v>24.82</v>
      </c>
      <c r="BM1537" s="2">
        <v>42005.095138888886</v>
      </c>
      <c r="BN1537" s="2">
        <v>5.4</v>
      </c>
      <c r="BO1537" s="2">
        <v>42005.092361111114</v>
      </c>
      <c r="BP1537" s="2">
        <v>6.92</v>
      </c>
      <c r="BQ1537" s="2">
        <v>42005.092361111114</v>
      </c>
      <c r="BR1537" s="2">
        <v>11.07</v>
      </c>
      <c r="BS1537" s="2">
        <v>42005.092361111114</v>
      </c>
      <c r="BT1537">
        <v>0</v>
      </c>
      <c r="BU1537">
        <v>0</v>
      </c>
      <c r="BV1537" t="s">
        <v>135</v>
      </c>
      <c r="BW1537">
        <v>0</v>
      </c>
      <c r="BX1537">
        <v>0</v>
      </c>
      <c r="BY1537" t="s">
        <v>135</v>
      </c>
      <c r="BZ1537">
        <v>0</v>
      </c>
      <c r="CA1537">
        <v>0</v>
      </c>
      <c r="CB1537" t="s">
        <v>135</v>
      </c>
      <c r="CH1537" s="2"/>
      <c r="CJ1537" s="2"/>
      <c r="CL1537" s="2"/>
      <c r="CN1537" s="2"/>
      <c r="CQ1537" s="2"/>
      <c r="CT1537" s="2"/>
      <c r="CW1537" s="2"/>
    </row>
    <row r="1538" spans="1:101" x14ac:dyDescent="0.25">
      <c r="A1538" s="1" t="s">
        <v>163</v>
      </c>
      <c r="B1538" s="75" t="s">
        <v>164</v>
      </c>
      <c r="C1538">
        <v>0</v>
      </c>
      <c r="D1538">
        <v>0</v>
      </c>
      <c r="E1538">
        <v>0</v>
      </c>
      <c r="F1538">
        <v>604324.56000000006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3.91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7490</v>
      </c>
      <c r="AW1538">
        <v>3350</v>
      </c>
      <c r="AX1538">
        <v>1219</v>
      </c>
      <c r="AY1538">
        <v>12059</v>
      </c>
      <c r="AZ1538">
        <v>4202</v>
      </c>
      <c r="BA1538">
        <v>7438</v>
      </c>
      <c r="BB1538">
        <v>1432</v>
      </c>
      <c r="BC1538">
        <v>13072</v>
      </c>
      <c r="BD1538">
        <v>9486</v>
      </c>
      <c r="BE1538">
        <v>9222</v>
      </c>
      <c r="BF1538">
        <v>1768</v>
      </c>
      <c r="BG1538">
        <v>20476</v>
      </c>
      <c r="BH1538">
        <v>0</v>
      </c>
      <c r="BI1538">
        <v>0</v>
      </c>
      <c r="BJ1538">
        <v>0</v>
      </c>
      <c r="BK1538">
        <v>0</v>
      </c>
      <c r="BL1538" s="2">
        <v>24.82</v>
      </c>
      <c r="BM1538" s="2">
        <v>42005.095138888886</v>
      </c>
      <c r="BN1538" s="2">
        <v>5.4</v>
      </c>
      <c r="BO1538" s="2">
        <v>42005.092361111114</v>
      </c>
      <c r="BP1538" s="2">
        <v>6.92</v>
      </c>
      <c r="BQ1538" s="2">
        <v>42005.092361111114</v>
      </c>
      <c r="BR1538" s="2">
        <v>11.07</v>
      </c>
      <c r="BS1538" s="2">
        <v>42005.092361111114</v>
      </c>
      <c r="BT1538">
        <v>0</v>
      </c>
      <c r="BU1538">
        <v>0</v>
      </c>
      <c r="BV1538" t="s">
        <v>135</v>
      </c>
      <c r="BW1538">
        <v>0</v>
      </c>
      <c r="BX1538">
        <v>0</v>
      </c>
      <c r="BY1538" t="s">
        <v>135</v>
      </c>
      <c r="BZ1538">
        <v>0</v>
      </c>
      <c r="CA1538">
        <v>0</v>
      </c>
      <c r="CB1538" t="s">
        <v>135</v>
      </c>
      <c r="CH1538" s="2"/>
      <c r="CJ1538" s="2"/>
      <c r="CL1538" s="2"/>
      <c r="CN1538" s="2"/>
      <c r="CQ1538" s="2"/>
      <c r="CT1538" s="2"/>
      <c r="CW1538" s="2"/>
    </row>
    <row r="1539" spans="1:101" x14ac:dyDescent="0.25">
      <c r="A1539" s="1" t="s">
        <v>163</v>
      </c>
      <c r="B1539" s="75" t="s">
        <v>164</v>
      </c>
      <c r="C1539">
        <v>0</v>
      </c>
      <c r="D1539">
        <v>0</v>
      </c>
      <c r="E1539">
        <v>0</v>
      </c>
      <c r="F1539">
        <v>604324.56000000006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3.91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7490</v>
      </c>
      <c r="AW1539">
        <v>3350</v>
      </c>
      <c r="AX1539">
        <v>1219</v>
      </c>
      <c r="AY1539">
        <v>12059</v>
      </c>
      <c r="AZ1539">
        <v>4202</v>
      </c>
      <c r="BA1539">
        <v>7438</v>
      </c>
      <c r="BB1539">
        <v>1432</v>
      </c>
      <c r="BC1539">
        <v>13072</v>
      </c>
      <c r="BD1539">
        <v>9486</v>
      </c>
      <c r="BE1539">
        <v>9222</v>
      </c>
      <c r="BF1539">
        <v>1768</v>
      </c>
      <c r="BG1539">
        <v>20476</v>
      </c>
      <c r="BH1539">
        <v>0</v>
      </c>
      <c r="BI1539">
        <v>0</v>
      </c>
      <c r="BJ1539">
        <v>0</v>
      </c>
      <c r="BK1539">
        <v>0</v>
      </c>
      <c r="BL1539" s="2">
        <v>24.82</v>
      </c>
      <c r="BM1539" s="2">
        <v>42005.095138888886</v>
      </c>
      <c r="BN1539" s="2">
        <v>5.4</v>
      </c>
      <c r="BO1539" s="2">
        <v>42005.092361111114</v>
      </c>
      <c r="BP1539" s="2">
        <v>6.92</v>
      </c>
      <c r="BQ1539" s="2">
        <v>42005.092361111114</v>
      </c>
      <c r="BR1539" s="2">
        <v>11.07</v>
      </c>
      <c r="BS1539" s="2">
        <v>42005.092361111114</v>
      </c>
      <c r="BT1539">
        <v>0</v>
      </c>
      <c r="BU1539">
        <v>0</v>
      </c>
      <c r="BV1539" t="s">
        <v>135</v>
      </c>
      <c r="BW1539">
        <v>0</v>
      </c>
      <c r="BX1539">
        <v>0</v>
      </c>
      <c r="BY1539" t="s">
        <v>135</v>
      </c>
      <c r="BZ1539">
        <v>0</v>
      </c>
      <c r="CA1539">
        <v>0</v>
      </c>
      <c r="CB1539" t="s">
        <v>135</v>
      </c>
      <c r="CH1539" s="2"/>
      <c r="CJ1539" s="2"/>
      <c r="CL1539" s="2"/>
      <c r="CN1539" s="2"/>
      <c r="CQ1539" s="2"/>
      <c r="CT1539" s="2"/>
      <c r="CW1539" s="2"/>
    </row>
    <row r="1540" spans="1:101" x14ac:dyDescent="0.25">
      <c r="A1540" s="1" t="s">
        <v>163</v>
      </c>
      <c r="B1540" s="75" t="s">
        <v>164</v>
      </c>
      <c r="C1540">
        <v>0</v>
      </c>
      <c r="D1540">
        <v>0</v>
      </c>
      <c r="E1540">
        <v>0</v>
      </c>
      <c r="F1540">
        <v>604324.56000000006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3.91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7490</v>
      </c>
      <c r="AW1540">
        <v>3350</v>
      </c>
      <c r="AX1540">
        <v>1219</v>
      </c>
      <c r="AY1540">
        <v>12059</v>
      </c>
      <c r="AZ1540">
        <v>4202</v>
      </c>
      <c r="BA1540">
        <v>7438</v>
      </c>
      <c r="BB1540">
        <v>1432</v>
      </c>
      <c r="BC1540">
        <v>13072</v>
      </c>
      <c r="BD1540">
        <v>9486</v>
      </c>
      <c r="BE1540">
        <v>9222</v>
      </c>
      <c r="BF1540">
        <v>1768</v>
      </c>
      <c r="BG1540">
        <v>20476</v>
      </c>
      <c r="BH1540">
        <v>0</v>
      </c>
      <c r="BI1540">
        <v>0</v>
      </c>
      <c r="BJ1540">
        <v>0</v>
      </c>
      <c r="BK1540">
        <v>0</v>
      </c>
      <c r="BL1540" s="2">
        <v>24.82</v>
      </c>
      <c r="BM1540" s="2">
        <v>42005.095138888886</v>
      </c>
      <c r="BN1540" s="2">
        <v>5.4</v>
      </c>
      <c r="BO1540" s="2">
        <v>42005.092361111114</v>
      </c>
      <c r="BP1540" s="2">
        <v>6.92</v>
      </c>
      <c r="BQ1540" s="2">
        <v>42005.092361111114</v>
      </c>
      <c r="BR1540" s="2">
        <v>11.07</v>
      </c>
      <c r="BS1540" s="2">
        <v>42005.092361111114</v>
      </c>
      <c r="BT1540">
        <v>0</v>
      </c>
      <c r="BU1540">
        <v>0</v>
      </c>
      <c r="BV1540" t="s">
        <v>135</v>
      </c>
      <c r="BW1540">
        <v>0</v>
      </c>
      <c r="BX1540">
        <v>0</v>
      </c>
      <c r="BY1540" t="s">
        <v>135</v>
      </c>
      <c r="BZ1540">
        <v>0</v>
      </c>
      <c r="CA1540">
        <v>0</v>
      </c>
      <c r="CB1540" t="s">
        <v>135</v>
      </c>
      <c r="CH1540" s="2"/>
      <c r="CJ1540" s="2"/>
      <c r="CL1540" s="2"/>
      <c r="CN1540" s="2"/>
      <c r="CQ1540" s="2"/>
      <c r="CT1540" s="2"/>
      <c r="CW1540" s="2"/>
    </row>
    <row r="1541" spans="1:101" x14ac:dyDescent="0.25">
      <c r="A1541" s="1" t="s">
        <v>163</v>
      </c>
      <c r="B1541" s="75" t="s">
        <v>164</v>
      </c>
      <c r="C1541">
        <v>0</v>
      </c>
      <c r="D1541">
        <v>0</v>
      </c>
      <c r="E1541">
        <v>0</v>
      </c>
      <c r="F1541">
        <v>604324.56000000006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3.91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7490</v>
      </c>
      <c r="AW1541">
        <v>3350</v>
      </c>
      <c r="AX1541">
        <v>1219</v>
      </c>
      <c r="AY1541">
        <v>12059</v>
      </c>
      <c r="AZ1541">
        <v>4202</v>
      </c>
      <c r="BA1541">
        <v>7438</v>
      </c>
      <c r="BB1541">
        <v>1432</v>
      </c>
      <c r="BC1541">
        <v>13072</v>
      </c>
      <c r="BD1541">
        <v>9486</v>
      </c>
      <c r="BE1541">
        <v>9222</v>
      </c>
      <c r="BF1541">
        <v>1768</v>
      </c>
      <c r="BG1541">
        <v>20476</v>
      </c>
      <c r="BH1541">
        <v>0</v>
      </c>
      <c r="BI1541">
        <v>0</v>
      </c>
      <c r="BJ1541">
        <v>0</v>
      </c>
      <c r="BK1541">
        <v>0</v>
      </c>
      <c r="BL1541" s="2">
        <v>24.82</v>
      </c>
      <c r="BM1541" s="2">
        <v>42005.095138888886</v>
      </c>
      <c r="BN1541" s="2">
        <v>5.4</v>
      </c>
      <c r="BO1541" s="2">
        <v>42005.092361111114</v>
      </c>
      <c r="BP1541" s="2">
        <v>6.92</v>
      </c>
      <c r="BQ1541" s="2">
        <v>42005.092361111114</v>
      </c>
      <c r="BR1541" s="2">
        <v>11.07</v>
      </c>
      <c r="BS1541" s="2">
        <v>42005.092361111114</v>
      </c>
      <c r="BT1541">
        <v>0</v>
      </c>
      <c r="BU1541">
        <v>0</v>
      </c>
      <c r="BV1541" t="s">
        <v>135</v>
      </c>
      <c r="BW1541">
        <v>0</v>
      </c>
      <c r="BX1541">
        <v>0</v>
      </c>
      <c r="BY1541" t="s">
        <v>135</v>
      </c>
      <c r="BZ1541">
        <v>0</v>
      </c>
      <c r="CA1541">
        <v>0</v>
      </c>
      <c r="CB1541" t="s">
        <v>135</v>
      </c>
      <c r="CH1541" s="2"/>
      <c r="CJ1541" s="2"/>
      <c r="CL1541" s="2"/>
      <c r="CN1541" s="2"/>
      <c r="CQ1541" s="2"/>
      <c r="CT1541" s="2"/>
      <c r="CW1541" s="2"/>
    </row>
    <row r="1542" spans="1:101" x14ac:dyDescent="0.25">
      <c r="A1542" s="1" t="s">
        <v>163</v>
      </c>
      <c r="B1542" s="75" t="s">
        <v>164</v>
      </c>
      <c r="C1542">
        <v>0</v>
      </c>
      <c r="D1542">
        <v>0</v>
      </c>
      <c r="E1542">
        <v>0</v>
      </c>
      <c r="F1542">
        <v>604324.56000000006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3.91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7490</v>
      </c>
      <c r="AW1542">
        <v>3350</v>
      </c>
      <c r="AX1542">
        <v>1219</v>
      </c>
      <c r="AY1542">
        <v>12059</v>
      </c>
      <c r="AZ1542">
        <v>4202</v>
      </c>
      <c r="BA1542">
        <v>7438</v>
      </c>
      <c r="BB1542">
        <v>1432</v>
      </c>
      <c r="BC1542">
        <v>13072</v>
      </c>
      <c r="BD1542">
        <v>9486</v>
      </c>
      <c r="BE1542">
        <v>9222</v>
      </c>
      <c r="BF1542">
        <v>1768</v>
      </c>
      <c r="BG1542">
        <v>20476</v>
      </c>
      <c r="BH1542">
        <v>0</v>
      </c>
      <c r="BI1542">
        <v>0</v>
      </c>
      <c r="BJ1542">
        <v>0</v>
      </c>
      <c r="BK1542">
        <v>0</v>
      </c>
      <c r="BL1542" s="2">
        <v>24.82</v>
      </c>
      <c r="BM1542" s="2">
        <v>42005.095138888886</v>
      </c>
      <c r="BN1542" s="2">
        <v>5.4</v>
      </c>
      <c r="BO1542" s="2">
        <v>42005.092361111114</v>
      </c>
      <c r="BP1542" s="2">
        <v>6.92</v>
      </c>
      <c r="BQ1542" s="2">
        <v>42005.092361111114</v>
      </c>
      <c r="BR1542" s="2">
        <v>11.07</v>
      </c>
      <c r="BS1542" s="2">
        <v>42005.092361111114</v>
      </c>
      <c r="BT1542">
        <v>0</v>
      </c>
      <c r="BU1542">
        <v>0</v>
      </c>
      <c r="BV1542" t="s">
        <v>135</v>
      </c>
      <c r="BW1542">
        <v>0</v>
      </c>
      <c r="BX1542">
        <v>0</v>
      </c>
      <c r="BY1542" t="s">
        <v>135</v>
      </c>
      <c r="BZ1542">
        <v>0</v>
      </c>
      <c r="CA1542">
        <v>0</v>
      </c>
      <c r="CB1542" t="s">
        <v>135</v>
      </c>
      <c r="CH1542" s="2"/>
      <c r="CJ1542" s="2"/>
      <c r="CL1542" s="2"/>
      <c r="CN1542" s="2"/>
      <c r="CQ1542" s="2"/>
      <c r="CT1542" s="2"/>
      <c r="CW1542" s="2"/>
    </row>
    <row r="1543" spans="1:101" x14ac:dyDescent="0.25">
      <c r="A1543" s="1" t="s">
        <v>163</v>
      </c>
      <c r="B1543" s="75" t="s">
        <v>164</v>
      </c>
      <c r="C1543">
        <v>0</v>
      </c>
      <c r="D1543">
        <v>0</v>
      </c>
      <c r="E1543">
        <v>0</v>
      </c>
      <c r="F1543">
        <v>604324.56000000006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3.91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7490</v>
      </c>
      <c r="AW1543">
        <v>3350</v>
      </c>
      <c r="AX1543">
        <v>1219</v>
      </c>
      <c r="AY1543">
        <v>12059</v>
      </c>
      <c r="AZ1543">
        <v>4202</v>
      </c>
      <c r="BA1543">
        <v>7438</v>
      </c>
      <c r="BB1543">
        <v>1432</v>
      </c>
      <c r="BC1543">
        <v>13072</v>
      </c>
      <c r="BD1543">
        <v>9486</v>
      </c>
      <c r="BE1543">
        <v>9222</v>
      </c>
      <c r="BF1543">
        <v>1768</v>
      </c>
      <c r="BG1543">
        <v>20476</v>
      </c>
      <c r="BH1543">
        <v>0</v>
      </c>
      <c r="BI1543">
        <v>0</v>
      </c>
      <c r="BJ1543">
        <v>0</v>
      </c>
      <c r="BK1543">
        <v>0</v>
      </c>
      <c r="BL1543" s="2">
        <v>24.82</v>
      </c>
      <c r="BM1543" s="2">
        <v>42005.095138888886</v>
      </c>
      <c r="BN1543" s="2">
        <v>5.4</v>
      </c>
      <c r="BO1543" s="2">
        <v>42005.092361111114</v>
      </c>
      <c r="BP1543" s="2">
        <v>6.92</v>
      </c>
      <c r="BQ1543" s="2">
        <v>42005.092361111114</v>
      </c>
      <c r="BR1543" s="2">
        <v>11.07</v>
      </c>
      <c r="BS1543" s="2">
        <v>42005.092361111114</v>
      </c>
      <c r="BT1543">
        <v>0</v>
      </c>
      <c r="BU1543">
        <v>0</v>
      </c>
      <c r="BV1543" t="s">
        <v>135</v>
      </c>
      <c r="BW1543">
        <v>0</v>
      </c>
      <c r="BX1543">
        <v>0</v>
      </c>
      <c r="BY1543" t="s">
        <v>135</v>
      </c>
      <c r="BZ1543">
        <v>0</v>
      </c>
      <c r="CA1543">
        <v>0</v>
      </c>
      <c r="CB1543" t="s">
        <v>135</v>
      </c>
      <c r="CH1543" s="2"/>
      <c r="CJ1543" s="2"/>
      <c r="CL1543" s="2"/>
      <c r="CN1543" s="2"/>
      <c r="CQ1543" s="2"/>
      <c r="CT1543" s="2"/>
      <c r="CW1543" s="2"/>
    </row>
    <row r="1544" spans="1:101" x14ac:dyDescent="0.25">
      <c r="A1544" s="1" t="s">
        <v>163</v>
      </c>
      <c r="B1544" s="75" t="s">
        <v>164</v>
      </c>
      <c r="C1544">
        <v>0</v>
      </c>
      <c r="D1544">
        <v>0</v>
      </c>
      <c r="E1544">
        <v>0</v>
      </c>
      <c r="F1544">
        <v>604324.56000000006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3.91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7490</v>
      </c>
      <c r="AW1544">
        <v>3350</v>
      </c>
      <c r="AX1544">
        <v>1219</v>
      </c>
      <c r="AY1544">
        <v>12059</v>
      </c>
      <c r="AZ1544">
        <v>4202</v>
      </c>
      <c r="BA1544">
        <v>7438</v>
      </c>
      <c r="BB1544">
        <v>1432</v>
      </c>
      <c r="BC1544">
        <v>13072</v>
      </c>
      <c r="BD1544">
        <v>9486</v>
      </c>
      <c r="BE1544">
        <v>9222</v>
      </c>
      <c r="BF1544">
        <v>1768</v>
      </c>
      <c r="BG1544">
        <v>20476</v>
      </c>
      <c r="BH1544">
        <v>0</v>
      </c>
      <c r="BI1544">
        <v>0</v>
      </c>
      <c r="BJ1544">
        <v>0</v>
      </c>
      <c r="BK1544">
        <v>0</v>
      </c>
      <c r="BL1544" s="2">
        <v>24.82</v>
      </c>
      <c r="BM1544" s="2">
        <v>42005.095138888886</v>
      </c>
      <c r="BN1544" s="2">
        <v>5.4</v>
      </c>
      <c r="BO1544" s="2">
        <v>42005.092361111114</v>
      </c>
      <c r="BP1544" s="2">
        <v>6.92</v>
      </c>
      <c r="BQ1544" s="2">
        <v>42005.092361111114</v>
      </c>
      <c r="BR1544" s="2">
        <v>11.07</v>
      </c>
      <c r="BS1544" s="2">
        <v>42005.092361111114</v>
      </c>
      <c r="BT1544">
        <v>0</v>
      </c>
      <c r="BU1544">
        <v>0</v>
      </c>
      <c r="BV1544" t="s">
        <v>135</v>
      </c>
      <c r="BW1544">
        <v>0</v>
      </c>
      <c r="BX1544">
        <v>0</v>
      </c>
      <c r="BY1544" t="s">
        <v>135</v>
      </c>
      <c r="BZ1544">
        <v>0</v>
      </c>
      <c r="CA1544">
        <v>0</v>
      </c>
      <c r="CB1544" t="s">
        <v>135</v>
      </c>
      <c r="CH1544" s="2"/>
      <c r="CJ1544" s="2"/>
      <c r="CL1544" s="2"/>
      <c r="CN1544" s="2"/>
      <c r="CQ1544" s="2"/>
      <c r="CT1544" s="2"/>
      <c r="CW1544" s="2"/>
    </row>
    <row r="1545" spans="1:101" x14ac:dyDescent="0.25">
      <c r="A1545" s="1" t="s">
        <v>163</v>
      </c>
      <c r="B1545" s="75" t="s">
        <v>164</v>
      </c>
      <c r="C1545">
        <v>0</v>
      </c>
      <c r="D1545">
        <v>0</v>
      </c>
      <c r="E1545">
        <v>0</v>
      </c>
      <c r="F1545">
        <v>604324.56000000006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3.91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7490</v>
      </c>
      <c r="AW1545">
        <v>3350</v>
      </c>
      <c r="AX1545">
        <v>1219</v>
      </c>
      <c r="AY1545">
        <v>12059</v>
      </c>
      <c r="AZ1545">
        <v>4202</v>
      </c>
      <c r="BA1545">
        <v>7438</v>
      </c>
      <c r="BB1545">
        <v>1432</v>
      </c>
      <c r="BC1545">
        <v>13072</v>
      </c>
      <c r="BD1545">
        <v>9486</v>
      </c>
      <c r="BE1545">
        <v>9222</v>
      </c>
      <c r="BF1545">
        <v>1768</v>
      </c>
      <c r="BG1545">
        <v>20476</v>
      </c>
      <c r="BH1545">
        <v>0</v>
      </c>
      <c r="BI1545">
        <v>0</v>
      </c>
      <c r="BJ1545">
        <v>0</v>
      </c>
      <c r="BK1545">
        <v>0</v>
      </c>
      <c r="BL1545" s="2">
        <v>24.82</v>
      </c>
      <c r="BM1545" s="2">
        <v>42005.095138888886</v>
      </c>
      <c r="BN1545" s="2">
        <v>5.4</v>
      </c>
      <c r="BO1545" s="2">
        <v>42005.092361111114</v>
      </c>
      <c r="BP1545" s="2">
        <v>6.92</v>
      </c>
      <c r="BQ1545" s="2">
        <v>42005.092361111114</v>
      </c>
      <c r="BR1545" s="2">
        <v>11.07</v>
      </c>
      <c r="BS1545" s="2">
        <v>42005.092361111114</v>
      </c>
      <c r="BT1545">
        <v>0</v>
      </c>
      <c r="BU1545">
        <v>0</v>
      </c>
      <c r="BV1545" t="s">
        <v>135</v>
      </c>
      <c r="BW1545">
        <v>0</v>
      </c>
      <c r="BX1545">
        <v>0</v>
      </c>
      <c r="BY1545" t="s">
        <v>135</v>
      </c>
      <c r="BZ1545">
        <v>0</v>
      </c>
      <c r="CA1545">
        <v>0</v>
      </c>
      <c r="CB1545" t="s">
        <v>135</v>
      </c>
      <c r="CH1545" s="2"/>
      <c r="CJ1545" s="2"/>
      <c r="CL1545" s="2"/>
      <c r="CN1545" s="2"/>
      <c r="CQ1545" s="2"/>
      <c r="CT1545" s="2"/>
      <c r="CW1545" s="2"/>
    </row>
    <row r="1546" spans="1:101" x14ac:dyDescent="0.25">
      <c r="A1546" s="1" t="s">
        <v>163</v>
      </c>
      <c r="B1546" s="75" t="s">
        <v>164</v>
      </c>
      <c r="C1546">
        <v>0</v>
      </c>
      <c r="D1546">
        <v>0</v>
      </c>
      <c r="E1546">
        <v>0</v>
      </c>
      <c r="F1546">
        <v>604324.56000000006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3.91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7490</v>
      </c>
      <c r="AW1546">
        <v>3350</v>
      </c>
      <c r="AX1546">
        <v>1219</v>
      </c>
      <c r="AY1546">
        <v>12059</v>
      </c>
      <c r="AZ1546">
        <v>4202</v>
      </c>
      <c r="BA1546">
        <v>7438</v>
      </c>
      <c r="BB1546">
        <v>1432</v>
      </c>
      <c r="BC1546">
        <v>13072</v>
      </c>
      <c r="BD1546">
        <v>9486</v>
      </c>
      <c r="BE1546">
        <v>9222</v>
      </c>
      <c r="BF1546">
        <v>1768</v>
      </c>
      <c r="BG1546">
        <v>20476</v>
      </c>
      <c r="BH1546">
        <v>0</v>
      </c>
      <c r="BI1546">
        <v>0</v>
      </c>
      <c r="BJ1546">
        <v>0</v>
      </c>
      <c r="BK1546">
        <v>0</v>
      </c>
      <c r="BL1546" s="2">
        <v>24.82</v>
      </c>
      <c r="BM1546" s="2">
        <v>42005.095138888886</v>
      </c>
      <c r="BN1546" s="2">
        <v>5.4</v>
      </c>
      <c r="BO1546" s="2">
        <v>42005.092361111114</v>
      </c>
      <c r="BP1546" s="2">
        <v>6.92</v>
      </c>
      <c r="BQ1546" s="2">
        <v>42005.092361111114</v>
      </c>
      <c r="BR1546" s="2">
        <v>11.07</v>
      </c>
      <c r="BS1546" s="2">
        <v>42005.092361111114</v>
      </c>
      <c r="BT1546">
        <v>0</v>
      </c>
      <c r="BU1546">
        <v>0</v>
      </c>
      <c r="BV1546" t="s">
        <v>135</v>
      </c>
      <c r="BW1546">
        <v>0</v>
      </c>
      <c r="BX1546">
        <v>0</v>
      </c>
      <c r="BY1546" t="s">
        <v>135</v>
      </c>
      <c r="BZ1546">
        <v>0</v>
      </c>
      <c r="CA1546">
        <v>0</v>
      </c>
      <c r="CB1546" t="s">
        <v>135</v>
      </c>
      <c r="CH1546" s="2"/>
      <c r="CJ1546" s="2"/>
      <c r="CL1546" s="2"/>
      <c r="CN1546" s="2"/>
      <c r="CQ1546" s="2"/>
      <c r="CT1546" s="2"/>
      <c r="CW1546" s="2"/>
    </row>
    <row r="1547" spans="1:101" x14ac:dyDescent="0.25">
      <c r="A1547" s="1" t="s">
        <v>163</v>
      </c>
      <c r="B1547" s="75" t="s">
        <v>164</v>
      </c>
      <c r="C1547">
        <v>0</v>
      </c>
      <c r="D1547">
        <v>0</v>
      </c>
      <c r="E1547">
        <v>0</v>
      </c>
      <c r="F1547">
        <v>604324.56000000006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3.91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7490</v>
      </c>
      <c r="AW1547">
        <v>3350</v>
      </c>
      <c r="AX1547">
        <v>1219</v>
      </c>
      <c r="AY1547">
        <v>12059</v>
      </c>
      <c r="AZ1547">
        <v>4202</v>
      </c>
      <c r="BA1547">
        <v>7438</v>
      </c>
      <c r="BB1547">
        <v>1432</v>
      </c>
      <c r="BC1547">
        <v>13072</v>
      </c>
      <c r="BD1547">
        <v>9486</v>
      </c>
      <c r="BE1547">
        <v>9222</v>
      </c>
      <c r="BF1547">
        <v>1768</v>
      </c>
      <c r="BG1547">
        <v>20476</v>
      </c>
      <c r="BH1547">
        <v>0</v>
      </c>
      <c r="BI1547">
        <v>0</v>
      </c>
      <c r="BJ1547">
        <v>0</v>
      </c>
      <c r="BK1547">
        <v>0</v>
      </c>
      <c r="BL1547" s="2">
        <v>24.82</v>
      </c>
      <c r="BM1547" s="2">
        <v>42005.095138888886</v>
      </c>
      <c r="BN1547" s="2">
        <v>5.4</v>
      </c>
      <c r="BO1547" s="2">
        <v>42005.092361111114</v>
      </c>
      <c r="BP1547" s="2">
        <v>6.92</v>
      </c>
      <c r="BQ1547" s="2">
        <v>42005.092361111114</v>
      </c>
      <c r="BR1547" s="2">
        <v>11.07</v>
      </c>
      <c r="BS1547" s="2">
        <v>42005.092361111114</v>
      </c>
      <c r="BT1547">
        <v>0</v>
      </c>
      <c r="BU1547">
        <v>0</v>
      </c>
      <c r="BV1547" t="s">
        <v>135</v>
      </c>
      <c r="BW1547">
        <v>0</v>
      </c>
      <c r="BX1547">
        <v>0</v>
      </c>
      <c r="BY1547" t="s">
        <v>135</v>
      </c>
      <c r="BZ1547">
        <v>0</v>
      </c>
      <c r="CA1547">
        <v>0</v>
      </c>
      <c r="CB1547" t="s">
        <v>135</v>
      </c>
      <c r="CH1547" s="2"/>
      <c r="CJ1547" s="2"/>
      <c r="CL1547" s="2"/>
      <c r="CN1547" s="2"/>
      <c r="CQ1547" s="2"/>
      <c r="CT1547" s="2"/>
      <c r="CW1547" s="2"/>
    </row>
    <row r="1548" spans="1:101" x14ac:dyDescent="0.25">
      <c r="A1548" s="1" t="s">
        <v>163</v>
      </c>
      <c r="B1548" s="75" t="s">
        <v>164</v>
      </c>
      <c r="C1548">
        <v>0</v>
      </c>
      <c r="D1548">
        <v>0</v>
      </c>
      <c r="E1548">
        <v>0</v>
      </c>
      <c r="F1548">
        <v>604324.56000000006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3.91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7490</v>
      </c>
      <c r="AW1548">
        <v>3350</v>
      </c>
      <c r="AX1548">
        <v>1219</v>
      </c>
      <c r="AY1548">
        <v>12059</v>
      </c>
      <c r="AZ1548">
        <v>4202</v>
      </c>
      <c r="BA1548">
        <v>7438</v>
      </c>
      <c r="BB1548">
        <v>1432</v>
      </c>
      <c r="BC1548">
        <v>13072</v>
      </c>
      <c r="BD1548">
        <v>9486</v>
      </c>
      <c r="BE1548">
        <v>9222</v>
      </c>
      <c r="BF1548">
        <v>1768</v>
      </c>
      <c r="BG1548">
        <v>20476</v>
      </c>
      <c r="BH1548">
        <v>0</v>
      </c>
      <c r="BI1548">
        <v>0</v>
      </c>
      <c r="BJ1548">
        <v>0</v>
      </c>
      <c r="BK1548">
        <v>0</v>
      </c>
      <c r="BL1548" s="2">
        <v>24.82</v>
      </c>
      <c r="BM1548" s="2">
        <v>42005.095138888886</v>
      </c>
      <c r="BN1548" s="2">
        <v>5.4</v>
      </c>
      <c r="BO1548" s="2">
        <v>42005.092361111114</v>
      </c>
      <c r="BP1548" s="2">
        <v>6.92</v>
      </c>
      <c r="BQ1548" s="2">
        <v>42005.092361111114</v>
      </c>
      <c r="BR1548" s="2">
        <v>11.07</v>
      </c>
      <c r="BS1548" s="2">
        <v>42005.092361111114</v>
      </c>
      <c r="BT1548">
        <v>0</v>
      </c>
      <c r="BU1548">
        <v>0</v>
      </c>
      <c r="BV1548" t="s">
        <v>135</v>
      </c>
      <c r="BW1548">
        <v>0</v>
      </c>
      <c r="BX1548">
        <v>0</v>
      </c>
      <c r="BY1548" t="s">
        <v>135</v>
      </c>
      <c r="BZ1548">
        <v>0</v>
      </c>
      <c r="CA1548">
        <v>0</v>
      </c>
      <c r="CB1548" t="s">
        <v>135</v>
      </c>
      <c r="CH1548" s="2"/>
      <c r="CJ1548" s="2"/>
      <c r="CL1548" s="2"/>
      <c r="CN1548" s="2"/>
      <c r="CQ1548" s="2"/>
      <c r="CT1548" s="2"/>
      <c r="CW1548" s="2"/>
    </row>
    <row r="1549" spans="1:101" x14ac:dyDescent="0.25">
      <c r="A1549" s="1" t="s">
        <v>163</v>
      </c>
      <c r="B1549" s="75" t="s">
        <v>164</v>
      </c>
      <c r="C1549">
        <v>0</v>
      </c>
      <c r="D1549">
        <v>0</v>
      </c>
      <c r="E1549">
        <v>0</v>
      </c>
      <c r="F1549">
        <v>604324.56000000006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3.91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7490</v>
      </c>
      <c r="AW1549">
        <v>3350</v>
      </c>
      <c r="AX1549">
        <v>1219</v>
      </c>
      <c r="AY1549">
        <v>12059</v>
      </c>
      <c r="AZ1549">
        <v>4202</v>
      </c>
      <c r="BA1549">
        <v>7438</v>
      </c>
      <c r="BB1549">
        <v>1432</v>
      </c>
      <c r="BC1549">
        <v>13072</v>
      </c>
      <c r="BD1549">
        <v>9486</v>
      </c>
      <c r="BE1549">
        <v>9222</v>
      </c>
      <c r="BF1549">
        <v>1768</v>
      </c>
      <c r="BG1549">
        <v>20476</v>
      </c>
      <c r="BH1549">
        <v>0</v>
      </c>
      <c r="BI1549">
        <v>0</v>
      </c>
      <c r="BJ1549">
        <v>0</v>
      </c>
      <c r="BK1549">
        <v>0</v>
      </c>
      <c r="BL1549" s="2">
        <v>24.82</v>
      </c>
      <c r="BM1549" s="2">
        <v>42005.095138888886</v>
      </c>
      <c r="BN1549" s="2">
        <v>5.4</v>
      </c>
      <c r="BO1549" s="2">
        <v>42005.092361111114</v>
      </c>
      <c r="BP1549" s="2">
        <v>6.92</v>
      </c>
      <c r="BQ1549" s="2">
        <v>42005.092361111114</v>
      </c>
      <c r="BR1549" s="2">
        <v>11.07</v>
      </c>
      <c r="BS1549" s="2">
        <v>42005.092361111114</v>
      </c>
      <c r="BT1549">
        <v>0</v>
      </c>
      <c r="BU1549">
        <v>0</v>
      </c>
      <c r="BV1549" t="s">
        <v>135</v>
      </c>
      <c r="BW1549">
        <v>0</v>
      </c>
      <c r="BX1549">
        <v>0</v>
      </c>
      <c r="BY1549" t="s">
        <v>135</v>
      </c>
      <c r="BZ1549">
        <v>0</v>
      </c>
      <c r="CA1549">
        <v>0</v>
      </c>
      <c r="CB1549" t="s">
        <v>135</v>
      </c>
      <c r="CH1549" s="2"/>
      <c r="CJ1549" s="2"/>
      <c r="CL1549" s="2"/>
      <c r="CN1549" s="2"/>
      <c r="CQ1549" s="2"/>
      <c r="CT1549" s="2"/>
      <c r="CW1549" s="2"/>
    </row>
    <row r="1550" spans="1:101" x14ac:dyDescent="0.25">
      <c r="A1550" s="1" t="s">
        <v>163</v>
      </c>
      <c r="B1550" s="75" t="s">
        <v>164</v>
      </c>
      <c r="C1550">
        <v>0</v>
      </c>
      <c r="D1550">
        <v>0</v>
      </c>
      <c r="E1550">
        <v>0</v>
      </c>
      <c r="F1550">
        <v>604324.56000000006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3.91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7490</v>
      </c>
      <c r="AW1550">
        <v>3350</v>
      </c>
      <c r="AX1550">
        <v>1219</v>
      </c>
      <c r="AY1550">
        <v>12059</v>
      </c>
      <c r="AZ1550">
        <v>4202</v>
      </c>
      <c r="BA1550">
        <v>7438</v>
      </c>
      <c r="BB1550">
        <v>1432</v>
      </c>
      <c r="BC1550">
        <v>13072</v>
      </c>
      <c r="BD1550">
        <v>9486</v>
      </c>
      <c r="BE1550">
        <v>9222</v>
      </c>
      <c r="BF1550">
        <v>1768</v>
      </c>
      <c r="BG1550">
        <v>20476</v>
      </c>
      <c r="BH1550">
        <v>0</v>
      </c>
      <c r="BI1550">
        <v>0</v>
      </c>
      <c r="BJ1550">
        <v>0</v>
      </c>
      <c r="BK1550">
        <v>0</v>
      </c>
      <c r="BL1550" s="2">
        <v>24.82</v>
      </c>
      <c r="BM1550" s="2">
        <v>42005.095138888886</v>
      </c>
      <c r="BN1550" s="2">
        <v>5.4</v>
      </c>
      <c r="BO1550" s="2">
        <v>42005.092361111114</v>
      </c>
      <c r="BP1550" s="2">
        <v>6.92</v>
      </c>
      <c r="BQ1550" s="2">
        <v>42005.092361111114</v>
      </c>
      <c r="BR1550" s="2">
        <v>11.07</v>
      </c>
      <c r="BS1550" s="2">
        <v>42005.092361111114</v>
      </c>
      <c r="BT1550">
        <v>0</v>
      </c>
      <c r="BU1550">
        <v>0</v>
      </c>
      <c r="BV1550" t="s">
        <v>135</v>
      </c>
      <c r="BW1550">
        <v>0</v>
      </c>
      <c r="BX1550">
        <v>0</v>
      </c>
      <c r="BY1550" t="s">
        <v>135</v>
      </c>
      <c r="BZ1550">
        <v>0</v>
      </c>
      <c r="CA1550">
        <v>0</v>
      </c>
      <c r="CB1550" t="s">
        <v>135</v>
      </c>
      <c r="CH1550" s="2"/>
      <c r="CJ1550" s="2"/>
      <c r="CL1550" s="2"/>
      <c r="CN1550" s="2"/>
      <c r="CQ1550" s="2"/>
      <c r="CT1550" s="2"/>
      <c r="CW1550" s="2"/>
    </row>
    <row r="1551" spans="1:101" x14ac:dyDescent="0.25">
      <c r="A1551" s="1" t="s">
        <v>163</v>
      </c>
      <c r="B1551" s="75" t="s">
        <v>164</v>
      </c>
      <c r="C1551">
        <v>0</v>
      </c>
      <c r="D1551">
        <v>0</v>
      </c>
      <c r="E1551">
        <v>0</v>
      </c>
      <c r="F1551">
        <v>604324.56000000006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3.91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7490</v>
      </c>
      <c r="AW1551">
        <v>3350</v>
      </c>
      <c r="AX1551">
        <v>1219</v>
      </c>
      <c r="AY1551">
        <v>12059</v>
      </c>
      <c r="AZ1551">
        <v>4202</v>
      </c>
      <c r="BA1551">
        <v>7438</v>
      </c>
      <c r="BB1551">
        <v>1432</v>
      </c>
      <c r="BC1551">
        <v>13072</v>
      </c>
      <c r="BD1551">
        <v>9486</v>
      </c>
      <c r="BE1551">
        <v>9222</v>
      </c>
      <c r="BF1551">
        <v>1768</v>
      </c>
      <c r="BG1551">
        <v>20476</v>
      </c>
      <c r="BH1551">
        <v>0</v>
      </c>
      <c r="BI1551">
        <v>0</v>
      </c>
      <c r="BJ1551">
        <v>0</v>
      </c>
      <c r="BK1551">
        <v>0</v>
      </c>
      <c r="BL1551" s="2">
        <v>24.82</v>
      </c>
      <c r="BM1551" s="2">
        <v>42005.095138888886</v>
      </c>
      <c r="BN1551" s="2">
        <v>5.4</v>
      </c>
      <c r="BO1551" s="2">
        <v>42005.092361111114</v>
      </c>
      <c r="BP1551" s="2">
        <v>6.92</v>
      </c>
      <c r="BQ1551" s="2">
        <v>42005.092361111114</v>
      </c>
      <c r="BR1551" s="2">
        <v>11.07</v>
      </c>
      <c r="BS1551" s="2">
        <v>42005.092361111114</v>
      </c>
      <c r="BT1551">
        <v>0</v>
      </c>
      <c r="BU1551">
        <v>0</v>
      </c>
      <c r="BV1551" t="s">
        <v>135</v>
      </c>
      <c r="BW1551">
        <v>0</v>
      </c>
      <c r="BX1551">
        <v>0</v>
      </c>
      <c r="BY1551" t="s">
        <v>135</v>
      </c>
      <c r="BZ1551">
        <v>0</v>
      </c>
      <c r="CA1551">
        <v>0</v>
      </c>
      <c r="CB1551" t="s">
        <v>135</v>
      </c>
      <c r="CH1551" s="2"/>
      <c r="CJ1551" s="2"/>
      <c r="CL1551" s="2"/>
      <c r="CN1551" s="2"/>
      <c r="CQ1551" s="2"/>
      <c r="CT1551" s="2"/>
      <c r="CW1551" s="2"/>
    </row>
    <row r="1552" spans="1:101" x14ac:dyDescent="0.25">
      <c r="A1552" s="1" t="s">
        <v>163</v>
      </c>
      <c r="B1552" s="75" t="s">
        <v>164</v>
      </c>
      <c r="C1552">
        <v>0</v>
      </c>
      <c r="D1552">
        <v>0</v>
      </c>
      <c r="E1552">
        <v>0</v>
      </c>
      <c r="F1552">
        <v>604324.56000000006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3.91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7490</v>
      </c>
      <c r="AW1552">
        <v>3350</v>
      </c>
      <c r="AX1552">
        <v>1219</v>
      </c>
      <c r="AY1552">
        <v>12059</v>
      </c>
      <c r="AZ1552">
        <v>4202</v>
      </c>
      <c r="BA1552">
        <v>7438</v>
      </c>
      <c r="BB1552">
        <v>1432</v>
      </c>
      <c r="BC1552">
        <v>13072</v>
      </c>
      <c r="BD1552">
        <v>9486</v>
      </c>
      <c r="BE1552">
        <v>9222</v>
      </c>
      <c r="BF1552">
        <v>1768</v>
      </c>
      <c r="BG1552">
        <v>20476</v>
      </c>
      <c r="BH1552">
        <v>0</v>
      </c>
      <c r="BI1552">
        <v>0</v>
      </c>
      <c r="BJ1552">
        <v>0</v>
      </c>
      <c r="BK1552">
        <v>0</v>
      </c>
      <c r="BL1552" s="2">
        <v>24.82</v>
      </c>
      <c r="BM1552" s="2">
        <v>42005.095138888886</v>
      </c>
      <c r="BN1552" s="2">
        <v>5.4</v>
      </c>
      <c r="BO1552" s="2">
        <v>42005.092361111114</v>
      </c>
      <c r="BP1552" s="2">
        <v>6.92</v>
      </c>
      <c r="BQ1552" s="2">
        <v>42005.092361111114</v>
      </c>
      <c r="BR1552" s="2">
        <v>11.07</v>
      </c>
      <c r="BS1552" s="2">
        <v>42005.092361111114</v>
      </c>
      <c r="BT1552">
        <v>0</v>
      </c>
      <c r="BU1552">
        <v>0</v>
      </c>
      <c r="BV1552" t="s">
        <v>135</v>
      </c>
      <c r="BW1552">
        <v>0</v>
      </c>
      <c r="BX1552">
        <v>0</v>
      </c>
      <c r="BY1552" t="s">
        <v>135</v>
      </c>
      <c r="BZ1552">
        <v>0</v>
      </c>
      <c r="CA1552">
        <v>0</v>
      </c>
      <c r="CB1552" t="s">
        <v>135</v>
      </c>
      <c r="CH1552" s="2"/>
      <c r="CJ1552" s="2"/>
      <c r="CL1552" s="2"/>
      <c r="CN1552" s="2"/>
      <c r="CQ1552" s="2"/>
      <c r="CT1552" s="2"/>
      <c r="CW1552" s="2"/>
    </row>
    <row r="1553" spans="1:101" x14ac:dyDescent="0.25">
      <c r="A1553" s="1" t="s">
        <v>163</v>
      </c>
      <c r="B1553" s="75" t="s">
        <v>164</v>
      </c>
      <c r="C1553">
        <v>0</v>
      </c>
      <c r="D1553">
        <v>0</v>
      </c>
      <c r="E1553">
        <v>0</v>
      </c>
      <c r="F1553">
        <v>604324.56000000006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3.91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7490</v>
      </c>
      <c r="AW1553">
        <v>3350</v>
      </c>
      <c r="AX1553">
        <v>1219</v>
      </c>
      <c r="AY1553">
        <v>12059</v>
      </c>
      <c r="AZ1553">
        <v>4202</v>
      </c>
      <c r="BA1553">
        <v>7438</v>
      </c>
      <c r="BB1553">
        <v>1432</v>
      </c>
      <c r="BC1553">
        <v>13072</v>
      </c>
      <c r="BD1553">
        <v>9486</v>
      </c>
      <c r="BE1553">
        <v>9222</v>
      </c>
      <c r="BF1553">
        <v>1768</v>
      </c>
      <c r="BG1553">
        <v>20476</v>
      </c>
      <c r="BH1553">
        <v>0</v>
      </c>
      <c r="BI1553">
        <v>0</v>
      </c>
      <c r="BJ1553">
        <v>0</v>
      </c>
      <c r="BK1553">
        <v>0</v>
      </c>
      <c r="BL1553" s="2">
        <v>24.82</v>
      </c>
      <c r="BM1553" s="2">
        <v>42005.095138888886</v>
      </c>
      <c r="BN1553" s="2">
        <v>5.4</v>
      </c>
      <c r="BO1553" s="2">
        <v>42005.092361111114</v>
      </c>
      <c r="BP1553" s="2">
        <v>6.92</v>
      </c>
      <c r="BQ1553" s="2">
        <v>42005.092361111114</v>
      </c>
      <c r="BR1553" s="2">
        <v>11.07</v>
      </c>
      <c r="BS1553" s="2">
        <v>42005.092361111114</v>
      </c>
      <c r="BT1553">
        <v>0</v>
      </c>
      <c r="BU1553">
        <v>0</v>
      </c>
      <c r="BV1553" t="s">
        <v>135</v>
      </c>
      <c r="BW1553">
        <v>0</v>
      </c>
      <c r="BX1553">
        <v>0</v>
      </c>
      <c r="BY1553" t="s">
        <v>135</v>
      </c>
      <c r="BZ1553">
        <v>0</v>
      </c>
      <c r="CA1553">
        <v>0</v>
      </c>
      <c r="CB1553" t="s">
        <v>135</v>
      </c>
      <c r="CH1553" s="2"/>
      <c r="CJ1553" s="2"/>
      <c r="CL1553" s="2"/>
      <c r="CN1553" s="2"/>
      <c r="CQ1553" s="2"/>
      <c r="CT1553" s="2"/>
      <c r="CW1553" s="2"/>
    </row>
    <row r="1554" spans="1:101" x14ac:dyDescent="0.25">
      <c r="A1554" s="1" t="s">
        <v>163</v>
      </c>
      <c r="B1554" s="75" t="s">
        <v>164</v>
      </c>
      <c r="C1554">
        <v>0</v>
      </c>
      <c r="D1554">
        <v>0</v>
      </c>
      <c r="E1554">
        <v>0</v>
      </c>
      <c r="F1554">
        <v>604324.56000000006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3.91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7490</v>
      </c>
      <c r="AW1554">
        <v>3350</v>
      </c>
      <c r="AX1554">
        <v>1219</v>
      </c>
      <c r="AY1554">
        <v>12059</v>
      </c>
      <c r="AZ1554">
        <v>4202</v>
      </c>
      <c r="BA1554">
        <v>7438</v>
      </c>
      <c r="BB1554">
        <v>1432</v>
      </c>
      <c r="BC1554">
        <v>13072</v>
      </c>
      <c r="BD1554">
        <v>9486</v>
      </c>
      <c r="BE1554">
        <v>9222</v>
      </c>
      <c r="BF1554">
        <v>1768</v>
      </c>
      <c r="BG1554">
        <v>20476</v>
      </c>
      <c r="BH1554">
        <v>0</v>
      </c>
      <c r="BI1554">
        <v>0</v>
      </c>
      <c r="BJ1554">
        <v>0</v>
      </c>
      <c r="BK1554">
        <v>0</v>
      </c>
      <c r="BL1554" s="2">
        <v>24.82</v>
      </c>
      <c r="BM1554" s="2">
        <v>42005.095138888886</v>
      </c>
      <c r="BN1554" s="2">
        <v>5.4</v>
      </c>
      <c r="BO1554" s="2">
        <v>42005.092361111114</v>
      </c>
      <c r="BP1554" s="2">
        <v>6.92</v>
      </c>
      <c r="BQ1554" s="2">
        <v>42005.092361111114</v>
      </c>
      <c r="BR1554" s="2">
        <v>11.07</v>
      </c>
      <c r="BS1554" s="2">
        <v>42005.092361111114</v>
      </c>
      <c r="BT1554">
        <v>0</v>
      </c>
      <c r="BU1554">
        <v>0</v>
      </c>
      <c r="BV1554" t="s">
        <v>135</v>
      </c>
      <c r="BW1554">
        <v>0</v>
      </c>
      <c r="BX1554">
        <v>0</v>
      </c>
      <c r="BY1554" t="s">
        <v>135</v>
      </c>
      <c r="BZ1554">
        <v>0</v>
      </c>
      <c r="CA1554">
        <v>0</v>
      </c>
      <c r="CB1554" t="s">
        <v>135</v>
      </c>
      <c r="CH1554" s="2"/>
      <c r="CJ1554" s="2"/>
      <c r="CL1554" s="2"/>
      <c r="CN1554" s="2"/>
      <c r="CQ1554" s="2"/>
      <c r="CT1554" s="2"/>
      <c r="CW1554" s="2"/>
    </row>
    <row r="1555" spans="1:101" x14ac:dyDescent="0.25">
      <c r="A1555" s="1" t="s">
        <v>163</v>
      </c>
      <c r="B1555" s="75" t="s">
        <v>164</v>
      </c>
      <c r="C1555">
        <v>0</v>
      </c>
      <c r="D1555">
        <v>0</v>
      </c>
      <c r="E1555">
        <v>0</v>
      </c>
      <c r="F1555">
        <v>604324.56000000006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3.91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7490</v>
      </c>
      <c r="AW1555">
        <v>3350</v>
      </c>
      <c r="AX1555">
        <v>1219</v>
      </c>
      <c r="AY1555">
        <v>12059</v>
      </c>
      <c r="AZ1555">
        <v>4202</v>
      </c>
      <c r="BA1555">
        <v>7438</v>
      </c>
      <c r="BB1555">
        <v>1432</v>
      </c>
      <c r="BC1555">
        <v>13072</v>
      </c>
      <c r="BD1555">
        <v>9486</v>
      </c>
      <c r="BE1555">
        <v>9222</v>
      </c>
      <c r="BF1555">
        <v>1768</v>
      </c>
      <c r="BG1555">
        <v>20476</v>
      </c>
      <c r="BH1555">
        <v>0</v>
      </c>
      <c r="BI1555">
        <v>0</v>
      </c>
      <c r="BJ1555">
        <v>0</v>
      </c>
      <c r="BK1555">
        <v>0</v>
      </c>
      <c r="BL1555" s="2">
        <v>24.82</v>
      </c>
      <c r="BM1555" s="2">
        <v>42005.095138888886</v>
      </c>
      <c r="BN1555" s="2">
        <v>5.4</v>
      </c>
      <c r="BO1555" s="2">
        <v>42005.092361111114</v>
      </c>
      <c r="BP1555" s="2">
        <v>6.92</v>
      </c>
      <c r="BQ1555" s="2">
        <v>42005.092361111114</v>
      </c>
      <c r="BR1555" s="2">
        <v>11.07</v>
      </c>
      <c r="BS1555" s="2">
        <v>42005.092361111114</v>
      </c>
      <c r="BT1555">
        <v>0</v>
      </c>
      <c r="BU1555">
        <v>0</v>
      </c>
      <c r="BV1555" t="s">
        <v>135</v>
      </c>
      <c r="BW1555">
        <v>0</v>
      </c>
      <c r="BX1555">
        <v>0</v>
      </c>
      <c r="BY1555" t="s">
        <v>135</v>
      </c>
      <c r="BZ1555">
        <v>0</v>
      </c>
      <c r="CA1555">
        <v>0</v>
      </c>
      <c r="CB1555" t="s">
        <v>135</v>
      </c>
      <c r="CH1555" s="2"/>
      <c r="CJ1555" s="2"/>
      <c r="CL1555" s="2"/>
      <c r="CN1555" s="2"/>
      <c r="CQ1555" s="2"/>
      <c r="CT1555" s="2"/>
      <c r="CW1555" s="2"/>
    </row>
    <row r="1556" spans="1:101" x14ac:dyDescent="0.25">
      <c r="A1556" s="1" t="s">
        <v>163</v>
      </c>
      <c r="B1556" s="75" t="s">
        <v>164</v>
      </c>
      <c r="C1556">
        <v>0</v>
      </c>
      <c r="D1556">
        <v>0</v>
      </c>
      <c r="E1556">
        <v>0</v>
      </c>
      <c r="F1556">
        <v>604324.56000000006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3.91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7490</v>
      </c>
      <c r="AW1556">
        <v>3350</v>
      </c>
      <c r="AX1556">
        <v>1219</v>
      </c>
      <c r="AY1556">
        <v>12059</v>
      </c>
      <c r="AZ1556">
        <v>4202</v>
      </c>
      <c r="BA1556">
        <v>7438</v>
      </c>
      <c r="BB1556">
        <v>1432</v>
      </c>
      <c r="BC1556">
        <v>13072</v>
      </c>
      <c r="BD1556">
        <v>9486</v>
      </c>
      <c r="BE1556">
        <v>9222</v>
      </c>
      <c r="BF1556">
        <v>1768</v>
      </c>
      <c r="BG1556">
        <v>20476</v>
      </c>
      <c r="BH1556">
        <v>0</v>
      </c>
      <c r="BI1556">
        <v>0</v>
      </c>
      <c r="BJ1556">
        <v>0</v>
      </c>
      <c r="BK1556">
        <v>0</v>
      </c>
      <c r="BL1556" s="2">
        <v>24.82</v>
      </c>
      <c r="BM1556" s="2">
        <v>42005.095138888886</v>
      </c>
      <c r="BN1556" s="2">
        <v>5.4</v>
      </c>
      <c r="BO1556" s="2">
        <v>42005.092361111114</v>
      </c>
      <c r="BP1556" s="2">
        <v>6.92</v>
      </c>
      <c r="BQ1556" s="2">
        <v>42005.092361111114</v>
      </c>
      <c r="BR1556" s="2">
        <v>11.07</v>
      </c>
      <c r="BS1556" s="2">
        <v>42005.092361111114</v>
      </c>
      <c r="BT1556">
        <v>0</v>
      </c>
      <c r="BU1556">
        <v>0</v>
      </c>
      <c r="BV1556" t="s">
        <v>135</v>
      </c>
      <c r="BW1556">
        <v>0</v>
      </c>
      <c r="BX1556">
        <v>0</v>
      </c>
      <c r="BY1556" t="s">
        <v>135</v>
      </c>
      <c r="BZ1556">
        <v>0</v>
      </c>
      <c r="CA1556">
        <v>0</v>
      </c>
      <c r="CB1556" t="s">
        <v>135</v>
      </c>
      <c r="CH1556" s="2"/>
      <c r="CJ1556" s="2"/>
      <c r="CL1556" s="2"/>
      <c r="CN1556" s="2"/>
      <c r="CQ1556" s="2"/>
      <c r="CT1556" s="2"/>
      <c r="CW1556" s="2"/>
    </row>
    <row r="1557" spans="1:101" x14ac:dyDescent="0.25">
      <c r="A1557" s="1" t="s">
        <v>163</v>
      </c>
      <c r="B1557" s="75" t="s">
        <v>164</v>
      </c>
      <c r="C1557">
        <v>0</v>
      </c>
      <c r="D1557">
        <v>0</v>
      </c>
      <c r="E1557">
        <v>0</v>
      </c>
      <c r="F1557">
        <v>604324.56000000006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3.91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7490</v>
      </c>
      <c r="AW1557">
        <v>3350</v>
      </c>
      <c r="AX1557">
        <v>1219</v>
      </c>
      <c r="AY1557">
        <v>12059</v>
      </c>
      <c r="AZ1557">
        <v>4202</v>
      </c>
      <c r="BA1557">
        <v>7438</v>
      </c>
      <c r="BB1557">
        <v>1432</v>
      </c>
      <c r="BC1557">
        <v>13072</v>
      </c>
      <c r="BD1557">
        <v>9486</v>
      </c>
      <c r="BE1557">
        <v>9222</v>
      </c>
      <c r="BF1557">
        <v>1768</v>
      </c>
      <c r="BG1557">
        <v>20476</v>
      </c>
      <c r="BH1557">
        <v>0</v>
      </c>
      <c r="BI1557">
        <v>0</v>
      </c>
      <c r="BJ1557">
        <v>0</v>
      </c>
      <c r="BK1557">
        <v>0</v>
      </c>
      <c r="BL1557" s="2">
        <v>24.82</v>
      </c>
      <c r="BM1557" s="2">
        <v>42005.095138888886</v>
      </c>
      <c r="BN1557" s="2">
        <v>5.4</v>
      </c>
      <c r="BO1557" s="2">
        <v>42005.092361111114</v>
      </c>
      <c r="BP1557" s="2">
        <v>6.92</v>
      </c>
      <c r="BQ1557" s="2">
        <v>42005.092361111114</v>
      </c>
      <c r="BR1557" s="2">
        <v>11.07</v>
      </c>
      <c r="BS1557" s="2">
        <v>42005.092361111114</v>
      </c>
      <c r="BT1557">
        <v>0</v>
      </c>
      <c r="BU1557">
        <v>0</v>
      </c>
      <c r="BV1557" t="s">
        <v>135</v>
      </c>
      <c r="BW1557">
        <v>0</v>
      </c>
      <c r="BX1557">
        <v>0</v>
      </c>
      <c r="BY1557" t="s">
        <v>135</v>
      </c>
      <c r="BZ1557">
        <v>0</v>
      </c>
      <c r="CA1557">
        <v>0</v>
      </c>
      <c r="CB1557" t="s">
        <v>135</v>
      </c>
      <c r="CH1557" s="2"/>
      <c r="CJ1557" s="2"/>
      <c r="CL1557" s="2"/>
      <c r="CN1557" s="2"/>
      <c r="CQ1557" s="2"/>
      <c r="CT1557" s="2"/>
      <c r="CW1557" s="2"/>
    </row>
    <row r="1558" spans="1:101" x14ac:dyDescent="0.25">
      <c r="A1558" s="1" t="s">
        <v>163</v>
      </c>
      <c r="B1558" s="75" t="s">
        <v>164</v>
      </c>
      <c r="C1558">
        <v>0</v>
      </c>
      <c r="D1558">
        <v>0</v>
      </c>
      <c r="E1558">
        <v>0</v>
      </c>
      <c r="F1558">
        <v>604324.56000000006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3.91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7490</v>
      </c>
      <c r="AW1558">
        <v>3350</v>
      </c>
      <c r="AX1558">
        <v>1219</v>
      </c>
      <c r="AY1558">
        <v>12059</v>
      </c>
      <c r="AZ1558">
        <v>4202</v>
      </c>
      <c r="BA1558">
        <v>7438</v>
      </c>
      <c r="BB1558">
        <v>1432</v>
      </c>
      <c r="BC1558">
        <v>13072</v>
      </c>
      <c r="BD1558">
        <v>9486</v>
      </c>
      <c r="BE1558">
        <v>9222</v>
      </c>
      <c r="BF1558">
        <v>1768</v>
      </c>
      <c r="BG1558">
        <v>20476</v>
      </c>
      <c r="BH1558">
        <v>0</v>
      </c>
      <c r="BI1558">
        <v>0</v>
      </c>
      <c r="BJ1558">
        <v>0</v>
      </c>
      <c r="BK1558">
        <v>0</v>
      </c>
      <c r="BL1558" s="2">
        <v>24.82</v>
      </c>
      <c r="BM1558" s="2">
        <v>42005.095138888886</v>
      </c>
      <c r="BN1558" s="2">
        <v>5.4</v>
      </c>
      <c r="BO1558" s="2">
        <v>42005.092361111114</v>
      </c>
      <c r="BP1558" s="2">
        <v>6.92</v>
      </c>
      <c r="BQ1558" s="2">
        <v>42005.092361111114</v>
      </c>
      <c r="BR1558" s="2">
        <v>11.07</v>
      </c>
      <c r="BS1558" s="2">
        <v>42005.092361111114</v>
      </c>
      <c r="BT1558">
        <v>0</v>
      </c>
      <c r="BU1558">
        <v>0</v>
      </c>
      <c r="BV1558" t="s">
        <v>135</v>
      </c>
      <c r="BW1558">
        <v>0</v>
      </c>
      <c r="BX1558">
        <v>0</v>
      </c>
      <c r="BY1558" t="s">
        <v>135</v>
      </c>
      <c r="BZ1558">
        <v>0</v>
      </c>
      <c r="CA1558">
        <v>0</v>
      </c>
      <c r="CB1558" t="s">
        <v>135</v>
      </c>
      <c r="CH1558" s="2"/>
      <c r="CJ1558" s="2"/>
      <c r="CL1558" s="2"/>
      <c r="CN1558" s="2"/>
      <c r="CQ1558" s="2"/>
      <c r="CT1558" s="2"/>
      <c r="CW1558" s="2"/>
    </row>
    <row r="1559" spans="1:101" x14ac:dyDescent="0.25">
      <c r="A1559" s="1" t="s">
        <v>163</v>
      </c>
      <c r="B1559" s="75" t="s">
        <v>164</v>
      </c>
      <c r="C1559">
        <v>0</v>
      </c>
      <c r="D1559">
        <v>0</v>
      </c>
      <c r="E1559">
        <v>0</v>
      </c>
      <c r="F1559">
        <v>604324.56000000006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3.91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7490</v>
      </c>
      <c r="AW1559">
        <v>3350</v>
      </c>
      <c r="AX1559">
        <v>1219</v>
      </c>
      <c r="AY1559">
        <v>12059</v>
      </c>
      <c r="AZ1559">
        <v>4202</v>
      </c>
      <c r="BA1559">
        <v>7438</v>
      </c>
      <c r="BB1559">
        <v>1432</v>
      </c>
      <c r="BC1559">
        <v>13072</v>
      </c>
      <c r="BD1559">
        <v>9486</v>
      </c>
      <c r="BE1559">
        <v>9222</v>
      </c>
      <c r="BF1559">
        <v>1768</v>
      </c>
      <c r="BG1559">
        <v>20476</v>
      </c>
      <c r="BH1559">
        <v>0</v>
      </c>
      <c r="BI1559">
        <v>0</v>
      </c>
      <c r="BJ1559">
        <v>0</v>
      </c>
      <c r="BK1559">
        <v>0</v>
      </c>
      <c r="BL1559" s="2">
        <v>24.82</v>
      </c>
      <c r="BM1559" s="2">
        <v>42005.095138888886</v>
      </c>
      <c r="BN1559" s="2">
        <v>5.4</v>
      </c>
      <c r="BO1559" s="2">
        <v>42005.092361111114</v>
      </c>
      <c r="BP1559" s="2">
        <v>6.92</v>
      </c>
      <c r="BQ1559" s="2">
        <v>42005.092361111114</v>
      </c>
      <c r="BR1559" s="2">
        <v>11.07</v>
      </c>
      <c r="BS1559" s="2">
        <v>42005.092361111114</v>
      </c>
      <c r="BT1559">
        <v>0</v>
      </c>
      <c r="BU1559">
        <v>0</v>
      </c>
      <c r="BV1559" t="s">
        <v>135</v>
      </c>
      <c r="BW1559">
        <v>0</v>
      </c>
      <c r="BX1559">
        <v>0</v>
      </c>
      <c r="BY1559" t="s">
        <v>135</v>
      </c>
      <c r="BZ1559">
        <v>0</v>
      </c>
      <c r="CA1559">
        <v>0</v>
      </c>
      <c r="CB1559" t="s">
        <v>135</v>
      </c>
      <c r="CH1559" s="2"/>
      <c r="CJ1559" s="2"/>
      <c r="CL1559" s="2"/>
      <c r="CN1559" s="2"/>
      <c r="CQ1559" s="2"/>
      <c r="CT1559" s="2"/>
      <c r="CW1559" s="2"/>
    </row>
    <row r="1560" spans="1:101" x14ac:dyDescent="0.25">
      <c r="A1560" s="1" t="s">
        <v>163</v>
      </c>
      <c r="B1560" s="75" t="s">
        <v>164</v>
      </c>
      <c r="C1560">
        <v>0</v>
      </c>
      <c r="D1560">
        <v>0</v>
      </c>
      <c r="E1560">
        <v>0</v>
      </c>
      <c r="F1560">
        <v>604324.56000000006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3.91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7490</v>
      </c>
      <c r="AW1560">
        <v>3350</v>
      </c>
      <c r="AX1560">
        <v>1219</v>
      </c>
      <c r="AY1560">
        <v>12059</v>
      </c>
      <c r="AZ1560">
        <v>4202</v>
      </c>
      <c r="BA1560">
        <v>7438</v>
      </c>
      <c r="BB1560">
        <v>1432</v>
      </c>
      <c r="BC1560">
        <v>13072</v>
      </c>
      <c r="BD1560">
        <v>9486</v>
      </c>
      <c r="BE1560">
        <v>9222</v>
      </c>
      <c r="BF1560">
        <v>1768</v>
      </c>
      <c r="BG1560">
        <v>20476</v>
      </c>
      <c r="BH1560">
        <v>0</v>
      </c>
      <c r="BI1560">
        <v>0</v>
      </c>
      <c r="BJ1560">
        <v>0</v>
      </c>
      <c r="BK1560">
        <v>0</v>
      </c>
      <c r="BL1560" s="2">
        <v>24.82</v>
      </c>
      <c r="BM1560" s="2">
        <v>42005.095138888886</v>
      </c>
      <c r="BN1560" s="2">
        <v>5.4</v>
      </c>
      <c r="BO1560" s="2">
        <v>42005.092361111114</v>
      </c>
      <c r="BP1560" s="2">
        <v>6.92</v>
      </c>
      <c r="BQ1560" s="2">
        <v>42005.092361111114</v>
      </c>
      <c r="BR1560" s="2">
        <v>11.07</v>
      </c>
      <c r="BS1560" s="2">
        <v>42005.092361111114</v>
      </c>
      <c r="BT1560">
        <v>0</v>
      </c>
      <c r="BU1560">
        <v>0</v>
      </c>
      <c r="BV1560" t="s">
        <v>135</v>
      </c>
      <c r="BW1560">
        <v>0</v>
      </c>
      <c r="BX1560">
        <v>0</v>
      </c>
      <c r="BY1560" t="s">
        <v>135</v>
      </c>
      <c r="BZ1560">
        <v>0</v>
      </c>
      <c r="CA1560">
        <v>0</v>
      </c>
      <c r="CB1560" t="s">
        <v>135</v>
      </c>
      <c r="CH1560" s="2"/>
      <c r="CJ1560" s="2"/>
      <c r="CL1560" s="2"/>
      <c r="CN1560" s="2"/>
      <c r="CQ1560" s="2"/>
      <c r="CT1560" s="2"/>
      <c r="CW1560" s="2"/>
    </row>
    <row r="1561" spans="1:101" x14ac:dyDescent="0.25">
      <c r="A1561" s="1" t="s">
        <v>163</v>
      </c>
      <c r="B1561" s="75" t="s">
        <v>164</v>
      </c>
      <c r="C1561">
        <v>0</v>
      </c>
      <c r="D1561">
        <v>0</v>
      </c>
      <c r="E1561">
        <v>0</v>
      </c>
      <c r="F1561">
        <v>604324.56000000006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3.91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7490</v>
      </c>
      <c r="AW1561">
        <v>3350</v>
      </c>
      <c r="AX1561">
        <v>1219</v>
      </c>
      <c r="AY1561">
        <v>12059</v>
      </c>
      <c r="AZ1561">
        <v>4202</v>
      </c>
      <c r="BA1561">
        <v>7438</v>
      </c>
      <c r="BB1561">
        <v>1432</v>
      </c>
      <c r="BC1561">
        <v>13072</v>
      </c>
      <c r="BD1561">
        <v>9486</v>
      </c>
      <c r="BE1561">
        <v>9222</v>
      </c>
      <c r="BF1561">
        <v>1768</v>
      </c>
      <c r="BG1561">
        <v>20476</v>
      </c>
      <c r="BH1561">
        <v>0</v>
      </c>
      <c r="BI1561">
        <v>0</v>
      </c>
      <c r="BJ1561">
        <v>0</v>
      </c>
      <c r="BK1561">
        <v>0</v>
      </c>
      <c r="BL1561" s="2">
        <v>24.82</v>
      </c>
      <c r="BM1561" s="2">
        <v>42005.095138888886</v>
      </c>
      <c r="BN1561" s="2">
        <v>5.4</v>
      </c>
      <c r="BO1561" s="2">
        <v>42005.092361111114</v>
      </c>
      <c r="BP1561" s="2">
        <v>6.92</v>
      </c>
      <c r="BQ1561" s="2">
        <v>42005.092361111114</v>
      </c>
      <c r="BR1561" s="2">
        <v>11.07</v>
      </c>
      <c r="BS1561" s="2">
        <v>42005.092361111114</v>
      </c>
      <c r="BT1561">
        <v>0</v>
      </c>
      <c r="BU1561">
        <v>0</v>
      </c>
      <c r="BV1561" t="s">
        <v>135</v>
      </c>
      <c r="BW1561">
        <v>0</v>
      </c>
      <c r="BX1561">
        <v>0</v>
      </c>
      <c r="BY1561" t="s">
        <v>135</v>
      </c>
      <c r="BZ1561">
        <v>0</v>
      </c>
      <c r="CA1561">
        <v>0</v>
      </c>
      <c r="CB1561" t="s">
        <v>135</v>
      </c>
      <c r="CH1561" s="2"/>
      <c r="CJ1561" s="2"/>
      <c r="CL1561" s="2"/>
      <c r="CN1561" s="2"/>
      <c r="CQ1561" s="2"/>
      <c r="CT1561" s="2"/>
      <c r="CW1561" s="2"/>
    </row>
    <row r="1562" spans="1:101" x14ac:dyDescent="0.25">
      <c r="A1562" s="1" t="s">
        <v>163</v>
      </c>
      <c r="B1562" s="75" t="s">
        <v>164</v>
      </c>
      <c r="C1562">
        <v>0</v>
      </c>
      <c r="D1562">
        <v>0</v>
      </c>
      <c r="E1562">
        <v>0</v>
      </c>
      <c r="F1562">
        <v>604324.56000000006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3.91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7490</v>
      </c>
      <c r="AW1562">
        <v>3350</v>
      </c>
      <c r="AX1562">
        <v>1219</v>
      </c>
      <c r="AY1562">
        <v>12059</v>
      </c>
      <c r="AZ1562">
        <v>4202</v>
      </c>
      <c r="BA1562">
        <v>7438</v>
      </c>
      <c r="BB1562">
        <v>1432</v>
      </c>
      <c r="BC1562">
        <v>13072</v>
      </c>
      <c r="BD1562">
        <v>9486</v>
      </c>
      <c r="BE1562">
        <v>9222</v>
      </c>
      <c r="BF1562">
        <v>1768</v>
      </c>
      <c r="BG1562">
        <v>20476</v>
      </c>
      <c r="BH1562">
        <v>0</v>
      </c>
      <c r="BI1562">
        <v>0</v>
      </c>
      <c r="BJ1562">
        <v>0</v>
      </c>
      <c r="BK1562">
        <v>0</v>
      </c>
      <c r="BL1562" s="2">
        <v>24.82</v>
      </c>
      <c r="BM1562" s="2">
        <v>42005.095138888886</v>
      </c>
      <c r="BN1562" s="2">
        <v>5.4</v>
      </c>
      <c r="BO1562" s="2">
        <v>42005.092361111114</v>
      </c>
      <c r="BP1562" s="2">
        <v>6.92</v>
      </c>
      <c r="BQ1562" s="2">
        <v>42005.092361111114</v>
      </c>
      <c r="BR1562" s="2">
        <v>11.07</v>
      </c>
      <c r="BS1562" s="2">
        <v>42005.092361111114</v>
      </c>
      <c r="BT1562">
        <v>0</v>
      </c>
      <c r="BU1562">
        <v>0</v>
      </c>
      <c r="BV1562" t="s">
        <v>135</v>
      </c>
      <c r="BW1562">
        <v>0</v>
      </c>
      <c r="BX1562">
        <v>0</v>
      </c>
      <c r="BY1562" t="s">
        <v>135</v>
      </c>
      <c r="BZ1562">
        <v>0</v>
      </c>
      <c r="CA1562">
        <v>0</v>
      </c>
      <c r="CB1562" t="s">
        <v>135</v>
      </c>
      <c r="CH1562" s="2"/>
      <c r="CJ1562" s="2"/>
      <c r="CL1562" s="2"/>
      <c r="CN1562" s="2"/>
      <c r="CQ1562" s="2"/>
      <c r="CT1562" s="2"/>
      <c r="CW1562" s="2"/>
    </row>
    <row r="1563" spans="1:101" x14ac:dyDescent="0.25">
      <c r="A1563" s="1" t="s">
        <v>163</v>
      </c>
      <c r="B1563" s="75" t="s">
        <v>164</v>
      </c>
      <c r="C1563">
        <v>0</v>
      </c>
      <c r="D1563">
        <v>0</v>
      </c>
      <c r="E1563">
        <v>0</v>
      </c>
      <c r="F1563">
        <v>604324.56000000006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3.91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7490</v>
      </c>
      <c r="AW1563">
        <v>3350</v>
      </c>
      <c r="AX1563">
        <v>1219</v>
      </c>
      <c r="AY1563">
        <v>12059</v>
      </c>
      <c r="AZ1563">
        <v>4202</v>
      </c>
      <c r="BA1563">
        <v>7438</v>
      </c>
      <c r="BB1563">
        <v>1432</v>
      </c>
      <c r="BC1563">
        <v>13072</v>
      </c>
      <c r="BD1563">
        <v>9486</v>
      </c>
      <c r="BE1563">
        <v>9222</v>
      </c>
      <c r="BF1563">
        <v>1768</v>
      </c>
      <c r="BG1563">
        <v>20476</v>
      </c>
      <c r="BH1563">
        <v>0</v>
      </c>
      <c r="BI1563">
        <v>0</v>
      </c>
      <c r="BJ1563">
        <v>0</v>
      </c>
      <c r="BK1563">
        <v>0</v>
      </c>
      <c r="BL1563" s="2">
        <v>24.82</v>
      </c>
      <c r="BM1563" s="2">
        <v>42005.095138888886</v>
      </c>
      <c r="BN1563" s="2">
        <v>5.4</v>
      </c>
      <c r="BO1563" s="2">
        <v>42005.092361111114</v>
      </c>
      <c r="BP1563" s="2">
        <v>6.92</v>
      </c>
      <c r="BQ1563" s="2">
        <v>42005.092361111114</v>
      </c>
      <c r="BR1563" s="2">
        <v>11.07</v>
      </c>
      <c r="BS1563" s="2">
        <v>42005.092361111114</v>
      </c>
      <c r="BT1563">
        <v>0</v>
      </c>
      <c r="BU1563">
        <v>0</v>
      </c>
      <c r="BV1563" t="s">
        <v>135</v>
      </c>
      <c r="BW1563">
        <v>0</v>
      </c>
      <c r="BX1563">
        <v>0</v>
      </c>
      <c r="BY1563" t="s">
        <v>135</v>
      </c>
      <c r="BZ1563">
        <v>0</v>
      </c>
      <c r="CA1563">
        <v>0</v>
      </c>
      <c r="CB1563" t="s">
        <v>135</v>
      </c>
      <c r="CH1563" s="2"/>
      <c r="CJ1563" s="2"/>
      <c r="CL1563" s="2"/>
      <c r="CN1563" s="2"/>
      <c r="CQ1563" s="2"/>
      <c r="CT1563" s="2"/>
      <c r="CW1563" s="2"/>
    </row>
    <row r="1564" spans="1:101" x14ac:dyDescent="0.25">
      <c r="A1564" s="1" t="s">
        <v>163</v>
      </c>
      <c r="B1564" s="75" t="s">
        <v>164</v>
      </c>
      <c r="C1564">
        <v>0</v>
      </c>
      <c r="D1564">
        <v>0</v>
      </c>
      <c r="E1564">
        <v>0</v>
      </c>
      <c r="F1564">
        <v>604324.56000000006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3.91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7490</v>
      </c>
      <c r="AW1564">
        <v>3350</v>
      </c>
      <c r="AX1564">
        <v>1219</v>
      </c>
      <c r="AY1564">
        <v>12059</v>
      </c>
      <c r="AZ1564">
        <v>4202</v>
      </c>
      <c r="BA1564">
        <v>7438</v>
      </c>
      <c r="BB1564">
        <v>1432</v>
      </c>
      <c r="BC1564">
        <v>13072</v>
      </c>
      <c r="BD1564">
        <v>9486</v>
      </c>
      <c r="BE1564">
        <v>9222</v>
      </c>
      <c r="BF1564">
        <v>1768</v>
      </c>
      <c r="BG1564">
        <v>20476</v>
      </c>
      <c r="BH1564">
        <v>0</v>
      </c>
      <c r="BI1564">
        <v>0</v>
      </c>
      <c r="BJ1564">
        <v>0</v>
      </c>
      <c r="BK1564">
        <v>0</v>
      </c>
      <c r="BL1564" s="2">
        <v>24.82</v>
      </c>
      <c r="BM1564" s="2">
        <v>42005.095138888886</v>
      </c>
      <c r="BN1564" s="2">
        <v>5.4</v>
      </c>
      <c r="BO1564" s="2">
        <v>42005.092361111114</v>
      </c>
      <c r="BP1564" s="2">
        <v>6.92</v>
      </c>
      <c r="BQ1564" s="2">
        <v>42005.092361111114</v>
      </c>
      <c r="BR1564" s="2">
        <v>11.07</v>
      </c>
      <c r="BS1564" s="2">
        <v>42005.092361111114</v>
      </c>
      <c r="BT1564">
        <v>0</v>
      </c>
      <c r="BU1564">
        <v>0</v>
      </c>
      <c r="BV1564" t="s">
        <v>135</v>
      </c>
      <c r="BW1564">
        <v>0</v>
      </c>
      <c r="BX1564">
        <v>0</v>
      </c>
      <c r="BY1564" t="s">
        <v>135</v>
      </c>
      <c r="BZ1564">
        <v>0</v>
      </c>
      <c r="CA1564">
        <v>0</v>
      </c>
      <c r="CB1564" t="s">
        <v>135</v>
      </c>
      <c r="CH1564" s="2"/>
      <c r="CJ1564" s="2"/>
      <c r="CL1564" s="2"/>
      <c r="CN1564" s="2"/>
      <c r="CQ1564" s="2"/>
      <c r="CT1564" s="2"/>
      <c r="CW1564" s="2"/>
    </row>
    <row r="1565" spans="1:101" x14ac:dyDescent="0.25">
      <c r="A1565" s="1" t="s">
        <v>163</v>
      </c>
      <c r="B1565" s="75" t="s">
        <v>164</v>
      </c>
      <c r="C1565">
        <v>0</v>
      </c>
      <c r="D1565">
        <v>0</v>
      </c>
      <c r="E1565">
        <v>0</v>
      </c>
      <c r="F1565">
        <v>604324.56000000006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3.91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7490</v>
      </c>
      <c r="AW1565">
        <v>3350</v>
      </c>
      <c r="AX1565">
        <v>1219</v>
      </c>
      <c r="AY1565">
        <v>12059</v>
      </c>
      <c r="AZ1565">
        <v>4202</v>
      </c>
      <c r="BA1565">
        <v>7438</v>
      </c>
      <c r="BB1565">
        <v>1432</v>
      </c>
      <c r="BC1565">
        <v>13072</v>
      </c>
      <c r="BD1565">
        <v>9486</v>
      </c>
      <c r="BE1565">
        <v>9222</v>
      </c>
      <c r="BF1565">
        <v>1768</v>
      </c>
      <c r="BG1565">
        <v>20476</v>
      </c>
      <c r="BH1565">
        <v>0</v>
      </c>
      <c r="BI1565">
        <v>0</v>
      </c>
      <c r="BJ1565">
        <v>0</v>
      </c>
      <c r="BK1565">
        <v>0</v>
      </c>
      <c r="BL1565" s="2">
        <v>24.82</v>
      </c>
      <c r="BM1565" s="2">
        <v>42005.095138888886</v>
      </c>
      <c r="BN1565" s="2">
        <v>5.4</v>
      </c>
      <c r="BO1565" s="2">
        <v>42005.092361111114</v>
      </c>
      <c r="BP1565" s="2">
        <v>6.92</v>
      </c>
      <c r="BQ1565" s="2">
        <v>42005.092361111114</v>
      </c>
      <c r="BR1565" s="2">
        <v>11.07</v>
      </c>
      <c r="BS1565" s="2">
        <v>42005.092361111114</v>
      </c>
      <c r="BT1565">
        <v>0</v>
      </c>
      <c r="BU1565">
        <v>0</v>
      </c>
      <c r="BV1565" t="s">
        <v>135</v>
      </c>
      <c r="BW1565">
        <v>0</v>
      </c>
      <c r="BX1565">
        <v>0</v>
      </c>
      <c r="BY1565" t="s">
        <v>135</v>
      </c>
      <c r="BZ1565">
        <v>0</v>
      </c>
      <c r="CA1565">
        <v>0</v>
      </c>
      <c r="CB1565" t="s">
        <v>135</v>
      </c>
      <c r="CH1565" s="2"/>
      <c r="CJ1565" s="2"/>
      <c r="CL1565" s="2"/>
      <c r="CN1565" s="2"/>
      <c r="CQ1565" s="2"/>
      <c r="CT1565" s="2"/>
      <c r="CW1565" s="2"/>
    </row>
    <row r="1566" spans="1:101" x14ac:dyDescent="0.25">
      <c r="A1566" s="1" t="s">
        <v>163</v>
      </c>
      <c r="B1566" s="75" t="s">
        <v>164</v>
      </c>
      <c r="C1566">
        <v>0</v>
      </c>
      <c r="D1566">
        <v>0</v>
      </c>
      <c r="E1566">
        <v>0</v>
      </c>
      <c r="F1566">
        <v>604324.56000000006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3.91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7490</v>
      </c>
      <c r="AW1566">
        <v>3350</v>
      </c>
      <c r="AX1566">
        <v>1219</v>
      </c>
      <c r="AY1566">
        <v>12059</v>
      </c>
      <c r="AZ1566">
        <v>4202</v>
      </c>
      <c r="BA1566">
        <v>7438</v>
      </c>
      <c r="BB1566">
        <v>1432</v>
      </c>
      <c r="BC1566">
        <v>13072</v>
      </c>
      <c r="BD1566">
        <v>9486</v>
      </c>
      <c r="BE1566">
        <v>9222</v>
      </c>
      <c r="BF1566">
        <v>1768</v>
      </c>
      <c r="BG1566">
        <v>20476</v>
      </c>
      <c r="BH1566">
        <v>0</v>
      </c>
      <c r="BI1566">
        <v>0</v>
      </c>
      <c r="BJ1566">
        <v>0</v>
      </c>
      <c r="BK1566">
        <v>0</v>
      </c>
      <c r="BL1566" s="2">
        <v>24.82</v>
      </c>
      <c r="BM1566" s="2">
        <v>42005.095138888886</v>
      </c>
      <c r="BN1566" s="2">
        <v>5.4</v>
      </c>
      <c r="BO1566" s="2">
        <v>42005.092361111114</v>
      </c>
      <c r="BP1566" s="2">
        <v>6.92</v>
      </c>
      <c r="BQ1566" s="2">
        <v>42005.092361111114</v>
      </c>
      <c r="BR1566" s="2">
        <v>11.07</v>
      </c>
      <c r="BS1566" s="2">
        <v>42005.092361111114</v>
      </c>
      <c r="BT1566">
        <v>0</v>
      </c>
      <c r="BU1566">
        <v>0</v>
      </c>
      <c r="BV1566" t="s">
        <v>135</v>
      </c>
      <c r="BW1566">
        <v>0</v>
      </c>
      <c r="BX1566">
        <v>0</v>
      </c>
      <c r="BY1566" t="s">
        <v>135</v>
      </c>
      <c r="BZ1566">
        <v>0</v>
      </c>
      <c r="CA1566">
        <v>0</v>
      </c>
      <c r="CB1566" t="s">
        <v>135</v>
      </c>
      <c r="CH1566" s="2"/>
      <c r="CJ1566" s="2"/>
      <c r="CL1566" s="2"/>
      <c r="CN1566" s="2"/>
      <c r="CQ1566" s="2"/>
      <c r="CT1566" s="2"/>
      <c r="CW1566" s="2"/>
    </row>
    <row r="1567" spans="1:101" x14ac:dyDescent="0.25">
      <c r="A1567" s="1" t="s">
        <v>163</v>
      </c>
      <c r="B1567" s="75" t="s">
        <v>164</v>
      </c>
      <c r="C1567">
        <v>0</v>
      </c>
      <c r="D1567">
        <v>0</v>
      </c>
      <c r="E1567">
        <v>0</v>
      </c>
      <c r="F1567">
        <v>604324.56000000006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3.91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7490</v>
      </c>
      <c r="AW1567">
        <v>3350</v>
      </c>
      <c r="AX1567">
        <v>1219</v>
      </c>
      <c r="AY1567">
        <v>12059</v>
      </c>
      <c r="AZ1567">
        <v>4202</v>
      </c>
      <c r="BA1567">
        <v>7438</v>
      </c>
      <c r="BB1567">
        <v>1432</v>
      </c>
      <c r="BC1567">
        <v>13072</v>
      </c>
      <c r="BD1567">
        <v>9486</v>
      </c>
      <c r="BE1567">
        <v>9222</v>
      </c>
      <c r="BF1567">
        <v>1768</v>
      </c>
      <c r="BG1567">
        <v>20476</v>
      </c>
      <c r="BH1567">
        <v>0</v>
      </c>
      <c r="BI1567">
        <v>0</v>
      </c>
      <c r="BJ1567">
        <v>0</v>
      </c>
      <c r="BK1567">
        <v>0</v>
      </c>
      <c r="BL1567" s="2">
        <v>24.82</v>
      </c>
      <c r="BM1567" s="2">
        <v>42005.095138888886</v>
      </c>
      <c r="BN1567" s="2">
        <v>5.4</v>
      </c>
      <c r="BO1567" s="2">
        <v>42005.092361111114</v>
      </c>
      <c r="BP1567" s="2">
        <v>6.92</v>
      </c>
      <c r="BQ1567" s="2">
        <v>42005.092361111114</v>
      </c>
      <c r="BR1567" s="2">
        <v>11.07</v>
      </c>
      <c r="BS1567" s="2">
        <v>42005.092361111114</v>
      </c>
      <c r="BT1567">
        <v>0</v>
      </c>
      <c r="BU1567">
        <v>0</v>
      </c>
      <c r="BV1567" t="s">
        <v>135</v>
      </c>
      <c r="BW1567">
        <v>0</v>
      </c>
      <c r="BX1567">
        <v>0</v>
      </c>
      <c r="BY1567" t="s">
        <v>135</v>
      </c>
      <c r="BZ1567">
        <v>0</v>
      </c>
      <c r="CA1567">
        <v>0</v>
      </c>
      <c r="CB1567" t="s">
        <v>135</v>
      </c>
      <c r="CH1567" s="2"/>
      <c r="CJ1567" s="2"/>
      <c r="CL1567" s="2"/>
      <c r="CN1567" s="2"/>
      <c r="CQ1567" s="2"/>
      <c r="CT1567" s="2"/>
      <c r="CW1567" s="2"/>
    </row>
    <row r="1568" spans="1:101" x14ac:dyDescent="0.25">
      <c r="A1568" s="1" t="s">
        <v>163</v>
      </c>
      <c r="B1568" s="75" t="s">
        <v>164</v>
      </c>
      <c r="C1568">
        <v>0</v>
      </c>
      <c r="D1568">
        <v>0</v>
      </c>
      <c r="E1568">
        <v>0</v>
      </c>
      <c r="F1568">
        <v>604324.56000000006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3.91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7490</v>
      </c>
      <c r="AW1568">
        <v>3350</v>
      </c>
      <c r="AX1568">
        <v>1219</v>
      </c>
      <c r="AY1568">
        <v>12059</v>
      </c>
      <c r="AZ1568">
        <v>4202</v>
      </c>
      <c r="BA1568">
        <v>7438</v>
      </c>
      <c r="BB1568">
        <v>1432</v>
      </c>
      <c r="BC1568">
        <v>13072</v>
      </c>
      <c r="BD1568">
        <v>9486</v>
      </c>
      <c r="BE1568">
        <v>9222</v>
      </c>
      <c r="BF1568">
        <v>1768</v>
      </c>
      <c r="BG1568">
        <v>20476</v>
      </c>
      <c r="BH1568">
        <v>0</v>
      </c>
      <c r="BI1568">
        <v>0</v>
      </c>
      <c r="BJ1568">
        <v>0</v>
      </c>
      <c r="BK1568">
        <v>0</v>
      </c>
      <c r="BL1568" s="2">
        <v>24.82</v>
      </c>
      <c r="BM1568" s="2">
        <v>42005.095138888886</v>
      </c>
      <c r="BN1568" s="2">
        <v>5.4</v>
      </c>
      <c r="BO1568" s="2">
        <v>42005.092361111114</v>
      </c>
      <c r="BP1568" s="2">
        <v>6.92</v>
      </c>
      <c r="BQ1568" s="2">
        <v>42005.092361111114</v>
      </c>
      <c r="BR1568" s="2">
        <v>11.07</v>
      </c>
      <c r="BS1568" s="2">
        <v>42005.092361111114</v>
      </c>
      <c r="BT1568">
        <v>0</v>
      </c>
      <c r="BU1568">
        <v>0</v>
      </c>
      <c r="BV1568" t="s">
        <v>135</v>
      </c>
      <c r="BW1568">
        <v>0</v>
      </c>
      <c r="BX1568">
        <v>0</v>
      </c>
      <c r="BY1568" t="s">
        <v>135</v>
      </c>
      <c r="BZ1568">
        <v>0</v>
      </c>
      <c r="CA1568">
        <v>0</v>
      </c>
      <c r="CB1568" t="s">
        <v>135</v>
      </c>
      <c r="CH1568" s="2"/>
      <c r="CJ1568" s="2"/>
      <c r="CL1568" s="2"/>
      <c r="CN1568" s="2"/>
      <c r="CQ1568" s="2"/>
      <c r="CT1568" s="2"/>
      <c r="CW1568" s="2"/>
    </row>
    <row r="1569" spans="1:101" x14ac:dyDescent="0.25">
      <c r="A1569" s="1" t="s">
        <v>163</v>
      </c>
      <c r="B1569" s="75" t="s">
        <v>164</v>
      </c>
      <c r="C1569">
        <v>0</v>
      </c>
      <c r="D1569">
        <v>0</v>
      </c>
      <c r="E1569">
        <v>0</v>
      </c>
      <c r="F1569">
        <v>604324.56000000006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3.91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7490</v>
      </c>
      <c r="AW1569">
        <v>3350</v>
      </c>
      <c r="AX1569">
        <v>1219</v>
      </c>
      <c r="AY1569">
        <v>12059</v>
      </c>
      <c r="AZ1569">
        <v>4202</v>
      </c>
      <c r="BA1569">
        <v>7438</v>
      </c>
      <c r="BB1569">
        <v>1432</v>
      </c>
      <c r="BC1569">
        <v>13072</v>
      </c>
      <c r="BD1569">
        <v>9486</v>
      </c>
      <c r="BE1569">
        <v>9222</v>
      </c>
      <c r="BF1569">
        <v>1768</v>
      </c>
      <c r="BG1569">
        <v>20476</v>
      </c>
      <c r="BH1569">
        <v>0</v>
      </c>
      <c r="BI1569">
        <v>0</v>
      </c>
      <c r="BJ1569">
        <v>0</v>
      </c>
      <c r="BK1569">
        <v>0</v>
      </c>
      <c r="BL1569" s="2">
        <v>24.82</v>
      </c>
      <c r="BM1569" s="2">
        <v>42005.095138888886</v>
      </c>
      <c r="BN1569" s="2">
        <v>5.4</v>
      </c>
      <c r="BO1569" s="2">
        <v>42005.092361111114</v>
      </c>
      <c r="BP1569" s="2">
        <v>6.92</v>
      </c>
      <c r="BQ1569" s="2">
        <v>42005.092361111114</v>
      </c>
      <c r="BR1569" s="2">
        <v>11.07</v>
      </c>
      <c r="BS1569" s="2">
        <v>42005.092361111114</v>
      </c>
      <c r="BT1569">
        <v>0</v>
      </c>
      <c r="BU1569">
        <v>0</v>
      </c>
      <c r="BV1569" t="s">
        <v>135</v>
      </c>
      <c r="BW1569">
        <v>0</v>
      </c>
      <c r="BX1569">
        <v>0</v>
      </c>
      <c r="BY1569" t="s">
        <v>135</v>
      </c>
      <c r="BZ1569">
        <v>0</v>
      </c>
      <c r="CA1569">
        <v>0</v>
      </c>
      <c r="CB1569" t="s">
        <v>135</v>
      </c>
      <c r="CH1569" s="2"/>
      <c r="CJ1569" s="2"/>
      <c r="CL1569" s="2"/>
      <c r="CN1569" s="2"/>
      <c r="CQ1569" s="2"/>
      <c r="CT1569" s="2"/>
      <c r="CW1569" s="2"/>
    </row>
    <row r="1570" spans="1:101" x14ac:dyDescent="0.25">
      <c r="A1570" s="1" t="s">
        <v>163</v>
      </c>
      <c r="B1570" s="75" t="s">
        <v>164</v>
      </c>
      <c r="C1570">
        <v>0</v>
      </c>
      <c r="D1570">
        <v>0</v>
      </c>
      <c r="E1570">
        <v>0</v>
      </c>
      <c r="F1570">
        <v>604324.56000000006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3.91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7490</v>
      </c>
      <c r="AW1570">
        <v>3350</v>
      </c>
      <c r="AX1570">
        <v>1219</v>
      </c>
      <c r="AY1570">
        <v>12059</v>
      </c>
      <c r="AZ1570">
        <v>4202</v>
      </c>
      <c r="BA1570">
        <v>7438</v>
      </c>
      <c r="BB1570">
        <v>1432</v>
      </c>
      <c r="BC1570">
        <v>13072</v>
      </c>
      <c r="BD1570">
        <v>9486</v>
      </c>
      <c r="BE1570">
        <v>9222</v>
      </c>
      <c r="BF1570">
        <v>1768</v>
      </c>
      <c r="BG1570">
        <v>20476</v>
      </c>
      <c r="BH1570">
        <v>0</v>
      </c>
      <c r="BI1570">
        <v>0</v>
      </c>
      <c r="BJ1570">
        <v>0</v>
      </c>
      <c r="BK1570">
        <v>0</v>
      </c>
      <c r="BL1570" s="2">
        <v>24.82</v>
      </c>
      <c r="BM1570" s="2">
        <v>42005.095138888886</v>
      </c>
      <c r="BN1570" s="2">
        <v>5.4</v>
      </c>
      <c r="BO1570" s="2">
        <v>42005.092361111114</v>
      </c>
      <c r="BP1570" s="2">
        <v>6.92</v>
      </c>
      <c r="BQ1570" s="2">
        <v>42005.092361111114</v>
      </c>
      <c r="BR1570" s="2">
        <v>11.07</v>
      </c>
      <c r="BS1570" s="2">
        <v>42005.092361111114</v>
      </c>
      <c r="BT1570">
        <v>0</v>
      </c>
      <c r="BU1570">
        <v>0</v>
      </c>
      <c r="BV1570" t="s">
        <v>135</v>
      </c>
      <c r="BW1570">
        <v>0</v>
      </c>
      <c r="BX1570">
        <v>0</v>
      </c>
      <c r="BY1570" t="s">
        <v>135</v>
      </c>
      <c r="BZ1570">
        <v>0</v>
      </c>
      <c r="CA1570">
        <v>0</v>
      </c>
      <c r="CB1570" t="s">
        <v>135</v>
      </c>
      <c r="CH1570" s="2"/>
      <c r="CJ1570" s="2"/>
      <c r="CL1570" s="2"/>
      <c r="CN1570" s="2"/>
      <c r="CQ1570" s="2"/>
      <c r="CT1570" s="2"/>
      <c r="CW1570" s="2"/>
    </row>
    <row r="1571" spans="1:101" x14ac:dyDescent="0.25">
      <c r="A1571" s="1" t="s">
        <v>163</v>
      </c>
      <c r="B1571" s="75" t="s">
        <v>164</v>
      </c>
      <c r="C1571">
        <v>0</v>
      </c>
      <c r="D1571">
        <v>0</v>
      </c>
      <c r="E1571">
        <v>0</v>
      </c>
      <c r="F1571">
        <v>604324.56000000006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3.91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7490</v>
      </c>
      <c r="AW1571">
        <v>3350</v>
      </c>
      <c r="AX1571">
        <v>1219</v>
      </c>
      <c r="AY1571">
        <v>12059</v>
      </c>
      <c r="AZ1571">
        <v>4202</v>
      </c>
      <c r="BA1571">
        <v>7438</v>
      </c>
      <c r="BB1571">
        <v>1432</v>
      </c>
      <c r="BC1571">
        <v>13072</v>
      </c>
      <c r="BD1571">
        <v>9486</v>
      </c>
      <c r="BE1571">
        <v>9222</v>
      </c>
      <c r="BF1571">
        <v>1768</v>
      </c>
      <c r="BG1571">
        <v>20476</v>
      </c>
      <c r="BH1571">
        <v>0</v>
      </c>
      <c r="BI1571">
        <v>0</v>
      </c>
      <c r="BJ1571">
        <v>0</v>
      </c>
      <c r="BK1571">
        <v>0</v>
      </c>
      <c r="BL1571" s="2">
        <v>24.82</v>
      </c>
      <c r="BM1571" s="2">
        <v>42005.095138888886</v>
      </c>
      <c r="BN1571" s="2">
        <v>5.4</v>
      </c>
      <c r="BO1571" s="2">
        <v>42005.092361111114</v>
      </c>
      <c r="BP1571" s="2">
        <v>6.92</v>
      </c>
      <c r="BQ1571" s="2">
        <v>42005.092361111114</v>
      </c>
      <c r="BR1571" s="2">
        <v>11.07</v>
      </c>
      <c r="BS1571" s="2">
        <v>42005.092361111114</v>
      </c>
      <c r="BT1571">
        <v>0</v>
      </c>
      <c r="BU1571">
        <v>0</v>
      </c>
      <c r="BV1571" t="s">
        <v>135</v>
      </c>
      <c r="BW1571">
        <v>0</v>
      </c>
      <c r="BX1571">
        <v>0</v>
      </c>
      <c r="BY1571" t="s">
        <v>135</v>
      </c>
      <c r="BZ1571">
        <v>0</v>
      </c>
      <c r="CA1571">
        <v>0</v>
      </c>
      <c r="CB1571" t="s">
        <v>135</v>
      </c>
      <c r="CH1571" s="2"/>
      <c r="CJ1571" s="2"/>
      <c r="CL1571" s="2"/>
      <c r="CN1571" s="2"/>
      <c r="CQ1571" s="2"/>
      <c r="CT1571" s="2"/>
      <c r="CW1571" s="2"/>
    </row>
    <row r="1572" spans="1:101" x14ac:dyDescent="0.25">
      <c r="A1572" s="1" t="s">
        <v>163</v>
      </c>
      <c r="B1572" s="75" t="s">
        <v>164</v>
      </c>
      <c r="C1572">
        <v>0</v>
      </c>
      <c r="D1572">
        <v>0</v>
      </c>
      <c r="E1572">
        <v>0</v>
      </c>
      <c r="F1572">
        <v>604324.56000000006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3.91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7490</v>
      </c>
      <c r="AW1572">
        <v>3350</v>
      </c>
      <c r="AX1572">
        <v>1219</v>
      </c>
      <c r="AY1572">
        <v>12059</v>
      </c>
      <c r="AZ1572">
        <v>4202</v>
      </c>
      <c r="BA1572">
        <v>7438</v>
      </c>
      <c r="BB1572">
        <v>1432</v>
      </c>
      <c r="BC1572">
        <v>13072</v>
      </c>
      <c r="BD1572">
        <v>9486</v>
      </c>
      <c r="BE1572">
        <v>9222</v>
      </c>
      <c r="BF1572">
        <v>1768</v>
      </c>
      <c r="BG1572">
        <v>20476</v>
      </c>
      <c r="BH1572">
        <v>0</v>
      </c>
      <c r="BI1572">
        <v>0</v>
      </c>
      <c r="BJ1572">
        <v>0</v>
      </c>
      <c r="BK1572">
        <v>0</v>
      </c>
      <c r="BL1572" s="2">
        <v>24.82</v>
      </c>
      <c r="BM1572" s="2">
        <v>42005.095138888886</v>
      </c>
      <c r="BN1572" s="2">
        <v>5.4</v>
      </c>
      <c r="BO1572" s="2">
        <v>42005.092361111114</v>
      </c>
      <c r="BP1572" s="2">
        <v>6.92</v>
      </c>
      <c r="BQ1572" s="2">
        <v>42005.092361111114</v>
      </c>
      <c r="BR1572" s="2">
        <v>11.07</v>
      </c>
      <c r="BS1572" s="2">
        <v>42005.092361111114</v>
      </c>
      <c r="BT1572">
        <v>0</v>
      </c>
      <c r="BU1572">
        <v>0</v>
      </c>
      <c r="BV1572" t="s">
        <v>135</v>
      </c>
      <c r="BW1572">
        <v>0</v>
      </c>
      <c r="BX1572">
        <v>0</v>
      </c>
      <c r="BY1572" t="s">
        <v>135</v>
      </c>
      <c r="BZ1572">
        <v>0</v>
      </c>
      <c r="CA1572">
        <v>0</v>
      </c>
      <c r="CB1572" t="s">
        <v>135</v>
      </c>
      <c r="CH1572" s="2"/>
      <c r="CJ1572" s="2"/>
      <c r="CL1572" s="2"/>
      <c r="CN1572" s="2"/>
      <c r="CQ1572" s="2"/>
      <c r="CT1572" s="2"/>
      <c r="CW1572" s="2"/>
    </row>
    <row r="1573" spans="1:101" x14ac:dyDescent="0.25">
      <c r="A1573" s="1" t="s">
        <v>163</v>
      </c>
      <c r="B1573" s="75" t="s">
        <v>164</v>
      </c>
      <c r="C1573">
        <v>0</v>
      </c>
      <c r="D1573">
        <v>0</v>
      </c>
      <c r="E1573">
        <v>0</v>
      </c>
      <c r="F1573">
        <v>604324.56000000006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3.91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7490</v>
      </c>
      <c r="AW1573">
        <v>3350</v>
      </c>
      <c r="AX1573">
        <v>1219</v>
      </c>
      <c r="AY1573">
        <v>12059</v>
      </c>
      <c r="AZ1573">
        <v>4202</v>
      </c>
      <c r="BA1573">
        <v>7438</v>
      </c>
      <c r="BB1573">
        <v>1432</v>
      </c>
      <c r="BC1573">
        <v>13072</v>
      </c>
      <c r="BD1573">
        <v>9486</v>
      </c>
      <c r="BE1573">
        <v>9222</v>
      </c>
      <c r="BF1573">
        <v>1768</v>
      </c>
      <c r="BG1573">
        <v>20476</v>
      </c>
      <c r="BH1573">
        <v>0</v>
      </c>
      <c r="BI1573">
        <v>0</v>
      </c>
      <c r="BJ1573">
        <v>0</v>
      </c>
      <c r="BK1573">
        <v>0</v>
      </c>
      <c r="BL1573" s="2">
        <v>24.82</v>
      </c>
      <c r="BM1573" s="2">
        <v>42005.095138888886</v>
      </c>
      <c r="BN1573" s="2">
        <v>5.4</v>
      </c>
      <c r="BO1573" s="2">
        <v>42005.092361111114</v>
      </c>
      <c r="BP1573" s="2">
        <v>6.92</v>
      </c>
      <c r="BQ1573" s="2">
        <v>42005.092361111114</v>
      </c>
      <c r="BR1573" s="2">
        <v>11.07</v>
      </c>
      <c r="BS1573" s="2">
        <v>42005.092361111114</v>
      </c>
      <c r="BT1573">
        <v>0</v>
      </c>
      <c r="BU1573">
        <v>0</v>
      </c>
      <c r="BV1573" t="s">
        <v>135</v>
      </c>
      <c r="BW1573">
        <v>0</v>
      </c>
      <c r="BX1573">
        <v>0</v>
      </c>
      <c r="BY1573" t="s">
        <v>135</v>
      </c>
      <c r="BZ1573">
        <v>0</v>
      </c>
      <c r="CA1573">
        <v>0</v>
      </c>
      <c r="CB1573" t="s">
        <v>135</v>
      </c>
      <c r="CH1573" s="2"/>
      <c r="CJ1573" s="2"/>
      <c r="CL1573" s="2"/>
      <c r="CN1573" s="2"/>
      <c r="CQ1573" s="2"/>
      <c r="CT1573" s="2"/>
      <c r="CW1573" s="2"/>
    </row>
    <row r="1574" spans="1:101" x14ac:dyDescent="0.25">
      <c r="A1574" s="1" t="s">
        <v>163</v>
      </c>
      <c r="B1574" s="75" t="s">
        <v>164</v>
      </c>
      <c r="C1574">
        <v>0</v>
      </c>
      <c r="D1574">
        <v>0</v>
      </c>
      <c r="E1574">
        <v>0</v>
      </c>
      <c r="F1574">
        <v>604324.56000000006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3.91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7490</v>
      </c>
      <c r="AW1574">
        <v>3350</v>
      </c>
      <c r="AX1574">
        <v>1219</v>
      </c>
      <c r="AY1574">
        <v>12059</v>
      </c>
      <c r="AZ1574">
        <v>4202</v>
      </c>
      <c r="BA1574">
        <v>7438</v>
      </c>
      <c r="BB1574">
        <v>1432</v>
      </c>
      <c r="BC1574">
        <v>13072</v>
      </c>
      <c r="BD1574">
        <v>9486</v>
      </c>
      <c r="BE1574">
        <v>9222</v>
      </c>
      <c r="BF1574">
        <v>1768</v>
      </c>
      <c r="BG1574">
        <v>20476</v>
      </c>
      <c r="BH1574">
        <v>0</v>
      </c>
      <c r="BI1574">
        <v>0</v>
      </c>
      <c r="BJ1574">
        <v>0</v>
      </c>
      <c r="BK1574">
        <v>0</v>
      </c>
      <c r="BL1574" s="2">
        <v>24.82</v>
      </c>
      <c r="BM1574" s="2">
        <v>42005.095138888886</v>
      </c>
      <c r="BN1574" s="2">
        <v>5.4</v>
      </c>
      <c r="BO1574" s="2">
        <v>42005.092361111114</v>
      </c>
      <c r="BP1574" s="2">
        <v>6.92</v>
      </c>
      <c r="BQ1574" s="2">
        <v>42005.092361111114</v>
      </c>
      <c r="BR1574" s="2">
        <v>11.07</v>
      </c>
      <c r="BS1574" s="2">
        <v>42005.092361111114</v>
      </c>
      <c r="BT1574">
        <v>0</v>
      </c>
      <c r="BU1574">
        <v>0</v>
      </c>
      <c r="BV1574" t="s">
        <v>135</v>
      </c>
      <c r="BW1574">
        <v>0</v>
      </c>
      <c r="BX1574">
        <v>0</v>
      </c>
      <c r="BY1574" t="s">
        <v>135</v>
      </c>
      <c r="BZ1574">
        <v>0</v>
      </c>
      <c r="CA1574">
        <v>0</v>
      </c>
      <c r="CB1574" t="s">
        <v>135</v>
      </c>
      <c r="CH1574" s="2"/>
      <c r="CJ1574" s="2"/>
      <c r="CL1574" s="2"/>
      <c r="CN1574" s="2"/>
      <c r="CQ1574" s="2"/>
      <c r="CT1574" s="2"/>
      <c r="CW1574" s="2"/>
    </row>
    <row r="1575" spans="1:101" x14ac:dyDescent="0.25">
      <c r="A1575" s="1" t="s">
        <v>163</v>
      </c>
      <c r="B1575" s="75" t="s">
        <v>164</v>
      </c>
      <c r="C1575">
        <v>0</v>
      </c>
      <c r="D1575">
        <v>0</v>
      </c>
      <c r="E1575">
        <v>0</v>
      </c>
      <c r="F1575">
        <v>604324.56000000006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3.91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7490</v>
      </c>
      <c r="AW1575">
        <v>3350</v>
      </c>
      <c r="AX1575">
        <v>1219</v>
      </c>
      <c r="AY1575">
        <v>12059</v>
      </c>
      <c r="AZ1575">
        <v>4202</v>
      </c>
      <c r="BA1575">
        <v>7438</v>
      </c>
      <c r="BB1575">
        <v>1432</v>
      </c>
      <c r="BC1575">
        <v>13072</v>
      </c>
      <c r="BD1575">
        <v>9486</v>
      </c>
      <c r="BE1575">
        <v>9222</v>
      </c>
      <c r="BF1575">
        <v>1768</v>
      </c>
      <c r="BG1575">
        <v>20476</v>
      </c>
      <c r="BH1575">
        <v>0</v>
      </c>
      <c r="BI1575">
        <v>0</v>
      </c>
      <c r="BJ1575">
        <v>0</v>
      </c>
      <c r="BK1575">
        <v>0</v>
      </c>
      <c r="BL1575" s="2">
        <v>24.82</v>
      </c>
      <c r="BM1575" s="2">
        <v>42005.095138888886</v>
      </c>
      <c r="BN1575" s="2">
        <v>5.4</v>
      </c>
      <c r="BO1575" s="2">
        <v>42005.092361111114</v>
      </c>
      <c r="BP1575" s="2">
        <v>6.92</v>
      </c>
      <c r="BQ1575" s="2">
        <v>42005.092361111114</v>
      </c>
      <c r="BR1575" s="2">
        <v>11.07</v>
      </c>
      <c r="BS1575" s="2">
        <v>42005.092361111114</v>
      </c>
      <c r="BT1575">
        <v>0</v>
      </c>
      <c r="BU1575">
        <v>0</v>
      </c>
      <c r="BV1575" t="s">
        <v>135</v>
      </c>
      <c r="BW1575">
        <v>0</v>
      </c>
      <c r="BX1575">
        <v>0</v>
      </c>
      <c r="BY1575" t="s">
        <v>135</v>
      </c>
      <c r="BZ1575">
        <v>0</v>
      </c>
      <c r="CA1575">
        <v>0</v>
      </c>
      <c r="CB1575" t="s">
        <v>135</v>
      </c>
      <c r="CH1575" s="2"/>
      <c r="CJ1575" s="2"/>
      <c r="CL1575" s="2"/>
      <c r="CN1575" s="2"/>
      <c r="CQ1575" s="2"/>
      <c r="CT1575" s="2"/>
      <c r="CW1575" s="2"/>
    </row>
    <row r="1576" spans="1:101" x14ac:dyDescent="0.25">
      <c r="A1576" s="1" t="s">
        <v>163</v>
      </c>
      <c r="B1576" s="75" t="s">
        <v>164</v>
      </c>
      <c r="C1576">
        <v>0</v>
      </c>
      <c r="D1576">
        <v>0</v>
      </c>
      <c r="E1576">
        <v>0</v>
      </c>
      <c r="F1576">
        <v>604324.56000000006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3.91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7490</v>
      </c>
      <c r="AW1576">
        <v>3350</v>
      </c>
      <c r="AX1576">
        <v>1219</v>
      </c>
      <c r="AY1576">
        <v>12059</v>
      </c>
      <c r="AZ1576">
        <v>4202</v>
      </c>
      <c r="BA1576">
        <v>7438</v>
      </c>
      <c r="BB1576">
        <v>1432</v>
      </c>
      <c r="BC1576">
        <v>13072</v>
      </c>
      <c r="BD1576">
        <v>9486</v>
      </c>
      <c r="BE1576">
        <v>9222</v>
      </c>
      <c r="BF1576">
        <v>1768</v>
      </c>
      <c r="BG1576">
        <v>20476</v>
      </c>
      <c r="BH1576">
        <v>0</v>
      </c>
      <c r="BI1576">
        <v>0</v>
      </c>
      <c r="BJ1576">
        <v>0</v>
      </c>
      <c r="BK1576">
        <v>0</v>
      </c>
      <c r="BL1576" s="2">
        <v>24.82</v>
      </c>
      <c r="BM1576" s="2">
        <v>42005.095138888886</v>
      </c>
      <c r="BN1576" s="2">
        <v>5.4</v>
      </c>
      <c r="BO1576" s="2">
        <v>42005.092361111114</v>
      </c>
      <c r="BP1576" s="2">
        <v>6.92</v>
      </c>
      <c r="BQ1576" s="2">
        <v>42005.092361111114</v>
      </c>
      <c r="BR1576" s="2">
        <v>11.07</v>
      </c>
      <c r="BS1576" s="2">
        <v>42005.092361111114</v>
      </c>
      <c r="BT1576">
        <v>0</v>
      </c>
      <c r="BU1576">
        <v>0</v>
      </c>
      <c r="BV1576" t="s">
        <v>135</v>
      </c>
      <c r="BW1576">
        <v>0</v>
      </c>
      <c r="BX1576">
        <v>0</v>
      </c>
      <c r="BY1576" t="s">
        <v>135</v>
      </c>
      <c r="BZ1576">
        <v>0</v>
      </c>
      <c r="CA1576">
        <v>0</v>
      </c>
      <c r="CB1576" t="s">
        <v>135</v>
      </c>
      <c r="CH1576" s="2"/>
      <c r="CJ1576" s="2"/>
      <c r="CL1576" s="2"/>
      <c r="CN1576" s="2"/>
      <c r="CQ1576" s="2"/>
      <c r="CT1576" s="2"/>
      <c r="CW1576" s="2"/>
    </row>
    <row r="1577" spans="1:101" x14ac:dyDescent="0.25">
      <c r="A1577" s="1" t="s">
        <v>163</v>
      </c>
      <c r="B1577" s="75" t="s">
        <v>164</v>
      </c>
      <c r="C1577">
        <v>0</v>
      </c>
      <c r="D1577">
        <v>0</v>
      </c>
      <c r="E1577">
        <v>0</v>
      </c>
      <c r="F1577">
        <v>604324.56000000006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3.91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7490</v>
      </c>
      <c r="AW1577">
        <v>3350</v>
      </c>
      <c r="AX1577">
        <v>1219</v>
      </c>
      <c r="AY1577">
        <v>12059</v>
      </c>
      <c r="AZ1577">
        <v>4202</v>
      </c>
      <c r="BA1577">
        <v>7438</v>
      </c>
      <c r="BB1577">
        <v>1432</v>
      </c>
      <c r="BC1577">
        <v>13072</v>
      </c>
      <c r="BD1577">
        <v>9486</v>
      </c>
      <c r="BE1577">
        <v>9222</v>
      </c>
      <c r="BF1577">
        <v>1768</v>
      </c>
      <c r="BG1577">
        <v>20476</v>
      </c>
      <c r="BH1577">
        <v>0</v>
      </c>
      <c r="BI1577">
        <v>0</v>
      </c>
      <c r="BJ1577">
        <v>0</v>
      </c>
      <c r="BK1577">
        <v>0</v>
      </c>
      <c r="BL1577" s="2">
        <v>24.82</v>
      </c>
      <c r="BM1577" s="2">
        <v>42005.095138888886</v>
      </c>
      <c r="BN1577" s="2">
        <v>5.4</v>
      </c>
      <c r="BO1577" s="2">
        <v>42005.092361111114</v>
      </c>
      <c r="BP1577" s="2">
        <v>6.92</v>
      </c>
      <c r="BQ1577" s="2">
        <v>42005.092361111114</v>
      </c>
      <c r="BR1577" s="2">
        <v>11.07</v>
      </c>
      <c r="BS1577" s="2">
        <v>42005.092361111114</v>
      </c>
      <c r="BT1577">
        <v>0</v>
      </c>
      <c r="BU1577">
        <v>0</v>
      </c>
      <c r="BV1577" t="s">
        <v>135</v>
      </c>
      <c r="BW1577">
        <v>0</v>
      </c>
      <c r="BX1577">
        <v>0</v>
      </c>
      <c r="BY1577" t="s">
        <v>135</v>
      </c>
      <c r="BZ1577">
        <v>0</v>
      </c>
      <c r="CA1577">
        <v>0</v>
      </c>
      <c r="CB1577" t="s">
        <v>135</v>
      </c>
      <c r="CH1577" s="2"/>
      <c r="CJ1577" s="2"/>
      <c r="CL1577" s="2"/>
      <c r="CN1577" s="2"/>
      <c r="CQ1577" s="2"/>
      <c r="CT1577" s="2"/>
      <c r="CW1577" s="2"/>
    </row>
    <row r="1578" spans="1:101" x14ac:dyDescent="0.25">
      <c r="A1578" s="1" t="s">
        <v>163</v>
      </c>
      <c r="B1578" s="75" t="s">
        <v>164</v>
      </c>
      <c r="C1578">
        <v>0</v>
      </c>
      <c r="D1578">
        <v>0</v>
      </c>
      <c r="E1578">
        <v>0</v>
      </c>
      <c r="F1578">
        <v>604324.56000000006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3.91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7490</v>
      </c>
      <c r="AW1578">
        <v>3350</v>
      </c>
      <c r="AX1578">
        <v>1219</v>
      </c>
      <c r="AY1578">
        <v>12059</v>
      </c>
      <c r="AZ1578">
        <v>4202</v>
      </c>
      <c r="BA1578">
        <v>7438</v>
      </c>
      <c r="BB1578">
        <v>1432</v>
      </c>
      <c r="BC1578">
        <v>13072</v>
      </c>
      <c r="BD1578">
        <v>9486</v>
      </c>
      <c r="BE1578">
        <v>9222</v>
      </c>
      <c r="BF1578">
        <v>1768</v>
      </c>
      <c r="BG1578">
        <v>20476</v>
      </c>
      <c r="BH1578">
        <v>0</v>
      </c>
      <c r="BI1578">
        <v>0</v>
      </c>
      <c r="BJ1578">
        <v>0</v>
      </c>
      <c r="BK1578">
        <v>0</v>
      </c>
      <c r="BL1578" s="2">
        <v>24.82</v>
      </c>
      <c r="BM1578" s="2">
        <v>42005.095138888886</v>
      </c>
      <c r="BN1578" s="2">
        <v>5.4</v>
      </c>
      <c r="BO1578" s="2">
        <v>42005.092361111114</v>
      </c>
      <c r="BP1578" s="2">
        <v>6.92</v>
      </c>
      <c r="BQ1578" s="2">
        <v>42005.092361111114</v>
      </c>
      <c r="BR1578" s="2">
        <v>11.07</v>
      </c>
      <c r="BS1578" s="2">
        <v>42005.092361111114</v>
      </c>
      <c r="BT1578">
        <v>0</v>
      </c>
      <c r="BU1578">
        <v>0</v>
      </c>
      <c r="BV1578" t="s">
        <v>135</v>
      </c>
      <c r="BW1578">
        <v>0</v>
      </c>
      <c r="BX1578">
        <v>0</v>
      </c>
      <c r="BY1578" t="s">
        <v>135</v>
      </c>
      <c r="BZ1578">
        <v>0</v>
      </c>
      <c r="CA1578">
        <v>0</v>
      </c>
      <c r="CB1578" t="s">
        <v>135</v>
      </c>
      <c r="CH1578" s="2"/>
      <c r="CJ1578" s="2"/>
      <c r="CL1578" s="2"/>
      <c r="CN1578" s="2"/>
      <c r="CQ1578" s="2"/>
      <c r="CT1578" s="2"/>
      <c r="CW1578" s="2"/>
    </row>
    <row r="1579" spans="1:101" x14ac:dyDescent="0.25">
      <c r="A1579" s="1" t="s">
        <v>163</v>
      </c>
      <c r="B1579" s="75" t="s">
        <v>164</v>
      </c>
      <c r="C1579">
        <v>0</v>
      </c>
      <c r="D1579">
        <v>0</v>
      </c>
      <c r="E1579">
        <v>0</v>
      </c>
      <c r="F1579">
        <v>604324.56000000006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3.91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7490</v>
      </c>
      <c r="AW1579">
        <v>3350</v>
      </c>
      <c r="AX1579">
        <v>1219</v>
      </c>
      <c r="AY1579">
        <v>12059</v>
      </c>
      <c r="AZ1579">
        <v>4202</v>
      </c>
      <c r="BA1579">
        <v>7438</v>
      </c>
      <c r="BB1579">
        <v>1432</v>
      </c>
      <c r="BC1579">
        <v>13072</v>
      </c>
      <c r="BD1579">
        <v>9486</v>
      </c>
      <c r="BE1579">
        <v>9222</v>
      </c>
      <c r="BF1579">
        <v>1768</v>
      </c>
      <c r="BG1579">
        <v>20476</v>
      </c>
      <c r="BH1579">
        <v>0</v>
      </c>
      <c r="BI1579">
        <v>0</v>
      </c>
      <c r="BJ1579">
        <v>0</v>
      </c>
      <c r="BK1579">
        <v>0</v>
      </c>
      <c r="BL1579" s="2">
        <v>24.82</v>
      </c>
      <c r="BM1579" s="2">
        <v>42005.095138888886</v>
      </c>
      <c r="BN1579" s="2">
        <v>5.4</v>
      </c>
      <c r="BO1579" s="2">
        <v>42005.092361111114</v>
      </c>
      <c r="BP1579" s="2">
        <v>6.92</v>
      </c>
      <c r="BQ1579" s="2">
        <v>42005.092361111114</v>
      </c>
      <c r="BR1579" s="2">
        <v>11.07</v>
      </c>
      <c r="BS1579" s="2">
        <v>42005.092361111114</v>
      </c>
      <c r="BT1579">
        <v>0</v>
      </c>
      <c r="BU1579">
        <v>0</v>
      </c>
      <c r="BV1579" t="s">
        <v>135</v>
      </c>
      <c r="BW1579">
        <v>0</v>
      </c>
      <c r="BX1579">
        <v>0</v>
      </c>
      <c r="BY1579" t="s">
        <v>135</v>
      </c>
      <c r="BZ1579">
        <v>0</v>
      </c>
      <c r="CA1579">
        <v>0</v>
      </c>
      <c r="CB1579" t="s">
        <v>135</v>
      </c>
      <c r="CH1579" s="2"/>
      <c r="CJ1579" s="2"/>
      <c r="CL1579" s="2"/>
      <c r="CN1579" s="2"/>
      <c r="CQ1579" s="2"/>
      <c r="CT1579" s="2"/>
      <c r="CW1579" s="2"/>
    </row>
    <row r="1580" spans="1:101" x14ac:dyDescent="0.25">
      <c r="A1580" s="1" t="s">
        <v>163</v>
      </c>
      <c r="B1580" s="75" t="s">
        <v>164</v>
      </c>
      <c r="C1580">
        <v>0</v>
      </c>
      <c r="D1580">
        <v>0</v>
      </c>
      <c r="E1580">
        <v>0</v>
      </c>
      <c r="F1580">
        <v>604324.56000000006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3.91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7490</v>
      </c>
      <c r="AW1580">
        <v>3350</v>
      </c>
      <c r="AX1580">
        <v>1219</v>
      </c>
      <c r="AY1580">
        <v>12059</v>
      </c>
      <c r="AZ1580">
        <v>4202</v>
      </c>
      <c r="BA1580">
        <v>7438</v>
      </c>
      <c r="BB1580">
        <v>1432</v>
      </c>
      <c r="BC1580">
        <v>13072</v>
      </c>
      <c r="BD1580">
        <v>9486</v>
      </c>
      <c r="BE1580">
        <v>9222</v>
      </c>
      <c r="BF1580">
        <v>1768</v>
      </c>
      <c r="BG1580">
        <v>20476</v>
      </c>
      <c r="BH1580">
        <v>0</v>
      </c>
      <c r="BI1580">
        <v>0</v>
      </c>
      <c r="BJ1580">
        <v>0</v>
      </c>
      <c r="BK1580">
        <v>0</v>
      </c>
      <c r="BL1580" s="2">
        <v>24.82</v>
      </c>
      <c r="BM1580" s="2">
        <v>42005.095138888886</v>
      </c>
      <c r="BN1580" s="2">
        <v>5.4</v>
      </c>
      <c r="BO1580" s="2">
        <v>42005.092361111114</v>
      </c>
      <c r="BP1580" s="2">
        <v>6.92</v>
      </c>
      <c r="BQ1580" s="2">
        <v>42005.092361111114</v>
      </c>
      <c r="BR1580" s="2">
        <v>11.07</v>
      </c>
      <c r="BS1580" s="2">
        <v>42005.092361111114</v>
      </c>
      <c r="BT1580">
        <v>0</v>
      </c>
      <c r="BU1580">
        <v>0</v>
      </c>
      <c r="BV1580" t="s">
        <v>135</v>
      </c>
      <c r="BW1580">
        <v>0</v>
      </c>
      <c r="BX1580">
        <v>0</v>
      </c>
      <c r="BY1580" t="s">
        <v>135</v>
      </c>
      <c r="BZ1580">
        <v>0</v>
      </c>
      <c r="CA1580">
        <v>0</v>
      </c>
      <c r="CB1580" t="s">
        <v>135</v>
      </c>
      <c r="CH1580" s="2"/>
      <c r="CJ1580" s="2"/>
      <c r="CL1580" s="2"/>
      <c r="CN1580" s="2"/>
      <c r="CQ1580" s="2"/>
      <c r="CT1580" s="2"/>
      <c r="CW1580" s="2"/>
    </row>
    <row r="1581" spans="1:101" x14ac:dyDescent="0.25">
      <c r="A1581" s="1" t="s">
        <v>163</v>
      </c>
      <c r="B1581" s="75" t="s">
        <v>164</v>
      </c>
      <c r="C1581">
        <v>0</v>
      </c>
      <c r="D1581">
        <v>0</v>
      </c>
      <c r="E1581">
        <v>0</v>
      </c>
      <c r="F1581">
        <v>604324.56000000006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3.91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7490</v>
      </c>
      <c r="AW1581">
        <v>3350</v>
      </c>
      <c r="AX1581">
        <v>1219</v>
      </c>
      <c r="AY1581">
        <v>12059</v>
      </c>
      <c r="AZ1581">
        <v>4202</v>
      </c>
      <c r="BA1581">
        <v>7438</v>
      </c>
      <c r="BB1581">
        <v>1432</v>
      </c>
      <c r="BC1581">
        <v>13072</v>
      </c>
      <c r="BD1581">
        <v>9486</v>
      </c>
      <c r="BE1581">
        <v>9222</v>
      </c>
      <c r="BF1581">
        <v>1768</v>
      </c>
      <c r="BG1581">
        <v>20476</v>
      </c>
      <c r="BH1581">
        <v>0</v>
      </c>
      <c r="BI1581">
        <v>0</v>
      </c>
      <c r="BJ1581">
        <v>0</v>
      </c>
      <c r="BK1581">
        <v>0</v>
      </c>
      <c r="BL1581" s="2">
        <v>24.82</v>
      </c>
      <c r="BM1581" s="2">
        <v>42005.095138888886</v>
      </c>
      <c r="BN1581" s="2">
        <v>5.4</v>
      </c>
      <c r="BO1581" s="2">
        <v>42005.092361111114</v>
      </c>
      <c r="BP1581" s="2">
        <v>6.92</v>
      </c>
      <c r="BQ1581" s="2">
        <v>42005.092361111114</v>
      </c>
      <c r="BR1581" s="2">
        <v>11.07</v>
      </c>
      <c r="BS1581" s="2">
        <v>42005.092361111114</v>
      </c>
      <c r="BT1581">
        <v>0</v>
      </c>
      <c r="BU1581">
        <v>0</v>
      </c>
      <c r="BV1581" t="s">
        <v>135</v>
      </c>
      <c r="BW1581">
        <v>0</v>
      </c>
      <c r="BX1581">
        <v>0</v>
      </c>
      <c r="BY1581" t="s">
        <v>135</v>
      </c>
      <c r="BZ1581">
        <v>0</v>
      </c>
      <c r="CA1581">
        <v>0</v>
      </c>
      <c r="CB1581" t="s">
        <v>135</v>
      </c>
      <c r="CH1581" s="2"/>
      <c r="CJ1581" s="2"/>
      <c r="CL1581" s="2"/>
      <c r="CN1581" s="2"/>
      <c r="CQ1581" s="2"/>
      <c r="CT1581" s="2"/>
      <c r="CW1581" s="2"/>
    </row>
    <row r="1582" spans="1:101" x14ac:dyDescent="0.25">
      <c r="A1582" s="1" t="s">
        <v>163</v>
      </c>
      <c r="B1582" s="75" t="s">
        <v>164</v>
      </c>
      <c r="C1582">
        <v>0</v>
      </c>
      <c r="D1582">
        <v>0</v>
      </c>
      <c r="E1582">
        <v>0</v>
      </c>
      <c r="F1582">
        <v>604324.56000000006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3.91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7490</v>
      </c>
      <c r="AW1582">
        <v>3350</v>
      </c>
      <c r="AX1582">
        <v>1219</v>
      </c>
      <c r="AY1582">
        <v>12059</v>
      </c>
      <c r="AZ1582">
        <v>4202</v>
      </c>
      <c r="BA1582">
        <v>7438</v>
      </c>
      <c r="BB1582">
        <v>1432</v>
      </c>
      <c r="BC1582">
        <v>13072</v>
      </c>
      <c r="BD1582">
        <v>9486</v>
      </c>
      <c r="BE1582">
        <v>9222</v>
      </c>
      <c r="BF1582">
        <v>1768</v>
      </c>
      <c r="BG1582">
        <v>20476</v>
      </c>
      <c r="BH1582">
        <v>0</v>
      </c>
      <c r="BI1582">
        <v>0</v>
      </c>
      <c r="BJ1582">
        <v>0</v>
      </c>
      <c r="BK1582">
        <v>0</v>
      </c>
      <c r="BL1582" s="2">
        <v>24.82</v>
      </c>
      <c r="BM1582" s="2">
        <v>42005.095138888886</v>
      </c>
      <c r="BN1582" s="2">
        <v>5.4</v>
      </c>
      <c r="BO1582" s="2">
        <v>42005.092361111114</v>
      </c>
      <c r="BP1582" s="2">
        <v>6.92</v>
      </c>
      <c r="BQ1582" s="2">
        <v>42005.092361111114</v>
      </c>
      <c r="BR1582" s="2">
        <v>11.07</v>
      </c>
      <c r="BS1582" s="2">
        <v>42005.092361111114</v>
      </c>
      <c r="BT1582">
        <v>0</v>
      </c>
      <c r="BU1582">
        <v>0</v>
      </c>
      <c r="BV1582" t="s">
        <v>135</v>
      </c>
      <c r="BW1582">
        <v>0</v>
      </c>
      <c r="BX1582">
        <v>0</v>
      </c>
      <c r="BY1582" t="s">
        <v>135</v>
      </c>
      <c r="BZ1582">
        <v>0</v>
      </c>
      <c r="CA1582">
        <v>0</v>
      </c>
      <c r="CB1582" t="s">
        <v>135</v>
      </c>
      <c r="CH1582" s="2"/>
      <c r="CJ1582" s="2"/>
      <c r="CL1582" s="2"/>
      <c r="CN1582" s="2"/>
      <c r="CQ1582" s="2"/>
      <c r="CT1582" s="2"/>
      <c r="CW1582" s="2"/>
    </row>
    <row r="1583" spans="1:101" x14ac:dyDescent="0.25">
      <c r="A1583" s="1" t="s">
        <v>163</v>
      </c>
      <c r="B1583" s="75" t="s">
        <v>164</v>
      </c>
      <c r="C1583">
        <v>0</v>
      </c>
      <c r="D1583">
        <v>0</v>
      </c>
      <c r="E1583">
        <v>0</v>
      </c>
      <c r="F1583">
        <v>604324.56000000006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3.91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7490</v>
      </c>
      <c r="AW1583">
        <v>3350</v>
      </c>
      <c r="AX1583">
        <v>1219</v>
      </c>
      <c r="AY1583">
        <v>12059</v>
      </c>
      <c r="AZ1583">
        <v>4202</v>
      </c>
      <c r="BA1583">
        <v>7438</v>
      </c>
      <c r="BB1583">
        <v>1432</v>
      </c>
      <c r="BC1583">
        <v>13072</v>
      </c>
      <c r="BD1583">
        <v>9486</v>
      </c>
      <c r="BE1583">
        <v>9222</v>
      </c>
      <c r="BF1583">
        <v>1768</v>
      </c>
      <c r="BG1583">
        <v>20476</v>
      </c>
      <c r="BH1583">
        <v>0</v>
      </c>
      <c r="BI1583">
        <v>0</v>
      </c>
      <c r="BJ1583">
        <v>0</v>
      </c>
      <c r="BK1583">
        <v>0</v>
      </c>
      <c r="BL1583" s="2">
        <v>24.82</v>
      </c>
      <c r="BM1583" s="2">
        <v>42005.095138888886</v>
      </c>
      <c r="BN1583" s="2">
        <v>5.4</v>
      </c>
      <c r="BO1583" s="2">
        <v>42005.092361111114</v>
      </c>
      <c r="BP1583" s="2">
        <v>6.92</v>
      </c>
      <c r="BQ1583" s="2">
        <v>42005.092361111114</v>
      </c>
      <c r="BR1583" s="2">
        <v>11.07</v>
      </c>
      <c r="BS1583" s="2">
        <v>42005.092361111114</v>
      </c>
      <c r="BT1583">
        <v>0</v>
      </c>
      <c r="BU1583">
        <v>0</v>
      </c>
      <c r="BV1583" t="s">
        <v>135</v>
      </c>
      <c r="BW1583">
        <v>0</v>
      </c>
      <c r="BX1583">
        <v>0</v>
      </c>
      <c r="BY1583" t="s">
        <v>135</v>
      </c>
      <c r="BZ1583">
        <v>0</v>
      </c>
      <c r="CA1583">
        <v>0</v>
      </c>
      <c r="CB1583" t="s">
        <v>135</v>
      </c>
      <c r="CH1583" s="2"/>
      <c r="CJ1583" s="2"/>
      <c r="CL1583" s="2"/>
      <c r="CN1583" s="2"/>
      <c r="CQ1583" s="2"/>
      <c r="CT1583" s="2"/>
      <c r="CW1583" s="2"/>
    </row>
    <row r="1584" spans="1:101" x14ac:dyDescent="0.25">
      <c r="A1584" s="1" t="s">
        <v>163</v>
      </c>
      <c r="B1584" s="75" t="s">
        <v>164</v>
      </c>
      <c r="C1584">
        <v>0</v>
      </c>
      <c r="D1584">
        <v>0</v>
      </c>
      <c r="E1584">
        <v>0</v>
      </c>
      <c r="F1584">
        <v>604324.56000000006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3.91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7490</v>
      </c>
      <c r="AW1584">
        <v>3350</v>
      </c>
      <c r="AX1584">
        <v>1219</v>
      </c>
      <c r="AY1584">
        <v>12059</v>
      </c>
      <c r="AZ1584">
        <v>4202</v>
      </c>
      <c r="BA1584">
        <v>7438</v>
      </c>
      <c r="BB1584">
        <v>1432</v>
      </c>
      <c r="BC1584">
        <v>13072</v>
      </c>
      <c r="BD1584">
        <v>9486</v>
      </c>
      <c r="BE1584">
        <v>9222</v>
      </c>
      <c r="BF1584">
        <v>1768</v>
      </c>
      <c r="BG1584">
        <v>20476</v>
      </c>
      <c r="BH1584">
        <v>0</v>
      </c>
      <c r="BI1584">
        <v>0</v>
      </c>
      <c r="BJ1584">
        <v>0</v>
      </c>
      <c r="BK1584">
        <v>0</v>
      </c>
      <c r="BL1584" s="2">
        <v>24.82</v>
      </c>
      <c r="BM1584" s="2">
        <v>42005.095138888886</v>
      </c>
      <c r="BN1584" s="2">
        <v>5.4</v>
      </c>
      <c r="BO1584" s="2">
        <v>42005.092361111114</v>
      </c>
      <c r="BP1584" s="2">
        <v>6.92</v>
      </c>
      <c r="BQ1584" s="2">
        <v>42005.092361111114</v>
      </c>
      <c r="BR1584" s="2">
        <v>11.07</v>
      </c>
      <c r="BS1584" s="2">
        <v>42005.092361111114</v>
      </c>
      <c r="BT1584">
        <v>0</v>
      </c>
      <c r="BU1584">
        <v>0</v>
      </c>
      <c r="BV1584" t="s">
        <v>135</v>
      </c>
      <c r="BW1584">
        <v>0</v>
      </c>
      <c r="BX1584">
        <v>0</v>
      </c>
      <c r="BY1584" t="s">
        <v>135</v>
      </c>
      <c r="BZ1584">
        <v>0</v>
      </c>
      <c r="CA1584">
        <v>0</v>
      </c>
      <c r="CB1584" t="s">
        <v>135</v>
      </c>
      <c r="CH1584" s="2"/>
      <c r="CJ1584" s="2"/>
      <c r="CL1584" s="2"/>
      <c r="CN1584" s="2"/>
      <c r="CQ1584" s="2"/>
      <c r="CT1584" s="2"/>
      <c r="CW1584" s="2"/>
    </row>
    <row r="1585" spans="1:101" x14ac:dyDescent="0.25">
      <c r="A1585" s="1" t="s">
        <v>163</v>
      </c>
      <c r="B1585" s="75" t="s">
        <v>164</v>
      </c>
      <c r="C1585">
        <v>0</v>
      </c>
      <c r="D1585">
        <v>0</v>
      </c>
      <c r="E1585">
        <v>0</v>
      </c>
      <c r="F1585">
        <v>604324.56000000006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3.91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7490</v>
      </c>
      <c r="AW1585">
        <v>3350</v>
      </c>
      <c r="AX1585">
        <v>1219</v>
      </c>
      <c r="AY1585">
        <v>12059</v>
      </c>
      <c r="AZ1585">
        <v>4202</v>
      </c>
      <c r="BA1585">
        <v>7438</v>
      </c>
      <c r="BB1585">
        <v>1432</v>
      </c>
      <c r="BC1585">
        <v>13072</v>
      </c>
      <c r="BD1585">
        <v>9486</v>
      </c>
      <c r="BE1585">
        <v>9222</v>
      </c>
      <c r="BF1585">
        <v>1768</v>
      </c>
      <c r="BG1585">
        <v>20476</v>
      </c>
      <c r="BH1585">
        <v>0</v>
      </c>
      <c r="BI1585">
        <v>0</v>
      </c>
      <c r="BJ1585">
        <v>0</v>
      </c>
      <c r="BK1585">
        <v>0</v>
      </c>
      <c r="BL1585" s="2">
        <v>24.82</v>
      </c>
      <c r="BM1585" s="2">
        <v>42005.095138888886</v>
      </c>
      <c r="BN1585" s="2">
        <v>5.4</v>
      </c>
      <c r="BO1585" s="2">
        <v>42005.092361111114</v>
      </c>
      <c r="BP1585" s="2">
        <v>6.92</v>
      </c>
      <c r="BQ1585" s="2">
        <v>42005.092361111114</v>
      </c>
      <c r="BR1585" s="2">
        <v>11.07</v>
      </c>
      <c r="BS1585" s="2">
        <v>42005.092361111114</v>
      </c>
      <c r="BT1585">
        <v>0</v>
      </c>
      <c r="BU1585">
        <v>0</v>
      </c>
      <c r="BV1585" t="s">
        <v>135</v>
      </c>
      <c r="BW1585">
        <v>0</v>
      </c>
      <c r="BX1585">
        <v>0</v>
      </c>
      <c r="BY1585" t="s">
        <v>135</v>
      </c>
      <c r="BZ1585">
        <v>0</v>
      </c>
      <c r="CA1585">
        <v>0</v>
      </c>
      <c r="CB1585" t="s">
        <v>135</v>
      </c>
      <c r="CH1585" s="2"/>
      <c r="CJ1585" s="2"/>
      <c r="CL1585" s="2"/>
      <c r="CN1585" s="2"/>
      <c r="CQ1585" s="2"/>
      <c r="CT1585" s="2"/>
      <c r="CW1585" s="2"/>
    </row>
    <row r="1586" spans="1:101" x14ac:dyDescent="0.25">
      <c r="A1586" s="1" t="s">
        <v>163</v>
      </c>
      <c r="B1586" s="75" t="s">
        <v>164</v>
      </c>
      <c r="C1586">
        <v>0</v>
      </c>
      <c r="D1586">
        <v>0</v>
      </c>
      <c r="E1586">
        <v>0</v>
      </c>
      <c r="F1586">
        <v>604324.56000000006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3.91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7490</v>
      </c>
      <c r="AW1586">
        <v>3350</v>
      </c>
      <c r="AX1586">
        <v>1219</v>
      </c>
      <c r="AY1586">
        <v>12059</v>
      </c>
      <c r="AZ1586">
        <v>4202</v>
      </c>
      <c r="BA1586">
        <v>7438</v>
      </c>
      <c r="BB1586">
        <v>1432</v>
      </c>
      <c r="BC1586">
        <v>13072</v>
      </c>
      <c r="BD1586">
        <v>9486</v>
      </c>
      <c r="BE1586">
        <v>9222</v>
      </c>
      <c r="BF1586">
        <v>1768</v>
      </c>
      <c r="BG1586">
        <v>20476</v>
      </c>
      <c r="BH1586">
        <v>0</v>
      </c>
      <c r="BI1586">
        <v>0</v>
      </c>
      <c r="BJ1586">
        <v>0</v>
      </c>
      <c r="BK1586">
        <v>0</v>
      </c>
      <c r="BL1586" s="2">
        <v>24.82</v>
      </c>
      <c r="BM1586" s="2">
        <v>42005.095138888886</v>
      </c>
      <c r="BN1586" s="2">
        <v>5.4</v>
      </c>
      <c r="BO1586" s="2">
        <v>42005.092361111114</v>
      </c>
      <c r="BP1586" s="2">
        <v>6.92</v>
      </c>
      <c r="BQ1586" s="2">
        <v>42005.092361111114</v>
      </c>
      <c r="BR1586" s="2">
        <v>11.07</v>
      </c>
      <c r="BS1586" s="2">
        <v>42005.092361111114</v>
      </c>
      <c r="BT1586">
        <v>0</v>
      </c>
      <c r="BU1586">
        <v>0</v>
      </c>
      <c r="BV1586" t="s">
        <v>135</v>
      </c>
      <c r="BW1586">
        <v>0</v>
      </c>
      <c r="BX1586">
        <v>0</v>
      </c>
      <c r="BY1586" t="s">
        <v>135</v>
      </c>
      <c r="BZ1586">
        <v>0</v>
      </c>
      <c r="CA1586">
        <v>0</v>
      </c>
      <c r="CB1586" t="s">
        <v>135</v>
      </c>
      <c r="CH1586" s="2"/>
      <c r="CJ1586" s="2"/>
      <c r="CL1586" s="2"/>
      <c r="CN1586" s="2"/>
      <c r="CQ1586" s="2"/>
      <c r="CT1586" s="2"/>
      <c r="CW1586" s="2"/>
    </row>
    <row r="1587" spans="1:101" x14ac:dyDescent="0.25">
      <c r="A1587" s="1" t="s">
        <v>163</v>
      </c>
      <c r="B1587" s="75" t="s">
        <v>164</v>
      </c>
      <c r="C1587">
        <v>0</v>
      </c>
      <c r="D1587">
        <v>0</v>
      </c>
      <c r="E1587">
        <v>0</v>
      </c>
      <c r="F1587">
        <v>604324.56000000006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3.91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7490</v>
      </c>
      <c r="AW1587">
        <v>3350</v>
      </c>
      <c r="AX1587">
        <v>1219</v>
      </c>
      <c r="AY1587">
        <v>12059</v>
      </c>
      <c r="AZ1587">
        <v>4202</v>
      </c>
      <c r="BA1587">
        <v>7438</v>
      </c>
      <c r="BB1587">
        <v>1432</v>
      </c>
      <c r="BC1587">
        <v>13072</v>
      </c>
      <c r="BD1587">
        <v>9486</v>
      </c>
      <c r="BE1587">
        <v>9222</v>
      </c>
      <c r="BF1587">
        <v>1768</v>
      </c>
      <c r="BG1587">
        <v>20476</v>
      </c>
      <c r="BH1587">
        <v>0</v>
      </c>
      <c r="BI1587">
        <v>0</v>
      </c>
      <c r="BJ1587">
        <v>0</v>
      </c>
      <c r="BK1587">
        <v>0</v>
      </c>
      <c r="BL1587" s="2">
        <v>24.82</v>
      </c>
      <c r="BM1587" s="2">
        <v>42005.095138888886</v>
      </c>
      <c r="BN1587" s="2">
        <v>5.4</v>
      </c>
      <c r="BO1587" s="2">
        <v>42005.092361111114</v>
      </c>
      <c r="BP1587" s="2">
        <v>6.92</v>
      </c>
      <c r="BQ1587" s="2">
        <v>42005.092361111114</v>
      </c>
      <c r="BR1587" s="2">
        <v>11.07</v>
      </c>
      <c r="BS1587" s="2">
        <v>42005.092361111114</v>
      </c>
      <c r="BT1587">
        <v>0</v>
      </c>
      <c r="BU1587">
        <v>0</v>
      </c>
      <c r="BV1587" t="s">
        <v>135</v>
      </c>
      <c r="BW1587">
        <v>0</v>
      </c>
      <c r="BX1587">
        <v>0</v>
      </c>
      <c r="BY1587" t="s">
        <v>135</v>
      </c>
      <c r="BZ1587">
        <v>0</v>
      </c>
      <c r="CA1587">
        <v>0</v>
      </c>
      <c r="CB1587" t="s">
        <v>135</v>
      </c>
      <c r="CH1587" s="2"/>
      <c r="CJ1587" s="2"/>
      <c r="CL1587" s="2"/>
      <c r="CN1587" s="2"/>
      <c r="CQ1587" s="2"/>
      <c r="CT1587" s="2"/>
      <c r="CW1587" s="2"/>
    </row>
    <row r="1588" spans="1:101" x14ac:dyDescent="0.25">
      <c r="A1588" s="1" t="s">
        <v>163</v>
      </c>
      <c r="B1588" s="75" t="s">
        <v>164</v>
      </c>
      <c r="C1588">
        <v>0</v>
      </c>
      <c r="D1588">
        <v>0</v>
      </c>
      <c r="E1588">
        <v>0</v>
      </c>
      <c r="F1588">
        <v>604324.56000000006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3.91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7490</v>
      </c>
      <c r="AW1588">
        <v>3350</v>
      </c>
      <c r="AX1588">
        <v>1219</v>
      </c>
      <c r="AY1588">
        <v>12059</v>
      </c>
      <c r="AZ1588">
        <v>4202</v>
      </c>
      <c r="BA1588">
        <v>7438</v>
      </c>
      <c r="BB1588">
        <v>1432</v>
      </c>
      <c r="BC1588">
        <v>13072</v>
      </c>
      <c r="BD1588">
        <v>9486</v>
      </c>
      <c r="BE1588">
        <v>9222</v>
      </c>
      <c r="BF1588">
        <v>1768</v>
      </c>
      <c r="BG1588">
        <v>20476</v>
      </c>
      <c r="BH1588">
        <v>0</v>
      </c>
      <c r="BI1588">
        <v>0</v>
      </c>
      <c r="BJ1588">
        <v>0</v>
      </c>
      <c r="BK1588">
        <v>0</v>
      </c>
      <c r="BL1588" s="2">
        <v>24.82</v>
      </c>
      <c r="BM1588" s="2">
        <v>42005.095138888886</v>
      </c>
      <c r="BN1588" s="2">
        <v>5.4</v>
      </c>
      <c r="BO1588" s="2">
        <v>42005.092361111114</v>
      </c>
      <c r="BP1588" s="2">
        <v>6.92</v>
      </c>
      <c r="BQ1588" s="2">
        <v>42005.092361111114</v>
      </c>
      <c r="BR1588" s="2">
        <v>11.07</v>
      </c>
      <c r="BS1588" s="2">
        <v>42005.092361111114</v>
      </c>
      <c r="BT1588">
        <v>0</v>
      </c>
      <c r="BU1588">
        <v>0</v>
      </c>
      <c r="BV1588" t="s">
        <v>135</v>
      </c>
      <c r="BW1588">
        <v>0</v>
      </c>
      <c r="BX1588">
        <v>0</v>
      </c>
      <c r="BY1588" t="s">
        <v>135</v>
      </c>
      <c r="BZ1588">
        <v>0</v>
      </c>
      <c r="CA1588">
        <v>0</v>
      </c>
      <c r="CB1588" t="s">
        <v>135</v>
      </c>
      <c r="CH1588" s="2"/>
      <c r="CJ1588" s="2"/>
      <c r="CL1588" s="2"/>
      <c r="CN1588" s="2"/>
      <c r="CQ1588" s="2"/>
      <c r="CT1588" s="2"/>
      <c r="CW1588" s="2"/>
    </row>
    <row r="1589" spans="1:101" x14ac:dyDescent="0.25">
      <c r="A1589" s="1" t="s">
        <v>163</v>
      </c>
      <c r="B1589" s="75" t="s">
        <v>164</v>
      </c>
      <c r="C1589">
        <v>0</v>
      </c>
      <c r="D1589">
        <v>0</v>
      </c>
      <c r="E1589">
        <v>0</v>
      </c>
      <c r="F1589">
        <v>604324.56000000006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3.91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7490</v>
      </c>
      <c r="AW1589">
        <v>3350</v>
      </c>
      <c r="AX1589">
        <v>1219</v>
      </c>
      <c r="AY1589">
        <v>12059</v>
      </c>
      <c r="AZ1589">
        <v>4202</v>
      </c>
      <c r="BA1589">
        <v>7438</v>
      </c>
      <c r="BB1589">
        <v>1432</v>
      </c>
      <c r="BC1589">
        <v>13072</v>
      </c>
      <c r="BD1589">
        <v>9486</v>
      </c>
      <c r="BE1589">
        <v>9222</v>
      </c>
      <c r="BF1589">
        <v>1768</v>
      </c>
      <c r="BG1589">
        <v>20476</v>
      </c>
      <c r="BH1589">
        <v>0</v>
      </c>
      <c r="BI1589">
        <v>0</v>
      </c>
      <c r="BJ1589">
        <v>0</v>
      </c>
      <c r="BK1589">
        <v>0</v>
      </c>
      <c r="BL1589" s="2">
        <v>24.82</v>
      </c>
      <c r="BM1589" s="2">
        <v>42005.095138888886</v>
      </c>
      <c r="BN1589" s="2">
        <v>5.4</v>
      </c>
      <c r="BO1589" s="2">
        <v>42005.092361111114</v>
      </c>
      <c r="BP1589" s="2">
        <v>6.92</v>
      </c>
      <c r="BQ1589" s="2">
        <v>42005.092361111114</v>
      </c>
      <c r="BR1589" s="2">
        <v>11.07</v>
      </c>
      <c r="BS1589" s="2">
        <v>42005.092361111114</v>
      </c>
      <c r="BT1589">
        <v>0</v>
      </c>
      <c r="BU1589">
        <v>0</v>
      </c>
      <c r="BV1589" t="s">
        <v>135</v>
      </c>
      <c r="BW1589">
        <v>0</v>
      </c>
      <c r="BX1589">
        <v>0</v>
      </c>
      <c r="BY1589" t="s">
        <v>135</v>
      </c>
      <c r="BZ1589">
        <v>0</v>
      </c>
      <c r="CA1589">
        <v>0</v>
      </c>
      <c r="CB1589" t="s">
        <v>135</v>
      </c>
      <c r="CH1589" s="2"/>
      <c r="CJ1589" s="2"/>
      <c r="CL1589" s="2"/>
      <c r="CN1589" s="2"/>
      <c r="CQ1589" s="2"/>
      <c r="CT1589" s="2"/>
      <c r="CW1589" s="2"/>
    </row>
    <row r="1590" spans="1:101" x14ac:dyDescent="0.25">
      <c r="A1590" s="1" t="s">
        <v>163</v>
      </c>
      <c r="B1590" s="75" t="s">
        <v>164</v>
      </c>
      <c r="C1590">
        <v>0</v>
      </c>
      <c r="D1590">
        <v>0</v>
      </c>
      <c r="E1590">
        <v>0</v>
      </c>
      <c r="F1590">
        <v>604324.56000000006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3.91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7490</v>
      </c>
      <c r="AW1590">
        <v>3350</v>
      </c>
      <c r="AX1590">
        <v>1219</v>
      </c>
      <c r="AY1590">
        <v>12059</v>
      </c>
      <c r="AZ1590">
        <v>4202</v>
      </c>
      <c r="BA1590">
        <v>7438</v>
      </c>
      <c r="BB1590">
        <v>1432</v>
      </c>
      <c r="BC1590">
        <v>13072</v>
      </c>
      <c r="BD1590">
        <v>9486</v>
      </c>
      <c r="BE1590">
        <v>9222</v>
      </c>
      <c r="BF1590">
        <v>1768</v>
      </c>
      <c r="BG1590">
        <v>20476</v>
      </c>
      <c r="BH1590">
        <v>0</v>
      </c>
      <c r="BI1590">
        <v>0</v>
      </c>
      <c r="BJ1590">
        <v>0</v>
      </c>
      <c r="BK1590">
        <v>0</v>
      </c>
      <c r="BL1590" s="2">
        <v>24.82</v>
      </c>
      <c r="BM1590" s="2">
        <v>42005.095138888886</v>
      </c>
      <c r="BN1590" s="2">
        <v>5.4</v>
      </c>
      <c r="BO1590" s="2">
        <v>42005.092361111114</v>
      </c>
      <c r="BP1590" s="2">
        <v>6.92</v>
      </c>
      <c r="BQ1590" s="2">
        <v>42005.092361111114</v>
      </c>
      <c r="BR1590" s="2">
        <v>11.07</v>
      </c>
      <c r="BS1590" s="2">
        <v>42005.092361111114</v>
      </c>
      <c r="BT1590">
        <v>0</v>
      </c>
      <c r="BU1590">
        <v>0</v>
      </c>
      <c r="BV1590" t="s">
        <v>135</v>
      </c>
      <c r="BW1590">
        <v>0</v>
      </c>
      <c r="BX1590">
        <v>0</v>
      </c>
      <c r="BY1590" t="s">
        <v>135</v>
      </c>
      <c r="BZ1590">
        <v>0</v>
      </c>
      <c r="CA1590">
        <v>0</v>
      </c>
      <c r="CB1590" t="s">
        <v>135</v>
      </c>
      <c r="CH1590" s="2"/>
      <c r="CJ1590" s="2"/>
      <c r="CL1590" s="2"/>
      <c r="CN1590" s="2"/>
      <c r="CQ1590" s="2"/>
      <c r="CT1590" s="2"/>
      <c r="CW1590" s="2"/>
    </row>
    <row r="1591" spans="1:101" x14ac:dyDescent="0.25">
      <c r="A1591" s="1" t="s">
        <v>163</v>
      </c>
      <c r="B1591" s="75" t="s">
        <v>164</v>
      </c>
      <c r="C1591">
        <v>0</v>
      </c>
      <c r="D1591">
        <v>0</v>
      </c>
      <c r="E1591">
        <v>0</v>
      </c>
      <c r="F1591">
        <v>604324.56000000006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3.91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7490</v>
      </c>
      <c r="AW1591">
        <v>3350</v>
      </c>
      <c r="AX1591">
        <v>1219</v>
      </c>
      <c r="AY1591">
        <v>12059</v>
      </c>
      <c r="AZ1591">
        <v>4202</v>
      </c>
      <c r="BA1591">
        <v>7438</v>
      </c>
      <c r="BB1591">
        <v>1432</v>
      </c>
      <c r="BC1591">
        <v>13072</v>
      </c>
      <c r="BD1591">
        <v>9486</v>
      </c>
      <c r="BE1591">
        <v>9222</v>
      </c>
      <c r="BF1591">
        <v>1768</v>
      </c>
      <c r="BG1591">
        <v>20476</v>
      </c>
      <c r="BH1591">
        <v>0</v>
      </c>
      <c r="BI1591">
        <v>0</v>
      </c>
      <c r="BJ1591">
        <v>0</v>
      </c>
      <c r="BK1591">
        <v>0</v>
      </c>
      <c r="BL1591" s="2">
        <v>24.82</v>
      </c>
      <c r="BM1591" s="2">
        <v>42005.095138888886</v>
      </c>
      <c r="BN1591" s="2">
        <v>5.4</v>
      </c>
      <c r="BO1591" s="2">
        <v>42005.092361111114</v>
      </c>
      <c r="BP1591" s="2">
        <v>6.92</v>
      </c>
      <c r="BQ1591" s="2">
        <v>42005.092361111114</v>
      </c>
      <c r="BR1591" s="2">
        <v>11.07</v>
      </c>
      <c r="BS1591" s="2">
        <v>42005.092361111114</v>
      </c>
      <c r="BT1591">
        <v>0</v>
      </c>
      <c r="BU1591">
        <v>0</v>
      </c>
      <c r="BV1591" t="s">
        <v>135</v>
      </c>
      <c r="BW1591">
        <v>0</v>
      </c>
      <c r="BX1591">
        <v>0</v>
      </c>
      <c r="BY1591" t="s">
        <v>135</v>
      </c>
      <c r="BZ1591">
        <v>0</v>
      </c>
      <c r="CA1591">
        <v>0</v>
      </c>
      <c r="CB1591" t="s">
        <v>135</v>
      </c>
      <c r="CH1591" s="2"/>
      <c r="CJ1591" s="2"/>
      <c r="CL1591" s="2"/>
      <c r="CN1591" s="2"/>
      <c r="CQ1591" s="2"/>
      <c r="CT1591" s="2"/>
      <c r="CW1591" s="2"/>
    </row>
    <row r="1592" spans="1:101" x14ac:dyDescent="0.25">
      <c r="A1592" s="1" t="s">
        <v>163</v>
      </c>
      <c r="B1592" s="75" t="s">
        <v>164</v>
      </c>
      <c r="C1592">
        <v>0</v>
      </c>
      <c r="D1592">
        <v>0</v>
      </c>
      <c r="E1592">
        <v>0</v>
      </c>
      <c r="F1592">
        <v>604324.56000000006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3.91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7490</v>
      </c>
      <c r="AW1592">
        <v>3350</v>
      </c>
      <c r="AX1592">
        <v>1219</v>
      </c>
      <c r="AY1592">
        <v>12059</v>
      </c>
      <c r="AZ1592">
        <v>4202</v>
      </c>
      <c r="BA1592">
        <v>7438</v>
      </c>
      <c r="BB1592">
        <v>1432</v>
      </c>
      <c r="BC1592">
        <v>13072</v>
      </c>
      <c r="BD1592">
        <v>9486</v>
      </c>
      <c r="BE1592">
        <v>9222</v>
      </c>
      <c r="BF1592">
        <v>1768</v>
      </c>
      <c r="BG1592">
        <v>20476</v>
      </c>
      <c r="BH1592">
        <v>0</v>
      </c>
      <c r="BI1592">
        <v>0</v>
      </c>
      <c r="BJ1592">
        <v>0</v>
      </c>
      <c r="BK1592">
        <v>0</v>
      </c>
      <c r="BL1592" s="2">
        <v>24.82</v>
      </c>
      <c r="BM1592" s="2">
        <v>42005.095138888886</v>
      </c>
      <c r="BN1592" s="2">
        <v>5.4</v>
      </c>
      <c r="BO1592" s="2">
        <v>42005.092361111114</v>
      </c>
      <c r="BP1592" s="2">
        <v>6.92</v>
      </c>
      <c r="BQ1592" s="2">
        <v>42005.092361111114</v>
      </c>
      <c r="BR1592" s="2">
        <v>11.07</v>
      </c>
      <c r="BS1592" s="2">
        <v>42005.092361111114</v>
      </c>
      <c r="BT1592">
        <v>0</v>
      </c>
      <c r="BU1592">
        <v>0</v>
      </c>
      <c r="BV1592" t="s">
        <v>135</v>
      </c>
      <c r="BW1592">
        <v>0</v>
      </c>
      <c r="BX1592">
        <v>0</v>
      </c>
      <c r="BY1592" t="s">
        <v>135</v>
      </c>
      <c r="BZ1592">
        <v>0</v>
      </c>
      <c r="CA1592">
        <v>0</v>
      </c>
      <c r="CB1592" t="s">
        <v>135</v>
      </c>
      <c r="CH1592" s="2"/>
      <c r="CJ1592" s="2"/>
      <c r="CL1592" s="2"/>
      <c r="CN1592" s="2"/>
      <c r="CQ1592" s="2"/>
      <c r="CT1592" s="2"/>
      <c r="CW1592" s="2"/>
    </row>
    <row r="1593" spans="1:101" x14ac:dyDescent="0.25">
      <c r="A1593" s="1" t="s">
        <v>163</v>
      </c>
      <c r="B1593" s="75" t="s">
        <v>164</v>
      </c>
      <c r="C1593">
        <v>0</v>
      </c>
      <c r="D1593">
        <v>0</v>
      </c>
      <c r="E1593">
        <v>0</v>
      </c>
      <c r="F1593">
        <v>604324.56000000006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3.91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7490</v>
      </c>
      <c r="AW1593">
        <v>3350</v>
      </c>
      <c r="AX1593">
        <v>1219</v>
      </c>
      <c r="AY1593">
        <v>12059</v>
      </c>
      <c r="AZ1593">
        <v>4202</v>
      </c>
      <c r="BA1593">
        <v>7438</v>
      </c>
      <c r="BB1593">
        <v>1432</v>
      </c>
      <c r="BC1593">
        <v>13072</v>
      </c>
      <c r="BD1593">
        <v>9486</v>
      </c>
      <c r="BE1593">
        <v>9222</v>
      </c>
      <c r="BF1593">
        <v>1768</v>
      </c>
      <c r="BG1593">
        <v>20476</v>
      </c>
      <c r="BH1593">
        <v>0</v>
      </c>
      <c r="BI1593">
        <v>0</v>
      </c>
      <c r="BJ1593">
        <v>0</v>
      </c>
      <c r="BK1593">
        <v>0</v>
      </c>
      <c r="BL1593" s="2">
        <v>24.82</v>
      </c>
      <c r="BM1593" s="2">
        <v>42005.095138888886</v>
      </c>
      <c r="BN1593" s="2">
        <v>5.4</v>
      </c>
      <c r="BO1593" s="2">
        <v>42005.092361111114</v>
      </c>
      <c r="BP1593" s="2">
        <v>6.92</v>
      </c>
      <c r="BQ1593" s="2">
        <v>42005.092361111114</v>
      </c>
      <c r="BR1593" s="2">
        <v>11.07</v>
      </c>
      <c r="BS1593" s="2">
        <v>42005.092361111114</v>
      </c>
      <c r="BT1593">
        <v>0</v>
      </c>
      <c r="BU1593">
        <v>0</v>
      </c>
      <c r="BV1593" t="s">
        <v>135</v>
      </c>
      <c r="BW1593">
        <v>0</v>
      </c>
      <c r="BX1593">
        <v>0</v>
      </c>
      <c r="BY1593" t="s">
        <v>135</v>
      </c>
      <c r="BZ1593">
        <v>0</v>
      </c>
      <c r="CA1593">
        <v>0</v>
      </c>
      <c r="CB1593" t="s">
        <v>135</v>
      </c>
      <c r="CH1593" s="2"/>
      <c r="CJ1593" s="2"/>
      <c r="CL1593" s="2"/>
      <c r="CN1593" s="2"/>
      <c r="CQ1593" s="2"/>
      <c r="CT1593" s="2"/>
      <c r="CW1593" s="2"/>
    </row>
    <row r="1594" spans="1:101" x14ac:dyDescent="0.25">
      <c r="A1594" s="1" t="s">
        <v>163</v>
      </c>
      <c r="B1594" s="75" t="s">
        <v>164</v>
      </c>
      <c r="C1594">
        <v>0</v>
      </c>
      <c r="D1594">
        <v>0</v>
      </c>
      <c r="E1594">
        <v>0</v>
      </c>
      <c r="F1594">
        <v>604324.56000000006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3.91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7490</v>
      </c>
      <c r="AW1594">
        <v>3350</v>
      </c>
      <c r="AX1594">
        <v>1219</v>
      </c>
      <c r="AY1594">
        <v>12059</v>
      </c>
      <c r="AZ1594">
        <v>4202</v>
      </c>
      <c r="BA1594">
        <v>7438</v>
      </c>
      <c r="BB1594">
        <v>1432</v>
      </c>
      <c r="BC1594">
        <v>13072</v>
      </c>
      <c r="BD1594">
        <v>9486</v>
      </c>
      <c r="BE1594">
        <v>9222</v>
      </c>
      <c r="BF1594">
        <v>1768</v>
      </c>
      <c r="BG1594">
        <v>20476</v>
      </c>
      <c r="BH1594">
        <v>0</v>
      </c>
      <c r="BI1594">
        <v>0</v>
      </c>
      <c r="BJ1594">
        <v>0</v>
      </c>
      <c r="BK1594">
        <v>0</v>
      </c>
      <c r="BL1594" s="2">
        <v>24.82</v>
      </c>
      <c r="BM1594" s="2">
        <v>42005.095138888886</v>
      </c>
      <c r="BN1594" s="2">
        <v>5.4</v>
      </c>
      <c r="BO1594" s="2">
        <v>42005.092361111114</v>
      </c>
      <c r="BP1594" s="2">
        <v>6.92</v>
      </c>
      <c r="BQ1594" s="2">
        <v>42005.092361111114</v>
      </c>
      <c r="BR1594" s="2">
        <v>11.07</v>
      </c>
      <c r="BS1594" s="2">
        <v>42005.092361111114</v>
      </c>
      <c r="BT1594">
        <v>0</v>
      </c>
      <c r="BU1594">
        <v>0</v>
      </c>
      <c r="BV1594" t="s">
        <v>135</v>
      </c>
      <c r="BW1594">
        <v>0</v>
      </c>
      <c r="BX1594">
        <v>0</v>
      </c>
      <c r="BY1594" t="s">
        <v>135</v>
      </c>
      <c r="BZ1594">
        <v>0</v>
      </c>
      <c r="CA1594">
        <v>0</v>
      </c>
      <c r="CB1594" t="s">
        <v>135</v>
      </c>
      <c r="CH1594" s="2"/>
      <c r="CJ1594" s="2"/>
      <c r="CL1594" s="2"/>
      <c r="CN1594" s="2"/>
      <c r="CQ1594" s="2"/>
      <c r="CT1594" s="2"/>
      <c r="CW1594" s="2"/>
    </row>
    <row r="1595" spans="1:101" x14ac:dyDescent="0.25">
      <c r="A1595" s="1" t="s">
        <v>163</v>
      </c>
      <c r="B1595" s="75" t="s">
        <v>164</v>
      </c>
      <c r="C1595">
        <v>0</v>
      </c>
      <c r="D1595">
        <v>0</v>
      </c>
      <c r="E1595">
        <v>0</v>
      </c>
      <c r="F1595">
        <v>604324.56000000006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3.91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7490</v>
      </c>
      <c r="AW1595">
        <v>3350</v>
      </c>
      <c r="AX1595">
        <v>1219</v>
      </c>
      <c r="AY1595">
        <v>12059</v>
      </c>
      <c r="AZ1595">
        <v>4202</v>
      </c>
      <c r="BA1595">
        <v>7438</v>
      </c>
      <c r="BB1595">
        <v>1432</v>
      </c>
      <c r="BC1595">
        <v>13072</v>
      </c>
      <c r="BD1595">
        <v>9486</v>
      </c>
      <c r="BE1595">
        <v>9222</v>
      </c>
      <c r="BF1595">
        <v>1768</v>
      </c>
      <c r="BG1595">
        <v>20476</v>
      </c>
      <c r="BH1595">
        <v>0</v>
      </c>
      <c r="BI1595">
        <v>0</v>
      </c>
      <c r="BJ1595">
        <v>0</v>
      </c>
      <c r="BK1595">
        <v>0</v>
      </c>
      <c r="BL1595" s="2">
        <v>24.82</v>
      </c>
      <c r="BM1595" s="2">
        <v>42005.095138888886</v>
      </c>
      <c r="BN1595" s="2">
        <v>5.4</v>
      </c>
      <c r="BO1595" s="2">
        <v>42005.092361111114</v>
      </c>
      <c r="BP1595" s="2">
        <v>6.92</v>
      </c>
      <c r="BQ1595" s="2">
        <v>42005.092361111114</v>
      </c>
      <c r="BR1595" s="2">
        <v>11.07</v>
      </c>
      <c r="BS1595" s="2">
        <v>42005.092361111114</v>
      </c>
      <c r="BT1595">
        <v>0</v>
      </c>
      <c r="BU1595">
        <v>0</v>
      </c>
      <c r="BV1595" t="s">
        <v>135</v>
      </c>
      <c r="BW1595">
        <v>0</v>
      </c>
      <c r="BX1595">
        <v>0</v>
      </c>
      <c r="BY1595" t="s">
        <v>135</v>
      </c>
      <c r="BZ1595">
        <v>0</v>
      </c>
      <c r="CA1595">
        <v>0</v>
      </c>
      <c r="CB1595" t="s">
        <v>135</v>
      </c>
      <c r="CH1595" s="2"/>
      <c r="CJ1595" s="2"/>
      <c r="CL1595" s="2"/>
      <c r="CN1595" s="2"/>
      <c r="CQ1595" s="2"/>
      <c r="CT1595" s="2"/>
      <c r="CW1595" s="2"/>
    </row>
    <row r="1596" spans="1:101" x14ac:dyDescent="0.25">
      <c r="A1596" s="1" t="s">
        <v>163</v>
      </c>
      <c r="B1596" s="75" t="s">
        <v>164</v>
      </c>
      <c r="C1596">
        <v>0</v>
      </c>
      <c r="D1596">
        <v>0</v>
      </c>
      <c r="E1596">
        <v>0</v>
      </c>
      <c r="F1596">
        <v>604324.56000000006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3.91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7490</v>
      </c>
      <c r="AW1596">
        <v>3350</v>
      </c>
      <c r="AX1596">
        <v>1219</v>
      </c>
      <c r="AY1596">
        <v>12059</v>
      </c>
      <c r="AZ1596">
        <v>4202</v>
      </c>
      <c r="BA1596">
        <v>7438</v>
      </c>
      <c r="BB1596">
        <v>1432</v>
      </c>
      <c r="BC1596">
        <v>13072</v>
      </c>
      <c r="BD1596">
        <v>9486</v>
      </c>
      <c r="BE1596">
        <v>9222</v>
      </c>
      <c r="BF1596">
        <v>1768</v>
      </c>
      <c r="BG1596">
        <v>20476</v>
      </c>
      <c r="BH1596">
        <v>0</v>
      </c>
      <c r="BI1596">
        <v>0</v>
      </c>
      <c r="BJ1596">
        <v>0</v>
      </c>
      <c r="BK1596">
        <v>0</v>
      </c>
      <c r="BL1596" s="2">
        <v>24.82</v>
      </c>
      <c r="BM1596" s="2">
        <v>42005.095138888886</v>
      </c>
      <c r="BN1596" s="2">
        <v>5.4</v>
      </c>
      <c r="BO1596" s="2">
        <v>42005.092361111114</v>
      </c>
      <c r="BP1596" s="2">
        <v>6.92</v>
      </c>
      <c r="BQ1596" s="2">
        <v>42005.092361111114</v>
      </c>
      <c r="BR1596" s="2">
        <v>11.07</v>
      </c>
      <c r="BS1596" s="2">
        <v>42005.092361111114</v>
      </c>
      <c r="BT1596">
        <v>0</v>
      </c>
      <c r="BU1596">
        <v>0</v>
      </c>
      <c r="BV1596" t="s">
        <v>135</v>
      </c>
      <c r="BW1596">
        <v>0</v>
      </c>
      <c r="BX1596">
        <v>0</v>
      </c>
      <c r="BY1596" t="s">
        <v>135</v>
      </c>
      <c r="BZ1596">
        <v>0</v>
      </c>
      <c r="CA1596">
        <v>0</v>
      </c>
      <c r="CB1596" t="s">
        <v>135</v>
      </c>
      <c r="CH1596" s="2"/>
      <c r="CJ1596" s="2"/>
      <c r="CL1596" s="2"/>
      <c r="CN1596" s="2"/>
      <c r="CQ1596" s="2"/>
      <c r="CT1596" s="2"/>
      <c r="CW1596" s="2"/>
    </row>
    <row r="1597" spans="1:101" x14ac:dyDescent="0.25">
      <c r="A1597" s="1" t="s">
        <v>163</v>
      </c>
      <c r="B1597" s="75" t="s">
        <v>164</v>
      </c>
      <c r="C1597">
        <v>0</v>
      </c>
      <c r="D1597">
        <v>0</v>
      </c>
      <c r="E1597">
        <v>0</v>
      </c>
      <c r="F1597">
        <v>604324.56000000006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3.91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7490</v>
      </c>
      <c r="AW1597">
        <v>3350</v>
      </c>
      <c r="AX1597">
        <v>1219</v>
      </c>
      <c r="AY1597">
        <v>12059</v>
      </c>
      <c r="AZ1597">
        <v>4202</v>
      </c>
      <c r="BA1597">
        <v>7438</v>
      </c>
      <c r="BB1597">
        <v>1432</v>
      </c>
      <c r="BC1597">
        <v>13072</v>
      </c>
      <c r="BD1597">
        <v>9486</v>
      </c>
      <c r="BE1597">
        <v>9222</v>
      </c>
      <c r="BF1597">
        <v>1768</v>
      </c>
      <c r="BG1597">
        <v>20476</v>
      </c>
      <c r="BH1597">
        <v>0</v>
      </c>
      <c r="BI1597">
        <v>0</v>
      </c>
      <c r="BJ1597">
        <v>0</v>
      </c>
      <c r="BK1597">
        <v>0</v>
      </c>
      <c r="BL1597" s="2">
        <v>24.82</v>
      </c>
      <c r="BM1597" s="2">
        <v>42005.095138888886</v>
      </c>
      <c r="BN1597" s="2">
        <v>5.4</v>
      </c>
      <c r="BO1597" s="2">
        <v>42005.092361111114</v>
      </c>
      <c r="BP1597" s="2">
        <v>6.92</v>
      </c>
      <c r="BQ1597" s="2">
        <v>42005.092361111114</v>
      </c>
      <c r="BR1597" s="2">
        <v>11.07</v>
      </c>
      <c r="BS1597" s="2">
        <v>42005.092361111114</v>
      </c>
      <c r="BT1597">
        <v>0</v>
      </c>
      <c r="BU1597">
        <v>0</v>
      </c>
      <c r="BV1597" t="s">
        <v>135</v>
      </c>
      <c r="BW1597">
        <v>0</v>
      </c>
      <c r="BX1597">
        <v>0</v>
      </c>
      <c r="BY1597" t="s">
        <v>135</v>
      </c>
      <c r="BZ1597">
        <v>0</v>
      </c>
      <c r="CA1597">
        <v>0</v>
      </c>
      <c r="CB1597" t="s">
        <v>135</v>
      </c>
      <c r="CH1597" s="2"/>
      <c r="CJ1597" s="2"/>
      <c r="CL1597" s="2"/>
      <c r="CN1597" s="2"/>
      <c r="CQ1597" s="2"/>
      <c r="CT1597" s="2"/>
      <c r="CW1597" s="2"/>
    </row>
    <row r="1598" spans="1:101" x14ac:dyDescent="0.25">
      <c r="A1598" s="1" t="s">
        <v>163</v>
      </c>
      <c r="B1598" s="75" t="s">
        <v>164</v>
      </c>
      <c r="C1598">
        <v>0</v>
      </c>
      <c r="D1598">
        <v>0</v>
      </c>
      <c r="E1598">
        <v>0</v>
      </c>
      <c r="F1598">
        <v>604324.56000000006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3.91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7490</v>
      </c>
      <c r="AW1598">
        <v>3350</v>
      </c>
      <c r="AX1598">
        <v>1219</v>
      </c>
      <c r="AY1598">
        <v>12059</v>
      </c>
      <c r="AZ1598">
        <v>4202</v>
      </c>
      <c r="BA1598">
        <v>7438</v>
      </c>
      <c r="BB1598">
        <v>1432</v>
      </c>
      <c r="BC1598">
        <v>13072</v>
      </c>
      <c r="BD1598">
        <v>9486</v>
      </c>
      <c r="BE1598">
        <v>9222</v>
      </c>
      <c r="BF1598">
        <v>1768</v>
      </c>
      <c r="BG1598">
        <v>20476</v>
      </c>
      <c r="BH1598">
        <v>0</v>
      </c>
      <c r="BI1598">
        <v>0</v>
      </c>
      <c r="BJ1598">
        <v>0</v>
      </c>
      <c r="BK1598">
        <v>0</v>
      </c>
      <c r="BL1598" s="2">
        <v>24.82</v>
      </c>
      <c r="BM1598" s="2">
        <v>42005.095138888886</v>
      </c>
      <c r="BN1598" s="2">
        <v>5.4</v>
      </c>
      <c r="BO1598" s="2">
        <v>42005.092361111114</v>
      </c>
      <c r="BP1598" s="2">
        <v>6.92</v>
      </c>
      <c r="BQ1598" s="2">
        <v>42005.092361111114</v>
      </c>
      <c r="BR1598" s="2">
        <v>11.07</v>
      </c>
      <c r="BS1598" s="2">
        <v>42005.092361111114</v>
      </c>
      <c r="BT1598">
        <v>0</v>
      </c>
      <c r="BU1598">
        <v>0</v>
      </c>
      <c r="BV1598" t="s">
        <v>135</v>
      </c>
      <c r="BW1598">
        <v>0</v>
      </c>
      <c r="BX1598">
        <v>0</v>
      </c>
      <c r="BY1598" t="s">
        <v>135</v>
      </c>
      <c r="BZ1598">
        <v>0</v>
      </c>
      <c r="CA1598">
        <v>0</v>
      </c>
      <c r="CB1598" t="s">
        <v>135</v>
      </c>
      <c r="CH1598" s="2"/>
      <c r="CJ1598" s="2"/>
      <c r="CL1598" s="2"/>
      <c r="CN1598" s="2"/>
      <c r="CQ1598" s="2"/>
      <c r="CT1598" s="2"/>
      <c r="CW1598" s="2"/>
    </row>
    <row r="1599" spans="1:101" x14ac:dyDescent="0.25">
      <c r="A1599" s="1" t="s">
        <v>163</v>
      </c>
      <c r="B1599" s="75" t="s">
        <v>164</v>
      </c>
      <c r="C1599">
        <v>0</v>
      </c>
      <c r="D1599">
        <v>0</v>
      </c>
      <c r="E1599">
        <v>0</v>
      </c>
      <c r="F1599">
        <v>604324.56000000006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3.91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7490</v>
      </c>
      <c r="AW1599">
        <v>3350</v>
      </c>
      <c r="AX1599">
        <v>1219</v>
      </c>
      <c r="AY1599">
        <v>12059</v>
      </c>
      <c r="AZ1599">
        <v>4202</v>
      </c>
      <c r="BA1599">
        <v>7438</v>
      </c>
      <c r="BB1599">
        <v>1432</v>
      </c>
      <c r="BC1599">
        <v>13072</v>
      </c>
      <c r="BD1599">
        <v>9486</v>
      </c>
      <c r="BE1599">
        <v>9222</v>
      </c>
      <c r="BF1599">
        <v>1768</v>
      </c>
      <c r="BG1599">
        <v>20476</v>
      </c>
      <c r="BH1599">
        <v>0</v>
      </c>
      <c r="BI1599">
        <v>0</v>
      </c>
      <c r="BJ1599">
        <v>0</v>
      </c>
      <c r="BK1599">
        <v>0</v>
      </c>
      <c r="BL1599" s="2">
        <v>24.82</v>
      </c>
      <c r="BM1599" s="2">
        <v>42005.095138888886</v>
      </c>
      <c r="BN1599" s="2">
        <v>5.4</v>
      </c>
      <c r="BO1599" s="2">
        <v>42005.092361111114</v>
      </c>
      <c r="BP1599" s="2">
        <v>6.92</v>
      </c>
      <c r="BQ1599" s="2">
        <v>42005.092361111114</v>
      </c>
      <c r="BR1599" s="2">
        <v>11.07</v>
      </c>
      <c r="BS1599" s="2">
        <v>42005.092361111114</v>
      </c>
      <c r="BT1599">
        <v>0</v>
      </c>
      <c r="BU1599">
        <v>0</v>
      </c>
      <c r="BV1599" t="s">
        <v>135</v>
      </c>
      <c r="BW1599">
        <v>0</v>
      </c>
      <c r="BX1599">
        <v>0</v>
      </c>
      <c r="BY1599" t="s">
        <v>135</v>
      </c>
      <c r="BZ1599">
        <v>0</v>
      </c>
      <c r="CA1599">
        <v>0</v>
      </c>
      <c r="CB1599" t="s">
        <v>135</v>
      </c>
      <c r="CH1599" s="2"/>
      <c r="CJ1599" s="2"/>
      <c r="CL1599" s="2"/>
      <c r="CN1599" s="2"/>
      <c r="CQ1599" s="2"/>
      <c r="CT1599" s="2"/>
      <c r="CW1599" s="2"/>
    </row>
    <row r="1600" spans="1:101" x14ac:dyDescent="0.25">
      <c r="A1600" s="1" t="s">
        <v>163</v>
      </c>
      <c r="B1600" s="75" t="s">
        <v>164</v>
      </c>
      <c r="C1600">
        <v>0</v>
      </c>
      <c r="D1600">
        <v>0</v>
      </c>
      <c r="E1600">
        <v>0</v>
      </c>
      <c r="F1600">
        <v>604324.56000000006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3.91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7490</v>
      </c>
      <c r="AW1600">
        <v>3350</v>
      </c>
      <c r="AX1600">
        <v>1219</v>
      </c>
      <c r="AY1600">
        <v>12059</v>
      </c>
      <c r="AZ1600">
        <v>4202</v>
      </c>
      <c r="BA1600">
        <v>7438</v>
      </c>
      <c r="BB1600">
        <v>1432</v>
      </c>
      <c r="BC1600">
        <v>13072</v>
      </c>
      <c r="BD1600">
        <v>9486</v>
      </c>
      <c r="BE1600">
        <v>9222</v>
      </c>
      <c r="BF1600">
        <v>1768</v>
      </c>
      <c r="BG1600">
        <v>20476</v>
      </c>
      <c r="BH1600">
        <v>0</v>
      </c>
      <c r="BI1600">
        <v>0</v>
      </c>
      <c r="BJ1600">
        <v>0</v>
      </c>
      <c r="BK1600">
        <v>0</v>
      </c>
      <c r="BL1600" s="2">
        <v>24.82</v>
      </c>
      <c r="BM1600" s="2">
        <v>42005.095138888886</v>
      </c>
      <c r="BN1600" s="2">
        <v>5.4</v>
      </c>
      <c r="BO1600" s="2">
        <v>42005.092361111114</v>
      </c>
      <c r="BP1600" s="2">
        <v>6.92</v>
      </c>
      <c r="BQ1600" s="2">
        <v>42005.092361111114</v>
      </c>
      <c r="BR1600" s="2">
        <v>11.07</v>
      </c>
      <c r="BS1600" s="2">
        <v>42005.092361111114</v>
      </c>
      <c r="BT1600">
        <v>0</v>
      </c>
      <c r="BU1600">
        <v>0</v>
      </c>
      <c r="BV1600" t="s">
        <v>135</v>
      </c>
      <c r="BW1600">
        <v>0</v>
      </c>
      <c r="BX1600">
        <v>0</v>
      </c>
      <c r="BY1600" t="s">
        <v>135</v>
      </c>
      <c r="BZ1600">
        <v>0</v>
      </c>
      <c r="CA1600">
        <v>0</v>
      </c>
      <c r="CB1600" t="s">
        <v>135</v>
      </c>
      <c r="CH1600" s="2"/>
      <c r="CJ1600" s="2"/>
      <c r="CL1600" s="2"/>
      <c r="CN1600" s="2"/>
      <c r="CQ1600" s="2"/>
      <c r="CT1600" s="2"/>
      <c r="CW1600" s="2"/>
    </row>
    <row r="1601" spans="1:101" x14ac:dyDescent="0.25">
      <c r="A1601" s="1" t="s">
        <v>163</v>
      </c>
      <c r="B1601" s="75" t="s">
        <v>164</v>
      </c>
      <c r="C1601">
        <v>0</v>
      </c>
      <c r="D1601">
        <v>0</v>
      </c>
      <c r="E1601">
        <v>0</v>
      </c>
      <c r="F1601">
        <v>604324.56000000006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3.91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7490</v>
      </c>
      <c r="AW1601">
        <v>3350</v>
      </c>
      <c r="AX1601">
        <v>1219</v>
      </c>
      <c r="AY1601">
        <v>12059</v>
      </c>
      <c r="AZ1601">
        <v>4202</v>
      </c>
      <c r="BA1601">
        <v>7438</v>
      </c>
      <c r="BB1601">
        <v>1432</v>
      </c>
      <c r="BC1601">
        <v>13072</v>
      </c>
      <c r="BD1601">
        <v>9486</v>
      </c>
      <c r="BE1601">
        <v>9222</v>
      </c>
      <c r="BF1601">
        <v>1768</v>
      </c>
      <c r="BG1601">
        <v>20476</v>
      </c>
      <c r="BH1601">
        <v>0</v>
      </c>
      <c r="BI1601">
        <v>0</v>
      </c>
      <c r="BJ1601">
        <v>0</v>
      </c>
      <c r="BK1601">
        <v>0</v>
      </c>
      <c r="BL1601" s="2">
        <v>24.82</v>
      </c>
      <c r="BM1601" s="2">
        <v>42005.095138888886</v>
      </c>
      <c r="BN1601" s="2">
        <v>5.4</v>
      </c>
      <c r="BO1601" s="2">
        <v>42005.092361111114</v>
      </c>
      <c r="BP1601" s="2">
        <v>6.92</v>
      </c>
      <c r="BQ1601" s="2">
        <v>42005.092361111114</v>
      </c>
      <c r="BR1601" s="2">
        <v>11.07</v>
      </c>
      <c r="BS1601" s="2">
        <v>42005.092361111114</v>
      </c>
      <c r="BT1601">
        <v>0</v>
      </c>
      <c r="BU1601">
        <v>0</v>
      </c>
      <c r="BV1601" t="s">
        <v>135</v>
      </c>
      <c r="BW1601">
        <v>0</v>
      </c>
      <c r="BX1601">
        <v>0</v>
      </c>
      <c r="BY1601" t="s">
        <v>135</v>
      </c>
      <c r="BZ1601">
        <v>0</v>
      </c>
      <c r="CA1601">
        <v>0</v>
      </c>
      <c r="CB1601" t="s">
        <v>135</v>
      </c>
      <c r="CH1601" s="2"/>
      <c r="CJ1601" s="2"/>
      <c r="CL1601" s="2"/>
      <c r="CN1601" s="2"/>
      <c r="CQ1601" s="2"/>
      <c r="CT1601" s="2"/>
      <c r="CW1601" s="2"/>
    </row>
    <row r="1602" spans="1:101" x14ac:dyDescent="0.25">
      <c r="A1602" s="1" t="s">
        <v>163</v>
      </c>
      <c r="B1602" s="75" t="s">
        <v>164</v>
      </c>
      <c r="C1602">
        <v>0</v>
      </c>
      <c r="D1602">
        <v>0</v>
      </c>
      <c r="E1602">
        <v>0</v>
      </c>
      <c r="F1602">
        <v>604324.56000000006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3.91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7490</v>
      </c>
      <c r="AW1602">
        <v>3350</v>
      </c>
      <c r="AX1602">
        <v>1219</v>
      </c>
      <c r="AY1602">
        <v>12059</v>
      </c>
      <c r="AZ1602">
        <v>4202</v>
      </c>
      <c r="BA1602">
        <v>7438</v>
      </c>
      <c r="BB1602">
        <v>1432</v>
      </c>
      <c r="BC1602">
        <v>13072</v>
      </c>
      <c r="BD1602">
        <v>9486</v>
      </c>
      <c r="BE1602">
        <v>9222</v>
      </c>
      <c r="BF1602">
        <v>1768</v>
      </c>
      <c r="BG1602">
        <v>20476</v>
      </c>
      <c r="BH1602">
        <v>0</v>
      </c>
      <c r="BI1602">
        <v>0</v>
      </c>
      <c r="BJ1602">
        <v>0</v>
      </c>
      <c r="BK1602">
        <v>0</v>
      </c>
      <c r="BL1602" s="2">
        <v>24.82</v>
      </c>
      <c r="BM1602" s="2">
        <v>42005.095138888886</v>
      </c>
      <c r="BN1602" s="2">
        <v>5.4</v>
      </c>
      <c r="BO1602" s="2">
        <v>42005.092361111114</v>
      </c>
      <c r="BP1602" s="2">
        <v>6.92</v>
      </c>
      <c r="BQ1602" s="2">
        <v>42005.092361111114</v>
      </c>
      <c r="BR1602" s="2">
        <v>11.07</v>
      </c>
      <c r="BS1602" s="2">
        <v>42005.092361111114</v>
      </c>
      <c r="BT1602">
        <v>0</v>
      </c>
      <c r="BU1602">
        <v>0</v>
      </c>
      <c r="BV1602" t="s">
        <v>135</v>
      </c>
      <c r="BW1602">
        <v>0</v>
      </c>
      <c r="BX1602">
        <v>0</v>
      </c>
      <c r="BY1602" t="s">
        <v>135</v>
      </c>
      <c r="BZ1602">
        <v>0</v>
      </c>
      <c r="CA1602">
        <v>0</v>
      </c>
      <c r="CB1602" t="s">
        <v>135</v>
      </c>
      <c r="CH1602" s="2"/>
      <c r="CJ1602" s="2"/>
      <c r="CL1602" s="2"/>
      <c r="CN1602" s="2"/>
      <c r="CQ1602" s="2"/>
      <c r="CT1602" s="2"/>
      <c r="CW1602" s="2"/>
    </row>
    <row r="1603" spans="1:101" x14ac:dyDescent="0.25">
      <c r="A1603" s="1" t="s">
        <v>163</v>
      </c>
      <c r="B1603" s="75" t="s">
        <v>164</v>
      </c>
      <c r="C1603">
        <v>0</v>
      </c>
      <c r="D1603">
        <v>0</v>
      </c>
      <c r="E1603">
        <v>0</v>
      </c>
      <c r="F1603">
        <v>604324.56000000006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3.91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7490</v>
      </c>
      <c r="AW1603">
        <v>3350</v>
      </c>
      <c r="AX1603">
        <v>1219</v>
      </c>
      <c r="AY1603">
        <v>12059</v>
      </c>
      <c r="AZ1603">
        <v>4202</v>
      </c>
      <c r="BA1603">
        <v>7438</v>
      </c>
      <c r="BB1603">
        <v>1432</v>
      </c>
      <c r="BC1603">
        <v>13072</v>
      </c>
      <c r="BD1603">
        <v>9486</v>
      </c>
      <c r="BE1603">
        <v>9222</v>
      </c>
      <c r="BF1603">
        <v>1768</v>
      </c>
      <c r="BG1603">
        <v>20476</v>
      </c>
      <c r="BH1603">
        <v>0</v>
      </c>
      <c r="BI1603">
        <v>0</v>
      </c>
      <c r="BJ1603">
        <v>0</v>
      </c>
      <c r="BK1603">
        <v>0</v>
      </c>
      <c r="BL1603" s="2">
        <v>24.82</v>
      </c>
      <c r="BM1603" s="2">
        <v>42005.095138888886</v>
      </c>
      <c r="BN1603" s="2">
        <v>5.4</v>
      </c>
      <c r="BO1603" s="2">
        <v>42005.092361111114</v>
      </c>
      <c r="BP1603" s="2">
        <v>6.92</v>
      </c>
      <c r="BQ1603" s="2">
        <v>42005.092361111114</v>
      </c>
      <c r="BR1603" s="2">
        <v>11.07</v>
      </c>
      <c r="BS1603" s="2">
        <v>42005.092361111114</v>
      </c>
      <c r="BT1603">
        <v>0</v>
      </c>
      <c r="BU1603">
        <v>0</v>
      </c>
      <c r="BV1603" t="s">
        <v>135</v>
      </c>
      <c r="BW1603">
        <v>0</v>
      </c>
      <c r="BX1603">
        <v>0</v>
      </c>
      <c r="BY1603" t="s">
        <v>135</v>
      </c>
      <c r="BZ1603">
        <v>0</v>
      </c>
      <c r="CA1603">
        <v>0</v>
      </c>
      <c r="CB1603" t="s">
        <v>135</v>
      </c>
      <c r="CH1603" s="2"/>
      <c r="CJ1603" s="2"/>
      <c r="CL1603" s="2"/>
      <c r="CN1603" s="2"/>
      <c r="CQ1603" s="2"/>
      <c r="CT1603" s="2"/>
      <c r="CW1603" s="2"/>
    </row>
    <row r="1604" spans="1:101" x14ac:dyDescent="0.25">
      <c r="A1604" s="1" t="s">
        <v>163</v>
      </c>
      <c r="B1604" s="75" t="s">
        <v>164</v>
      </c>
      <c r="C1604">
        <v>0</v>
      </c>
      <c r="D1604">
        <v>0</v>
      </c>
      <c r="E1604">
        <v>0</v>
      </c>
      <c r="F1604">
        <v>604324.56000000006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3.91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7490</v>
      </c>
      <c r="AW1604">
        <v>3350</v>
      </c>
      <c r="AX1604">
        <v>1219</v>
      </c>
      <c r="AY1604">
        <v>12059</v>
      </c>
      <c r="AZ1604">
        <v>4202</v>
      </c>
      <c r="BA1604">
        <v>7438</v>
      </c>
      <c r="BB1604">
        <v>1432</v>
      </c>
      <c r="BC1604">
        <v>13072</v>
      </c>
      <c r="BD1604">
        <v>9486</v>
      </c>
      <c r="BE1604">
        <v>9222</v>
      </c>
      <c r="BF1604">
        <v>1768</v>
      </c>
      <c r="BG1604">
        <v>20476</v>
      </c>
      <c r="BH1604">
        <v>0</v>
      </c>
      <c r="BI1604">
        <v>0</v>
      </c>
      <c r="BJ1604">
        <v>0</v>
      </c>
      <c r="BK1604">
        <v>0</v>
      </c>
      <c r="BL1604" s="2">
        <v>24.82</v>
      </c>
      <c r="BM1604" s="2">
        <v>42005.095138888886</v>
      </c>
      <c r="BN1604" s="2">
        <v>5.4</v>
      </c>
      <c r="BO1604" s="2">
        <v>42005.092361111114</v>
      </c>
      <c r="BP1604" s="2">
        <v>6.92</v>
      </c>
      <c r="BQ1604" s="2">
        <v>42005.092361111114</v>
      </c>
      <c r="BR1604" s="2">
        <v>11.07</v>
      </c>
      <c r="BS1604" s="2">
        <v>42005.092361111114</v>
      </c>
      <c r="BT1604">
        <v>0</v>
      </c>
      <c r="BU1604">
        <v>0</v>
      </c>
      <c r="BV1604" t="s">
        <v>135</v>
      </c>
      <c r="BW1604">
        <v>0</v>
      </c>
      <c r="BX1604">
        <v>0</v>
      </c>
      <c r="BY1604" t="s">
        <v>135</v>
      </c>
      <c r="BZ1604">
        <v>0</v>
      </c>
      <c r="CA1604">
        <v>0</v>
      </c>
      <c r="CB1604" t="s">
        <v>135</v>
      </c>
      <c r="CH1604" s="2"/>
      <c r="CJ1604" s="2"/>
      <c r="CL1604" s="2"/>
      <c r="CN1604" s="2"/>
      <c r="CQ1604" s="2"/>
      <c r="CT1604" s="2"/>
      <c r="CW1604" s="2"/>
    </row>
    <row r="1605" spans="1:101" x14ac:dyDescent="0.25">
      <c r="A1605" s="1" t="s">
        <v>163</v>
      </c>
      <c r="B1605" s="75" t="s">
        <v>164</v>
      </c>
      <c r="C1605">
        <v>0</v>
      </c>
      <c r="D1605">
        <v>0</v>
      </c>
      <c r="E1605">
        <v>0</v>
      </c>
      <c r="F1605">
        <v>604324.56000000006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3.91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7490</v>
      </c>
      <c r="AW1605">
        <v>3350</v>
      </c>
      <c r="AX1605">
        <v>1219</v>
      </c>
      <c r="AY1605">
        <v>12059</v>
      </c>
      <c r="AZ1605">
        <v>4202</v>
      </c>
      <c r="BA1605">
        <v>7438</v>
      </c>
      <c r="BB1605">
        <v>1432</v>
      </c>
      <c r="BC1605">
        <v>13072</v>
      </c>
      <c r="BD1605">
        <v>9486</v>
      </c>
      <c r="BE1605">
        <v>9222</v>
      </c>
      <c r="BF1605">
        <v>1768</v>
      </c>
      <c r="BG1605">
        <v>20476</v>
      </c>
      <c r="BH1605">
        <v>0</v>
      </c>
      <c r="BI1605">
        <v>0</v>
      </c>
      <c r="BJ1605">
        <v>0</v>
      </c>
      <c r="BK1605">
        <v>0</v>
      </c>
      <c r="BL1605" s="2">
        <v>24.82</v>
      </c>
      <c r="BM1605" s="2">
        <v>42005.095138888886</v>
      </c>
      <c r="BN1605" s="2">
        <v>5.4</v>
      </c>
      <c r="BO1605" s="2">
        <v>42005.092361111114</v>
      </c>
      <c r="BP1605" s="2">
        <v>6.92</v>
      </c>
      <c r="BQ1605" s="2">
        <v>42005.092361111114</v>
      </c>
      <c r="BR1605" s="2">
        <v>11.07</v>
      </c>
      <c r="BS1605" s="2">
        <v>42005.092361111114</v>
      </c>
      <c r="BT1605">
        <v>0</v>
      </c>
      <c r="BU1605">
        <v>0</v>
      </c>
      <c r="BV1605" t="s">
        <v>135</v>
      </c>
      <c r="BW1605">
        <v>0</v>
      </c>
      <c r="BX1605">
        <v>0</v>
      </c>
      <c r="BY1605" t="s">
        <v>135</v>
      </c>
      <c r="BZ1605">
        <v>0</v>
      </c>
      <c r="CA1605">
        <v>0</v>
      </c>
      <c r="CB1605" t="s">
        <v>135</v>
      </c>
      <c r="CH1605" s="2"/>
      <c r="CJ1605" s="2"/>
      <c r="CL1605" s="2"/>
      <c r="CN1605" s="2"/>
      <c r="CQ1605" s="2"/>
      <c r="CT1605" s="2"/>
      <c r="CW1605" s="2"/>
    </row>
    <row r="1606" spans="1:101" x14ac:dyDescent="0.25">
      <c r="A1606" s="1" t="s">
        <v>163</v>
      </c>
      <c r="B1606" s="75" t="s">
        <v>164</v>
      </c>
      <c r="C1606">
        <v>0</v>
      </c>
      <c r="D1606">
        <v>0</v>
      </c>
      <c r="E1606">
        <v>0</v>
      </c>
      <c r="F1606">
        <v>604324.56000000006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3.91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7490</v>
      </c>
      <c r="AW1606">
        <v>3350</v>
      </c>
      <c r="AX1606">
        <v>1219</v>
      </c>
      <c r="AY1606">
        <v>12059</v>
      </c>
      <c r="AZ1606">
        <v>4202</v>
      </c>
      <c r="BA1606">
        <v>7438</v>
      </c>
      <c r="BB1606">
        <v>1432</v>
      </c>
      <c r="BC1606">
        <v>13072</v>
      </c>
      <c r="BD1606">
        <v>9486</v>
      </c>
      <c r="BE1606">
        <v>9222</v>
      </c>
      <c r="BF1606">
        <v>1768</v>
      </c>
      <c r="BG1606">
        <v>20476</v>
      </c>
      <c r="BH1606">
        <v>0</v>
      </c>
      <c r="BI1606">
        <v>0</v>
      </c>
      <c r="BJ1606">
        <v>0</v>
      </c>
      <c r="BK1606">
        <v>0</v>
      </c>
      <c r="BL1606" s="2">
        <v>24.82</v>
      </c>
      <c r="BM1606" s="2">
        <v>42005.095138888886</v>
      </c>
      <c r="BN1606" s="2">
        <v>5.4</v>
      </c>
      <c r="BO1606" s="2">
        <v>42005.092361111114</v>
      </c>
      <c r="BP1606" s="2">
        <v>6.92</v>
      </c>
      <c r="BQ1606" s="2">
        <v>42005.092361111114</v>
      </c>
      <c r="BR1606" s="2">
        <v>11.07</v>
      </c>
      <c r="BS1606" s="2">
        <v>42005.092361111114</v>
      </c>
      <c r="BT1606">
        <v>0</v>
      </c>
      <c r="BU1606">
        <v>0</v>
      </c>
      <c r="BV1606" t="s">
        <v>135</v>
      </c>
      <c r="BW1606">
        <v>0</v>
      </c>
      <c r="BX1606">
        <v>0</v>
      </c>
      <c r="BY1606" t="s">
        <v>135</v>
      </c>
      <c r="BZ1606">
        <v>0</v>
      </c>
      <c r="CA1606">
        <v>0</v>
      </c>
      <c r="CB1606" t="s">
        <v>135</v>
      </c>
      <c r="CH1606" s="2"/>
      <c r="CJ1606" s="2"/>
      <c r="CL1606" s="2"/>
      <c r="CN1606" s="2"/>
      <c r="CQ1606" s="2"/>
      <c r="CT1606" s="2"/>
      <c r="CW1606" s="2"/>
    </row>
    <row r="1607" spans="1:101" x14ac:dyDescent="0.25">
      <c r="A1607" s="1" t="s">
        <v>163</v>
      </c>
      <c r="B1607" s="75" t="s">
        <v>164</v>
      </c>
      <c r="C1607">
        <v>0</v>
      </c>
      <c r="D1607">
        <v>0</v>
      </c>
      <c r="E1607">
        <v>0</v>
      </c>
      <c r="F1607">
        <v>604324.56000000006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3.91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7490</v>
      </c>
      <c r="AW1607">
        <v>3350</v>
      </c>
      <c r="AX1607">
        <v>1219</v>
      </c>
      <c r="AY1607">
        <v>12059</v>
      </c>
      <c r="AZ1607">
        <v>4202</v>
      </c>
      <c r="BA1607">
        <v>7438</v>
      </c>
      <c r="BB1607">
        <v>1432</v>
      </c>
      <c r="BC1607">
        <v>13072</v>
      </c>
      <c r="BD1607">
        <v>9486</v>
      </c>
      <c r="BE1607">
        <v>9222</v>
      </c>
      <c r="BF1607">
        <v>1768</v>
      </c>
      <c r="BG1607">
        <v>20476</v>
      </c>
      <c r="BH1607">
        <v>0</v>
      </c>
      <c r="BI1607">
        <v>0</v>
      </c>
      <c r="BJ1607">
        <v>0</v>
      </c>
      <c r="BK1607">
        <v>0</v>
      </c>
      <c r="BL1607" s="2">
        <v>24.82</v>
      </c>
      <c r="BM1607" s="2">
        <v>42005.095138888886</v>
      </c>
      <c r="BN1607" s="2">
        <v>5.4</v>
      </c>
      <c r="BO1607" s="2">
        <v>42005.092361111114</v>
      </c>
      <c r="BP1607" s="2">
        <v>6.92</v>
      </c>
      <c r="BQ1607" s="2">
        <v>42005.092361111114</v>
      </c>
      <c r="BR1607" s="2">
        <v>11.07</v>
      </c>
      <c r="BS1607" s="2">
        <v>42005.092361111114</v>
      </c>
      <c r="BT1607">
        <v>0</v>
      </c>
      <c r="BU1607">
        <v>0</v>
      </c>
      <c r="BV1607" t="s">
        <v>135</v>
      </c>
      <c r="BW1607">
        <v>0</v>
      </c>
      <c r="BX1607">
        <v>0</v>
      </c>
      <c r="BY1607" t="s">
        <v>135</v>
      </c>
      <c r="BZ1607">
        <v>0</v>
      </c>
      <c r="CA1607">
        <v>0</v>
      </c>
      <c r="CB1607" t="s">
        <v>135</v>
      </c>
      <c r="CH1607" s="2"/>
      <c r="CJ1607" s="2"/>
      <c r="CL1607" s="2"/>
      <c r="CN1607" s="2"/>
      <c r="CQ1607" s="2"/>
      <c r="CT1607" s="2"/>
      <c r="CW1607" s="2"/>
    </row>
    <row r="1608" spans="1:101" x14ac:dyDescent="0.25">
      <c r="A1608" s="1" t="s">
        <v>163</v>
      </c>
      <c r="B1608" s="75" t="s">
        <v>164</v>
      </c>
      <c r="C1608">
        <v>0</v>
      </c>
      <c r="D1608">
        <v>0</v>
      </c>
      <c r="E1608">
        <v>0</v>
      </c>
      <c r="F1608">
        <v>604324.56000000006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3.91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7490</v>
      </c>
      <c r="AW1608">
        <v>3350</v>
      </c>
      <c r="AX1608">
        <v>1219</v>
      </c>
      <c r="AY1608">
        <v>12059</v>
      </c>
      <c r="AZ1608">
        <v>4202</v>
      </c>
      <c r="BA1608">
        <v>7438</v>
      </c>
      <c r="BB1608">
        <v>1432</v>
      </c>
      <c r="BC1608">
        <v>13072</v>
      </c>
      <c r="BD1608">
        <v>9486</v>
      </c>
      <c r="BE1608">
        <v>9222</v>
      </c>
      <c r="BF1608">
        <v>1768</v>
      </c>
      <c r="BG1608">
        <v>20476</v>
      </c>
      <c r="BH1608">
        <v>0</v>
      </c>
      <c r="BI1608">
        <v>0</v>
      </c>
      <c r="BJ1608">
        <v>0</v>
      </c>
      <c r="BK1608">
        <v>0</v>
      </c>
      <c r="BL1608" s="2">
        <v>24.82</v>
      </c>
      <c r="BM1608" s="2">
        <v>42005.095138888886</v>
      </c>
      <c r="BN1608" s="2">
        <v>5.4</v>
      </c>
      <c r="BO1608" s="2">
        <v>42005.092361111114</v>
      </c>
      <c r="BP1608" s="2">
        <v>6.92</v>
      </c>
      <c r="BQ1608" s="2">
        <v>42005.092361111114</v>
      </c>
      <c r="BR1608" s="2">
        <v>11.07</v>
      </c>
      <c r="BS1608" s="2">
        <v>42005.092361111114</v>
      </c>
      <c r="BT1608">
        <v>0</v>
      </c>
      <c r="BU1608">
        <v>0</v>
      </c>
      <c r="BV1608" t="s">
        <v>135</v>
      </c>
      <c r="BW1608">
        <v>0</v>
      </c>
      <c r="BX1608">
        <v>0</v>
      </c>
      <c r="BY1608" t="s">
        <v>135</v>
      </c>
      <c r="BZ1608">
        <v>0</v>
      </c>
      <c r="CA1608">
        <v>0</v>
      </c>
      <c r="CB1608" t="s">
        <v>135</v>
      </c>
      <c r="CH1608" s="2"/>
      <c r="CJ1608" s="2"/>
      <c r="CL1608" s="2"/>
      <c r="CN1608" s="2"/>
      <c r="CQ1608" s="2"/>
      <c r="CT1608" s="2"/>
      <c r="CW1608" s="2"/>
    </row>
    <row r="1609" spans="1:101" x14ac:dyDescent="0.25">
      <c r="A1609" s="1" t="s">
        <v>163</v>
      </c>
      <c r="B1609" s="75" t="s">
        <v>164</v>
      </c>
      <c r="C1609">
        <v>0</v>
      </c>
      <c r="D1609">
        <v>0</v>
      </c>
      <c r="E1609">
        <v>0</v>
      </c>
      <c r="F1609">
        <v>604324.56000000006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3.91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7490</v>
      </c>
      <c r="AW1609">
        <v>3350</v>
      </c>
      <c r="AX1609">
        <v>1219</v>
      </c>
      <c r="AY1609">
        <v>12059</v>
      </c>
      <c r="AZ1609">
        <v>4202</v>
      </c>
      <c r="BA1609">
        <v>7438</v>
      </c>
      <c r="BB1609">
        <v>1432</v>
      </c>
      <c r="BC1609">
        <v>13072</v>
      </c>
      <c r="BD1609">
        <v>9486</v>
      </c>
      <c r="BE1609">
        <v>9222</v>
      </c>
      <c r="BF1609">
        <v>1768</v>
      </c>
      <c r="BG1609">
        <v>20476</v>
      </c>
      <c r="BH1609">
        <v>0</v>
      </c>
      <c r="BI1609">
        <v>0</v>
      </c>
      <c r="BJ1609">
        <v>0</v>
      </c>
      <c r="BK1609">
        <v>0</v>
      </c>
      <c r="BL1609" s="2">
        <v>24.82</v>
      </c>
      <c r="BM1609" s="2">
        <v>42005.095138888886</v>
      </c>
      <c r="BN1609" s="2">
        <v>5.4</v>
      </c>
      <c r="BO1609" s="2">
        <v>42005.092361111114</v>
      </c>
      <c r="BP1609" s="2">
        <v>6.92</v>
      </c>
      <c r="BQ1609" s="2">
        <v>42005.092361111114</v>
      </c>
      <c r="BR1609" s="2">
        <v>11.07</v>
      </c>
      <c r="BS1609" s="2">
        <v>42005.092361111114</v>
      </c>
      <c r="BT1609">
        <v>0</v>
      </c>
      <c r="BU1609">
        <v>0</v>
      </c>
      <c r="BV1609" t="s">
        <v>135</v>
      </c>
      <c r="BW1609">
        <v>0</v>
      </c>
      <c r="BX1609">
        <v>0</v>
      </c>
      <c r="BY1609" t="s">
        <v>135</v>
      </c>
      <c r="BZ1609">
        <v>0</v>
      </c>
      <c r="CA1609">
        <v>0</v>
      </c>
      <c r="CB1609" t="s">
        <v>135</v>
      </c>
      <c r="CH1609" s="2"/>
      <c r="CJ1609" s="2"/>
      <c r="CL1609" s="2"/>
      <c r="CN1609" s="2"/>
      <c r="CQ1609" s="2"/>
      <c r="CT1609" s="2"/>
      <c r="CW1609" s="2"/>
    </row>
    <row r="1610" spans="1:101" x14ac:dyDescent="0.25">
      <c r="A1610" s="1" t="s">
        <v>163</v>
      </c>
      <c r="B1610" s="75" t="s">
        <v>164</v>
      </c>
      <c r="C1610">
        <v>0</v>
      </c>
      <c r="D1610">
        <v>0</v>
      </c>
      <c r="E1610">
        <v>0</v>
      </c>
      <c r="F1610">
        <v>604324.56000000006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3.91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7490</v>
      </c>
      <c r="AW1610">
        <v>3350</v>
      </c>
      <c r="AX1610">
        <v>1219</v>
      </c>
      <c r="AY1610">
        <v>12059</v>
      </c>
      <c r="AZ1610">
        <v>4202</v>
      </c>
      <c r="BA1610">
        <v>7438</v>
      </c>
      <c r="BB1610">
        <v>1432</v>
      </c>
      <c r="BC1610">
        <v>13072</v>
      </c>
      <c r="BD1610">
        <v>9486</v>
      </c>
      <c r="BE1610">
        <v>9222</v>
      </c>
      <c r="BF1610">
        <v>1768</v>
      </c>
      <c r="BG1610">
        <v>20476</v>
      </c>
      <c r="BH1610">
        <v>0</v>
      </c>
      <c r="BI1610">
        <v>0</v>
      </c>
      <c r="BJ1610">
        <v>0</v>
      </c>
      <c r="BK1610">
        <v>0</v>
      </c>
      <c r="BL1610" s="2">
        <v>24.82</v>
      </c>
      <c r="BM1610" s="2">
        <v>42005.095138888886</v>
      </c>
      <c r="BN1610" s="2">
        <v>5.4</v>
      </c>
      <c r="BO1610" s="2">
        <v>42005.092361111114</v>
      </c>
      <c r="BP1610" s="2">
        <v>6.92</v>
      </c>
      <c r="BQ1610" s="2">
        <v>42005.092361111114</v>
      </c>
      <c r="BR1610" s="2">
        <v>11.07</v>
      </c>
      <c r="BS1610" s="2">
        <v>42005.092361111114</v>
      </c>
      <c r="BT1610">
        <v>0</v>
      </c>
      <c r="BU1610">
        <v>0</v>
      </c>
      <c r="BV1610" t="s">
        <v>135</v>
      </c>
      <c r="BW1610">
        <v>0</v>
      </c>
      <c r="BX1610">
        <v>0</v>
      </c>
      <c r="BY1610" t="s">
        <v>135</v>
      </c>
      <c r="BZ1610">
        <v>0</v>
      </c>
      <c r="CA1610">
        <v>0</v>
      </c>
      <c r="CB1610" t="s">
        <v>135</v>
      </c>
      <c r="CH1610" s="2"/>
      <c r="CJ1610" s="2"/>
      <c r="CL1610" s="2"/>
      <c r="CN1610" s="2"/>
      <c r="CQ1610" s="2"/>
      <c r="CT1610" s="2"/>
      <c r="CW1610" s="2"/>
    </row>
    <row r="1611" spans="1:101" x14ac:dyDescent="0.25">
      <c r="A1611" s="1" t="s">
        <v>163</v>
      </c>
      <c r="B1611" s="75" t="s">
        <v>164</v>
      </c>
      <c r="C1611">
        <v>0</v>
      </c>
      <c r="D1611">
        <v>0</v>
      </c>
      <c r="E1611">
        <v>0</v>
      </c>
      <c r="F1611">
        <v>604324.56000000006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3.91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7490</v>
      </c>
      <c r="AW1611">
        <v>3350</v>
      </c>
      <c r="AX1611">
        <v>1219</v>
      </c>
      <c r="AY1611">
        <v>12059</v>
      </c>
      <c r="AZ1611">
        <v>4202</v>
      </c>
      <c r="BA1611">
        <v>7438</v>
      </c>
      <c r="BB1611">
        <v>1432</v>
      </c>
      <c r="BC1611">
        <v>13072</v>
      </c>
      <c r="BD1611">
        <v>9486</v>
      </c>
      <c r="BE1611">
        <v>9222</v>
      </c>
      <c r="BF1611">
        <v>1768</v>
      </c>
      <c r="BG1611">
        <v>20476</v>
      </c>
      <c r="BH1611">
        <v>0</v>
      </c>
      <c r="BI1611">
        <v>0</v>
      </c>
      <c r="BJ1611">
        <v>0</v>
      </c>
      <c r="BK1611">
        <v>0</v>
      </c>
      <c r="BL1611" s="2">
        <v>24.82</v>
      </c>
      <c r="BM1611" s="2">
        <v>42005.095138888886</v>
      </c>
      <c r="BN1611" s="2">
        <v>5.4</v>
      </c>
      <c r="BO1611" s="2">
        <v>42005.092361111114</v>
      </c>
      <c r="BP1611" s="2">
        <v>6.92</v>
      </c>
      <c r="BQ1611" s="2">
        <v>42005.092361111114</v>
      </c>
      <c r="BR1611" s="2">
        <v>11.07</v>
      </c>
      <c r="BS1611" s="2">
        <v>42005.092361111114</v>
      </c>
      <c r="BT1611">
        <v>0</v>
      </c>
      <c r="BU1611">
        <v>0</v>
      </c>
      <c r="BV1611" t="s">
        <v>135</v>
      </c>
      <c r="BW1611">
        <v>0</v>
      </c>
      <c r="BX1611">
        <v>0</v>
      </c>
      <c r="BY1611" t="s">
        <v>135</v>
      </c>
      <c r="BZ1611">
        <v>0</v>
      </c>
      <c r="CA1611">
        <v>0</v>
      </c>
      <c r="CB1611" t="s">
        <v>135</v>
      </c>
      <c r="CH1611" s="2"/>
      <c r="CJ1611" s="2"/>
      <c r="CL1611" s="2"/>
      <c r="CN1611" s="2"/>
      <c r="CQ1611" s="2"/>
      <c r="CT1611" s="2"/>
      <c r="CW1611" s="2"/>
    </row>
    <row r="1612" spans="1:101" x14ac:dyDescent="0.25">
      <c r="A1612" s="1" t="s">
        <v>163</v>
      </c>
      <c r="B1612" s="75" t="s">
        <v>164</v>
      </c>
      <c r="C1612">
        <v>0</v>
      </c>
      <c r="D1612">
        <v>0</v>
      </c>
      <c r="E1612">
        <v>0</v>
      </c>
      <c r="F1612">
        <v>604324.56000000006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3.91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7490</v>
      </c>
      <c r="AW1612">
        <v>3350</v>
      </c>
      <c r="AX1612">
        <v>1219</v>
      </c>
      <c r="AY1612">
        <v>12059</v>
      </c>
      <c r="AZ1612">
        <v>4202</v>
      </c>
      <c r="BA1612">
        <v>7438</v>
      </c>
      <c r="BB1612">
        <v>1432</v>
      </c>
      <c r="BC1612">
        <v>13072</v>
      </c>
      <c r="BD1612">
        <v>9486</v>
      </c>
      <c r="BE1612">
        <v>9222</v>
      </c>
      <c r="BF1612">
        <v>1768</v>
      </c>
      <c r="BG1612">
        <v>20476</v>
      </c>
      <c r="BH1612">
        <v>0</v>
      </c>
      <c r="BI1612">
        <v>0</v>
      </c>
      <c r="BJ1612">
        <v>0</v>
      </c>
      <c r="BK1612">
        <v>0</v>
      </c>
      <c r="BL1612" s="2">
        <v>24.82</v>
      </c>
      <c r="BM1612" s="2">
        <v>42005.095138888886</v>
      </c>
      <c r="BN1612" s="2">
        <v>5.4</v>
      </c>
      <c r="BO1612" s="2">
        <v>42005.092361111114</v>
      </c>
      <c r="BP1612" s="2">
        <v>6.92</v>
      </c>
      <c r="BQ1612" s="2">
        <v>42005.092361111114</v>
      </c>
      <c r="BR1612" s="2">
        <v>11.07</v>
      </c>
      <c r="BS1612" s="2">
        <v>42005.092361111114</v>
      </c>
      <c r="BT1612">
        <v>0</v>
      </c>
      <c r="BU1612">
        <v>0</v>
      </c>
      <c r="BV1612" t="s">
        <v>135</v>
      </c>
      <c r="BW1612">
        <v>0</v>
      </c>
      <c r="BX1612">
        <v>0</v>
      </c>
      <c r="BY1612" t="s">
        <v>135</v>
      </c>
      <c r="BZ1612">
        <v>0</v>
      </c>
      <c r="CA1612">
        <v>0</v>
      </c>
      <c r="CB1612" t="s">
        <v>135</v>
      </c>
      <c r="CH1612" s="2"/>
      <c r="CJ1612" s="2"/>
      <c r="CL1612" s="2"/>
      <c r="CN1612" s="2"/>
      <c r="CQ1612" s="2"/>
      <c r="CT1612" s="2"/>
      <c r="CW1612" s="2"/>
    </row>
    <row r="1613" spans="1:101" x14ac:dyDescent="0.25">
      <c r="A1613" s="1" t="s">
        <v>163</v>
      </c>
      <c r="B1613" s="75" t="s">
        <v>164</v>
      </c>
      <c r="C1613">
        <v>0</v>
      </c>
      <c r="D1613">
        <v>0</v>
      </c>
      <c r="E1613">
        <v>0</v>
      </c>
      <c r="F1613">
        <v>604324.56000000006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3.91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7490</v>
      </c>
      <c r="AW1613">
        <v>3350</v>
      </c>
      <c r="AX1613">
        <v>1219</v>
      </c>
      <c r="AY1613">
        <v>12059</v>
      </c>
      <c r="AZ1613">
        <v>4202</v>
      </c>
      <c r="BA1613">
        <v>7438</v>
      </c>
      <c r="BB1613">
        <v>1432</v>
      </c>
      <c r="BC1613">
        <v>13072</v>
      </c>
      <c r="BD1613">
        <v>9486</v>
      </c>
      <c r="BE1613">
        <v>9222</v>
      </c>
      <c r="BF1613">
        <v>1768</v>
      </c>
      <c r="BG1613">
        <v>20476</v>
      </c>
      <c r="BH1613">
        <v>0</v>
      </c>
      <c r="BI1613">
        <v>0</v>
      </c>
      <c r="BJ1613">
        <v>0</v>
      </c>
      <c r="BK1613">
        <v>0</v>
      </c>
      <c r="BL1613" s="2">
        <v>24.82</v>
      </c>
      <c r="BM1613" s="2">
        <v>42005.095138888886</v>
      </c>
      <c r="BN1613" s="2">
        <v>5.4</v>
      </c>
      <c r="BO1613" s="2">
        <v>42005.092361111114</v>
      </c>
      <c r="BP1613" s="2">
        <v>6.92</v>
      </c>
      <c r="BQ1613" s="2">
        <v>42005.092361111114</v>
      </c>
      <c r="BR1613" s="2">
        <v>11.07</v>
      </c>
      <c r="BS1613" s="2">
        <v>42005.092361111114</v>
      </c>
      <c r="BT1613">
        <v>0</v>
      </c>
      <c r="BU1613">
        <v>0</v>
      </c>
      <c r="BV1613" t="s">
        <v>135</v>
      </c>
      <c r="BW1613">
        <v>0</v>
      </c>
      <c r="BX1613">
        <v>0</v>
      </c>
      <c r="BY1613" t="s">
        <v>135</v>
      </c>
      <c r="BZ1613">
        <v>0</v>
      </c>
      <c r="CA1613">
        <v>0</v>
      </c>
      <c r="CB1613" t="s">
        <v>135</v>
      </c>
      <c r="CH1613" s="2"/>
      <c r="CJ1613" s="2"/>
      <c r="CL1613" s="2"/>
      <c r="CN1613" s="2"/>
      <c r="CQ1613" s="2"/>
      <c r="CT1613" s="2"/>
      <c r="CW1613" s="2"/>
    </row>
    <row r="1614" spans="1:101" x14ac:dyDescent="0.25">
      <c r="A1614" s="1" t="s">
        <v>163</v>
      </c>
      <c r="B1614" s="75" t="s">
        <v>164</v>
      </c>
      <c r="C1614">
        <v>0</v>
      </c>
      <c r="D1614">
        <v>0</v>
      </c>
      <c r="E1614">
        <v>0</v>
      </c>
      <c r="F1614">
        <v>604324.56000000006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3.91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7490</v>
      </c>
      <c r="AW1614">
        <v>3350</v>
      </c>
      <c r="AX1614">
        <v>1219</v>
      </c>
      <c r="AY1614">
        <v>12059</v>
      </c>
      <c r="AZ1614">
        <v>4202</v>
      </c>
      <c r="BA1614">
        <v>7438</v>
      </c>
      <c r="BB1614">
        <v>1432</v>
      </c>
      <c r="BC1614">
        <v>13072</v>
      </c>
      <c r="BD1614">
        <v>9486</v>
      </c>
      <c r="BE1614">
        <v>9222</v>
      </c>
      <c r="BF1614">
        <v>1768</v>
      </c>
      <c r="BG1614">
        <v>20476</v>
      </c>
      <c r="BH1614">
        <v>0</v>
      </c>
      <c r="BI1614">
        <v>0</v>
      </c>
      <c r="BJ1614">
        <v>0</v>
      </c>
      <c r="BK1614">
        <v>0</v>
      </c>
      <c r="BL1614" s="2">
        <v>24.82</v>
      </c>
      <c r="BM1614" s="2">
        <v>42005.095138888886</v>
      </c>
      <c r="BN1614" s="2">
        <v>5.4</v>
      </c>
      <c r="BO1614" s="2">
        <v>42005.092361111114</v>
      </c>
      <c r="BP1614" s="2">
        <v>6.92</v>
      </c>
      <c r="BQ1614" s="2">
        <v>42005.092361111114</v>
      </c>
      <c r="BR1614" s="2">
        <v>11.07</v>
      </c>
      <c r="BS1614" s="2">
        <v>42005.092361111114</v>
      </c>
      <c r="BT1614">
        <v>0</v>
      </c>
      <c r="BU1614">
        <v>0</v>
      </c>
      <c r="BV1614" t="s">
        <v>135</v>
      </c>
      <c r="BW1614">
        <v>0</v>
      </c>
      <c r="BX1614">
        <v>0</v>
      </c>
      <c r="BY1614" t="s">
        <v>135</v>
      </c>
      <c r="BZ1614">
        <v>0</v>
      </c>
      <c r="CA1614">
        <v>0</v>
      </c>
      <c r="CB1614" t="s">
        <v>135</v>
      </c>
      <c r="CH1614" s="2"/>
      <c r="CJ1614" s="2"/>
      <c r="CL1614" s="2"/>
      <c r="CN1614" s="2"/>
      <c r="CQ1614" s="2"/>
      <c r="CT1614" s="2"/>
      <c r="CW1614" s="2"/>
    </row>
    <row r="1615" spans="1:101" x14ac:dyDescent="0.25">
      <c r="A1615" s="1" t="s">
        <v>163</v>
      </c>
      <c r="B1615" s="75" t="s">
        <v>164</v>
      </c>
      <c r="C1615">
        <v>0</v>
      </c>
      <c r="D1615">
        <v>0</v>
      </c>
      <c r="E1615">
        <v>0</v>
      </c>
      <c r="F1615">
        <v>604324.56000000006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3.91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7490</v>
      </c>
      <c r="AW1615">
        <v>3350</v>
      </c>
      <c r="AX1615">
        <v>1219</v>
      </c>
      <c r="AY1615">
        <v>12059</v>
      </c>
      <c r="AZ1615">
        <v>4202</v>
      </c>
      <c r="BA1615">
        <v>7438</v>
      </c>
      <c r="BB1615">
        <v>1432</v>
      </c>
      <c r="BC1615">
        <v>13072</v>
      </c>
      <c r="BD1615">
        <v>9486</v>
      </c>
      <c r="BE1615">
        <v>9222</v>
      </c>
      <c r="BF1615">
        <v>1768</v>
      </c>
      <c r="BG1615">
        <v>20476</v>
      </c>
      <c r="BH1615">
        <v>0</v>
      </c>
      <c r="BI1615">
        <v>0</v>
      </c>
      <c r="BJ1615">
        <v>0</v>
      </c>
      <c r="BK1615">
        <v>0</v>
      </c>
      <c r="BL1615" s="2">
        <v>24.82</v>
      </c>
      <c r="BM1615" s="2">
        <v>42005.095138888886</v>
      </c>
      <c r="BN1615" s="2">
        <v>5.4</v>
      </c>
      <c r="BO1615" s="2">
        <v>42005.092361111114</v>
      </c>
      <c r="BP1615" s="2">
        <v>6.92</v>
      </c>
      <c r="BQ1615" s="2">
        <v>42005.092361111114</v>
      </c>
      <c r="BR1615" s="2">
        <v>11.07</v>
      </c>
      <c r="BS1615" s="2">
        <v>42005.092361111114</v>
      </c>
      <c r="BT1615">
        <v>0</v>
      </c>
      <c r="BU1615">
        <v>0</v>
      </c>
      <c r="BV1615" t="s">
        <v>135</v>
      </c>
      <c r="BW1615">
        <v>0</v>
      </c>
      <c r="BX1615">
        <v>0</v>
      </c>
      <c r="BY1615" t="s">
        <v>135</v>
      </c>
      <c r="BZ1615">
        <v>0</v>
      </c>
      <c r="CA1615">
        <v>0</v>
      </c>
      <c r="CB1615" t="s">
        <v>135</v>
      </c>
      <c r="CH1615" s="2"/>
      <c r="CJ1615" s="2"/>
      <c r="CL1615" s="2"/>
      <c r="CN1615" s="2"/>
      <c r="CQ1615" s="2"/>
      <c r="CT1615" s="2"/>
      <c r="CW1615" s="2"/>
    </row>
    <row r="1616" spans="1:101" x14ac:dyDescent="0.25">
      <c r="A1616" s="1" t="s">
        <v>163</v>
      </c>
      <c r="B1616" s="75" t="s">
        <v>164</v>
      </c>
      <c r="C1616">
        <v>0</v>
      </c>
      <c r="D1616">
        <v>0</v>
      </c>
      <c r="E1616">
        <v>0</v>
      </c>
      <c r="F1616">
        <v>604324.56000000006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3.91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7490</v>
      </c>
      <c r="AW1616">
        <v>3350</v>
      </c>
      <c r="AX1616">
        <v>1219</v>
      </c>
      <c r="AY1616">
        <v>12059</v>
      </c>
      <c r="AZ1616">
        <v>4202</v>
      </c>
      <c r="BA1616">
        <v>7438</v>
      </c>
      <c r="BB1616">
        <v>1432</v>
      </c>
      <c r="BC1616">
        <v>13072</v>
      </c>
      <c r="BD1616">
        <v>9486</v>
      </c>
      <c r="BE1616">
        <v>9222</v>
      </c>
      <c r="BF1616">
        <v>1768</v>
      </c>
      <c r="BG1616">
        <v>20476</v>
      </c>
      <c r="BH1616">
        <v>0</v>
      </c>
      <c r="BI1616">
        <v>0</v>
      </c>
      <c r="BJ1616">
        <v>0</v>
      </c>
      <c r="BK1616">
        <v>0</v>
      </c>
      <c r="BL1616" s="2">
        <v>24.82</v>
      </c>
      <c r="BM1616" s="2">
        <v>42005.095138888886</v>
      </c>
      <c r="BN1616" s="2">
        <v>5.4</v>
      </c>
      <c r="BO1616" s="2">
        <v>42005.092361111114</v>
      </c>
      <c r="BP1616" s="2">
        <v>6.92</v>
      </c>
      <c r="BQ1616" s="2">
        <v>42005.092361111114</v>
      </c>
      <c r="BR1616" s="2">
        <v>11.07</v>
      </c>
      <c r="BS1616" s="2">
        <v>42005.092361111114</v>
      </c>
      <c r="BT1616">
        <v>0</v>
      </c>
      <c r="BU1616">
        <v>0</v>
      </c>
      <c r="BV1616" t="s">
        <v>135</v>
      </c>
      <c r="BW1616">
        <v>0</v>
      </c>
      <c r="BX1616">
        <v>0</v>
      </c>
      <c r="BY1616" t="s">
        <v>135</v>
      </c>
      <c r="BZ1616">
        <v>0</v>
      </c>
      <c r="CA1616">
        <v>0</v>
      </c>
      <c r="CB1616" t="s">
        <v>135</v>
      </c>
      <c r="CH1616" s="2"/>
      <c r="CJ1616" s="2"/>
      <c r="CL1616" s="2"/>
      <c r="CN1616" s="2"/>
      <c r="CQ1616" s="2"/>
      <c r="CT1616" s="2"/>
      <c r="CW1616" s="2"/>
    </row>
    <row r="1617" spans="1:101" x14ac:dyDescent="0.25">
      <c r="A1617" s="1" t="s">
        <v>163</v>
      </c>
      <c r="B1617" s="75" t="s">
        <v>164</v>
      </c>
      <c r="C1617">
        <v>0</v>
      </c>
      <c r="D1617">
        <v>0</v>
      </c>
      <c r="E1617">
        <v>0</v>
      </c>
      <c r="F1617">
        <v>604324.56000000006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3.91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7490</v>
      </c>
      <c r="AW1617">
        <v>3350</v>
      </c>
      <c r="AX1617">
        <v>1219</v>
      </c>
      <c r="AY1617">
        <v>12059</v>
      </c>
      <c r="AZ1617">
        <v>4202</v>
      </c>
      <c r="BA1617">
        <v>7438</v>
      </c>
      <c r="BB1617">
        <v>1432</v>
      </c>
      <c r="BC1617">
        <v>13072</v>
      </c>
      <c r="BD1617">
        <v>9486</v>
      </c>
      <c r="BE1617">
        <v>9222</v>
      </c>
      <c r="BF1617">
        <v>1768</v>
      </c>
      <c r="BG1617">
        <v>20476</v>
      </c>
      <c r="BH1617">
        <v>0</v>
      </c>
      <c r="BI1617">
        <v>0</v>
      </c>
      <c r="BJ1617">
        <v>0</v>
      </c>
      <c r="BK1617">
        <v>0</v>
      </c>
      <c r="BL1617" s="2">
        <v>24.82</v>
      </c>
      <c r="BM1617" s="2">
        <v>42005.095138888886</v>
      </c>
      <c r="BN1617" s="2">
        <v>5.4</v>
      </c>
      <c r="BO1617" s="2">
        <v>42005.092361111114</v>
      </c>
      <c r="BP1617" s="2">
        <v>6.92</v>
      </c>
      <c r="BQ1617" s="2">
        <v>42005.092361111114</v>
      </c>
      <c r="BR1617" s="2">
        <v>11.07</v>
      </c>
      <c r="BS1617" s="2">
        <v>42005.092361111114</v>
      </c>
      <c r="BT1617">
        <v>0</v>
      </c>
      <c r="BU1617">
        <v>0</v>
      </c>
      <c r="BV1617" t="s">
        <v>135</v>
      </c>
      <c r="BW1617">
        <v>0</v>
      </c>
      <c r="BX1617">
        <v>0</v>
      </c>
      <c r="BY1617" t="s">
        <v>135</v>
      </c>
      <c r="BZ1617">
        <v>0</v>
      </c>
      <c r="CA1617">
        <v>0</v>
      </c>
      <c r="CB1617" t="s">
        <v>135</v>
      </c>
      <c r="CH1617" s="2"/>
      <c r="CJ1617" s="2"/>
      <c r="CL1617" s="2"/>
      <c r="CN1617" s="2"/>
      <c r="CQ1617" s="2"/>
      <c r="CT1617" s="2"/>
      <c r="CW1617" s="2"/>
    </row>
    <row r="1618" spans="1:101" x14ac:dyDescent="0.25">
      <c r="A1618" s="1" t="s">
        <v>163</v>
      </c>
      <c r="B1618" s="75" t="s">
        <v>164</v>
      </c>
      <c r="C1618">
        <v>0</v>
      </c>
      <c r="D1618">
        <v>0</v>
      </c>
      <c r="E1618">
        <v>0</v>
      </c>
      <c r="F1618">
        <v>604324.56000000006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3.91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7490</v>
      </c>
      <c r="AW1618">
        <v>3350</v>
      </c>
      <c r="AX1618">
        <v>1219</v>
      </c>
      <c r="AY1618">
        <v>12059</v>
      </c>
      <c r="AZ1618">
        <v>4202</v>
      </c>
      <c r="BA1618">
        <v>7438</v>
      </c>
      <c r="BB1618">
        <v>1432</v>
      </c>
      <c r="BC1618">
        <v>13072</v>
      </c>
      <c r="BD1618">
        <v>9486</v>
      </c>
      <c r="BE1618">
        <v>9222</v>
      </c>
      <c r="BF1618">
        <v>1768</v>
      </c>
      <c r="BG1618">
        <v>20476</v>
      </c>
      <c r="BH1618">
        <v>0</v>
      </c>
      <c r="BI1618">
        <v>0</v>
      </c>
      <c r="BJ1618">
        <v>0</v>
      </c>
      <c r="BK1618">
        <v>0</v>
      </c>
      <c r="BL1618" s="2">
        <v>24.82</v>
      </c>
      <c r="BM1618" s="2">
        <v>42005.095138888886</v>
      </c>
      <c r="BN1618" s="2">
        <v>5.4</v>
      </c>
      <c r="BO1618" s="2">
        <v>42005.092361111114</v>
      </c>
      <c r="BP1618" s="2">
        <v>6.92</v>
      </c>
      <c r="BQ1618" s="2">
        <v>42005.092361111114</v>
      </c>
      <c r="BR1618" s="2">
        <v>11.07</v>
      </c>
      <c r="BS1618" s="2">
        <v>42005.092361111114</v>
      </c>
      <c r="BT1618">
        <v>0</v>
      </c>
      <c r="BU1618">
        <v>0</v>
      </c>
      <c r="BV1618" t="s">
        <v>135</v>
      </c>
      <c r="BW1618">
        <v>0</v>
      </c>
      <c r="BX1618">
        <v>0</v>
      </c>
      <c r="BY1618" t="s">
        <v>135</v>
      </c>
      <c r="BZ1618">
        <v>0</v>
      </c>
      <c r="CA1618">
        <v>0</v>
      </c>
      <c r="CB1618" t="s">
        <v>135</v>
      </c>
      <c r="CH1618" s="2"/>
      <c r="CJ1618" s="2"/>
      <c r="CL1618" s="2"/>
      <c r="CN1618" s="2"/>
      <c r="CQ1618" s="2"/>
      <c r="CT1618" s="2"/>
      <c r="CW1618" s="2"/>
    </row>
    <row r="1619" spans="1:101" x14ac:dyDescent="0.25">
      <c r="A1619" s="1" t="s">
        <v>163</v>
      </c>
      <c r="B1619" s="75" t="s">
        <v>164</v>
      </c>
      <c r="C1619">
        <v>0</v>
      </c>
      <c r="D1619">
        <v>0</v>
      </c>
      <c r="E1619">
        <v>0</v>
      </c>
      <c r="F1619">
        <v>604324.56000000006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3.91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7490</v>
      </c>
      <c r="AW1619">
        <v>3350</v>
      </c>
      <c r="AX1619">
        <v>1219</v>
      </c>
      <c r="AY1619">
        <v>12059</v>
      </c>
      <c r="AZ1619">
        <v>4202</v>
      </c>
      <c r="BA1619">
        <v>7438</v>
      </c>
      <c r="BB1619">
        <v>1432</v>
      </c>
      <c r="BC1619">
        <v>13072</v>
      </c>
      <c r="BD1619">
        <v>9486</v>
      </c>
      <c r="BE1619">
        <v>9222</v>
      </c>
      <c r="BF1619">
        <v>1768</v>
      </c>
      <c r="BG1619">
        <v>20476</v>
      </c>
      <c r="BH1619">
        <v>0</v>
      </c>
      <c r="BI1619">
        <v>0</v>
      </c>
      <c r="BJ1619">
        <v>0</v>
      </c>
      <c r="BK1619">
        <v>0</v>
      </c>
      <c r="BL1619" s="2">
        <v>24.82</v>
      </c>
      <c r="BM1619" s="2">
        <v>42005.095138888886</v>
      </c>
      <c r="BN1619" s="2">
        <v>5.4</v>
      </c>
      <c r="BO1619" s="2">
        <v>42005.092361111114</v>
      </c>
      <c r="BP1619" s="2">
        <v>6.92</v>
      </c>
      <c r="BQ1619" s="2">
        <v>42005.092361111114</v>
      </c>
      <c r="BR1619" s="2">
        <v>11.07</v>
      </c>
      <c r="BS1619" s="2">
        <v>42005.092361111114</v>
      </c>
      <c r="BT1619">
        <v>0</v>
      </c>
      <c r="BU1619">
        <v>0</v>
      </c>
      <c r="BV1619" t="s">
        <v>135</v>
      </c>
      <c r="BW1619">
        <v>0</v>
      </c>
      <c r="BX1619">
        <v>0</v>
      </c>
      <c r="BY1619" t="s">
        <v>135</v>
      </c>
      <c r="BZ1619">
        <v>0</v>
      </c>
      <c r="CA1619">
        <v>0</v>
      </c>
      <c r="CB1619" t="s">
        <v>135</v>
      </c>
      <c r="CH1619" s="2"/>
      <c r="CJ1619" s="2"/>
      <c r="CL1619" s="2"/>
      <c r="CN1619" s="2"/>
      <c r="CQ1619" s="2"/>
      <c r="CT1619" s="2"/>
      <c r="CW1619" s="2"/>
    </row>
    <row r="1620" spans="1:101" x14ac:dyDescent="0.25">
      <c r="A1620" s="1" t="s">
        <v>163</v>
      </c>
      <c r="B1620" s="75" t="s">
        <v>164</v>
      </c>
      <c r="C1620">
        <v>0</v>
      </c>
      <c r="D1620">
        <v>0</v>
      </c>
      <c r="E1620">
        <v>0</v>
      </c>
      <c r="F1620">
        <v>604324.56000000006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3.91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7490</v>
      </c>
      <c r="AW1620">
        <v>3350</v>
      </c>
      <c r="AX1620">
        <v>1219</v>
      </c>
      <c r="AY1620">
        <v>12059</v>
      </c>
      <c r="AZ1620">
        <v>4202</v>
      </c>
      <c r="BA1620">
        <v>7438</v>
      </c>
      <c r="BB1620">
        <v>1432</v>
      </c>
      <c r="BC1620">
        <v>13072</v>
      </c>
      <c r="BD1620">
        <v>9486</v>
      </c>
      <c r="BE1620">
        <v>9222</v>
      </c>
      <c r="BF1620">
        <v>1768</v>
      </c>
      <c r="BG1620">
        <v>20476</v>
      </c>
      <c r="BH1620">
        <v>0</v>
      </c>
      <c r="BI1620">
        <v>0</v>
      </c>
      <c r="BJ1620">
        <v>0</v>
      </c>
      <c r="BK1620">
        <v>0</v>
      </c>
      <c r="BL1620" s="2">
        <v>24.82</v>
      </c>
      <c r="BM1620" s="2">
        <v>42005.095138888886</v>
      </c>
      <c r="BN1620" s="2">
        <v>5.4</v>
      </c>
      <c r="BO1620" s="2">
        <v>42005.092361111114</v>
      </c>
      <c r="BP1620" s="2">
        <v>6.92</v>
      </c>
      <c r="BQ1620" s="2">
        <v>42005.092361111114</v>
      </c>
      <c r="BR1620" s="2">
        <v>11.07</v>
      </c>
      <c r="BS1620" s="2">
        <v>42005.092361111114</v>
      </c>
      <c r="BT1620">
        <v>0</v>
      </c>
      <c r="BU1620">
        <v>0</v>
      </c>
      <c r="BV1620" t="s">
        <v>135</v>
      </c>
      <c r="BW1620">
        <v>0</v>
      </c>
      <c r="BX1620">
        <v>0</v>
      </c>
      <c r="BY1620" t="s">
        <v>135</v>
      </c>
      <c r="BZ1620">
        <v>0</v>
      </c>
      <c r="CA1620">
        <v>0</v>
      </c>
      <c r="CB1620" t="s">
        <v>135</v>
      </c>
      <c r="CH1620" s="2"/>
      <c r="CJ1620" s="2"/>
      <c r="CL1620" s="2"/>
      <c r="CN1620" s="2"/>
      <c r="CQ1620" s="2"/>
      <c r="CT1620" s="2"/>
      <c r="CW1620" s="2"/>
    </row>
    <row r="1621" spans="1:101" x14ac:dyDescent="0.25">
      <c r="A1621" s="1" t="s">
        <v>163</v>
      </c>
      <c r="B1621" s="75" t="s">
        <v>164</v>
      </c>
      <c r="C1621">
        <v>0</v>
      </c>
      <c r="D1621">
        <v>0</v>
      </c>
      <c r="E1621">
        <v>0</v>
      </c>
      <c r="F1621">
        <v>604324.56000000006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3.91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7490</v>
      </c>
      <c r="AW1621">
        <v>3350</v>
      </c>
      <c r="AX1621">
        <v>1219</v>
      </c>
      <c r="AY1621">
        <v>12059</v>
      </c>
      <c r="AZ1621">
        <v>4202</v>
      </c>
      <c r="BA1621">
        <v>7438</v>
      </c>
      <c r="BB1621">
        <v>1432</v>
      </c>
      <c r="BC1621">
        <v>13072</v>
      </c>
      <c r="BD1621">
        <v>9486</v>
      </c>
      <c r="BE1621">
        <v>9222</v>
      </c>
      <c r="BF1621">
        <v>1768</v>
      </c>
      <c r="BG1621">
        <v>20476</v>
      </c>
      <c r="BH1621">
        <v>0</v>
      </c>
      <c r="BI1621">
        <v>0</v>
      </c>
      <c r="BJ1621">
        <v>0</v>
      </c>
      <c r="BK1621">
        <v>0</v>
      </c>
      <c r="BL1621" s="2">
        <v>24.82</v>
      </c>
      <c r="BM1621" s="2">
        <v>42005.095138888886</v>
      </c>
      <c r="BN1621" s="2">
        <v>5.4</v>
      </c>
      <c r="BO1621" s="2">
        <v>42005.092361111114</v>
      </c>
      <c r="BP1621" s="2">
        <v>6.92</v>
      </c>
      <c r="BQ1621" s="2">
        <v>42005.092361111114</v>
      </c>
      <c r="BR1621" s="2">
        <v>11.07</v>
      </c>
      <c r="BS1621" s="2">
        <v>42005.092361111114</v>
      </c>
      <c r="BT1621">
        <v>0</v>
      </c>
      <c r="BU1621">
        <v>0</v>
      </c>
      <c r="BV1621" t="s">
        <v>135</v>
      </c>
      <c r="BW1621">
        <v>0</v>
      </c>
      <c r="BX1621">
        <v>0</v>
      </c>
      <c r="BY1621" t="s">
        <v>135</v>
      </c>
      <c r="BZ1621">
        <v>0</v>
      </c>
      <c r="CA1621">
        <v>0</v>
      </c>
      <c r="CB1621" t="s">
        <v>135</v>
      </c>
      <c r="CH1621" s="2"/>
      <c r="CJ1621" s="2"/>
      <c r="CL1621" s="2"/>
      <c r="CN1621" s="2"/>
      <c r="CQ1621" s="2"/>
      <c r="CT1621" s="2"/>
      <c r="CW1621" s="2"/>
    </row>
    <row r="1622" spans="1:101" x14ac:dyDescent="0.25">
      <c r="A1622" s="1" t="s">
        <v>163</v>
      </c>
      <c r="B1622" s="75" t="s">
        <v>164</v>
      </c>
      <c r="C1622">
        <v>0</v>
      </c>
      <c r="D1622">
        <v>0</v>
      </c>
      <c r="E1622">
        <v>0</v>
      </c>
      <c r="F1622">
        <v>604324.56000000006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3.91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7490</v>
      </c>
      <c r="AW1622">
        <v>3350</v>
      </c>
      <c r="AX1622">
        <v>1219</v>
      </c>
      <c r="AY1622">
        <v>12059</v>
      </c>
      <c r="AZ1622">
        <v>4202</v>
      </c>
      <c r="BA1622">
        <v>7438</v>
      </c>
      <c r="BB1622">
        <v>1432</v>
      </c>
      <c r="BC1622">
        <v>13072</v>
      </c>
      <c r="BD1622">
        <v>9486</v>
      </c>
      <c r="BE1622">
        <v>9222</v>
      </c>
      <c r="BF1622">
        <v>1768</v>
      </c>
      <c r="BG1622">
        <v>20476</v>
      </c>
      <c r="BH1622">
        <v>0</v>
      </c>
      <c r="BI1622">
        <v>0</v>
      </c>
      <c r="BJ1622">
        <v>0</v>
      </c>
      <c r="BK1622">
        <v>0</v>
      </c>
      <c r="BL1622" s="2">
        <v>24.82</v>
      </c>
      <c r="BM1622" s="2">
        <v>42005.095138888886</v>
      </c>
      <c r="BN1622" s="2">
        <v>5.4</v>
      </c>
      <c r="BO1622" s="2">
        <v>42005.092361111114</v>
      </c>
      <c r="BP1622" s="2">
        <v>6.92</v>
      </c>
      <c r="BQ1622" s="2">
        <v>42005.092361111114</v>
      </c>
      <c r="BR1622" s="2">
        <v>11.07</v>
      </c>
      <c r="BS1622" s="2">
        <v>42005.092361111114</v>
      </c>
      <c r="BT1622">
        <v>0</v>
      </c>
      <c r="BU1622">
        <v>0</v>
      </c>
      <c r="BV1622" t="s">
        <v>135</v>
      </c>
      <c r="BW1622">
        <v>0</v>
      </c>
      <c r="BX1622">
        <v>0</v>
      </c>
      <c r="BY1622" t="s">
        <v>135</v>
      </c>
      <c r="BZ1622">
        <v>0</v>
      </c>
      <c r="CA1622">
        <v>0</v>
      </c>
      <c r="CB1622" t="s">
        <v>135</v>
      </c>
      <c r="CH1622" s="2"/>
      <c r="CJ1622" s="2"/>
      <c r="CL1622" s="2"/>
      <c r="CN1622" s="2"/>
      <c r="CQ1622" s="2"/>
      <c r="CT1622" s="2"/>
      <c r="CW1622" s="2"/>
    </row>
    <row r="1623" spans="1:101" x14ac:dyDescent="0.25">
      <c r="A1623" s="1" t="s">
        <v>163</v>
      </c>
      <c r="B1623" s="75" t="s">
        <v>164</v>
      </c>
      <c r="C1623">
        <v>0</v>
      </c>
      <c r="D1623">
        <v>0</v>
      </c>
      <c r="E1623">
        <v>0</v>
      </c>
      <c r="F1623">
        <v>604324.56000000006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3.91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7490</v>
      </c>
      <c r="AW1623">
        <v>3350</v>
      </c>
      <c r="AX1623">
        <v>1219</v>
      </c>
      <c r="AY1623">
        <v>12059</v>
      </c>
      <c r="AZ1623">
        <v>4202</v>
      </c>
      <c r="BA1623">
        <v>7438</v>
      </c>
      <c r="BB1623">
        <v>1432</v>
      </c>
      <c r="BC1623">
        <v>13072</v>
      </c>
      <c r="BD1623">
        <v>9486</v>
      </c>
      <c r="BE1623">
        <v>9222</v>
      </c>
      <c r="BF1623">
        <v>1768</v>
      </c>
      <c r="BG1623">
        <v>20476</v>
      </c>
      <c r="BH1623">
        <v>0</v>
      </c>
      <c r="BI1623">
        <v>0</v>
      </c>
      <c r="BJ1623">
        <v>0</v>
      </c>
      <c r="BK1623">
        <v>0</v>
      </c>
      <c r="BL1623" s="2">
        <v>24.82</v>
      </c>
      <c r="BM1623" s="2">
        <v>42005.095138888886</v>
      </c>
      <c r="BN1623" s="2">
        <v>5.4</v>
      </c>
      <c r="BO1623" s="2">
        <v>42005.092361111114</v>
      </c>
      <c r="BP1623" s="2">
        <v>6.92</v>
      </c>
      <c r="BQ1623" s="2">
        <v>42005.092361111114</v>
      </c>
      <c r="BR1623" s="2">
        <v>11.07</v>
      </c>
      <c r="BS1623" s="2">
        <v>42005.092361111114</v>
      </c>
      <c r="BT1623">
        <v>0</v>
      </c>
      <c r="BU1623">
        <v>0</v>
      </c>
      <c r="BV1623" t="s">
        <v>135</v>
      </c>
      <c r="BW1623">
        <v>0</v>
      </c>
      <c r="BX1623">
        <v>0</v>
      </c>
      <c r="BY1623" t="s">
        <v>135</v>
      </c>
      <c r="BZ1623">
        <v>0</v>
      </c>
      <c r="CA1623">
        <v>0</v>
      </c>
      <c r="CB1623" t="s">
        <v>135</v>
      </c>
      <c r="CH1623" s="2"/>
      <c r="CJ1623" s="2"/>
      <c r="CL1623" s="2"/>
      <c r="CN1623" s="2"/>
      <c r="CQ1623" s="2"/>
      <c r="CT1623" s="2"/>
      <c r="CW1623" s="2"/>
    </row>
    <row r="1624" spans="1:101" x14ac:dyDescent="0.25">
      <c r="A1624" s="1" t="s">
        <v>163</v>
      </c>
      <c r="B1624" s="75" t="s">
        <v>164</v>
      </c>
      <c r="C1624">
        <v>0</v>
      </c>
      <c r="D1624">
        <v>0</v>
      </c>
      <c r="E1624">
        <v>0</v>
      </c>
      <c r="F1624">
        <v>604324.56000000006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3.91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7490</v>
      </c>
      <c r="AW1624">
        <v>3350</v>
      </c>
      <c r="AX1624">
        <v>1219</v>
      </c>
      <c r="AY1624">
        <v>12059</v>
      </c>
      <c r="AZ1624">
        <v>4202</v>
      </c>
      <c r="BA1624">
        <v>7438</v>
      </c>
      <c r="BB1624">
        <v>1432</v>
      </c>
      <c r="BC1624">
        <v>13072</v>
      </c>
      <c r="BD1624">
        <v>9486</v>
      </c>
      <c r="BE1624">
        <v>9222</v>
      </c>
      <c r="BF1624">
        <v>1768</v>
      </c>
      <c r="BG1624">
        <v>20476</v>
      </c>
      <c r="BH1624">
        <v>0</v>
      </c>
      <c r="BI1624">
        <v>0</v>
      </c>
      <c r="BJ1624">
        <v>0</v>
      </c>
      <c r="BK1624">
        <v>0</v>
      </c>
      <c r="BL1624" s="2">
        <v>24.82</v>
      </c>
      <c r="BM1624" s="2">
        <v>42005.095138888886</v>
      </c>
      <c r="BN1624" s="2">
        <v>5.4</v>
      </c>
      <c r="BO1624" s="2">
        <v>42005.092361111114</v>
      </c>
      <c r="BP1624" s="2">
        <v>6.92</v>
      </c>
      <c r="BQ1624" s="2">
        <v>42005.092361111114</v>
      </c>
      <c r="BR1624" s="2">
        <v>11.07</v>
      </c>
      <c r="BS1624" s="2">
        <v>42005.092361111114</v>
      </c>
      <c r="BT1624">
        <v>0</v>
      </c>
      <c r="BU1624">
        <v>0</v>
      </c>
      <c r="BV1624" t="s">
        <v>135</v>
      </c>
      <c r="BW1624">
        <v>0</v>
      </c>
      <c r="BX1624">
        <v>0</v>
      </c>
      <c r="BY1624" t="s">
        <v>135</v>
      </c>
      <c r="BZ1624">
        <v>0</v>
      </c>
      <c r="CA1624">
        <v>0</v>
      </c>
      <c r="CB1624" t="s">
        <v>135</v>
      </c>
      <c r="CH1624" s="2"/>
      <c r="CJ1624" s="2"/>
      <c r="CL1624" s="2"/>
      <c r="CN1624" s="2"/>
      <c r="CQ1624" s="2"/>
      <c r="CT1624" s="2"/>
      <c r="CW1624" s="2"/>
    </row>
    <row r="1625" spans="1:101" x14ac:dyDescent="0.25">
      <c r="A1625" s="1" t="s">
        <v>163</v>
      </c>
      <c r="B1625" s="75" t="s">
        <v>164</v>
      </c>
      <c r="C1625">
        <v>0</v>
      </c>
      <c r="D1625">
        <v>0</v>
      </c>
      <c r="E1625">
        <v>0</v>
      </c>
      <c r="F1625">
        <v>604324.56000000006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3.91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7490</v>
      </c>
      <c r="AW1625">
        <v>3350</v>
      </c>
      <c r="AX1625">
        <v>1219</v>
      </c>
      <c r="AY1625">
        <v>12059</v>
      </c>
      <c r="AZ1625">
        <v>4202</v>
      </c>
      <c r="BA1625">
        <v>7438</v>
      </c>
      <c r="BB1625">
        <v>1432</v>
      </c>
      <c r="BC1625">
        <v>13072</v>
      </c>
      <c r="BD1625">
        <v>9486</v>
      </c>
      <c r="BE1625">
        <v>9222</v>
      </c>
      <c r="BF1625">
        <v>1768</v>
      </c>
      <c r="BG1625">
        <v>20476</v>
      </c>
      <c r="BH1625">
        <v>0</v>
      </c>
      <c r="BI1625">
        <v>0</v>
      </c>
      <c r="BJ1625">
        <v>0</v>
      </c>
      <c r="BK1625">
        <v>0</v>
      </c>
      <c r="BL1625" s="2">
        <v>24.82</v>
      </c>
      <c r="BM1625" s="2">
        <v>42005.095138888886</v>
      </c>
      <c r="BN1625" s="2">
        <v>5.4</v>
      </c>
      <c r="BO1625" s="2">
        <v>42005.092361111114</v>
      </c>
      <c r="BP1625" s="2">
        <v>6.92</v>
      </c>
      <c r="BQ1625" s="2">
        <v>42005.092361111114</v>
      </c>
      <c r="BR1625" s="2">
        <v>11.07</v>
      </c>
      <c r="BS1625" s="2">
        <v>42005.092361111114</v>
      </c>
      <c r="BT1625">
        <v>0</v>
      </c>
      <c r="BU1625">
        <v>0</v>
      </c>
      <c r="BV1625" t="s">
        <v>135</v>
      </c>
      <c r="BW1625">
        <v>0</v>
      </c>
      <c r="BX1625">
        <v>0</v>
      </c>
      <c r="BY1625" t="s">
        <v>135</v>
      </c>
      <c r="BZ1625">
        <v>0</v>
      </c>
      <c r="CA1625">
        <v>0</v>
      </c>
      <c r="CB1625" t="s">
        <v>135</v>
      </c>
      <c r="CH1625" s="2"/>
      <c r="CJ1625" s="2"/>
      <c r="CL1625" s="2"/>
      <c r="CN1625" s="2"/>
      <c r="CQ1625" s="2"/>
      <c r="CT1625" s="2"/>
      <c r="CW1625" s="2"/>
    </row>
    <row r="1626" spans="1:101" x14ac:dyDescent="0.25">
      <c r="A1626" s="1" t="s">
        <v>163</v>
      </c>
      <c r="B1626" s="75" t="s">
        <v>164</v>
      </c>
      <c r="C1626">
        <v>0</v>
      </c>
      <c r="D1626">
        <v>0</v>
      </c>
      <c r="E1626">
        <v>0</v>
      </c>
      <c r="F1626">
        <v>604324.56000000006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3.91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7490</v>
      </c>
      <c r="AW1626">
        <v>3350</v>
      </c>
      <c r="AX1626">
        <v>1219</v>
      </c>
      <c r="AY1626">
        <v>12059</v>
      </c>
      <c r="AZ1626">
        <v>4202</v>
      </c>
      <c r="BA1626">
        <v>7438</v>
      </c>
      <c r="BB1626">
        <v>1432</v>
      </c>
      <c r="BC1626">
        <v>13072</v>
      </c>
      <c r="BD1626">
        <v>9486</v>
      </c>
      <c r="BE1626">
        <v>9222</v>
      </c>
      <c r="BF1626">
        <v>1768</v>
      </c>
      <c r="BG1626">
        <v>20476</v>
      </c>
      <c r="BH1626">
        <v>0</v>
      </c>
      <c r="BI1626">
        <v>0</v>
      </c>
      <c r="BJ1626">
        <v>0</v>
      </c>
      <c r="BK1626">
        <v>0</v>
      </c>
      <c r="BL1626" s="2">
        <v>24.82</v>
      </c>
      <c r="BM1626" s="2">
        <v>42005.095138888886</v>
      </c>
      <c r="BN1626" s="2">
        <v>5.4</v>
      </c>
      <c r="BO1626" s="2">
        <v>42005.092361111114</v>
      </c>
      <c r="BP1626" s="2">
        <v>6.92</v>
      </c>
      <c r="BQ1626" s="2">
        <v>42005.092361111114</v>
      </c>
      <c r="BR1626" s="2">
        <v>11.07</v>
      </c>
      <c r="BS1626" s="2">
        <v>42005.092361111114</v>
      </c>
      <c r="BT1626">
        <v>0</v>
      </c>
      <c r="BU1626">
        <v>0</v>
      </c>
      <c r="BV1626" t="s">
        <v>135</v>
      </c>
      <c r="BW1626">
        <v>0</v>
      </c>
      <c r="BX1626">
        <v>0</v>
      </c>
      <c r="BY1626" t="s">
        <v>135</v>
      </c>
      <c r="BZ1626">
        <v>0</v>
      </c>
      <c r="CA1626">
        <v>0</v>
      </c>
      <c r="CB1626" t="s">
        <v>135</v>
      </c>
      <c r="CH1626" s="2"/>
      <c r="CJ1626" s="2"/>
      <c r="CL1626" s="2"/>
      <c r="CN1626" s="2"/>
      <c r="CQ1626" s="2"/>
      <c r="CT1626" s="2"/>
      <c r="CW1626" s="2"/>
    </row>
    <row r="1627" spans="1:101" x14ac:dyDescent="0.25">
      <c r="A1627" s="1" t="s">
        <v>163</v>
      </c>
      <c r="B1627" s="75" t="s">
        <v>164</v>
      </c>
      <c r="C1627">
        <v>0</v>
      </c>
      <c r="D1627">
        <v>0</v>
      </c>
      <c r="E1627">
        <v>0</v>
      </c>
      <c r="F1627">
        <v>604324.56000000006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3.91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7490</v>
      </c>
      <c r="AW1627">
        <v>3350</v>
      </c>
      <c r="AX1627">
        <v>1219</v>
      </c>
      <c r="AY1627">
        <v>12059</v>
      </c>
      <c r="AZ1627">
        <v>4202</v>
      </c>
      <c r="BA1627">
        <v>7438</v>
      </c>
      <c r="BB1627">
        <v>1432</v>
      </c>
      <c r="BC1627">
        <v>13072</v>
      </c>
      <c r="BD1627">
        <v>9486</v>
      </c>
      <c r="BE1627">
        <v>9222</v>
      </c>
      <c r="BF1627">
        <v>1768</v>
      </c>
      <c r="BG1627">
        <v>20476</v>
      </c>
      <c r="BH1627">
        <v>0</v>
      </c>
      <c r="BI1627">
        <v>0</v>
      </c>
      <c r="BJ1627">
        <v>0</v>
      </c>
      <c r="BK1627">
        <v>0</v>
      </c>
      <c r="BL1627" s="2">
        <v>24.82</v>
      </c>
      <c r="BM1627" s="2">
        <v>42005.095138888886</v>
      </c>
      <c r="BN1627" s="2">
        <v>5.4</v>
      </c>
      <c r="BO1627" s="2">
        <v>42005.092361111114</v>
      </c>
      <c r="BP1627" s="2">
        <v>6.92</v>
      </c>
      <c r="BQ1627" s="2">
        <v>42005.092361111114</v>
      </c>
      <c r="BR1627" s="2">
        <v>11.07</v>
      </c>
      <c r="BS1627" s="2">
        <v>42005.092361111114</v>
      </c>
      <c r="BT1627">
        <v>0</v>
      </c>
      <c r="BU1627">
        <v>0</v>
      </c>
      <c r="BV1627" t="s">
        <v>135</v>
      </c>
      <c r="BW1627">
        <v>0</v>
      </c>
      <c r="BX1627">
        <v>0</v>
      </c>
      <c r="BY1627" t="s">
        <v>135</v>
      </c>
      <c r="BZ1627">
        <v>0</v>
      </c>
      <c r="CA1627">
        <v>0</v>
      </c>
      <c r="CB1627" t="s">
        <v>135</v>
      </c>
      <c r="CH1627" s="2"/>
      <c r="CJ1627" s="2"/>
      <c r="CL1627" s="2"/>
      <c r="CN1627" s="2"/>
      <c r="CQ1627" s="2"/>
      <c r="CT1627" s="2"/>
      <c r="CW1627" s="2"/>
    </row>
    <row r="1628" spans="1:101" x14ac:dyDescent="0.25">
      <c r="A1628" s="1" t="s">
        <v>163</v>
      </c>
      <c r="B1628" s="75" t="s">
        <v>164</v>
      </c>
      <c r="C1628">
        <v>0</v>
      </c>
      <c r="D1628">
        <v>0</v>
      </c>
      <c r="E1628">
        <v>0</v>
      </c>
      <c r="F1628">
        <v>604324.56000000006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3.91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7490</v>
      </c>
      <c r="AW1628">
        <v>3350</v>
      </c>
      <c r="AX1628">
        <v>1219</v>
      </c>
      <c r="AY1628">
        <v>12059</v>
      </c>
      <c r="AZ1628">
        <v>4202</v>
      </c>
      <c r="BA1628">
        <v>7438</v>
      </c>
      <c r="BB1628">
        <v>1432</v>
      </c>
      <c r="BC1628">
        <v>13072</v>
      </c>
      <c r="BD1628">
        <v>9486</v>
      </c>
      <c r="BE1628">
        <v>9222</v>
      </c>
      <c r="BF1628">
        <v>1768</v>
      </c>
      <c r="BG1628">
        <v>20476</v>
      </c>
      <c r="BH1628">
        <v>0</v>
      </c>
      <c r="BI1628">
        <v>0</v>
      </c>
      <c r="BJ1628">
        <v>0</v>
      </c>
      <c r="BK1628">
        <v>0</v>
      </c>
      <c r="BL1628" s="2">
        <v>24.82</v>
      </c>
      <c r="BM1628" s="2">
        <v>42005.095138888886</v>
      </c>
      <c r="BN1628" s="2">
        <v>5.4</v>
      </c>
      <c r="BO1628" s="2">
        <v>42005.092361111114</v>
      </c>
      <c r="BP1628" s="2">
        <v>6.92</v>
      </c>
      <c r="BQ1628" s="2">
        <v>42005.092361111114</v>
      </c>
      <c r="BR1628" s="2">
        <v>11.07</v>
      </c>
      <c r="BS1628" s="2">
        <v>42005.092361111114</v>
      </c>
      <c r="BT1628">
        <v>0</v>
      </c>
      <c r="BU1628">
        <v>0</v>
      </c>
      <c r="BV1628" t="s">
        <v>135</v>
      </c>
      <c r="BW1628">
        <v>0</v>
      </c>
      <c r="BX1628">
        <v>0</v>
      </c>
      <c r="BY1628" t="s">
        <v>135</v>
      </c>
      <c r="BZ1628">
        <v>0</v>
      </c>
      <c r="CA1628">
        <v>0</v>
      </c>
      <c r="CB1628" t="s">
        <v>135</v>
      </c>
      <c r="CH1628" s="2"/>
      <c r="CJ1628" s="2"/>
      <c r="CL1628" s="2"/>
      <c r="CN1628" s="2"/>
      <c r="CQ1628" s="2"/>
      <c r="CT1628" s="2"/>
      <c r="CW1628" s="2"/>
    </row>
    <row r="1629" spans="1:101" x14ac:dyDescent="0.25">
      <c r="A1629" s="1" t="s">
        <v>163</v>
      </c>
      <c r="B1629" s="75" t="s">
        <v>164</v>
      </c>
      <c r="C1629">
        <v>0</v>
      </c>
      <c r="D1629">
        <v>0</v>
      </c>
      <c r="E1629">
        <v>0</v>
      </c>
      <c r="F1629">
        <v>604324.56000000006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3.91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7490</v>
      </c>
      <c r="AW1629">
        <v>3350</v>
      </c>
      <c r="AX1629">
        <v>1219</v>
      </c>
      <c r="AY1629">
        <v>12059</v>
      </c>
      <c r="AZ1629">
        <v>4202</v>
      </c>
      <c r="BA1629">
        <v>7438</v>
      </c>
      <c r="BB1629">
        <v>1432</v>
      </c>
      <c r="BC1629">
        <v>13072</v>
      </c>
      <c r="BD1629">
        <v>9486</v>
      </c>
      <c r="BE1629">
        <v>9222</v>
      </c>
      <c r="BF1629">
        <v>1768</v>
      </c>
      <c r="BG1629">
        <v>20476</v>
      </c>
      <c r="BH1629">
        <v>0</v>
      </c>
      <c r="BI1629">
        <v>0</v>
      </c>
      <c r="BJ1629">
        <v>0</v>
      </c>
      <c r="BK1629">
        <v>0</v>
      </c>
      <c r="BL1629" s="2">
        <v>24.82</v>
      </c>
      <c r="BM1629" s="2">
        <v>42005.095138888886</v>
      </c>
      <c r="BN1629" s="2">
        <v>5.4</v>
      </c>
      <c r="BO1629" s="2">
        <v>42005.092361111114</v>
      </c>
      <c r="BP1629" s="2">
        <v>6.92</v>
      </c>
      <c r="BQ1629" s="2">
        <v>42005.092361111114</v>
      </c>
      <c r="BR1629" s="2">
        <v>11.07</v>
      </c>
      <c r="BS1629" s="2">
        <v>42005.092361111114</v>
      </c>
      <c r="BT1629">
        <v>0</v>
      </c>
      <c r="BU1629">
        <v>0</v>
      </c>
      <c r="BV1629" t="s">
        <v>135</v>
      </c>
      <c r="BW1629">
        <v>0</v>
      </c>
      <c r="BX1629">
        <v>0</v>
      </c>
      <c r="BY1629" t="s">
        <v>135</v>
      </c>
      <c r="BZ1629">
        <v>0</v>
      </c>
      <c r="CA1629">
        <v>0</v>
      </c>
      <c r="CB1629" t="s">
        <v>135</v>
      </c>
      <c r="CH1629" s="2"/>
      <c r="CJ1629" s="2"/>
      <c r="CL1629" s="2"/>
      <c r="CN1629" s="2"/>
      <c r="CQ1629" s="2"/>
      <c r="CT1629" s="2"/>
      <c r="CW1629" s="2"/>
    </row>
    <row r="1630" spans="1:101" x14ac:dyDescent="0.25">
      <c r="A1630" s="1" t="s">
        <v>163</v>
      </c>
      <c r="B1630" s="75" t="s">
        <v>164</v>
      </c>
      <c r="C1630">
        <v>0</v>
      </c>
      <c r="D1630">
        <v>0</v>
      </c>
      <c r="E1630">
        <v>0</v>
      </c>
      <c r="F1630">
        <v>604324.56000000006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3.91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7490</v>
      </c>
      <c r="AW1630">
        <v>3350</v>
      </c>
      <c r="AX1630">
        <v>1219</v>
      </c>
      <c r="AY1630">
        <v>12059</v>
      </c>
      <c r="AZ1630">
        <v>4202</v>
      </c>
      <c r="BA1630">
        <v>7438</v>
      </c>
      <c r="BB1630">
        <v>1432</v>
      </c>
      <c r="BC1630">
        <v>13072</v>
      </c>
      <c r="BD1630">
        <v>9486</v>
      </c>
      <c r="BE1630">
        <v>9222</v>
      </c>
      <c r="BF1630">
        <v>1768</v>
      </c>
      <c r="BG1630">
        <v>20476</v>
      </c>
      <c r="BH1630">
        <v>0</v>
      </c>
      <c r="BI1630">
        <v>0</v>
      </c>
      <c r="BJ1630">
        <v>0</v>
      </c>
      <c r="BK1630">
        <v>0</v>
      </c>
      <c r="BL1630" s="2">
        <v>24.82</v>
      </c>
      <c r="BM1630" s="2">
        <v>42005.095138888886</v>
      </c>
      <c r="BN1630" s="2">
        <v>5.4</v>
      </c>
      <c r="BO1630" s="2">
        <v>42005.092361111114</v>
      </c>
      <c r="BP1630" s="2">
        <v>6.92</v>
      </c>
      <c r="BQ1630" s="2">
        <v>42005.092361111114</v>
      </c>
      <c r="BR1630" s="2">
        <v>11.07</v>
      </c>
      <c r="BS1630" s="2">
        <v>42005.092361111114</v>
      </c>
      <c r="BT1630">
        <v>0</v>
      </c>
      <c r="BU1630">
        <v>0</v>
      </c>
      <c r="BV1630" t="s">
        <v>135</v>
      </c>
      <c r="BW1630">
        <v>0</v>
      </c>
      <c r="BX1630">
        <v>0</v>
      </c>
      <c r="BY1630" t="s">
        <v>135</v>
      </c>
      <c r="BZ1630">
        <v>0</v>
      </c>
      <c r="CA1630">
        <v>0</v>
      </c>
      <c r="CB1630" t="s">
        <v>135</v>
      </c>
      <c r="CH1630" s="2"/>
      <c r="CJ1630" s="2"/>
      <c r="CL1630" s="2"/>
      <c r="CN1630" s="2"/>
      <c r="CQ1630" s="2"/>
      <c r="CT1630" s="2"/>
      <c r="CW1630" s="2"/>
    </row>
    <row r="1631" spans="1:101" x14ac:dyDescent="0.25">
      <c r="A1631" s="1" t="s">
        <v>163</v>
      </c>
      <c r="B1631" s="75" t="s">
        <v>164</v>
      </c>
      <c r="C1631">
        <v>0</v>
      </c>
      <c r="D1631">
        <v>0</v>
      </c>
      <c r="E1631">
        <v>0</v>
      </c>
      <c r="F1631">
        <v>604324.56000000006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3.91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7490</v>
      </c>
      <c r="AW1631">
        <v>3350</v>
      </c>
      <c r="AX1631">
        <v>1219</v>
      </c>
      <c r="AY1631">
        <v>12059</v>
      </c>
      <c r="AZ1631">
        <v>4202</v>
      </c>
      <c r="BA1631">
        <v>7438</v>
      </c>
      <c r="BB1631">
        <v>1432</v>
      </c>
      <c r="BC1631">
        <v>13072</v>
      </c>
      <c r="BD1631">
        <v>9486</v>
      </c>
      <c r="BE1631">
        <v>9222</v>
      </c>
      <c r="BF1631">
        <v>1768</v>
      </c>
      <c r="BG1631">
        <v>20476</v>
      </c>
      <c r="BH1631">
        <v>0</v>
      </c>
      <c r="BI1631">
        <v>0</v>
      </c>
      <c r="BJ1631">
        <v>0</v>
      </c>
      <c r="BK1631">
        <v>0</v>
      </c>
      <c r="BL1631" s="2">
        <v>24.82</v>
      </c>
      <c r="BM1631" s="2">
        <v>42005.095138888886</v>
      </c>
      <c r="BN1631" s="2">
        <v>5.4</v>
      </c>
      <c r="BO1631" s="2">
        <v>42005.092361111114</v>
      </c>
      <c r="BP1631" s="2">
        <v>6.92</v>
      </c>
      <c r="BQ1631" s="2">
        <v>42005.092361111114</v>
      </c>
      <c r="BR1631" s="2">
        <v>11.07</v>
      </c>
      <c r="BS1631" s="2">
        <v>42005.092361111114</v>
      </c>
      <c r="BT1631">
        <v>0</v>
      </c>
      <c r="BU1631">
        <v>0</v>
      </c>
      <c r="BV1631" t="s">
        <v>135</v>
      </c>
      <c r="BW1631">
        <v>0</v>
      </c>
      <c r="BX1631">
        <v>0</v>
      </c>
      <c r="BY1631" t="s">
        <v>135</v>
      </c>
      <c r="BZ1631">
        <v>0</v>
      </c>
      <c r="CA1631">
        <v>0</v>
      </c>
      <c r="CB1631" t="s">
        <v>135</v>
      </c>
      <c r="CH1631" s="2"/>
      <c r="CJ1631" s="2"/>
      <c r="CL1631" s="2"/>
      <c r="CN1631" s="2"/>
      <c r="CQ1631" s="2"/>
      <c r="CT1631" s="2"/>
      <c r="CW1631" s="2"/>
    </row>
    <row r="1632" spans="1:101" x14ac:dyDescent="0.25">
      <c r="A1632" s="1" t="s">
        <v>163</v>
      </c>
      <c r="B1632" s="75" t="s">
        <v>164</v>
      </c>
      <c r="C1632">
        <v>0</v>
      </c>
      <c r="D1632">
        <v>0</v>
      </c>
      <c r="E1632">
        <v>0</v>
      </c>
      <c r="F1632">
        <v>604324.56000000006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3.91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7490</v>
      </c>
      <c r="AW1632">
        <v>3350</v>
      </c>
      <c r="AX1632">
        <v>1219</v>
      </c>
      <c r="AY1632">
        <v>12059</v>
      </c>
      <c r="AZ1632">
        <v>4202</v>
      </c>
      <c r="BA1632">
        <v>7438</v>
      </c>
      <c r="BB1632">
        <v>1432</v>
      </c>
      <c r="BC1632">
        <v>13072</v>
      </c>
      <c r="BD1632">
        <v>9486</v>
      </c>
      <c r="BE1632">
        <v>9222</v>
      </c>
      <c r="BF1632">
        <v>1768</v>
      </c>
      <c r="BG1632">
        <v>20476</v>
      </c>
      <c r="BH1632">
        <v>0</v>
      </c>
      <c r="BI1632">
        <v>0</v>
      </c>
      <c r="BJ1632">
        <v>0</v>
      </c>
      <c r="BK1632">
        <v>0</v>
      </c>
      <c r="BL1632" s="2">
        <v>24.82</v>
      </c>
      <c r="BM1632" s="2">
        <v>42005.095138888886</v>
      </c>
      <c r="BN1632" s="2">
        <v>5.4</v>
      </c>
      <c r="BO1632" s="2">
        <v>42005.092361111114</v>
      </c>
      <c r="BP1632" s="2">
        <v>6.92</v>
      </c>
      <c r="BQ1632" s="2">
        <v>42005.092361111114</v>
      </c>
      <c r="BR1632" s="2">
        <v>11.07</v>
      </c>
      <c r="BS1632" s="2">
        <v>42005.092361111114</v>
      </c>
      <c r="BT1632">
        <v>0</v>
      </c>
      <c r="BU1632">
        <v>0</v>
      </c>
      <c r="BV1632" t="s">
        <v>135</v>
      </c>
      <c r="BW1632">
        <v>0</v>
      </c>
      <c r="BX1632">
        <v>0</v>
      </c>
      <c r="BY1632" t="s">
        <v>135</v>
      </c>
      <c r="BZ1632">
        <v>0</v>
      </c>
      <c r="CA1632">
        <v>0</v>
      </c>
      <c r="CB1632" t="s">
        <v>135</v>
      </c>
      <c r="CH1632" s="2"/>
      <c r="CJ1632" s="2"/>
      <c r="CL1632" s="2"/>
      <c r="CN1632" s="2"/>
      <c r="CQ1632" s="2"/>
      <c r="CT1632" s="2"/>
      <c r="CW1632" s="2"/>
    </row>
    <row r="1633" spans="1:101" x14ac:dyDescent="0.25">
      <c r="A1633" s="1" t="s">
        <v>163</v>
      </c>
      <c r="B1633" s="75" t="s">
        <v>164</v>
      </c>
      <c r="C1633">
        <v>0</v>
      </c>
      <c r="D1633">
        <v>0</v>
      </c>
      <c r="E1633">
        <v>0</v>
      </c>
      <c r="F1633">
        <v>604324.56000000006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3.91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7490</v>
      </c>
      <c r="AW1633">
        <v>3350</v>
      </c>
      <c r="AX1633">
        <v>1219</v>
      </c>
      <c r="AY1633">
        <v>12059</v>
      </c>
      <c r="AZ1633">
        <v>4202</v>
      </c>
      <c r="BA1633">
        <v>7438</v>
      </c>
      <c r="BB1633">
        <v>1432</v>
      </c>
      <c r="BC1633">
        <v>13072</v>
      </c>
      <c r="BD1633">
        <v>9486</v>
      </c>
      <c r="BE1633">
        <v>9222</v>
      </c>
      <c r="BF1633">
        <v>1768</v>
      </c>
      <c r="BG1633">
        <v>20476</v>
      </c>
      <c r="BH1633">
        <v>0</v>
      </c>
      <c r="BI1633">
        <v>0</v>
      </c>
      <c r="BJ1633">
        <v>0</v>
      </c>
      <c r="BK1633">
        <v>0</v>
      </c>
      <c r="BL1633" s="2">
        <v>24.82</v>
      </c>
      <c r="BM1633" s="2">
        <v>42005.095138888886</v>
      </c>
      <c r="BN1633" s="2">
        <v>5.4</v>
      </c>
      <c r="BO1633" s="2">
        <v>42005.092361111114</v>
      </c>
      <c r="BP1633" s="2">
        <v>6.92</v>
      </c>
      <c r="BQ1633" s="2">
        <v>42005.092361111114</v>
      </c>
      <c r="BR1633" s="2">
        <v>11.07</v>
      </c>
      <c r="BS1633" s="2">
        <v>42005.092361111114</v>
      </c>
      <c r="BT1633">
        <v>0</v>
      </c>
      <c r="BU1633">
        <v>0</v>
      </c>
      <c r="BV1633" t="s">
        <v>135</v>
      </c>
      <c r="BW1633">
        <v>0</v>
      </c>
      <c r="BX1633">
        <v>0</v>
      </c>
      <c r="BY1633" t="s">
        <v>135</v>
      </c>
      <c r="BZ1633">
        <v>0</v>
      </c>
      <c r="CA1633">
        <v>0</v>
      </c>
      <c r="CB1633" t="s">
        <v>135</v>
      </c>
      <c r="CH1633" s="2"/>
      <c r="CJ1633" s="2"/>
      <c r="CL1633" s="2"/>
      <c r="CN1633" s="2"/>
      <c r="CQ1633" s="2"/>
      <c r="CT1633" s="2"/>
      <c r="CW1633" s="2"/>
    </row>
    <row r="1634" spans="1:101" x14ac:dyDescent="0.25">
      <c r="A1634" s="1" t="s">
        <v>163</v>
      </c>
      <c r="B1634" s="75" t="s">
        <v>164</v>
      </c>
      <c r="C1634">
        <v>0</v>
      </c>
      <c r="D1634">
        <v>0</v>
      </c>
      <c r="E1634">
        <v>0</v>
      </c>
      <c r="F1634">
        <v>604324.56000000006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3.91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7490</v>
      </c>
      <c r="AW1634">
        <v>3350</v>
      </c>
      <c r="AX1634">
        <v>1219</v>
      </c>
      <c r="AY1634">
        <v>12059</v>
      </c>
      <c r="AZ1634">
        <v>4202</v>
      </c>
      <c r="BA1634">
        <v>7438</v>
      </c>
      <c r="BB1634">
        <v>1432</v>
      </c>
      <c r="BC1634">
        <v>13072</v>
      </c>
      <c r="BD1634">
        <v>9486</v>
      </c>
      <c r="BE1634">
        <v>9222</v>
      </c>
      <c r="BF1634">
        <v>1768</v>
      </c>
      <c r="BG1634">
        <v>20476</v>
      </c>
      <c r="BH1634">
        <v>0</v>
      </c>
      <c r="BI1634">
        <v>0</v>
      </c>
      <c r="BJ1634">
        <v>0</v>
      </c>
      <c r="BK1634">
        <v>0</v>
      </c>
      <c r="BL1634" s="2">
        <v>24.82</v>
      </c>
      <c r="BM1634" s="2">
        <v>42005.095138888886</v>
      </c>
      <c r="BN1634" s="2">
        <v>5.4</v>
      </c>
      <c r="BO1634" s="2">
        <v>42005.092361111114</v>
      </c>
      <c r="BP1634" s="2">
        <v>6.92</v>
      </c>
      <c r="BQ1634" s="2">
        <v>42005.092361111114</v>
      </c>
      <c r="BR1634" s="2">
        <v>11.07</v>
      </c>
      <c r="BS1634" s="2">
        <v>42005.092361111114</v>
      </c>
      <c r="BT1634">
        <v>0</v>
      </c>
      <c r="BU1634">
        <v>0</v>
      </c>
      <c r="BV1634" t="s">
        <v>135</v>
      </c>
      <c r="BW1634">
        <v>0</v>
      </c>
      <c r="BX1634">
        <v>0</v>
      </c>
      <c r="BY1634" t="s">
        <v>135</v>
      </c>
      <c r="BZ1634">
        <v>0</v>
      </c>
      <c r="CA1634">
        <v>0</v>
      </c>
      <c r="CB1634" t="s">
        <v>135</v>
      </c>
      <c r="CH1634" s="2"/>
      <c r="CJ1634" s="2"/>
      <c r="CL1634" s="2"/>
      <c r="CN1634" s="2"/>
      <c r="CQ1634" s="2"/>
      <c r="CT1634" s="2"/>
      <c r="CW1634" s="2"/>
    </row>
    <row r="1635" spans="1:101" x14ac:dyDescent="0.25">
      <c r="A1635" s="1" t="s">
        <v>163</v>
      </c>
      <c r="B1635" s="75" t="s">
        <v>164</v>
      </c>
      <c r="C1635">
        <v>0</v>
      </c>
      <c r="D1635">
        <v>0</v>
      </c>
      <c r="E1635">
        <v>0</v>
      </c>
      <c r="F1635">
        <v>604324.56000000006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3.91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7490</v>
      </c>
      <c r="AW1635">
        <v>3350</v>
      </c>
      <c r="AX1635">
        <v>1219</v>
      </c>
      <c r="AY1635">
        <v>12059</v>
      </c>
      <c r="AZ1635">
        <v>4202</v>
      </c>
      <c r="BA1635">
        <v>7438</v>
      </c>
      <c r="BB1635">
        <v>1432</v>
      </c>
      <c r="BC1635">
        <v>13072</v>
      </c>
      <c r="BD1635">
        <v>9486</v>
      </c>
      <c r="BE1635">
        <v>9222</v>
      </c>
      <c r="BF1635">
        <v>1768</v>
      </c>
      <c r="BG1635">
        <v>20476</v>
      </c>
      <c r="BH1635">
        <v>0</v>
      </c>
      <c r="BI1635">
        <v>0</v>
      </c>
      <c r="BJ1635">
        <v>0</v>
      </c>
      <c r="BK1635">
        <v>0</v>
      </c>
      <c r="BL1635" s="2">
        <v>24.82</v>
      </c>
      <c r="BM1635" s="2">
        <v>42005.095138888886</v>
      </c>
      <c r="BN1635" s="2">
        <v>5.4</v>
      </c>
      <c r="BO1635" s="2">
        <v>42005.092361111114</v>
      </c>
      <c r="BP1635" s="2">
        <v>6.92</v>
      </c>
      <c r="BQ1635" s="2">
        <v>42005.092361111114</v>
      </c>
      <c r="BR1635" s="2">
        <v>11.07</v>
      </c>
      <c r="BS1635" s="2">
        <v>42005.092361111114</v>
      </c>
      <c r="BT1635">
        <v>0</v>
      </c>
      <c r="BU1635">
        <v>0</v>
      </c>
      <c r="BV1635" t="s">
        <v>135</v>
      </c>
      <c r="BW1635">
        <v>0</v>
      </c>
      <c r="BX1635">
        <v>0</v>
      </c>
      <c r="BY1635" t="s">
        <v>135</v>
      </c>
      <c r="BZ1635">
        <v>0</v>
      </c>
      <c r="CA1635">
        <v>0</v>
      </c>
      <c r="CB1635" t="s">
        <v>135</v>
      </c>
      <c r="CH1635" s="2"/>
      <c r="CJ1635" s="2"/>
      <c r="CL1635" s="2"/>
      <c r="CN1635" s="2"/>
      <c r="CQ1635" s="2"/>
      <c r="CT1635" s="2"/>
      <c r="CW1635" s="2"/>
    </row>
    <row r="1636" spans="1:101" x14ac:dyDescent="0.25">
      <c r="A1636" s="1" t="s">
        <v>163</v>
      </c>
      <c r="B1636" s="75" t="s">
        <v>164</v>
      </c>
      <c r="C1636">
        <v>0</v>
      </c>
      <c r="D1636">
        <v>0</v>
      </c>
      <c r="E1636">
        <v>0</v>
      </c>
      <c r="F1636">
        <v>604324.56000000006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3.91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7490</v>
      </c>
      <c r="AW1636">
        <v>3350</v>
      </c>
      <c r="AX1636">
        <v>1219</v>
      </c>
      <c r="AY1636">
        <v>12059</v>
      </c>
      <c r="AZ1636">
        <v>4202</v>
      </c>
      <c r="BA1636">
        <v>7438</v>
      </c>
      <c r="BB1636">
        <v>1432</v>
      </c>
      <c r="BC1636">
        <v>13072</v>
      </c>
      <c r="BD1636">
        <v>9486</v>
      </c>
      <c r="BE1636">
        <v>9222</v>
      </c>
      <c r="BF1636">
        <v>1768</v>
      </c>
      <c r="BG1636">
        <v>20476</v>
      </c>
      <c r="BH1636">
        <v>0</v>
      </c>
      <c r="BI1636">
        <v>0</v>
      </c>
      <c r="BJ1636">
        <v>0</v>
      </c>
      <c r="BK1636">
        <v>0</v>
      </c>
      <c r="BL1636" s="2">
        <v>24.82</v>
      </c>
      <c r="BM1636" s="2">
        <v>42005.095138888886</v>
      </c>
      <c r="BN1636" s="2">
        <v>5.4</v>
      </c>
      <c r="BO1636" s="2">
        <v>42005.092361111114</v>
      </c>
      <c r="BP1636" s="2">
        <v>6.92</v>
      </c>
      <c r="BQ1636" s="2">
        <v>42005.092361111114</v>
      </c>
      <c r="BR1636" s="2">
        <v>11.07</v>
      </c>
      <c r="BS1636" s="2">
        <v>42005.092361111114</v>
      </c>
      <c r="BT1636">
        <v>0</v>
      </c>
      <c r="BU1636">
        <v>0</v>
      </c>
      <c r="BV1636" t="s">
        <v>135</v>
      </c>
      <c r="BW1636">
        <v>0</v>
      </c>
      <c r="BX1636">
        <v>0</v>
      </c>
      <c r="BY1636" t="s">
        <v>135</v>
      </c>
      <c r="BZ1636">
        <v>0</v>
      </c>
      <c r="CA1636">
        <v>0</v>
      </c>
      <c r="CB1636" t="s">
        <v>135</v>
      </c>
      <c r="CH1636" s="2"/>
      <c r="CJ1636" s="2"/>
      <c r="CL1636" s="2"/>
      <c r="CN1636" s="2"/>
      <c r="CQ1636" s="2"/>
      <c r="CT1636" s="2"/>
      <c r="CW1636" s="2"/>
    </row>
    <row r="1637" spans="1:101" x14ac:dyDescent="0.25">
      <c r="A1637" s="1" t="s">
        <v>163</v>
      </c>
      <c r="B1637" s="75" t="s">
        <v>164</v>
      </c>
      <c r="C1637">
        <v>0</v>
      </c>
      <c r="D1637">
        <v>0</v>
      </c>
      <c r="E1637">
        <v>0</v>
      </c>
      <c r="F1637">
        <v>604324.56000000006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3.91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7490</v>
      </c>
      <c r="AW1637">
        <v>3350</v>
      </c>
      <c r="AX1637">
        <v>1219</v>
      </c>
      <c r="AY1637">
        <v>12059</v>
      </c>
      <c r="AZ1637">
        <v>4202</v>
      </c>
      <c r="BA1637">
        <v>7438</v>
      </c>
      <c r="BB1637">
        <v>1432</v>
      </c>
      <c r="BC1637">
        <v>13072</v>
      </c>
      <c r="BD1637">
        <v>9486</v>
      </c>
      <c r="BE1637">
        <v>9222</v>
      </c>
      <c r="BF1637">
        <v>1768</v>
      </c>
      <c r="BG1637">
        <v>20476</v>
      </c>
      <c r="BH1637">
        <v>0</v>
      </c>
      <c r="BI1637">
        <v>0</v>
      </c>
      <c r="BJ1637">
        <v>0</v>
      </c>
      <c r="BK1637">
        <v>0</v>
      </c>
      <c r="BL1637" s="2">
        <v>24.82</v>
      </c>
      <c r="BM1637" s="2">
        <v>42005.095138888886</v>
      </c>
      <c r="BN1637" s="2">
        <v>5.4</v>
      </c>
      <c r="BO1637" s="2">
        <v>42005.092361111114</v>
      </c>
      <c r="BP1637" s="2">
        <v>6.92</v>
      </c>
      <c r="BQ1637" s="2">
        <v>42005.092361111114</v>
      </c>
      <c r="BR1637" s="2">
        <v>11.07</v>
      </c>
      <c r="BS1637" s="2">
        <v>42005.092361111114</v>
      </c>
      <c r="BT1637">
        <v>0</v>
      </c>
      <c r="BU1637">
        <v>0</v>
      </c>
      <c r="BV1637" t="s">
        <v>135</v>
      </c>
      <c r="BW1637">
        <v>0</v>
      </c>
      <c r="BX1637">
        <v>0</v>
      </c>
      <c r="BY1637" t="s">
        <v>135</v>
      </c>
      <c r="BZ1637">
        <v>0</v>
      </c>
      <c r="CA1637">
        <v>0</v>
      </c>
      <c r="CB1637" t="s">
        <v>135</v>
      </c>
      <c r="CH1637" s="2"/>
      <c r="CJ1637" s="2"/>
      <c r="CL1637" s="2"/>
      <c r="CN1637" s="2"/>
      <c r="CQ1637" s="2"/>
      <c r="CT1637" s="2"/>
      <c r="CW1637" s="2"/>
    </row>
    <row r="1638" spans="1:101" x14ac:dyDescent="0.25">
      <c r="A1638" s="1" t="s">
        <v>163</v>
      </c>
      <c r="B1638" s="75" t="s">
        <v>164</v>
      </c>
      <c r="C1638">
        <v>0</v>
      </c>
      <c r="D1638">
        <v>0</v>
      </c>
      <c r="E1638">
        <v>0</v>
      </c>
      <c r="F1638">
        <v>604324.56000000006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3.91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7490</v>
      </c>
      <c r="AW1638">
        <v>3350</v>
      </c>
      <c r="AX1638">
        <v>1219</v>
      </c>
      <c r="AY1638">
        <v>12059</v>
      </c>
      <c r="AZ1638">
        <v>4202</v>
      </c>
      <c r="BA1638">
        <v>7438</v>
      </c>
      <c r="BB1638">
        <v>1432</v>
      </c>
      <c r="BC1638">
        <v>13072</v>
      </c>
      <c r="BD1638">
        <v>9486</v>
      </c>
      <c r="BE1638">
        <v>9222</v>
      </c>
      <c r="BF1638">
        <v>1768</v>
      </c>
      <c r="BG1638">
        <v>20476</v>
      </c>
      <c r="BH1638">
        <v>0</v>
      </c>
      <c r="BI1638">
        <v>0</v>
      </c>
      <c r="BJ1638">
        <v>0</v>
      </c>
      <c r="BK1638">
        <v>0</v>
      </c>
      <c r="BL1638" s="2">
        <v>24.82</v>
      </c>
      <c r="BM1638" s="2">
        <v>42005.095138888886</v>
      </c>
      <c r="BN1638" s="2">
        <v>5.4</v>
      </c>
      <c r="BO1638" s="2">
        <v>42005.092361111114</v>
      </c>
      <c r="BP1638" s="2">
        <v>6.92</v>
      </c>
      <c r="BQ1638" s="2">
        <v>42005.092361111114</v>
      </c>
      <c r="BR1638" s="2">
        <v>11.07</v>
      </c>
      <c r="BS1638" s="2">
        <v>42005.092361111114</v>
      </c>
      <c r="BT1638">
        <v>0</v>
      </c>
      <c r="BU1638">
        <v>0</v>
      </c>
      <c r="BV1638" t="s">
        <v>135</v>
      </c>
      <c r="BW1638">
        <v>0</v>
      </c>
      <c r="BX1638">
        <v>0</v>
      </c>
      <c r="BY1638" t="s">
        <v>135</v>
      </c>
      <c r="BZ1638">
        <v>0</v>
      </c>
      <c r="CA1638">
        <v>0</v>
      </c>
      <c r="CB1638" t="s">
        <v>135</v>
      </c>
      <c r="CH1638" s="2"/>
      <c r="CJ1638" s="2"/>
      <c r="CL1638" s="2"/>
      <c r="CN1638" s="2"/>
      <c r="CQ1638" s="2"/>
      <c r="CT1638" s="2"/>
      <c r="CW1638" s="2"/>
    </row>
    <row r="1639" spans="1:101" x14ac:dyDescent="0.25">
      <c r="A1639" s="1" t="s">
        <v>163</v>
      </c>
      <c r="B1639" s="75" t="s">
        <v>164</v>
      </c>
      <c r="C1639">
        <v>0</v>
      </c>
      <c r="D1639">
        <v>0</v>
      </c>
      <c r="E1639">
        <v>0</v>
      </c>
      <c r="F1639">
        <v>604324.56000000006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3.91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7490</v>
      </c>
      <c r="AW1639">
        <v>3350</v>
      </c>
      <c r="AX1639">
        <v>1219</v>
      </c>
      <c r="AY1639">
        <v>12059</v>
      </c>
      <c r="AZ1639">
        <v>4202</v>
      </c>
      <c r="BA1639">
        <v>7438</v>
      </c>
      <c r="BB1639">
        <v>1432</v>
      </c>
      <c r="BC1639">
        <v>13072</v>
      </c>
      <c r="BD1639">
        <v>9486</v>
      </c>
      <c r="BE1639">
        <v>9222</v>
      </c>
      <c r="BF1639">
        <v>1768</v>
      </c>
      <c r="BG1639">
        <v>20476</v>
      </c>
      <c r="BH1639">
        <v>0</v>
      </c>
      <c r="BI1639">
        <v>0</v>
      </c>
      <c r="BJ1639">
        <v>0</v>
      </c>
      <c r="BK1639">
        <v>0</v>
      </c>
      <c r="BL1639" s="2">
        <v>24.82</v>
      </c>
      <c r="BM1639" s="2">
        <v>42005.095138888886</v>
      </c>
      <c r="BN1639" s="2">
        <v>5.4</v>
      </c>
      <c r="BO1639" s="2">
        <v>42005.092361111114</v>
      </c>
      <c r="BP1639" s="2">
        <v>6.92</v>
      </c>
      <c r="BQ1639" s="2">
        <v>42005.092361111114</v>
      </c>
      <c r="BR1639" s="2">
        <v>11.07</v>
      </c>
      <c r="BS1639" s="2">
        <v>42005.092361111114</v>
      </c>
      <c r="BT1639">
        <v>0</v>
      </c>
      <c r="BU1639">
        <v>0</v>
      </c>
      <c r="BV1639" t="s">
        <v>135</v>
      </c>
      <c r="BW1639">
        <v>0</v>
      </c>
      <c r="BX1639">
        <v>0</v>
      </c>
      <c r="BY1639" t="s">
        <v>135</v>
      </c>
      <c r="BZ1639">
        <v>0</v>
      </c>
      <c r="CA1639">
        <v>0</v>
      </c>
      <c r="CB1639" t="s">
        <v>135</v>
      </c>
      <c r="CH1639" s="2"/>
      <c r="CJ1639" s="2"/>
      <c r="CL1639" s="2"/>
      <c r="CN1639" s="2"/>
      <c r="CQ1639" s="2"/>
      <c r="CT1639" s="2"/>
      <c r="CW1639" s="2"/>
    </row>
    <row r="1640" spans="1:101" x14ac:dyDescent="0.25">
      <c r="A1640" s="1" t="s">
        <v>163</v>
      </c>
      <c r="B1640" s="75" t="s">
        <v>164</v>
      </c>
      <c r="C1640">
        <v>0</v>
      </c>
      <c r="D1640">
        <v>0</v>
      </c>
      <c r="E1640">
        <v>0</v>
      </c>
      <c r="F1640">
        <v>604324.56000000006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3.91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7490</v>
      </c>
      <c r="AW1640">
        <v>3350</v>
      </c>
      <c r="AX1640">
        <v>1219</v>
      </c>
      <c r="AY1640">
        <v>12059</v>
      </c>
      <c r="AZ1640">
        <v>4202</v>
      </c>
      <c r="BA1640">
        <v>7438</v>
      </c>
      <c r="BB1640">
        <v>1432</v>
      </c>
      <c r="BC1640">
        <v>13072</v>
      </c>
      <c r="BD1640">
        <v>9486</v>
      </c>
      <c r="BE1640">
        <v>9222</v>
      </c>
      <c r="BF1640">
        <v>1768</v>
      </c>
      <c r="BG1640">
        <v>20476</v>
      </c>
      <c r="BH1640">
        <v>0</v>
      </c>
      <c r="BI1640">
        <v>0</v>
      </c>
      <c r="BJ1640">
        <v>0</v>
      </c>
      <c r="BK1640">
        <v>0</v>
      </c>
      <c r="BL1640" s="2">
        <v>24.82</v>
      </c>
      <c r="BM1640" s="2">
        <v>42005.095138888886</v>
      </c>
      <c r="BN1640" s="2">
        <v>5.4</v>
      </c>
      <c r="BO1640" s="2">
        <v>42005.092361111114</v>
      </c>
      <c r="BP1640" s="2">
        <v>6.92</v>
      </c>
      <c r="BQ1640" s="2">
        <v>42005.092361111114</v>
      </c>
      <c r="BR1640" s="2">
        <v>11.07</v>
      </c>
      <c r="BS1640" s="2">
        <v>42005.092361111114</v>
      </c>
      <c r="BT1640">
        <v>0</v>
      </c>
      <c r="BU1640">
        <v>0</v>
      </c>
      <c r="BV1640" t="s">
        <v>135</v>
      </c>
      <c r="BW1640">
        <v>0</v>
      </c>
      <c r="BX1640">
        <v>0</v>
      </c>
      <c r="BY1640" t="s">
        <v>135</v>
      </c>
      <c r="BZ1640">
        <v>0</v>
      </c>
      <c r="CA1640">
        <v>0</v>
      </c>
      <c r="CB1640" t="s">
        <v>135</v>
      </c>
      <c r="CH1640" s="2"/>
      <c r="CJ1640" s="2"/>
      <c r="CL1640" s="2"/>
      <c r="CN1640" s="2"/>
      <c r="CQ1640" s="2"/>
      <c r="CT1640" s="2"/>
      <c r="CW1640" s="2"/>
    </row>
    <row r="1641" spans="1:101" x14ac:dyDescent="0.25">
      <c r="A1641" s="1" t="s">
        <v>163</v>
      </c>
      <c r="B1641" s="75" t="s">
        <v>164</v>
      </c>
      <c r="C1641">
        <v>0</v>
      </c>
      <c r="D1641">
        <v>0</v>
      </c>
      <c r="E1641">
        <v>0</v>
      </c>
      <c r="F1641">
        <v>604324.56000000006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3.91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7490</v>
      </c>
      <c r="AW1641">
        <v>3350</v>
      </c>
      <c r="AX1641">
        <v>1219</v>
      </c>
      <c r="AY1641">
        <v>12059</v>
      </c>
      <c r="AZ1641">
        <v>4202</v>
      </c>
      <c r="BA1641">
        <v>7438</v>
      </c>
      <c r="BB1641">
        <v>1432</v>
      </c>
      <c r="BC1641">
        <v>13072</v>
      </c>
      <c r="BD1641">
        <v>9486</v>
      </c>
      <c r="BE1641">
        <v>9222</v>
      </c>
      <c r="BF1641">
        <v>1768</v>
      </c>
      <c r="BG1641">
        <v>20476</v>
      </c>
      <c r="BH1641">
        <v>0</v>
      </c>
      <c r="BI1641">
        <v>0</v>
      </c>
      <c r="BJ1641">
        <v>0</v>
      </c>
      <c r="BK1641">
        <v>0</v>
      </c>
      <c r="BL1641" s="2">
        <v>24.82</v>
      </c>
      <c r="BM1641" s="2">
        <v>42005.095138888886</v>
      </c>
      <c r="BN1641" s="2">
        <v>5.4</v>
      </c>
      <c r="BO1641" s="2">
        <v>42005.092361111114</v>
      </c>
      <c r="BP1641" s="2">
        <v>6.92</v>
      </c>
      <c r="BQ1641" s="2">
        <v>42005.092361111114</v>
      </c>
      <c r="BR1641" s="2">
        <v>11.07</v>
      </c>
      <c r="BS1641" s="2">
        <v>42005.092361111114</v>
      </c>
      <c r="BT1641">
        <v>0</v>
      </c>
      <c r="BU1641">
        <v>0</v>
      </c>
      <c r="BV1641" t="s">
        <v>135</v>
      </c>
      <c r="BW1641">
        <v>0</v>
      </c>
      <c r="BX1641">
        <v>0</v>
      </c>
      <c r="BY1641" t="s">
        <v>135</v>
      </c>
      <c r="BZ1641">
        <v>0</v>
      </c>
      <c r="CA1641">
        <v>0</v>
      </c>
      <c r="CB1641" t="s">
        <v>135</v>
      </c>
      <c r="CH1641" s="2"/>
      <c r="CJ1641" s="2"/>
      <c r="CL1641" s="2"/>
      <c r="CN1641" s="2"/>
      <c r="CQ1641" s="2"/>
      <c r="CT1641" s="2"/>
      <c r="CW1641" s="2"/>
    </row>
    <row r="1642" spans="1:101" x14ac:dyDescent="0.25">
      <c r="A1642" s="1" t="s">
        <v>163</v>
      </c>
      <c r="B1642" s="75" t="s">
        <v>164</v>
      </c>
      <c r="C1642">
        <v>0</v>
      </c>
      <c r="D1642">
        <v>0</v>
      </c>
      <c r="E1642">
        <v>0</v>
      </c>
      <c r="F1642">
        <v>604324.56000000006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3.91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7490</v>
      </c>
      <c r="AW1642">
        <v>3350</v>
      </c>
      <c r="AX1642">
        <v>1219</v>
      </c>
      <c r="AY1642">
        <v>12059</v>
      </c>
      <c r="AZ1642">
        <v>4202</v>
      </c>
      <c r="BA1642">
        <v>7438</v>
      </c>
      <c r="BB1642">
        <v>1432</v>
      </c>
      <c r="BC1642">
        <v>13072</v>
      </c>
      <c r="BD1642">
        <v>9486</v>
      </c>
      <c r="BE1642">
        <v>9222</v>
      </c>
      <c r="BF1642">
        <v>1768</v>
      </c>
      <c r="BG1642">
        <v>20476</v>
      </c>
      <c r="BH1642">
        <v>0</v>
      </c>
      <c r="BI1642">
        <v>0</v>
      </c>
      <c r="BJ1642">
        <v>0</v>
      </c>
      <c r="BK1642">
        <v>0</v>
      </c>
      <c r="BL1642" s="2">
        <v>24.82</v>
      </c>
      <c r="BM1642" s="2">
        <v>42005.095138888886</v>
      </c>
      <c r="BN1642" s="2">
        <v>5.4</v>
      </c>
      <c r="BO1642" s="2">
        <v>42005.092361111114</v>
      </c>
      <c r="BP1642" s="2">
        <v>6.92</v>
      </c>
      <c r="BQ1642" s="2">
        <v>42005.092361111114</v>
      </c>
      <c r="BR1642" s="2">
        <v>11.07</v>
      </c>
      <c r="BS1642" s="2">
        <v>42005.092361111114</v>
      </c>
      <c r="BT1642">
        <v>0</v>
      </c>
      <c r="BU1642">
        <v>0</v>
      </c>
      <c r="BV1642" t="s">
        <v>135</v>
      </c>
      <c r="BW1642">
        <v>0</v>
      </c>
      <c r="BX1642">
        <v>0</v>
      </c>
      <c r="BY1642" t="s">
        <v>135</v>
      </c>
      <c r="BZ1642">
        <v>0</v>
      </c>
      <c r="CA1642">
        <v>0</v>
      </c>
      <c r="CB1642" t="s">
        <v>135</v>
      </c>
      <c r="CH1642" s="2"/>
      <c r="CJ1642" s="2"/>
      <c r="CL1642" s="2"/>
      <c r="CN1642" s="2"/>
      <c r="CQ1642" s="2"/>
      <c r="CT1642" s="2"/>
      <c r="CW1642" s="2"/>
    </row>
    <row r="1643" spans="1:101" x14ac:dyDescent="0.25">
      <c r="A1643" s="1" t="s">
        <v>163</v>
      </c>
      <c r="B1643" s="75" t="s">
        <v>164</v>
      </c>
      <c r="C1643">
        <v>0</v>
      </c>
      <c r="D1643">
        <v>0</v>
      </c>
      <c r="E1643">
        <v>0</v>
      </c>
      <c r="F1643">
        <v>604324.56000000006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3.91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7490</v>
      </c>
      <c r="AW1643">
        <v>3350</v>
      </c>
      <c r="AX1643">
        <v>1219</v>
      </c>
      <c r="AY1643">
        <v>12059</v>
      </c>
      <c r="AZ1643">
        <v>4202</v>
      </c>
      <c r="BA1643">
        <v>7438</v>
      </c>
      <c r="BB1643">
        <v>1432</v>
      </c>
      <c r="BC1643">
        <v>13072</v>
      </c>
      <c r="BD1643">
        <v>9486</v>
      </c>
      <c r="BE1643">
        <v>9222</v>
      </c>
      <c r="BF1643">
        <v>1768</v>
      </c>
      <c r="BG1643">
        <v>20476</v>
      </c>
      <c r="BH1643">
        <v>0</v>
      </c>
      <c r="BI1643">
        <v>0</v>
      </c>
      <c r="BJ1643">
        <v>0</v>
      </c>
      <c r="BK1643">
        <v>0</v>
      </c>
      <c r="BL1643" s="2">
        <v>24.82</v>
      </c>
      <c r="BM1643" s="2">
        <v>42005.095138888886</v>
      </c>
      <c r="BN1643" s="2">
        <v>5.4</v>
      </c>
      <c r="BO1643" s="2">
        <v>42005.092361111114</v>
      </c>
      <c r="BP1643" s="2">
        <v>6.92</v>
      </c>
      <c r="BQ1643" s="2">
        <v>42005.092361111114</v>
      </c>
      <c r="BR1643" s="2">
        <v>11.07</v>
      </c>
      <c r="BS1643" s="2">
        <v>42005.092361111114</v>
      </c>
      <c r="BT1643">
        <v>0</v>
      </c>
      <c r="BU1643">
        <v>0</v>
      </c>
      <c r="BV1643" t="s">
        <v>135</v>
      </c>
      <c r="BW1643">
        <v>0</v>
      </c>
      <c r="BX1643">
        <v>0</v>
      </c>
      <c r="BY1643" t="s">
        <v>135</v>
      </c>
      <c r="BZ1643">
        <v>0</v>
      </c>
      <c r="CA1643">
        <v>0</v>
      </c>
      <c r="CB1643" t="s">
        <v>135</v>
      </c>
      <c r="CH1643" s="2"/>
      <c r="CJ1643" s="2"/>
      <c r="CL1643" s="2"/>
      <c r="CN1643" s="2"/>
      <c r="CQ1643" s="2"/>
      <c r="CT1643" s="2"/>
      <c r="CW1643" s="2"/>
    </row>
    <row r="1644" spans="1:101" x14ac:dyDescent="0.25">
      <c r="A1644" s="1" t="s">
        <v>163</v>
      </c>
      <c r="B1644" s="75" t="s">
        <v>164</v>
      </c>
      <c r="C1644">
        <v>0</v>
      </c>
      <c r="D1644">
        <v>0</v>
      </c>
      <c r="E1644">
        <v>0</v>
      </c>
      <c r="F1644">
        <v>604324.56000000006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3.91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7490</v>
      </c>
      <c r="AW1644">
        <v>3350</v>
      </c>
      <c r="AX1644">
        <v>1219</v>
      </c>
      <c r="AY1644">
        <v>12059</v>
      </c>
      <c r="AZ1644">
        <v>4202</v>
      </c>
      <c r="BA1644">
        <v>7438</v>
      </c>
      <c r="BB1644">
        <v>1432</v>
      </c>
      <c r="BC1644">
        <v>13072</v>
      </c>
      <c r="BD1644">
        <v>9486</v>
      </c>
      <c r="BE1644">
        <v>9222</v>
      </c>
      <c r="BF1644">
        <v>1768</v>
      </c>
      <c r="BG1644">
        <v>20476</v>
      </c>
      <c r="BH1644">
        <v>0</v>
      </c>
      <c r="BI1644">
        <v>0</v>
      </c>
      <c r="BJ1644">
        <v>0</v>
      </c>
      <c r="BK1644">
        <v>0</v>
      </c>
      <c r="BL1644" s="2">
        <v>24.82</v>
      </c>
      <c r="BM1644" s="2">
        <v>42005.095138888886</v>
      </c>
      <c r="BN1644" s="2">
        <v>5.4</v>
      </c>
      <c r="BO1644" s="2">
        <v>42005.092361111114</v>
      </c>
      <c r="BP1644" s="2">
        <v>6.92</v>
      </c>
      <c r="BQ1644" s="2">
        <v>42005.092361111114</v>
      </c>
      <c r="BR1644" s="2">
        <v>11.07</v>
      </c>
      <c r="BS1644" s="2">
        <v>42005.092361111114</v>
      </c>
      <c r="BT1644">
        <v>0</v>
      </c>
      <c r="BU1644">
        <v>0</v>
      </c>
      <c r="BV1644" t="s">
        <v>135</v>
      </c>
      <c r="BW1644">
        <v>0</v>
      </c>
      <c r="BX1644">
        <v>0</v>
      </c>
      <c r="BY1644" t="s">
        <v>135</v>
      </c>
      <c r="BZ1644">
        <v>0</v>
      </c>
      <c r="CA1644">
        <v>0</v>
      </c>
      <c r="CB1644" t="s">
        <v>135</v>
      </c>
      <c r="CH1644" s="2"/>
      <c r="CJ1644" s="2"/>
      <c r="CL1644" s="2"/>
      <c r="CN1644" s="2"/>
      <c r="CQ1644" s="2"/>
      <c r="CT1644" s="2"/>
      <c r="CW1644" s="2"/>
    </row>
    <row r="1645" spans="1:101" x14ac:dyDescent="0.25">
      <c r="A1645" s="1" t="s">
        <v>163</v>
      </c>
      <c r="B1645" s="75" t="s">
        <v>164</v>
      </c>
      <c r="C1645">
        <v>0</v>
      </c>
      <c r="D1645">
        <v>0</v>
      </c>
      <c r="E1645">
        <v>0</v>
      </c>
      <c r="F1645">
        <v>604324.56000000006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3.91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7490</v>
      </c>
      <c r="AW1645">
        <v>3350</v>
      </c>
      <c r="AX1645">
        <v>1219</v>
      </c>
      <c r="AY1645">
        <v>12059</v>
      </c>
      <c r="AZ1645">
        <v>4202</v>
      </c>
      <c r="BA1645">
        <v>7438</v>
      </c>
      <c r="BB1645">
        <v>1432</v>
      </c>
      <c r="BC1645">
        <v>13072</v>
      </c>
      <c r="BD1645">
        <v>9486</v>
      </c>
      <c r="BE1645">
        <v>9222</v>
      </c>
      <c r="BF1645">
        <v>1768</v>
      </c>
      <c r="BG1645">
        <v>20476</v>
      </c>
      <c r="BH1645">
        <v>0</v>
      </c>
      <c r="BI1645">
        <v>0</v>
      </c>
      <c r="BJ1645">
        <v>0</v>
      </c>
      <c r="BK1645">
        <v>0</v>
      </c>
      <c r="BL1645" s="2">
        <v>24.82</v>
      </c>
      <c r="BM1645" s="2">
        <v>42005.095138888886</v>
      </c>
      <c r="BN1645" s="2">
        <v>5.4</v>
      </c>
      <c r="BO1645" s="2">
        <v>42005.092361111114</v>
      </c>
      <c r="BP1645" s="2">
        <v>6.92</v>
      </c>
      <c r="BQ1645" s="2">
        <v>42005.092361111114</v>
      </c>
      <c r="BR1645" s="2">
        <v>11.07</v>
      </c>
      <c r="BS1645" s="2">
        <v>42005.092361111114</v>
      </c>
      <c r="BT1645">
        <v>0</v>
      </c>
      <c r="BU1645">
        <v>0</v>
      </c>
      <c r="BV1645" t="s">
        <v>135</v>
      </c>
      <c r="BW1645">
        <v>0</v>
      </c>
      <c r="BX1645">
        <v>0</v>
      </c>
      <c r="BY1645" t="s">
        <v>135</v>
      </c>
      <c r="BZ1645">
        <v>0</v>
      </c>
      <c r="CA1645">
        <v>0</v>
      </c>
      <c r="CB1645" t="s">
        <v>135</v>
      </c>
      <c r="CH1645" s="2"/>
      <c r="CJ1645" s="2"/>
      <c r="CL1645" s="2"/>
      <c r="CN1645" s="2"/>
      <c r="CQ1645" s="2"/>
      <c r="CT1645" s="2"/>
      <c r="CW1645" s="2"/>
    </row>
    <row r="1646" spans="1:101" x14ac:dyDescent="0.25">
      <c r="A1646" s="1" t="s">
        <v>163</v>
      </c>
      <c r="B1646" s="75" t="s">
        <v>164</v>
      </c>
      <c r="C1646">
        <v>0</v>
      </c>
      <c r="D1646">
        <v>0</v>
      </c>
      <c r="E1646">
        <v>0</v>
      </c>
      <c r="F1646">
        <v>604324.56000000006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3.91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7490</v>
      </c>
      <c r="AW1646">
        <v>3350</v>
      </c>
      <c r="AX1646">
        <v>1219</v>
      </c>
      <c r="AY1646">
        <v>12059</v>
      </c>
      <c r="AZ1646">
        <v>4202</v>
      </c>
      <c r="BA1646">
        <v>7438</v>
      </c>
      <c r="BB1646">
        <v>1432</v>
      </c>
      <c r="BC1646">
        <v>13072</v>
      </c>
      <c r="BD1646">
        <v>9486</v>
      </c>
      <c r="BE1646">
        <v>9222</v>
      </c>
      <c r="BF1646">
        <v>1768</v>
      </c>
      <c r="BG1646">
        <v>20476</v>
      </c>
      <c r="BH1646">
        <v>0</v>
      </c>
      <c r="BI1646">
        <v>0</v>
      </c>
      <c r="BJ1646">
        <v>0</v>
      </c>
      <c r="BK1646">
        <v>0</v>
      </c>
      <c r="BL1646" s="2">
        <v>24.82</v>
      </c>
      <c r="BM1646" s="2">
        <v>42005.095138888886</v>
      </c>
      <c r="BN1646" s="2">
        <v>5.4</v>
      </c>
      <c r="BO1646" s="2">
        <v>42005.092361111114</v>
      </c>
      <c r="BP1646" s="2">
        <v>6.92</v>
      </c>
      <c r="BQ1646" s="2">
        <v>42005.092361111114</v>
      </c>
      <c r="BR1646" s="2">
        <v>11.07</v>
      </c>
      <c r="BS1646" s="2">
        <v>42005.092361111114</v>
      </c>
      <c r="BT1646">
        <v>0</v>
      </c>
      <c r="BU1646">
        <v>0</v>
      </c>
      <c r="BV1646" t="s">
        <v>135</v>
      </c>
      <c r="BW1646">
        <v>0</v>
      </c>
      <c r="BX1646">
        <v>0</v>
      </c>
      <c r="BY1646" t="s">
        <v>135</v>
      </c>
      <c r="BZ1646">
        <v>0</v>
      </c>
      <c r="CA1646">
        <v>0</v>
      </c>
      <c r="CB1646" t="s">
        <v>135</v>
      </c>
      <c r="CH1646" s="2"/>
      <c r="CJ1646" s="2"/>
      <c r="CL1646" s="2"/>
      <c r="CN1646" s="2"/>
      <c r="CQ1646" s="2"/>
      <c r="CT1646" s="2"/>
      <c r="CW1646" s="2"/>
    </row>
    <row r="1647" spans="1:101" x14ac:dyDescent="0.25">
      <c r="A1647" s="1" t="s">
        <v>163</v>
      </c>
      <c r="B1647" s="75" t="s">
        <v>164</v>
      </c>
      <c r="C1647">
        <v>0</v>
      </c>
      <c r="D1647">
        <v>0</v>
      </c>
      <c r="E1647">
        <v>0</v>
      </c>
      <c r="F1647">
        <v>604324.56000000006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3.91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7490</v>
      </c>
      <c r="AW1647">
        <v>3350</v>
      </c>
      <c r="AX1647">
        <v>1219</v>
      </c>
      <c r="AY1647">
        <v>12059</v>
      </c>
      <c r="AZ1647">
        <v>4202</v>
      </c>
      <c r="BA1647">
        <v>7438</v>
      </c>
      <c r="BB1647">
        <v>1432</v>
      </c>
      <c r="BC1647">
        <v>13072</v>
      </c>
      <c r="BD1647">
        <v>9486</v>
      </c>
      <c r="BE1647">
        <v>9222</v>
      </c>
      <c r="BF1647">
        <v>1768</v>
      </c>
      <c r="BG1647">
        <v>20476</v>
      </c>
      <c r="BH1647">
        <v>0</v>
      </c>
      <c r="BI1647">
        <v>0</v>
      </c>
      <c r="BJ1647">
        <v>0</v>
      </c>
      <c r="BK1647">
        <v>0</v>
      </c>
      <c r="BL1647" s="2">
        <v>24.82</v>
      </c>
      <c r="BM1647" s="2">
        <v>42005.095138888886</v>
      </c>
      <c r="BN1647" s="2">
        <v>5.4</v>
      </c>
      <c r="BO1647" s="2">
        <v>42005.092361111114</v>
      </c>
      <c r="BP1647" s="2">
        <v>6.92</v>
      </c>
      <c r="BQ1647" s="2">
        <v>42005.092361111114</v>
      </c>
      <c r="BR1647" s="2">
        <v>11.07</v>
      </c>
      <c r="BS1647" s="2">
        <v>42005.092361111114</v>
      </c>
      <c r="BT1647">
        <v>0</v>
      </c>
      <c r="BU1647">
        <v>0</v>
      </c>
      <c r="BV1647" t="s">
        <v>135</v>
      </c>
      <c r="BW1647">
        <v>0</v>
      </c>
      <c r="BX1647">
        <v>0</v>
      </c>
      <c r="BY1647" t="s">
        <v>135</v>
      </c>
      <c r="BZ1647">
        <v>0</v>
      </c>
      <c r="CA1647">
        <v>0</v>
      </c>
      <c r="CB1647" t="s">
        <v>135</v>
      </c>
      <c r="CH1647" s="2"/>
      <c r="CJ1647" s="2"/>
      <c r="CL1647" s="2"/>
      <c r="CN1647" s="2"/>
      <c r="CQ1647" s="2"/>
      <c r="CT1647" s="2"/>
      <c r="CW1647" s="2"/>
    </row>
    <row r="1648" spans="1:101" x14ac:dyDescent="0.25">
      <c r="A1648" s="1" t="s">
        <v>163</v>
      </c>
      <c r="B1648" s="75" t="s">
        <v>164</v>
      </c>
      <c r="C1648">
        <v>0</v>
      </c>
      <c r="D1648">
        <v>0</v>
      </c>
      <c r="E1648">
        <v>0</v>
      </c>
      <c r="F1648">
        <v>604324.56000000006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3.91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7490</v>
      </c>
      <c r="AW1648">
        <v>3350</v>
      </c>
      <c r="AX1648">
        <v>1219</v>
      </c>
      <c r="AY1648">
        <v>12059</v>
      </c>
      <c r="AZ1648">
        <v>4202</v>
      </c>
      <c r="BA1648">
        <v>7438</v>
      </c>
      <c r="BB1648">
        <v>1432</v>
      </c>
      <c r="BC1648">
        <v>13072</v>
      </c>
      <c r="BD1648">
        <v>9486</v>
      </c>
      <c r="BE1648">
        <v>9222</v>
      </c>
      <c r="BF1648">
        <v>1768</v>
      </c>
      <c r="BG1648">
        <v>20476</v>
      </c>
      <c r="BH1648">
        <v>0</v>
      </c>
      <c r="BI1648">
        <v>0</v>
      </c>
      <c r="BJ1648">
        <v>0</v>
      </c>
      <c r="BK1648">
        <v>0</v>
      </c>
      <c r="BL1648" s="2">
        <v>24.82</v>
      </c>
      <c r="BM1648" s="2">
        <v>42005.095138888886</v>
      </c>
      <c r="BN1648" s="2">
        <v>5.4</v>
      </c>
      <c r="BO1648" s="2">
        <v>42005.092361111114</v>
      </c>
      <c r="BP1648" s="2">
        <v>6.92</v>
      </c>
      <c r="BQ1648" s="2">
        <v>42005.092361111114</v>
      </c>
      <c r="BR1648" s="2">
        <v>11.07</v>
      </c>
      <c r="BS1648" s="2">
        <v>42005.092361111114</v>
      </c>
      <c r="BT1648">
        <v>0</v>
      </c>
      <c r="BU1648">
        <v>0</v>
      </c>
      <c r="BV1648" t="s">
        <v>135</v>
      </c>
      <c r="BW1648">
        <v>0</v>
      </c>
      <c r="BX1648">
        <v>0</v>
      </c>
      <c r="BY1648" t="s">
        <v>135</v>
      </c>
      <c r="BZ1648">
        <v>0</v>
      </c>
      <c r="CA1648">
        <v>0</v>
      </c>
      <c r="CB1648" t="s">
        <v>135</v>
      </c>
      <c r="CH1648" s="2"/>
      <c r="CJ1648" s="2"/>
      <c r="CL1648" s="2"/>
      <c r="CN1648" s="2"/>
      <c r="CQ1648" s="2"/>
      <c r="CT1648" s="2"/>
      <c r="CW1648" s="2"/>
    </row>
    <row r="1649" spans="1:101" x14ac:dyDescent="0.25">
      <c r="A1649" s="1" t="s">
        <v>163</v>
      </c>
      <c r="B1649" s="75" t="s">
        <v>164</v>
      </c>
      <c r="C1649">
        <v>0</v>
      </c>
      <c r="D1649">
        <v>0</v>
      </c>
      <c r="E1649">
        <v>0</v>
      </c>
      <c r="F1649">
        <v>604324.56000000006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3.91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7490</v>
      </c>
      <c r="AW1649">
        <v>3350</v>
      </c>
      <c r="AX1649">
        <v>1219</v>
      </c>
      <c r="AY1649">
        <v>12059</v>
      </c>
      <c r="AZ1649">
        <v>4202</v>
      </c>
      <c r="BA1649">
        <v>7438</v>
      </c>
      <c r="BB1649">
        <v>1432</v>
      </c>
      <c r="BC1649">
        <v>13072</v>
      </c>
      <c r="BD1649">
        <v>9486</v>
      </c>
      <c r="BE1649">
        <v>9222</v>
      </c>
      <c r="BF1649">
        <v>1768</v>
      </c>
      <c r="BG1649">
        <v>20476</v>
      </c>
      <c r="BH1649">
        <v>0</v>
      </c>
      <c r="BI1649">
        <v>0</v>
      </c>
      <c r="BJ1649">
        <v>0</v>
      </c>
      <c r="BK1649">
        <v>0</v>
      </c>
      <c r="BL1649" s="2">
        <v>24.82</v>
      </c>
      <c r="BM1649" s="2">
        <v>42005.095138888886</v>
      </c>
      <c r="BN1649" s="2">
        <v>5.4</v>
      </c>
      <c r="BO1649" s="2">
        <v>42005.092361111114</v>
      </c>
      <c r="BP1649" s="2">
        <v>6.92</v>
      </c>
      <c r="BQ1649" s="2">
        <v>42005.092361111114</v>
      </c>
      <c r="BR1649" s="2">
        <v>11.07</v>
      </c>
      <c r="BS1649" s="2">
        <v>42005.092361111114</v>
      </c>
      <c r="BT1649">
        <v>0</v>
      </c>
      <c r="BU1649">
        <v>0</v>
      </c>
      <c r="BV1649" t="s">
        <v>135</v>
      </c>
      <c r="BW1649">
        <v>0</v>
      </c>
      <c r="BX1649">
        <v>0</v>
      </c>
      <c r="BY1649" t="s">
        <v>135</v>
      </c>
      <c r="BZ1649">
        <v>0</v>
      </c>
      <c r="CA1649">
        <v>0</v>
      </c>
      <c r="CB1649" t="s">
        <v>135</v>
      </c>
      <c r="CH1649" s="2"/>
      <c r="CJ1649" s="2"/>
      <c r="CL1649" s="2"/>
      <c r="CN1649" s="2"/>
      <c r="CQ1649" s="2"/>
      <c r="CT1649" s="2"/>
      <c r="CW1649" s="2"/>
    </row>
    <row r="1650" spans="1:101" x14ac:dyDescent="0.25">
      <c r="A1650" s="1" t="s">
        <v>163</v>
      </c>
      <c r="B1650" s="75" t="s">
        <v>164</v>
      </c>
      <c r="C1650">
        <v>0</v>
      </c>
      <c r="D1650">
        <v>0</v>
      </c>
      <c r="E1650">
        <v>0</v>
      </c>
      <c r="F1650">
        <v>604324.56000000006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3.91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7490</v>
      </c>
      <c r="AW1650">
        <v>3350</v>
      </c>
      <c r="AX1650">
        <v>1219</v>
      </c>
      <c r="AY1650">
        <v>12059</v>
      </c>
      <c r="AZ1650">
        <v>4202</v>
      </c>
      <c r="BA1650">
        <v>7438</v>
      </c>
      <c r="BB1650">
        <v>1432</v>
      </c>
      <c r="BC1650">
        <v>13072</v>
      </c>
      <c r="BD1650">
        <v>9486</v>
      </c>
      <c r="BE1650">
        <v>9222</v>
      </c>
      <c r="BF1650">
        <v>1768</v>
      </c>
      <c r="BG1650">
        <v>20476</v>
      </c>
      <c r="BH1650">
        <v>0</v>
      </c>
      <c r="BI1650">
        <v>0</v>
      </c>
      <c r="BJ1650">
        <v>0</v>
      </c>
      <c r="BK1650">
        <v>0</v>
      </c>
      <c r="BL1650" s="2">
        <v>24.82</v>
      </c>
      <c r="BM1650" s="2">
        <v>42005.095138888886</v>
      </c>
      <c r="BN1650" s="2">
        <v>5.4</v>
      </c>
      <c r="BO1650" s="2">
        <v>42005.092361111114</v>
      </c>
      <c r="BP1650" s="2">
        <v>6.92</v>
      </c>
      <c r="BQ1650" s="2">
        <v>42005.092361111114</v>
      </c>
      <c r="BR1650" s="2">
        <v>11.07</v>
      </c>
      <c r="BS1650" s="2">
        <v>42005.092361111114</v>
      </c>
      <c r="BT1650">
        <v>0</v>
      </c>
      <c r="BU1650">
        <v>0</v>
      </c>
      <c r="BV1650" t="s">
        <v>135</v>
      </c>
      <c r="BW1650">
        <v>0</v>
      </c>
      <c r="BX1650">
        <v>0</v>
      </c>
      <c r="BY1650" t="s">
        <v>135</v>
      </c>
      <c r="BZ1650">
        <v>0</v>
      </c>
      <c r="CA1650">
        <v>0</v>
      </c>
      <c r="CB1650" t="s">
        <v>135</v>
      </c>
      <c r="CH1650" s="2"/>
      <c r="CJ1650" s="2"/>
      <c r="CL1650" s="2"/>
      <c r="CN1650" s="2"/>
      <c r="CQ1650" s="2"/>
      <c r="CT1650" s="2"/>
      <c r="CW1650" s="2"/>
    </row>
    <row r="1651" spans="1:101" x14ac:dyDescent="0.25">
      <c r="A1651" s="1" t="s">
        <v>163</v>
      </c>
      <c r="B1651" s="75" t="s">
        <v>164</v>
      </c>
      <c r="C1651">
        <v>0</v>
      </c>
      <c r="D1651">
        <v>0</v>
      </c>
      <c r="E1651">
        <v>0</v>
      </c>
      <c r="F1651">
        <v>604324.56000000006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3.91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7490</v>
      </c>
      <c r="AW1651">
        <v>3350</v>
      </c>
      <c r="AX1651">
        <v>1219</v>
      </c>
      <c r="AY1651">
        <v>12059</v>
      </c>
      <c r="AZ1651">
        <v>4202</v>
      </c>
      <c r="BA1651">
        <v>7438</v>
      </c>
      <c r="BB1651">
        <v>1432</v>
      </c>
      <c r="BC1651">
        <v>13072</v>
      </c>
      <c r="BD1651">
        <v>9486</v>
      </c>
      <c r="BE1651">
        <v>9222</v>
      </c>
      <c r="BF1651">
        <v>1768</v>
      </c>
      <c r="BG1651">
        <v>20476</v>
      </c>
      <c r="BH1651">
        <v>0</v>
      </c>
      <c r="BI1651">
        <v>0</v>
      </c>
      <c r="BJ1651">
        <v>0</v>
      </c>
      <c r="BK1651">
        <v>0</v>
      </c>
      <c r="BL1651" s="2">
        <v>24.82</v>
      </c>
      <c r="BM1651" s="2">
        <v>42005.095138888886</v>
      </c>
      <c r="BN1651" s="2">
        <v>5.4</v>
      </c>
      <c r="BO1651" s="2">
        <v>42005.092361111114</v>
      </c>
      <c r="BP1651" s="2">
        <v>6.92</v>
      </c>
      <c r="BQ1651" s="2">
        <v>42005.092361111114</v>
      </c>
      <c r="BR1651" s="2">
        <v>11.07</v>
      </c>
      <c r="BS1651" s="2">
        <v>42005.092361111114</v>
      </c>
      <c r="BT1651">
        <v>0</v>
      </c>
      <c r="BU1651">
        <v>0</v>
      </c>
      <c r="BV1651" t="s">
        <v>135</v>
      </c>
      <c r="BW1651">
        <v>0</v>
      </c>
      <c r="BX1651">
        <v>0</v>
      </c>
      <c r="BY1651" t="s">
        <v>135</v>
      </c>
      <c r="BZ1651">
        <v>0</v>
      </c>
      <c r="CA1651">
        <v>0</v>
      </c>
      <c r="CB1651" t="s">
        <v>135</v>
      </c>
      <c r="CH1651" s="2"/>
      <c r="CJ1651" s="2"/>
      <c r="CL1651" s="2"/>
      <c r="CN1651" s="2"/>
      <c r="CQ1651" s="2"/>
      <c r="CT1651" s="2"/>
      <c r="CW1651" s="2"/>
    </row>
    <row r="1652" spans="1:101" x14ac:dyDescent="0.25">
      <c r="A1652" s="1" t="s">
        <v>163</v>
      </c>
      <c r="B1652" s="75" t="s">
        <v>164</v>
      </c>
      <c r="C1652">
        <v>0</v>
      </c>
      <c r="D1652">
        <v>0</v>
      </c>
      <c r="E1652">
        <v>0</v>
      </c>
      <c r="F1652">
        <v>604324.56000000006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3.91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7490</v>
      </c>
      <c r="AW1652">
        <v>3350</v>
      </c>
      <c r="AX1652">
        <v>1219</v>
      </c>
      <c r="AY1652">
        <v>12059</v>
      </c>
      <c r="AZ1652">
        <v>4202</v>
      </c>
      <c r="BA1652">
        <v>7438</v>
      </c>
      <c r="BB1652">
        <v>1432</v>
      </c>
      <c r="BC1652">
        <v>13072</v>
      </c>
      <c r="BD1652">
        <v>9486</v>
      </c>
      <c r="BE1652">
        <v>9222</v>
      </c>
      <c r="BF1652">
        <v>1768</v>
      </c>
      <c r="BG1652">
        <v>20476</v>
      </c>
      <c r="BH1652">
        <v>0</v>
      </c>
      <c r="BI1652">
        <v>0</v>
      </c>
      <c r="BJ1652">
        <v>0</v>
      </c>
      <c r="BK1652">
        <v>0</v>
      </c>
      <c r="BL1652" s="2">
        <v>24.82</v>
      </c>
      <c r="BM1652" s="2">
        <v>42005.095138888886</v>
      </c>
      <c r="BN1652" s="2">
        <v>5.4</v>
      </c>
      <c r="BO1652" s="2">
        <v>42005.092361111114</v>
      </c>
      <c r="BP1652" s="2">
        <v>6.92</v>
      </c>
      <c r="BQ1652" s="2">
        <v>42005.092361111114</v>
      </c>
      <c r="BR1652" s="2">
        <v>11.07</v>
      </c>
      <c r="BS1652" s="2">
        <v>42005.092361111114</v>
      </c>
      <c r="BT1652">
        <v>0</v>
      </c>
      <c r="BU1652">
        <v>0</v>
      </c>
      <c r="BV1652" t="s">
        <v>135</v>
      </c>
      <c r="BW1652">
        <v>0</v>
      </c>
      <c r="BX1652">
        <v>0</v>
      </c>
      <c r="BY1652" t="s">
        <v>135</v>
      </c>
      <c r="BZ1652">
        <v>0</v>
      </c>
      <c r="CA1652">
        <v>0</v>
      </c>
      <c r="CB1652" t="s">
        <v>135</v>
      </c>
      <c r="CH1652" s="2"/>
      <c r="CJ1652" s="2"/>
      <c r="CL1652" s="2"/>
      <c r="CN1652" s="2"/>
      <c r="CQ1652" s="2"/>
      <c r="CT1652" s="2"/>
      <c r="CW1652" s="2"/>
    </row>
    <row r="1653" spans="1:101" x14ac:dyDescent="0.25">
      <c r="A1653" s="1" t="s">
        <v>163</v>
      </c>
      <c r="B1653" s="75" t="s">
        <v>164</v>
      </c>
      <c r="C1653">
        <v>0</v>
      </c>
      <c r="D1653">
        <v>0</v>
      </c>
      <c r="E1653">
        <v>0</v>
      </c>
      <c r="F1653">
        <v>604324.56000000006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3.91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7490</v>
      </c>
      <c r="AW1653">
        <v>3350</v>
      </c>
      <c r="AX1653">
        <v>1219</v>
      </c>
      <c r="AY1653">
        <v>12059</v>
      </c>
      <c r="AZ1653">
        <v>4202</v>
      </c>
      <c r="BA1653">
        <v>7438</v>
      </c>
      <c r="BB1653">
        <v>1432</v>
      </c>
      <c r="BC1653">
        <v>13072</v>
      </c>
      <c r="BD1653">
        <v>9486</v>
      </c>
      <c r="BE1653">
        <v>9222</v>
      </c>
      <c r="BF1653">
        <v>1768</v>
      </c>
      <c r="BG1653">
        <v>20476</v>
      </c>
      <c r="BH1653">
        <v>0</v>
      </c>
      <c r="BI1653">
        <v>0</v>
      </c>
      <c r="BJ1653">
        <v>0</v>
      </c>
      <c r="BK1653">
        <v>0</v>
      </c>
      <c r="BL1653" s="2">
        <v>24.82</v>
      </c>
      <c r="BM1653" s="2">
        <v>42005.095138888886</v>
      </c>
      <c r="BN1653" s="2">
        <v>5.4</v>
      </c>
      <c r="BO1653" s="2">
        <v>42005.092361111114</v>
      </c>
      <c r="BP1653" s="2">
        <v>6.92</v>
      </c>
      <c r="BQ1653" s="2">
        <v>42005.092361111114</v>
      </c>
      <c r="BR1653" s="2">
        <v>11.07</v>
      </c>
      <c r="BS1653" s="2">
        <v>42005.092361111114</v>
      </c>
      <c r="BT1653">
        <v>0</v>
      </c>
      <c r="BU1653">
        <v>0</v>
      </c>
      <c r="BV1653" t="s">
        <v>135</v>
      </c>
      <c r="BW1653">
        <v>0</v>
      </c>
      <c r="BX1653">
        <v>0</v>
      </c>
      <c r="BY1653" t="s">
        <v>135</v>
      </c>
      <c r="BZ1653">
        <v>0</v>
      </c>
      <c r="CA1653">
        <v>0</v>
      </c>
      <c r="CB1653" t="s">
        <v>135</v>
      </c>
      <c r="CH1653" s="2"/>
      <c r="CJ1653" s="2"/>
      <c r="CL1653" s="2"/>
      <c r="CN1653" s="2"/>
      <c r="CQ1653" s="2"/>
      <c r="CT1653" s="2"/>
      <c r="CW1653" s="2"/>
    </row>
    <row r="1654" spans="1:101" x14ac:dyDescent="0.25">
      <c r="A1654" s="1" t="s">
        <v>163</v>
      </c>
      <c r="B1654" s="75" t="s">
        <v>164</v>
      </c>
      <c r="C1654">
        <v>0</v>
      </c>
      <c r="D1654">
        <v>0</v>
      </c>
      <c r="E1654">
        <v>0</v>
      </c>
      <c r="F1654">
        <v>604324.56000000006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3.91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7490</v>
      </c>
      <c r="AW1654">
        <v>3350</v>
      </c>
      <c r="AX1654">
        <v>1219</v>
      </c>
      <c r="AY1654">
        <v>12059</v>
      </c>
      <c r="AZ1654">
        <v>4202</v>
      </c>
      <c r="BA1654">
        <v>7438</v>
      </c>
      <c r="BB1654">
        <v>1432</v>
      </c>
      <c r="BC1654">
        <v>13072</v>
      </c>
      <c r="BD1654">
        <v>9486</v>
      </c>
      <c r="BE1654">
        <v>9222</v>
      </c>
      <c r="BF1654">
        <v>1768</v>
      </c>
      <c r="BG1654">
        <v>20476</v>
      </c>
      <c r="BH1654">
        <v>0</v>
      </c>
      <c r="BI1654">
        <v>0</v>
      </c>
      <c r="BJ1654">
        <v>0</v>
      </c>
      <c r="BK1654">
        <v>0</v>
      </c>
      <c r="BL1654" s="2">
        <v>24.82</v>
      </c>
      <c r="BM1654" s="2">
        <v>42005.095138888886</v>
      </c>
      <c r="BN1654" s="2">
        <v>5.4</v>
      </c>
      <c r="BO1654" s="2">
        <v>42005.092361111114</v>
      </c>
      <c r="BP1654" s="2">
        <v>6.92</v>
      </c>
      <c r="BQ1654" s="2">
        <v>42005.092361111114</v>
      </c>
      <c r="BR1654" s="2">
        <v>11.07</v>
      </c>
      <c r="BS1654" s="2">
        <v>42005.092361111114</v>
      </c>
      <c r="BT1654">
        <v>0</v>
      </c>
      <c r="BU1654">
        <v>0</v>
      </c>
      <c r="BV1654" t="s">
        <v>135</v>
      </c>
      <c r="BW1654">
        <v>0</v>
      </c>
      <c r="BX1654">
        <v>0</v>
      </c>
      <c r="BY1654" t="s">
        <v>135</v>
      </c>
      <c r="BZ1654">
        <v>0</v>
      </c>
      <c r="CA1654">
        <v>0</v>
      </c>
      <c r="CB1654" t="s">
        <v>135</v>
      </c>
      <c r="CH1654" s="2"/>
      <c r="CJ1654" s="2"/>
      <c r="CL1654" s="2"/>
      <c r="CN1654" s="2"/>
      <c r="CQ1654" s="2"/>
      <c r="CT1654" s="2"/>
      <c r="CW1654" s="2"/>
    </row>
    <row r="1655" spans="1:101" x14ac:dyDescent="0.25">
      <c r="A1655" s="1" t="s">
        <v>163</v>
      </c>
      <c r="B1655" s="75" t="s">
        <v>164</v>
      </c>
      <c r="C1655">
        <v>0</v>
      </c>
      <c r="D1655">
        <v>0</v>
      </c>
      <c r="E1655">
        <v>0</v>
      </c>
      <c r="F1655">
        <v>604324.56000000006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3.91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7490</v>
      </c>
      <c r="AW1655">
        <v>3350</v>
      </c>
      <c r="AX1655">
        <v>1219</v>
      </c>
      <c r="AY1655">
        <v>12059</v>
      </c>
      <c r="AZ1655">
        <v>4202</v>
      </c>
      <c r="BA1655">
        <v>7438</v>
      </c>
      <c r="BB1655">
        <v>1432</v>
      </c>
      <c r="BC1655">
        <v>13072</v>
      </c>
      <c r="BD1655">
        <v>9486</v>
      </c>
      <c r="BE1655">
        <v>9222</v>
      </c>
      <c r="BF1655">
        <v>1768</v>
      </c>
      <c r="BG1655">
        <v>20476</v>
      </c>
      <c r="BH1655">
        <v>0</v>
      </c>
      <c r="BI1655">
        <v>0</v>
      </c>
      <c r="BJ1655">
        <v>0</v>
      </c>
      <c r="BK1655">
        <v>0</v>
      </c>
      <c r="BL1655" s="2">
        <v>24.82</v>
      </c>
      <c r="BM1655" s="2">
        <v>42005.095138888886</v>
      </c>
      <c r="BN1655" s="2">
        <v>5.4</v>
      </c>
      <c r="BO1655" s="2">
        <v>42005.092361111114</v>
      </c>
      <c r="BP1655" s="2">
        <v>6.92</v>
      </c>
      <c r="BQ1655" s="2">
        <v>42005.092361111114</v>
      </c>
      <c r="BR1655" s="2">
        <v>11.07</v>
      </c>
      <c r="BS1655" s="2">
        <v>42005.092361111114</v>
      </c>
      <c r="BT1655">
        <v>0</v>
      </c>
      <c r="BU1655">
        <v>0</v>
      </c>
      <c r="BV1655" t="s">
        <v>135</v>
      </c>
      <c r="BW1655">
        <v>0</v>
      </c>
      <c r="BX1655">
        <v>0</v>
      </c>
      <c r="BY1655" t="s">
        <v>135</v>
      </c>
      <c r="BZ1655">
        <v>0</v>
      </c>
      <c r="CA1655">
        <v>0</v>
      </c>
      <c r="CB1655" t="s">
        <v>135</v>
      </c>
      <c r="CH1655" s="2"/>
      <c r="CJ1655" s="2"/>
      <c r="CL1655" s="2"/>
      <c r="CN1655" s="2"/>
      <c r="CQ1655" s="2"/>
      <c r="CT1655" s="2"/>
      <c r="CW1655" s="2"/>
    </row>
    <row r="1656" spans="1:101" x14ac:dyDescent="0.25">
      <c r="A1656" s="1" t="s">
        <v>163</v>
      </c>
      <c r="B1656" s="75" t="s">
        <v>164</v>
      </c>
      <c r="C1656">
        <v>0</v>
      </c>
      <c r="D1656">
        <v>0</v>
      </c>
      <c r="E1656">
        <v>0</v>
      </c>
      <c r="F1656">
        <v>604324.56000000006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3.91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7490</v>
      </c>
      <c r="AW1656">
        <v>3350</v>
      </c>
      <c r="AX1656">
        <v>1219</v>
      </c>
      <c r="AY1656">
        <v>12059</v>
      </c>
      <c r="AZ1656">
        <v>4202</v>
      </c>
      <c r="BA1656">
        <v>7438</v>
      </c>
      <c r="BB1656">
        <v>1432</v>
      </c>
      <c r="BC1656">
        <v>13072</v>
      </c>
      <c r="BD1656">
        <v>9486</v>
      </c>
      <c r="BE1656">
        <v>9222</v>
      </c>
      <c r="BF1656">
        <v>1768</v>
      </c>
      <c r="BG1656">
        <v>20476</v>
      </c>
      <c r="BH1656">
        <v>0</v>
      </c>
      <c r="BI1656">
        <v>0</v>
      </c>
      <c r="BJ1656">
        <v>0</v>
      </c>
      <c r="BK1656">
        <v>0</v>
      </c>
      <c r="BL1656" s="2">
        <v>24.82</v>
      </c>
      <c r="BM1656" s="2">
        <v>42005.095138888886</v>
      </c>
      <c r="BN1656" s="2">
        <v>5.4</v>
      </c>
      <c r="BO1656" s="2">
        <v>42005.092361111114</v>
      </c>
      <c r="BP1656" s="2">
        <v>6.92</v>
      </c>
      <c r="BQ1656" s="2">
        <v>42005.092361111114</v>
      </c>
      <c r="BR1656" s="2">
        <v>11.07</v>
      </c>
      <c r="BS1656" s="2">
        <v>42005.092361111114</v>
      </c>
      <c r="BT1656">
        <v>0</v>
      </c>
      <c r="BU1656">
        <v>0</v>
      </c>
      <c r="BV1656" t="s">
        <v>135</v>
      </c>
      <c r="BW1656">
        <v>0</v>
      </c>
      <c r="BX1656">
        <v>0</v>
      </c>
      <c r="BY1656" t="s">
        <v>135</v>
      </c>
      <c r="BZ1656">
        <v>0</v>
      </c>
      <c r="CA1656">
        <v>0</v>
      </c>
      <c r="CB1656" t="s">
        <v>135</v>
      </c>
      <c r="CH1656" s="2"/>
      <c r="CJ1656" s="2"/>
      <c r="CL1656" s="2"/>
      <c r="CN1656" s="2"/>
      <c r="CQ1656" s="2"/>
      <c r="CT1656" s="2"/>
      <c r="CW1656" s="2"/>
    </row>
    <row r="1657" spans="1:101" x14ac:dyDescent="0.25">
      <c r="A1657" s="1" t="s">
        <v>163</v>
      </c>
      <c r="B1657" s="75" t="s">
        <v>164</v>
      </c>
      <c r="C1657">
        <v>0</v>
      </c>
      <c r="D1657">
        <v>0</v>
      </c>
      <c r="E1657">
        <v>0</v>
      </c>
      <c r="F1657">
        <v>604324.56000000006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3.91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7490</v>
      </c>
      <c r="AW1657">
        <v>3350</v>
      </c>
      <c r="AX1657">
        <v>1219</v>
      </c>
      <c r="AY1657">
        <v>12059</v>
      </c>
      <c r="AZ1657">
        <v>4202</v>
      </c>
      <c r="BA1657">
        <v>7438</v>
      </c>
      <c r="BB1657">
        <v>1432</v>
      </c>
      <c r="BC1657">
        <v>13072</v>
      </c>
      <c r="BD1657">
        <v>9486</v>
      </c>
      <c r="BE1657">
        <v>9222</v>
      </c>
      <c r="BF1657">
        <v>1768</v>
      </c>
      <c r="BG1657">
        <v>20476</v>
      </c>
      <c r="BH1657">
        <v>0</v>
      </c>
      <c r="BI1657">
        <v>0</v>
      </c>
      <c r="BJ1657">
        <v>0</v>
      </c>
      <c r="BK1657">
        <v>0</v>
      </c>
      <c r="BL1657" s="2">
        <v>24.82</v>
      </c>
      <c r="BM1657" s="2">
        <v>42005.095138888886</v>
      </c>
      <c r="BN1657" s="2">
        <v>5.4</v>
      </c>
      <c r="BO1657" s="2">
        <v>42005.092361111114</v>
      </c>
      <c r="BP1657" s="2">
        <v>6.92</v>
      </c>
      <c r="BQ1657" s="2">
        <v>42005.092361111114</v>
      </c>
      <c r="BR1657" s="2">
        <v>11.07</v>
      </c>
      <c r="BS1657" s="2">
        <v>42005.092361111114</v>
      </c>
      <c r="BT1657">
        <v>0</v>
      </c>
      <c r="BU1657">
        <v>0</v>
      </c>
      <c r="BV1657" t="s">
        <v>135</v>
      </c>
      <c r="BW1657">
        <v>0</v>
      </c>
      <c r="BX1657">
        <v>0</v>
      </c>
      <c r="BY1657" t="s">
        <v>135</v>
      </c>
      <c r="BZ1657">
        <v>0</v>
      </c>
      <c r="CA1657">
        <v>0</v>
      </c>
      <c r="CB1657" t="s">
        <v>135</v>
      </c>
      <c r="CH1657" s="2"/>
      <c r="CJ1657" s="2"/>
      <c r="CL1657" s="2"/>
      <c r="CN1657" s="2"/>
      <c r="CQ1657" s="2"/>
      <c r="CT1657" s="2"/>
      <c r="CW1657" s="2"/>
    </row>
    <row r="1658" spans="1:101" x14ac:dyDescent="0.25">
      <c r="A1658" s="1" t="s">
        <v>163</v>
      </c>
      <c r="B1658" s="75" t="s">
        <v>164</v>
      </c>
      <c r="C1658">
        <v>0</v>
      </c>
      <c r="D1658">
        <v>0</v>
      </c>
      <c r="E1658">
        <v>0</v>
      </c>
      <c r="F1658">
        <v>604324.56000000006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3.91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7490</v>
      </c>
      <c r="AW1658">
        <v>3350</v>
      </c>
      <c r="AX1658">
        <v>1219</v>
      </c>
      <c r="AY1658">
        <v>12059</v>
      </c>
      <c r="AZ1658">
        <v>4202</v>
      </c>
      <c r="BA1658">
        <v>7438</v>
      </c>
      <c r="BB1658">
        <v>1432</v>
      </c>
      <c r="BC1658">
        <v>13072</v>
      </c>
      <c r="BD1658">
        <v>9486</v>
      </c>
      <c r="BE1658">
        <v>9222</v>
      </c>
      <c r="BF1658">
        <v>1768</v>
      </c>
      <c r="BG1658">
        <v>20476</v>
      </c>
      <c r="BH1658">
        <v>0</v>
      </c>
      <c r="BI1658">
        <v>0</v>
      </c>
      <c r="BJ1658">
        <v>0</v>
      </c>
      <c r="BK1658">
        <v>0</v>
      </c>
      <c r="BL1658" s="2">
        <v>24.82</v>
      </c>
      <c r="BM1658" s="2">
        <v>42005.095138888886</v>
      </c>
      <c r="BN1658" s="2">
        <v>5.4</v>
      </c>
      <c r="BO1658" s="2">
        <v>42005.092361111114</v>
      </c>
      <c r="BP1658" s="2">
        <v>6.92</v>
      </c>
      <c r="BQ1658" s="2">
        <v>42005.092361111114</v>
      </c>
      <c r="BR1658" s="2">
        <v>11.07</v>
      </c>
      <c r="BS1658" s="2">
        <v>42005.092361111114</v>
      </c>
      <c r="BT1658">
        <v>0</v>
      </c>
      <c r="BU1658">
        <v>0</v>
      </c>
      <c r="BV1658" t="s">
        <v>135</v>
      </c>
      <c r="BW1658">
        <v>0</v>
      </c>
      <c r="BX1658">
        <v>0</v>
      </c>
      <c r="BY1658" t="s">
        <v>135</v>
      </c>
      <c r="BZ1658">
        <v>0</v>
      </c>
      <c r="CA1658">
        <v>0</v>
      </c>
      <c r="CB1658" t="s">
        <v>135</v>
      </c>
      <c r="CH1658" s="2"/>
      <c r="CJ1658" s="2"/>
      <c r="CL1658" s="2"/>
      <c r="CN1658" s="2"/>
      <c r="CQ1658" s="2"/>
      <c r="CT1658" s="2"/>
      <c r="CW1658" s="2"/>
    </row>
    <row r="1659" spans="1:101" x14ac:dyDescent="0.25">
      <c r="A1659" s="1" t="s">
        <v>163</v>
      </c>
      <c r="B1659" s="75" t="s">
        <v>164</v>
      </c>
      <c r="C1659">
        <v>0</v>
      </c>
      <c r="D1659">
        <v>0</v>
      </c>
      <c r="E1659">
        <v>0</v>
      </c>
      <c r="F1659">
        <v>604324.56000000006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3.91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7490</v>
      </c>
      <c r="AW1659">
        <v>3350</v>
      </c>
      <c r="AX1659">
        <v>1219</v>
      </c>
      <c r="AY1659">
        <v>12059</v>
      </c>
      <c r="AZ1659">
        <v>4202</v>
      </c>
      <c r="BA1659">
        <v>7438</v>
      </c>
      <c r="BB1659">
        <v>1432</v>
      </c>
      <c r="BC1659">
        <v>13072</v>
      </c>
      <c r="BD1659">
        <v>9486</v>
      </c>
      <c r="BE1659">
        <v>9222</v>
      </c>
      <c r="BF1659">
        <v>1768</v>
      </c>
      <c r="BG1659">
        <v>20476</v>
      </c>
      <c r="BH1659">
        <v>0</v>
      </c>
      <c r="BI1659">
        <v>0</v>
      </c>
      <c r="BJ1659">
        <v>0</v>
      </c>
      <c r="BK1659">
        <v>0</v>
      </c>
      <c r="BL1659" s="2">
        <v>24.82</v>
      </c>
      <c r="BM1659" s="2">
        <v>42005.095138888886</v>
      </c>
      <c r="BN1659" s="2">
        <v>5.4</v>
      </c>
      <c r="BO1659" s="2">
        <v>42005.092361111114</v>
      </c>
      <c r="BP1659" s="2">
        <v>6.92</v>
      </c>
      <c r="BQ1659" s="2">
        <v>42005.092361111114</v>
      </c>
      <c r="BR1659" s="2">
        <v>11.07</v>
      </c>
      <c r="BS1659" s="2">
        <v>42005.092361111114</v>
      </c>
      <c r="BT1659">
        <v>0</v>
      </c>
      <c r="BU1659">
        <v>0</v>
      </c>
      <c r="BV1659" t="s">
        <v>135</v>
      </c>
      <c r="BW1659">
        <v>0</v>
      </c>
      <c r="BX1659">
        <v>0</v>
      </c>
      <c r="BY1659" t="s">
        <v>135</v>
      </c>
      <c r="BZ1659">
        <v>0</v>
      </c>
      <c r="CA1659">
        <v>0</v>
      </c>
      <c r="CB1659" t="s">
        <v>135</v>
      </c>
      <c r="CH1659" s="2"/>
      <c r="CJ1659" s="2"/>
      <c r="CL1659" s="2"/>
      <c r="CN1659" s="2"/>
      <c r="CQ1659" s="2"/>
      <c r="CT1659" s="2"/>
      <c r="CW1659" s="2"/>
    </row>
    <row r="1660" spans="1:101" x14ac:dyDescent="0.25">
      <c r="A1660" s="1" t="s">
        <v>163</v>
      </c>
      <c r="B1660" s="75" t="s">
        <v>164</v>
      </c>
      <c r="C1660">
        <v>0</v>
      </c>
      <c r="D1660">
        <v>0</v>
      </c>
      <c r="E1660">
        <v>0</v>
      </c>
      <c r="F1660">
        <v>604324.56000000006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3.91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7490</v>
      </c>
      <c r="AW1660">
        <v>3350</v>
      </c>
      <c r="AX1660">
        <v>1219</v>
      </c>
      <c r="AY1660">
        <v>12059</v>
      </c>
      <c r="AZ1660">
        <v>4202</v>
      </c>
      <c r="BA1660">
        <v>7438</v>
      </c>
      <c r="BB1660">
        <v>1432</v>
      </c>
      <c r="BC1660">
        <v>13072</v>
      </c>
      <c r="BD1660">
        <v>9486</v>
      </c>
      <c r="BE1660">
        <v>9222</v>
      </c>
      <c r="BF1660">
        <v>1768</v>
      </c>
      <c r="BG1660">
        <v>20476</v>
      </c>
      <c r="BH1660">
        <v>0</v>
      </c>
      <c r="BI1660">
        <v>0</v>
      </c>
      <c r="BJ1660">
        <v>0</v>
      </c>
      <c r="BK1660">
        <v>0</v>
      </c>
      <c r="BL1660" s="2">
        <v>24.82</v>
      </c>
      <c r="BM1660" s="2">
        <v>42005.095138888886</v>
      </c>
      <c r="BN1660" s="2">
        <v>5.4</v>
      </c>
      <c r="BO1660" s="2">
        <v>42005.092361111114</v>
      </c>
      <c r="BP1660" s="2">
        <v>6.92</v>
      </c>
      <c r="BQ1660" s="2">
        <v>42005.092361111114</v>
      </c>
      <c r="BR1660" s="2">
        <v>11.07</v>
      </c>
      <c r="BS1660" s="2">
        <v>42005.092361111114</v>
      </c>
      <c r="BT1660">
        <v>0</v>
      </c>
      <c r="BU1660">
        <v>0</v>
      </c>
      <c r="BV1660" t="s">
        <v>135</v>
      </c>
      <c r="BW1660">
        <v>0</v>
      </c>
      <c r="BX1660">
        <v>0</v>
      </c>
      <c r="BY1660" t="s">
        <v>135</v>
      </c>
      <c r="BZ1660">
        <v>0</v>
      </c>
      <c r="CA1660">
        <v>0</v>
      </c>
      <c r="CB1660" t="s">
        <v>135</v>
      </c>
      <c r="CH1660" s="2"/>
      <c r="CJ1660" s="2"/>
      <c r="CL1660" s="2"/>
      <c r="CN1660" s="2"/>
      <c r="CQ1660" s="2"/>
      <c r="CT1660" s="2"/>
      <c r="CW1660" s="2"/>
    </row>
    <row r="1661" spans="1:101" x14ac:dyDescent="0.25">
      <c r="A1661" s="1" t="s">
        <v>163</v>
      </c>
      <c r="B1661" s="75" t="s">
        <v>164</v>
      </c>
      <c r="C1661">
        <v>0</v>
      </c>
      <c r="D1661">
        <v>0</v>
      </c>
      <c r="E1661">
        <v>0</v>
      </c>
      <c r="F1661">
        <v>604324.56000000006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3.91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7490</v>
      </c>
      <c r="AW1661">
        <v>3350</v>
      </c>
      <c r="AX1661">
        <v>1219</v>
      </c>
      <c r="AY1661">
        <v>12059</v>
      </c>
      <c r="AZ1661">
        <v>4202</v>
      </c>
      <c r="BA1661">
        <v>7438</v>
      </c>
      <c r="BB1661">
        <v>1432</v>
      </c>
      <c r="BC1661">
        <v>13072</v>
      </c>
      <c r="BD1661">
        <v>9486</v>
      </c>
      <c r="BE1661">
        <v>9222</v>
      </c>
      <c r="BF1661">
        <v>1768</v>
      </c>
      <c r="BG1661">
        <v>20476</v>
      </c>
      <c r="BH1661">
        <v>0</v>
      </c>
      <c r="BI1661">
        <v>0</v>
      </c>
      <c r="BJ1661">
        <v>0</v>
      </c>
      <c r="BK1661">
        <v>0</v>
      </c>
      <c r="BL1661" s="2">
        <v>24.82</v>
      </c>
      <c r="BM1661" s="2">
        <v>42005.095138888886</v>
      </c>
      <c r="BN1661" s="2">
        <v>5.4</v>
      </c>
      <c r="BO1661" s="2">
        <v>42005.092361111114</v>
      </c>
      <c r="BP1661" s="2">
        <v>6.92</v>
      </c>
      <c r="BQ1661" s="2">
        <v>42005.092361111114</v>
      </c>
      <c r="BR1661" s="2">
        <v>11.07</v>
      </c>
      <c r="BS1661" s="2">
        <v>42005.092361111114</v>
      </c>
      <c r="BT1661">
        <v>0</v>
      </c>
      <c r="BU1661">
        <v>0</v>
      </c>
      <c r="BV1661" t="s">
        <v>135</v>
      </c>
      <c r="BW1661">
        <v>0</v>
      </c>
      <c r="BX1661">
        <v>0</v>
      </c>
      <c r="BY1661" t="s">
        <v>135</v>
      </c>
      <c r="BZ1661">
        <v>0</v>
      </c>
      <c r="CA1661">
        <v>0</v>
      </c>
      <c r="CB1661" t="s">
        <v>135</v>
      </c>
      <c r="CH1661" s="2"/>
      <c r="CJ1661" s="2"/>
      <c r="CL1661" s="2"/>
      <c r="CN1661" s="2"/>
      <c r="CQ1661" s="2"/>
      <c r="CT1661" s="2"/>
      <c r="CW1661" s="2"/>
    </row>
    <row r="1662" spans="1:101" x14ac:dyDescent="0.25">
      <c r="A1662" s="1" t="s">
        <v>163</v>
      </c>
      <c r="B1662" s="75" t="s">
        <v>164</v>
      </c>
      <c r="C1662">
        <v>0</v>
      </c>
      <c r="D1662">
        <v>0</v>
      </c>
      <c r="E1662">
        <v>0</v>
      </c>
      <c r="F1662">
        <v>604324.56000000006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3.91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7490</v>
      </c>
      <c r="AW1662">
        <v>3350</v>
      </c>
      <c r="AX1662">
        <v>1219</v>
      </c>
      <c r="AY1662">
        <v>12059</v>
      </c>
      <c r="AZ1662">
        <v>4202</v>
      </c>
      <c r="BA1662">
        <v>7438</v>
      </c>
      <c r="BB1662">
        <v>1432</v>
      </c>
      <c r="BC1662">
        <v>13072</v>
      </c>
      <c r="BD1662">
        <v>9486</v>
      </c>
      <c r="BE1662">
        <v>9222</v>
      </c>
      <c r="BF1662">
        <v>1768</v>
      </c>
      <c r="BG1662">
        <v>20476</v>
      </c>
      <c r="BH1662">
        <v>0</v>
      </c>
      <c r="BI1662">
        <v>0</v>
      </c>
      <c r="BJ1662">
        <v>0</v>
      </c>
      <c r="BK1662">
        <v>0</v>
      </c>
      <c r="BL1662" s="2">
        <v>24.82</v>
      </c>
      <c r="BM1662" s="2">
        <v>42005.095138888886</v>
      </c>
      <c r="BN1662" s="2">
        <v>5.4</v>
      </c>
      <c r="BO1662" s="2">
        <v>42005.092361111114</v>
      </c>
      <c r="BP1662" s="2">
        <v>6.92</v>
      </c>
      <c r="BQ1662" s="2">
        <v>42005.092361111114</v>
      </c>
      <c r="BR1662" s="2">
        <v>11.07</v>
      </c>
      <c r="BS1662" s="2">
        <v>42005.092361111114</v>
      </c>
      <c r="BT1662">
        <v>0</v>
      </c>
      <c r="BU1662">
        <v>0</v>
      </c>
      <c r="BV1662" t="s">
        <v>135</v>
      </c>
      <c r="BW1662">
        <v>0</v>
      </c>
      <c r="BX1662">
        <v>0</v>
      </c>
      <c r="BY1662" t="s">
        <v>135</v>
      </c>
      <c r="BZ1662">
        <v>0</v>
      </c>
      <c r="CA1662">
        <v>0</v>
      </c>
      <c r="CB1662" t="s">
        <v>135</v>
      </c>
      <c r="CH1662" s="2"/>
      <c r="CJ1662" s="2"/>
      <c r="CL1662" s="2"/>
      <c r="CN1662" s="2"/>
      <c r="CQ1662" s="2"/>
      <c r="CT1662" s="2"/>
      <c r="CW1662" s="2"/>
    </row>
    <row r="1663" spans="1:101" x14ac:dyDescent="0.25">
      <c r="A1663" s="1" t="s">
        <v>163</v>
      </c>
      <c r="B1663" s="75" t="s">
        <v>164</v>
      </c>
      <c r="C1663">
        <v>0</v>
      </c>
      <c r="D1663">
        <v>0</v>
      </c>
      <c r="E1663">
        <v>0</v>
      </c>
      <c r="F1663">
        <v>604324.56000000006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3.91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7490</v>
      </c>
      <c r="AW1663">
        <v>3350</v>
      </c>
      <c r="AX1663">
        <v>1219</v>
      </c>
      <c r="AY1663">
        <v>12059</v>
      </c>
      <c r="AZ1663">
        <v>4202</v>
      </c>
      <c r="BA1663">
        <v>7438</v>
      </c>
      <c r="BB1663">
        <v>1432</v>
      </c>
      <c r="BC1663">
        <v>13072</v>
      </c>
      <c r="BD1663">
        <v>9486</v>
      </c>
      <c r="BE1663">
        <v>9222</v>
      </c>
      <c r="BF1663">
        <v>1768</v>
      </c>
      <c r="BG1663">
        <v>20476</v>
      </c>
      <c r="BH1663">
        <v>0</v>
      </c>
      <c r="BI1663">
        <v>0</v>
      </c>
      <c r="BJ1663">
        <v>0</v>
      </c>
      <c r="BK1663">
        <v>0</v>
      </c>
      <c r="BL1663" s="2">
        <v>24.82</v>
      </c>
      <c r="BM1663" s="2">
        <v>42005.095138888886</v>
      </c>
      <c r="BN1663" s="2">
        <v>5.4</v>
      </c>
      <c r="BO1663" s="2">
        <v>42005.092361111114</v>
      </c>
      <c r="BP1663" s="2">
        <v>6.92</v>
      </c>
      <c r="BQ1663" s="2">
        <v>42005.092361111114</v>
      </c>
      <c r="BR1663" s="2">
        <v>11.07</v>
      </c>
      <c r="BS1663" s="2">
        <v>42005.092361111114</v>
      </c>
      <c r="BT1663">
        <v>0</v>
      </c>
      <c r="BU1663">
        <v>0</v>
      </c>
      <c r="BV1663" t="s">
        <v>135</v>
      </c>
      <c r="BW1663">
        <v>0</v>
      </c>
      <c r="BX1663">
        <v>0</v>
      </c>
      <c r="BY1663" t="s">
        <v>135</v>
      </c>
      <c r="BZ1663">
        <v>0</v>
      </c>
      <c r="CA1663">
        <v>0</v>
      </c>
      <c r="CB1663" t="s">
        <v>135</v>
      </c>
      <c r="CH1663" s="2"/>
      <c r="CJ1663" s="2"/>
      <c r="CL1663" s="2"/>
      <c r="CN1663" s="2"/>
      <c r="CQ1663" s="2"/>
      <c r="CT1663" s="2"/>
      <c r="CW1663" s="2"/>
    </row>
    <row r="1664" spans="1:101" x14ac:dyDescent="0.25">
      <c r="A1664" s="1" t="s">
        <v>163</v>
      </c>
      <c r="B1664" s="75" t="s">
        <v>164</v>
      </c>
      <c r="C1664">
        <v>0</v>
      </c>
      <c r="D1664">
        <v>0</v>
      </c>
      <c r="E1664">
        <v>0</v>
      </c>
      <c r="F1664">
        <v>604324.56000000006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3.91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7490</v>
      </c>
      <c r="AW1664">
        <v>3350</v>
      </c>
      <c r="AX1664">
        <v>1219</v>
      </c>
      <c r="AY1664">
        <v>12059</v>
      </c>
      <c r="AZ1664">
        <v>4202</v>
      </c>
      <c r="BA1664">
        <v>7438</v>
      </c>
      <c r="BB1664">
        <v>1432</v>
      </c>
      <c r="BC1664">
        <v>13072</v>
      </c>
      <c r="BD1664">
        <v>9486</v>
      </c>
      <c r="BE1664">
        <v>9222</v>
      </c>
      <c r="BF1664">
        <v>1768</v>
      </c>
      <c r="BG1664">
        <v>20476</v>
      </c>
      <c r="BH1664">
        <v>0</v>
      </c>
      <c r="BI1664">
        <v>0</v>
      </c>
      <c r="BJ1664">
        <v>0</v>
      </c>
      <c r="BK1664">
        <v>0</v>
      </c>
      <c r="BL1664" s="2">
        <v>24.82</v>
      </c>
      <c r="BM1664" s="2">
        <v>42005.095138888886</v>
      </c>
      <c r="BN1664" s="2">
        <v>5.4</v>
      </c>
      <c r="BO1664" s="2">
        <v>42005.092361111114</v>
      </c>
      <c r="BP1664" s="2">
        <v>6.92</v>
      </c>
      <c r="BQ1664" s="2">
        <v>42005.092361111114</v>
      </c>
      <c r="BR1664" s="2">
        <v>11.07</v>
      </c>
      <c r="BS1664" s="2">
        <v>42005.092361111114</v>
      </c>
      <c r="BT1664">
        <v>0</v>
      </c>
      <c r="BU1664">
        <v>0</v>
      </c>
      <c r="BV1664" t="s">
        <v>135</v>
      </c>
      <c r="BW1664">
        <v>0</v>
      </c>
      <c r="BX1664">
        <v>0</v>
      </c>
      <c r="BY1664" t="s">
        <v>135</v>
      </c>
      <c r="BZ1664">
        <v>0</v>
      </c>
      <c r="CA1664">
        <v>0</v>
      </c>
      <c r="CB1664" t="s">
        <v>135</v>
      </c>
      <c r="CH1664" s="2"/>
      <c r="CJ1664" s="2"/>
      <c r="CL1664" s="2"/>
      <c r="CN1664" s="2"/>
      <c r="CQ1664" s="2"/>
      <c r="CT1664" s="2"/>
      <c r="CW1664" s="2"/>
    </row>
    <row r="1665" spans="1:101" x14ac:dyDescent="0.25">
      <c r="A1665" s="1" t="s">
        <v>163</v>
      </c>
      <c r="B1665" s="75" t="s">
        <v>164</v>
      </c>
      <c r="C1665">
        <v>0</v>
      </c>
      <c r="D1665">
        <v>0</v>
      </c>
      <c r="E1665">
        <v>0</v>
      </c>
      <c r="F1665">
        <v>604324.56000000006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3.91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7490</v>
      </c>
      <c r="AW1665">
        <v>3350</v>
      </c>
      <c r="AX1665">
        <v>1219</v>
      </c>
      <c r="AY1665">
        <v>12059</v>
      </c>
      <c r="AZ1665">
        <v>4202</v>
      </c>
      <c r="BA1665">
        <v>7438</v>
      </c>
      <c r="BB1665">
        <v>1432</v>
      </c>
      <c r="BC1665">
        <v>13072</v>
      </c>
      <c r="BD1665">
        <v>9486</v>
      </c>
      <c r="BE1665">
        <v>9222</v>
      </c>
      <c r="BF1665">
        <v>1768</v>
      </c>
      <c r="BG1665">
        <v>20476</v>
      </c>
      <c r="BH1665">
        <v>0</v>
      </c>
      <c r="BI1665">
        <v>0</v>
      </c>
      <c r="BJ1665">
        <v>0</v>
      </c>
      <c r="BK1665">
        <v>0</v>
      </c>
      <c r="BL1665" s="2">
        <v>24.82</v>
      </c>
      <c r="BM1665" s="2">
        <v>42005.095138888886</v>
      </c>
      <c r="BN1665" s="2">
        <v>5.4</v>
      </c>
      <c r="BO1665" s="2">
        <v>42005.092361111114</v>
      </c>
      <c r="BP1665" s="2">
        <v>6.92</v>
      </c>
      <c r="BQ1665" s="2">
        <v>42005.092361111114</v>
      </c>
      <c r="BR1665" s="2">
        <v>11.07</v>
      </c>
      <c r="BS1665" s="2">
        <v>42005.092361111114</v>
      </c>
      <c r="BT1665">
        <v>0</v>
      </c>
      <c r="BU1665">
        <v>0</v>
      </c>
      <c r="BV1665" t="s">
        <v>135</v>
      </c>
      <c r="BW1665">
        <v>0</v>
      </c>
      <c r="BX1665">
        <v>0</v>
      </c>
      <c r="BY1665" t="s">
        <v>135</v>
      </c>
      <c r="BZ1665">
        <v>0</v>
      </c>
      <c r="CA1665">
        <v>0</v>
      </c>
      <c r="CB1665" t="s">
        <v>135</v>
      </c>
      <c r="CH1665" s="2"/>
      <c r="CJ1665" s="2"/>
      <c r="CL1665" s="2"/>
      <c r="CN1665" s="2"/>
      <c r="CQ1665" s="2"/>
      <c r="CT1665" s="2"/>
      <c r="CW1665" s="2"/>
    </row>
    <row r="1666" spans="1:101" x14ac:dyDescent="0.25">
      <c r="A1666" s="1" t="s">
        <v>163</v>
      </c>
      <c r="B1666" s="75" t="s">
        <v>164</v>
      </c>
      <c r="C1666">
        <v>0</v>
      </c>
      <c r="D1666">
        <v>0</v>
      </c>
      <c r="E1666">
        <v>0</v>
      </c>
      <c r="F1666">
        <v>604324.56000000006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3.91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7490</v>
      </c>
      <c r="AW1666">
        <v>3350</v>
      </c>
      <c r="AX1666">
        <v>1219</v>
      </c>
      <c r="AY1666">
        <v>12059</v>
      </c>
      <c r="AZ1666">
        <v>4202</v>
      </c>
      <c r="BA1666">
        <v>7438</v>
      </c>
      <c r="BB1666">
        <v>1432</v>
      </c>
      <c r="BC1666">
        <v>13072</v>
      </c>
      <c r="BD1666">
        <v>9486</v>
      </c>
      <c r="BE1666">
        <v>9222</v>
      </c>
      <c r="BF1666">
        <v>1768</v>
      </c>
      <c r="BG1666">
        <v>20476</v>
      </c>
      <c r="BH1666">
        <v>0</v>
      </c>
      <c r="BI1666">
        <v>0</v>
      </c>
      <c r="BJ1666">
        <v>0</v>
      </c>
      <c r="BK1666">
        <v>0</v>
      </c>
      <c r="BL1666" s="2">
        <v>24.82</v>
      </c>
      <c r="BM1666" s="2">
        <v>42005.095138888886</v>
      </c>
      <c r="BN1666" s="2">
        <v>5.4</v>
      </c>
      <c r="BO1666" s="2">
        <v>42005.092361111114</v>
      </c>
      <c r="BP1666" s="2">
        <v>6.92</v>
      </c>
      <c r="BQ1666" s="2">
        <v>42005.092361111114</v>
      </c>
      <c r="BR1666" s="2">
        <v>11.07</v>
      </c>
      <c r="BS1666" s="2">
        <v>42005.092361111114</v>
      </c>
      <c r="BT1666">
        <v>0</v>
      </c>
      <c r="BU1666">
        <v>0</v>
      </c>
      <c r="BV1666" t="s">
        <v>135</v>
      </c>
      <c r="BW1666">
        <v>0</v>
      </c>
      <c r="BX1666">
        <v>0</v>
      </c>
      <c r="BY1666" t="s">
        <v>135</v>
      </c>
      <c r="BZ1666">
        <v>0</v>
      </c>
      <c r="CA1666">
        <v>0</v>
      </c>
      <c r="CB1666" t="s">
        <v>135</v>
      </c>
      <c r="CH1666" s="2"/>
      <c r="CJ1666" s="2"/>
      <c r="CL1666" s="2"/>
      <c r="CN1666" s="2"/>
      <c r="CQ1666" s="2"/>
      <c r="CT1666" s="2"/>
      <c r="CW1666" s="2"/>
    </row>
    <row r="1667" spans="1:101" x14ac:dyDescent="0.25">
      <c r="A1667" s="1" t="s">
        <v>163</v>
      </c>
      <c r="B1667" s="75" t="s">
        <v>164</v>
      </c>
      <c r="C1667">
        <v>0</v>
      </c>
      <c r="D1667">
        <v>0</v>
      </c>
      <c r="E1667">
        <v>0</v>
      </c>
      <c r="F1667">
        <v>604324.56000000006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3.91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7490</v>
      </c>
      <c r="AW1667">
        <v>3350</v>
      </c>
      <c r="AX1667">
        <v>1219</v>
      </c>
      <c r="AY1667">
        <v>12059</v>
      </c>
      <c r="AZ1667">
        <v>4202</v>
      </c>
      <c r="BA1667">
        <v>7438</v>
      </c>
      <c r="BB1667">
        <v>1432</v>
      </c>
      <c r="BC1667">
        <v>13072</v>
      </c>
      <c r="BD1667">
        <v>9486</v>
      </c>
      <c r="BE1667">
        <v>9222</v>
      </c>
      <c r="BF1667">
        <v>1768</v>
      </c>
      <c r="BG1667">
        <v>20476</v>
      </c>
      <c r="BH1667">
        <v>0</v>
      </c>
      <c r="BI1667">
        <v>0</v>
      </c>
      <c r="BJ1667">
        <v>0</v>
      </c>
      <c r="BK1667">
        <v>0</v>
      </c>
      <c r="BL1667" s="2">
        <v>24.82</v>
      </c>
      <c r="BM1667" s="2">
        <v>42005.095138888886</v>
      </c>
      <c r="BN1667" s="2">
        <v>5.4</v>
      </c>
      <c r="BO1667" s="2">
        <v>42005.092361111114</v>
      </c>
      <c r="BP1667" s="2">
        <v>6.92</v>
      </c>
      <c r="BQ1667" s="2">
        <v>42005.092361111114</v>
      </c>
      <c r="BR1667" s="2">
        <v>11.07</v>
      </c>
      <c r="BS1667" s="2">
        <v>42005.092361111114</v>
      </c>
      <c r="BT1667">
        <v>0</v>
      </c>
      <c r="BU1667">
        <v>0</v>
      </c>
      <c r="BV1667" t="s">
        <v>135</v>
      </c>
      <c r="BW1667">
        <v>0</v>
      </c>
      <c r="BX1667">
        <v>0</v>
      </c>
      <c r="BY1667" t="s">
        <v>135</v>
      </c>
      <c r="BZ1667">
        <v>0</v>
      </c>
      <c r="CA1667">
        <v>0</v>
      </c>
      <c r="CB1667" t="s">
        <v>135</v>
      </c>
      <c r="CH1667" s="2"/>
      <c r="CJ1667" s="2"/>
      <c r="CL1667" s="2"/>
      <c r="CN1667" s="2"/>
      <c r="CQ1667" s="2"/>
      <c r="CT1667" s="2"/>
      <c r="CW1667" s="2"/>
    </row>
    <row r="1668" spans="1:101" x14ac:dyDescent="0.25">
      <c r="A1668" s="1" t="s">
        <v>163</v>
      </c>
      <c r="B1668" s="75" t="s">
        <v>164</v>
      </c>
      <c r="C1668">
        <v>0</v>
      </c>
      <c r="D1668">
        <v>0</v>
      </c>
      <c r="E1668">
        <v>0</v>
      </c>
      <c r="F1668">
        <v>604324.56000000006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3.91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7490</v>
      </c>
      <c r="AW1668">
        <v>3350</v>
      </c>
      <c r="AX1668">
        <v>1219</v>
      </c>
      <c r="AY1668">
        <v>12059</v>
      </c>
      <c r="AZ1668">
        <v>4202</v>
      </c>
      <c r="BA1668">
        <v>7438</v>
      </c>
      <c r="BB1668">
        <v>1432</v>
      </c>
      <c r="BC1668">
        <v>13072</v>
      </c>
      <c r="BD1668">
        <v>9486</v>
      </c>
      <c r="BE1668">
        <v>9222</v>
      </c>
      <c r="BF1668">
        <v>1768</v>
      </c>
      <c r="BG1668">
        <v>20476</v>
      </c>
      <c r="BH1668">
        <v>0</v>
      </c>
      <c r="BI1668">
        <v>0</v>
      </c>
      <c r="BJ1668">
        <v>0</v>
      </c>
      <c r="BK1668">
        <v>0</v>
      </c>
      <c r="BL1668" s="2">
        <v>24.82</v>
      </c>
      <c r="BM1668" s="2">
        <v>42005.095138888886</v>
      </c>
      <c r="BN1668" s="2">
        <v>5.4</v>
      </c>
      <c r="BO1668" s="2">
        <v>42005.092361111114</v>
      </c>
      <c r="BP1668" s="2">
        <v>6.92</v>
      </c>
      <c r="BQ1668" s="2">
        <v>42005.092361111114</v>
      </c>
      <c r="BR1668" s="2">
        <v>11.07</v>
      </c>
      <c r="BS1668" s="2">
        <v>42005.092361111114</v>
      </c>
      <c r="BT1668">
        <v>0</v>
      </c>
      <c r="BU1668">
        <v>0</v>
      </c>
      <c r="BV1668" t="s">
        <v>135</v>
      </c>
      <c r="BW1668">
        <v>0</v>
      </c>
      <c r="BX1668">
        <v>0</v>
      </c>
      <c r="BY1668" t="s">
        <v>135</v>
      </c>
      <c r="BZ1668">
        <v>0</v>
      </c>
      <c r="CA1668">
        <v>0</v>
      </c>
      <c r="CB1668" t="s">
        <v>135</v>
      </c>
      <c r="CH1668" s="2"/>
      <c r="CJ1668" s="2"/>
      <c r="CL1668" s="2"/>
      <c r="CN1668" s="2"/>
      <c r="CQ1668" s="2"/>
      <c r="CT1668" s="2"/>
      <c r="CW1668" s="2"/>
    </row>
    <row r="1669" spans="1:101" x14ac:dyDescent="0.25">
      <c r="A1669" s="1" t="s">
        <v>163</v>
      </c>
      <c r="B1669" s="75" t="s">
        <v>164</v>
      </c>
      <c r="C1669">
        <v>0</v>
      </c>
      <c r="D1669">
        <v>0</v>
      </c>
      <c r="E1669">
        <v>0</v>
      </c>
      <c r="F1669">
        <v>604324.56000000006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3.91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7490</v>
      </c>
      <c r="AW1669">
        <v>3350</v>
      </c>
      <c r="AX1669">
        <v>1219</v>
      </c>
      <c r="AY1669">
        <v>12059</v>
      </c>
      <c r="AZ1669">
        <v>4202</v>
      </c>
      <c r="BA1669">
        <v>7438</v>
      </c>
      <c r="BB1669">
        <v>1432</v>
      </c>
      <c r="BC1669">
        <v>13072</v>
      </c>
      <c r="BD1669">
        <v>9486</v>
      </c>
      <c r="BE1669">
        <v>9222</v>
      </c>
      <c r="BF1669">
        <v>1768</v>
      </c>
      <c r="BG1669">
        <v>20476</v>
      </c>
      <c r="BH1669">
        <v>0</v>
      </c>
      <c r="BI1669">
        <v>0</v>
      </c>
      <c r="BJ1669">
        <v>0</v>
      </c>
      <c r="BK1669">
        <v>0</v>
      </c>
      <c r="BL1669" s="2">
        <v>24.82</v>
      </c>
      <c r="BM1669" s="2">
        <v>42005.095138888886</v>
      </c>
      <c r="BN1669" s="2">
        <v>5.4</v>
      </c>
      <c r="BO1669" s="2">
        <v>42005.092361111114</v>
      </c>
      <c r="BP1669" s="2">
        <v>6.92</v>
      </c>
      <c r="BQ1669" s="2">
        <v>42005.092361111114</v>
      </c>
      <c r="BR1669" s="2">
        <v>11.07</v>
      </c>
      <c r="BS1669" s="2">
        <v>42005.092361111114</v>
      </c>
      <c r="BT1669">
        <v>0</v>
      </c>
      <c r="BU1669">
        <v>0</v>
      </c>
      <c r="BV1669" t="s">
        <v>135</v>
      </c>
      <c r="BW1669">
        <v>0</v>
      </c>
      <c r="BX1669">
        <v>0</v>
      </c>
      <c r="BY1669" t="s">
        <v>135</v>
      </c>
      <c r="BZ1669">
        <v>0</v>
      </c>
      <c r="CA1669">
        <v>0</v>
      </c>
      <c r="CB1669" t="s">
        <v>135</v>
      </c>
      <c r="CH1669" s="2"/>
      <c r="CJ1669" s="2"/>
      <c r="CL1669" s="2"/>
      <c r="CN1669" s="2"/>
      <c r="CQ1669" s="2"/>
      <c r="CT1669" s="2"/>
      <c r="CW1669" s="2"/>
    </row>
    <row r="1670" spans="1:101" x14ac:dyDescent="0.25">
      <c r="A1670" s="1" t="s">
        <v>163</v>
      </c>
      <c r="B1670" s="75" t="s">
        <v>164</v>
      </c>
      <c r="C1670">
        <v>0</v>
      </c>
      <c r="D1670">
        <v>0</v>
      </c>
      <c r="E1670">
        <v>0</v>
      </c>
      <c r="F1670">
        <v>604324.56000000006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3.91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7490</v>
      </c>
      <c r="AW1670">
        <v>3350</v>
      </c>
      <c r="AX1670">
        <v>1219</v>
      </c>
      <c r="AY1670">
        <v>12059</v>
      </c>
      <c r="AZ1670">
        <v>4202</v>
      </c>
      <c r="BA1670">
        <v>7438</v>
      </c>
      <c r="BB1670">
        <v>1432</v>
      </c>
      <c r="BC1670">
        <v>13072</v>
      </c>
      <c r="BD1670">
        <v>9486</v>
      </c>
      <c r="BE1670">
        <v>9222</v>
      </c>
      <c r="BF1670">
        <v>1768</v>
      </c>
      <c r="BG1670">
        <v>20476</v>
      </c>
      <c r="BH1670">
        <v>0</v>
      </c>
      <c r="BI1670">
        <v>0</v>
      </c>
      <c r="BJ1670">
        <v>0</v>
      </c>
      <c r="BK1670">
        <v>0</v>
      </c>
      <c r="BL1670" s="2">
        <v>24.82</v>
      </c>
      <c r="BM1670" s="2">
        <v>42005.095138888886</v>
      </c>
      <c r="BN1670" s="2">
        <v>5.4</v>
      </c>
      <c r="BO1670" s="2">
        <v>42005.092361111114</v>
      </c>
      <c r="BP1670" s="2">
        <v>6.92</v>
      </c>
      <c r="BQ1670" s="2">
        <v>42005.092361111114</v>
      </c>
      <c r="BR1670" s="2">
        <v>11.07</v>
      </c>
      <c r="BS1670" s="2">
        <v>42005.092361111114</v>
      </c>
      <c r="BT1670">
        <v>0</v>
      </c>
      <c r="BU1670">
        <v>0</v>
      </c>
      <c r="BV1670" t="s">
        <v>135</v>
      </c>
      <c r="BW1670">
        <v>0</v>
      </c>
      <c r="BX1670">
        <v>0</v>
      </c>
      <c r="BY1670" t="s">
        <v>135</v>
      </c>
      <c r="BZ1670">
        <v>0</v>
      </c>
      <c r="CA1670">
        <v>0</v>
      </c>
      <c r="CB1670" t="s">
        <v>135</v>
      </c>
      <c r="CH1670" s="2"/>
      <c r="CJ1670" s="2"/>
      <c r="CL1670" s="2"/>
      <c r="CN1670" s="2"/>
      <c r="CQ1670" s="2"/>
      <c r="CT1670" s="2"/>
      <c r="CW1670" s="2"/>
    </row>
    <row r="1671" spans="1:101" x14ac:dyDescent="0.25">
      <c r="A1671" s="1" t="s">
        <v>163</v>
      </c>
      <c r="B1671" s="75" t="s">
        <v>164</v>
      </c>
      <c r="C1671">
        <v>0</v>
      </c>
      <c r="D1671">
        <v>0</v>
      </c>
      <c r="E1671">
        <v>0</v>
      </c>
      <c r="F1671">
        <v>604324.56000000006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3.91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7490</v>
      </c>
      <c r="AW1671">
        <v>3350</v>
      </c>
      <c r="AX1671">
        <v>1219</v>
      </c>
      <c r="AY1671">
        <v>12059</v>
      </c>
      <c r="AZ1671">
        <v>4202</v>
      </c>
      <c r="BA1671">
        <v>7438</v>
      </c>
      <c r="BB1671">
        <v>1432</v>
      </c>
      <c r="BC1671">
        <v>13072</v>
      </c>
      <c r="BD1671">
        <v>9486</v>
      </c>
      <c r="BE1671">
        <v>9222</v>
      </c>
      <c r="BF1671">
        <v>1768</v>
      </c>
      <c r="BG1671">
        <v>20476</v>
      </c>
      <c r="BH1671">
        <v>0</v>
      </c>
      <c r="BI1671">
        <v>0</v>
      </c>
      <c r="BJ1671">
        <v>0</v>
      </c>
      <c r="BK1671">
        <v>0</v>
      </c>
      <c r="BL1671" s="2">
        <v>24.82</v>
      </c>
      <c r="BM1671" s="2">
        <v>42005.095138888886</v>
      </c>
      <c r="BN1671" s="2">
        <v>5.4</v>
      </c>
      <c r="BO1671" s="2">
        <v>42005.092361111114</v>
      </c>
      <c r="BP1671" s="2">
        <v>6.92</v>
      </c>
      <c r="BQ1671" s="2">
        <v>42005.092361111114</v>
      </c>
      <c r="BR1671" s="2">
        <v>11.07</v>
      </c>
      <c r="BS1671" s="2">
        <v>42005.092361111114</v>
      </c>
      <c r="BT1671">
        <v>0</v>
      </c>
      <c r="BU1671">
        <v>0</v>
      </c>
      <c r="BV1671" t="s">
        <v>135</v>
      </c>
      <c r="BW1671">
        <v>0</v>
      </c>
      <c r="BX1671">
        <v>0</v>
      </c>
      <c r="BY1671" t="s">
        <v>135</v>
      </c>
      <c r="BZ1671">
        <v>0</v>
      </c>
      <c r="CA1671">
        <v>0</v>
      </c>
      <c r="CB1671" t="s">
        <v>135</v>
      </c>
      <c r="CH1671" s="2"/>
      <c r="CJ1671" s="2"/>
      <c r="CL1671" s="2"/>
      <c r="CN1671" s="2"/>
      <c r="CQ1671" s="2"/>
      <c r="CT1671" s="2"/>
      <c r="CW1671" s="2"/>
    </row>
    <row r="1672" spans="1:101" x14ac:dyDescent="0.25">
      <c r="A1672" s="1" t="s">
        <v>163</v>
      </c>
      <c r="B1672" s="75" t="s">
        <v>164</v>
      </c>
      <c r="C1672">
        <v>0</v>
      </c>
      <c r="D1672">
        <v>0</v>
      </c>
      <c r="E1672">
        <v>0</v>
      </c>
      <c r="F1672">
        <v>604324.56000000006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3.91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7490</v>
      </c>
      <c r="AW1672">
        <v>3350</v>
      </c>
      <c r="AX1672">
        <v>1219</v>
      </c>
      <c r="AY1672">
        <v>12059</v>
      </c>
      <c r="AZ1672">
        <v>4202</v>
      </c>
      <c r="BA1672">
        <v>7438</v>
      </c>
      <c r="BB1672">
        <v>1432</v>
      </c>
      <c r="BC1672">
        <v>13072</v>
      </c>
      <c r="BD1672">
        <v>9486</v>
      </c>
      <c r="BE1672">
        <v>9222</v>
      </c>
      <c r="BF1672">
        <v>1768</v>
      </c>
      <c r="BG1672">
        <v>20476</v>
      </c>
      <c r="BH1672">
        <v>0</v>
      </c>
      <c r="BI1672">
        <v>0</v>
      </c>
      <c r="BJ1672">
        <v>0</v>
      </c>
      <c r="BK1672">
        <v>0</v>
      </c>
      <c r="BL1672" s="2">
        <v>24.82</v>
      </c>
      <c r="BM1672" s="2">
        <v>42005.095138888886</v>
      </c>
      <c r="BN1672" s="2">
        <v>5.4</v>
      </c>
      <c r="BO1672" s="2">
        <v>42005.092361111114</v>
      </c>
      <c r="BP1672" s="2">
        <v>6.92</v>
      </c>
      <c r="BQ1672" s="2">
        <v>42005.092361111114</v>
      </c>
      <c r="BR1672" s="2">
        <v>11.07</v>
      </c>
      <c r="BS1672" s="2">
        <v>42005.092361111114</v>
      </c>
      <c r="BT1672">
        <v>0</v>
      </c>
      <c r="BU1672">
        <v>0</v>
      </c>
      <c r="BV1672" t="s">
        <v>135</v>
      </c>
      <c r="BW1672">
        <v>0</v>
      </c>
      <c r="BX1672">
        <v>0</v>
      </c>
      <c r="BY1672" t="s">
        <v>135</v>
      </c>
      <c r="BZ1672">
        <v>0</v>
      </c>
      <c r="CA1672">
        <v>0</v>
      </c>
      <c r="CB1672" t="s">
        <v>135</v>
      </c>
      <c r="CH1672" s="2"/>
      <c r="CJ1672" s="2"/>
      <c r="CL1672" s="2"/>
      <c r="CN1672" s="2"/>
      <c r="CQ1672" s="2"/>
      <c r="CT1672" s="2"/>
      <c r="CW1672" s="2"/>
    </row>
    <row r="1673" spans="1:101" x14ac:dyDescent="0.25">
      <c r="A1673" s="1" t="s">
        <v>163</v>
      </c>
      <c r="B1673" s="75" t="s">
        <v>164</v>
      </c>
      <c r="C1673">
        <v>0</v>
      </c>
      <c r="D1673">
        <v>0</v>
      </c>
      <c r="E1673">
        <v>0</v>
      </c>
      <c r="F1673">
        <v>604324.56000000006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3.91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7490</v>
      </c>
      <c r="AW1673">
        <v>3350</v>
      </c>
      <c r="AX1673">
        <v>1219</v>
      </c>
      <c r="AY1673">
        <v>12059</v>
      </c>
      <c r="AZ1673">
        <v>4202</v>
      </c>
      <c r="BA1673">
        <v>7438</v>
      </c>
      <c r="BB1673">
        <v>1432</v>
      </c>
      <c r="BC1673">
        <v>13072</v>
      </c>
      <c r="BD1673">
        <v>9486</v>
      </c>
      <c r="BE1673">
        <v>9222</v>
      </c>
      <c r="BF1673">
        <v>1768</v>
      </c>
      <c r="BG1673">
        <v>20476</v>
      </c>
      <c r="BH1673">
        <v>0</v>
      </c>
      <c r="BI1673">
        <v>0</v>
      </c>
      <c r="BJ1673">
        <v>0</v>
      </c>
      <c r="BK1673">
        <v>0</v>
      </c>
      <c r="BL1673" s="2">
        <v>24.82</v>
      </c>
      <c r="BM1673" s="2">
        <v>42005.095138888886</v>
      </c>
      <c r="BN1673" s="2">
        <v>5.4</v>
      </c>
      <c r="BO1673" s="2">
        <v>42005.092361111114</v>
      </c>
      <c r="BP1673" s="2">
        <v>6.92</v>
      </c>
      <c r="BQ1673" s="2">
        <v>42005.092361111114</v>
      </c>
      <c r="BR1673" s="2">
        <v>11.07</v>
      </c>
      <c r="BS1673" s="2">
        <v>42005.092361111114</v>
      </c>
      <c r="BT1673">
        <v>0</v>
      </c>
      <c r="BU1673">
        <v>0</v>
      </c>
      <c r="BV1673" t="s">
        <v>135</v>
      </c>
      <c r="BW1673">
        <v>0</v>
      </c>
      <c r="BX1673">
        <v>0</v>
      </c>
      <c r="BY1673" t="s">
        <v>135</v>
      </c>
      <c r="BZ1673">
        <v>0</v>
      </c>
      <c r="CA1673">
        <v>0</v>
      </c>
      <c r="CB1673" t="s">
        <v>135</v>
      </c>
      <c r="CH1673" s="2"/>
      <c r="CJ1673" s="2"/>
      <c r="CL1673" s="2"/>
      <c r="CN1673" s="2"/>
      <c r="CQ1673" s="2"/>
      <c r="CT1673" s="2"/>
      <c r="CW1673" s="2"/>
    </row>
    <row r="1674" spans="1:101" x14ac:dyDescent="0.25">
      <c r="A1674" s="1" t="s">
        <v>163</v>
      </c>
      <c r="B1674" s="75" t="s">
        <v>164</v>
      </c>
      <c r="C1674">
        <v>0</v>
      </c>
      <c r="D1674">
        <v>0</v>
      </c>
      <c r="E1674">
        <v>0</v>
      </c>
      <c r="F1674">
        <v>604324.56000000006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3.91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7490</v>
      </c>
      <c r="AW1674">
        <v>3350</v>
      </c>
      <c r="AX1674">
        <v>1219</v>
      </c>
      <c r="AY1674">
        <v>12059</v>
      </c>
      <c r="AZ1674">
        <v>4202</v>
      </c>
      <c r="BA1674">
        <v>7438</v>
      </c>
      <c r="BB1674">
        <v>1432</v>
      </c>
      <c r="BC1674">
        <v>13072</v>
      </c>
      <c r="BD1674">
        <v>9486</v>
      </c>
      <c r="BE1674">
        <v>9222</v>
      </c>
      <c r="BF1674">
        <v>1768</v>
      </c>
      <c r="BG1674">
        <v>20476</v>
      </c>
      <c r="BH1674">
        <v>0</v>
      </c>
      <c r="BI1674">
        <v>0</v>
      </c>
      <c r="BJ1674">
        <v>0</v>
      </c>
      <c r="BK1674">
        <v>0</v>
      </c>
      <c r="BL1674" s="2">
        <v>24.82</v>
      </c>
      <c r="BM1674" s="2">
        <v>42005.095138888886</v>
      </c>
      <c r="BN1674" s="2">
        <v>5.4</v>
      </c>
      <c r="BO1674" s="2">
        <v>42005.092361111114</v>
      </c>
      <c r="BP1674" s="2">
        <v>6.92</v>
      </c>
      <c r="BQ1674" s="2">
        <v>42005.092361111114</v>
      </c>
      <c r="BR1674" s="2">
        <v>11.07</v>
      </c>
      <c r="BS1674" s="2">
        <v>42005.092361111114</v>
      </c>
      <c r="BT1674">
        <v>0</v>
      </c>
      <c r="BU1674">
        <v>0</v>
      </c>
      <c r="BV1674" t="s">
        <v>135</v>
      </c>
      <c r="BW1674">
        <v>0</v>
      </c>
      <c r="BX1674">
        <v>0</v>
      </c>
      <c r="BY1674" t="s">
        <v>135</v>
      </c>
      <c r="BZ1674">
        <v>0</v>
      </c>
      <c r="CA1674">
        <v>0</v>
      </c>
      <c r="CB1674" t="s">
        <v>135</v>
      </c>
      <c r="CH1674" s="2"/>
      <c r="CJ1674" s="2"/>
      <c r="CL1674" s="2"/>
      <c r="CN1674" s="2"/>
      <c r="CQ1674" s="2"/>
      <c r="CT1674" s="2"/>
      <c r="CW1674" s="2"/>
    </row>
    <row r="1675" spans="1:101" x14ac:dyDescent="0.25">
      <c r="A1675" s="1" t="s">
        <v>163</v>
      </c>
      <c r="B1675" s="75" t="s">
        <v>164</v>
      </c>
      <c r="C1675">
        <v>0</v>
      </c>
      <c r="D1675">
        <v>0</v>
      </c>
      <c r="E1675">
        <v>0</v>
      </c>
      <c r="F1675">
        <v>604324.56000000006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3.91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7490</v>
      </c>
      <c r="AW1675">
        <v>3350</v>
      </c>
      <c r="AX1675">
        <v>1219</v>
      </c>
      <c r="AY1675">
        <v>12059</v>
      </c>
      <c r="AZ1675">
        <v>4202</v>
      </c>
      <c r="BA1675">
        <v>7438</v>
      </c>
      <c r="BB1675">
        <v>1432</v>
      </c>
      <c r="BC1675">
        <v>13072</v>
      </c>
      <c r="BD1675">
        <v>9486</v>
      </c>
      <c r="BE1675">
        <v>9222</v>
      </c>
      <c r="BF1675">
        <v>1768</v>
      </c>
      <c r="BG1675">
        <v>20476</v>
      </c>
      <c r="BH1675">
        <v>0</v>
      </c>
      <c r="BI1675">
        <v>0</v>
      </c>
      <c r="BJ1675">
        <v>0</v>
      </c>
      <c r="BK1675">
        <v>0</v>
      </c>
      <c r="BL1675" s="2">
        <v>24.82</v>
      </c>
      <c r="BM1675" s="2">
        <v>42005.095138888886</v>
      </c>
      <c r="BN1675" s="2">
        <v>5.4</v>
      </c>
      <c r="BO1675" s="2">
        <v>42005.092361111114</v>
      </c>
      <c r="BP1675" s="2">
        <v>6.92</v>
      </c>
      <c r="BQ1675" s="2">
        <v>42005.092361111114</v>
      </c>
      <c r="BR1675" s="2">
        <v>11.07</v>
      </c>
      <c r="BS1675" s="2">
        <v>42005.092361111114</v>
      </c>
      <c r="BT1675">
        <v>0</v>
      </c>
      <c r="BU1675">
        <v>0</v>
      </c>
      <c r="BV1675" t="s">
        <v>135</v>
      </c>
      <c r="BW1675">
        <v>0</v>
      </c>
      <c r="BX1675">
        <v>0</v>
      </c>
      <c r="BY1675" t="s">
        <v>135</v>
      </c>
      <c r="BZ1675">
        <v>0</v>
      </c>
      <c r="CA1675">
        <v>0</v>
      </c>
      <c r="CB1675" t="s">
        <v>135</v>
      </c>
      <c r="CH1675" s="2"/>
      <c r="CJ1675" s="2"/>
      <c r="CL1675" s="2"/>
      <c r="CN1675" s="2"/>
      <c r="CQ1675" s="2"/>
      <c r="CT1675" s="2"/>
      <c r="CW1675" s="2"/>
    </row>
    <row r="1676" spans="1:101" x14ac:dyDescent="0.25">
      <c r="A1676" s="1" t="s">
        <v>163</v>
      </c>
      <c r="B1676" s="75" t="s">
        <v>164</v>
      </c>
      <c r="C1676">
        <v>0</v>
      </c>
      <c r="D1676">
        <v>0</v>
      </c>
      <c r="E1676">
        <v>0</v>
      </c>
      <c r="F1676">
        <v>604324.56000000006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3.91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7490</v>
      </c>
      <c r="AW1676">
        <v>3350</v>
      </c>
      <c r="AX1676">
        <v>1219</v>
      </c>
      <c r="AY1676">
        <v>12059</v>
      </c>
      <c r="AZ1676">
        <v>4202</v>
      </c>
      <c r="BA1676">
        <v>7438</v>
      </c>
      <c r="BB1676">
        <v>1432</v>
      </c>
      <c r="BC1676">
        <v>13072</v>
      </c>
      <c r="BD1676">
        <v>9486</v>
      </c>
      <c r="BE1676">
        <v>9222</v>
      </c>
      <c r="BF1676">
        <v>1768</v>
      </c>
      <c r="BG1676">
        <v>20476</v>
      </c>
      <c r="BH1676">
        <v>0</v>
      </c>
      <c r="BI1676">
        <v>0</v>
      </c>
      <c r="BJ1676">
        <v>0</v>
      </c>
      <c r="BK1676">
        <v>0</v>
      </c>
      <c r="BL1676" s="2">
        <v>24.82</v>
      </c>
      <c r="BM1676" s="2">
        <v>42005.095138888886</v>
      </c>
      <c r="BN1676" s="2">
        <v>5.4</v>
      </c>
      <c r="BO1676" s="2">
        <v>42005.092361111114</v>
      </c>
      <c r="BP1676" s="2">
        <v>6.92</v>
      </c>
      <c r="BQ1676" s="2">
        <v>42005.092361111114</v>
      </c>
      <c r="BR1676" s="2">
        <v>11.07</v>
      </c>
      <c r="BS1676" s="2">
        <v>42005.092361111114</v>
      </c>
      <c r="BT1676">
        <v>0</v>
      </c>
      <c r="BU1676">
        <v>0</v>
      </c>
      <c r="BV1676" t="s">
        <v>135</v>
      </c>
      <c r="BW1676">
        <v>0</v>
      </c>
      <c r="BX1676">
        <v>0</v>
      </c>
      <c r="BY1676" t="s">
        <v>135</v>
      </c>
      <c r="BZ1676">
        <v>0</v>
      </c>
      <c r="CA1676">
        <v>0</v>
      </c>
      <c r="CB1676" t="s">
        <v>135</v>
      </c>
      <c r="CH1676" s="2"/>
      <c r="CJ1676" s="2"/>
      <c r="CL1676" s="2"/>
      <c r="CN1676" s="2"/>
      <c r="CQ1676" s="2"/>
      <c r="CT1676" s="2"/>
      <c r="CW1676" s="2"/>
    </row>
    <row r="1677" spans="1:101" x14ac:dyDescent="0.25">
      <c r="A1677" s="1" t="s">
        <v>163</v>
      </c>
      <c r="B1677" s="75" t="s">
        <v>164</v>
      </c>
      <c r="C1677">
        <v>0</v>
      </c>
      <c r="D1677">
        <v>0</v>
      </c>
      <c r="E1677">
        <v>0</v>
      </c>
      <c r="F1677">
        <v>604324.56000000006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3.91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7490</v>
      </c>
      <c r="AW1677">
        <v>3350</v>
      </c>
      <c r="AX1677">
        <v>1219</v>
      </c>
      <c r="AY1677">
        <v>12059</v>
      </c>
      <c r="AZ1677">
        <v>4202</v>
      </c>
      <c r="BA1677">
        <v>7438</v>
      </c>
      <c r="BB1677">
        <v>1432</v>
      </c>
      <c r="BC1677">
        <v>13072</v>
      </c>
      <c r="BD1677">
        <v>9486</v>
      </c>
      <c r="BE1677">
        <v>9222</v>
      </c>
      <c r="BF1677">
        <v>1768</v>
      </c>
      <c r="BG1677">
        <v>20476</v>
      </c>
      <c r="BH1677">
        <v>0</v>
      </c>
      <c r="BI1677">
        <v>0</v>
      </c>
      <c r="BJ1677">
        <v>0</v>
      </c>
      <c r="BK1677">
        <v>0</v>
      </c>
      <c r="BL1677" s="2">
        <v>24.82</v>
      </c>
      <c r="BM1677" s="2">
        <v>42005.095138888886</v>
      </c>
      <c r="BN1677" s="2">
        <v>5.4</v>
      </c>
      <c r="BO1677" s="2">
        <v>42005.092361111114</v>
      </c>
      <c r="BP1677" s="2">
        <v>6.92</v>
      </c>
      <c r="BQ1677" s="2">
        <v>42005.092361111114</v>
      </c>
      <c r="BR1677" s="2">
        <v>11.07</v>
      </c>
      <c r="BS1677" s="2">
        <v>42005.092361111114</v>
      </c>
      <c r="BT1677">
        <v>0</v>
      </c>
      <c r="BU1677">
        <v>0</v>
      </c>
      <c r="BV1677" t="s">
        <v>135</v>
      </c>
      <c r="BW1677">
        <v>0</v>
      </c>
      <c r="BX1677">
        <v>0</v>
      </c>
      <c r="BY1677" t="s">
        <v>135</v>
      </c>
      <c r="BZ1677">
        <v>0</v>
      </c>
      <c r="CA1677">
        <v>0</v>
      </c>
      <c r="CB1677" t="s">
        <v>135</v>
      </c>
      <c r="CH1677" s="2"/>
      <c r="CJ1677" s="2"/>
      <c r="CL1677" s="2"/>
      <c r="CN1677" s="2"/>
      <c r="CQ1677" s="2"/>
      <c r="CT1677" s="2"/>
      <c r="CW1677" s="2"/>
    </row>
    <row r="1678" spans="1:101" x14ac:dyDescent="0.25">
      <c r="A1678" s="1" t="s">
        <v>163</v>
      </c>
      <c r="B1678" s="75" t="s">
        <v>164</v>
      </c>
      <c r="C1678">
        <v>0</v>
      </c>
      <c r="D1678">
        <v>0</v>
      </c>
      <c r="E1678">
        <v>0</v>
      </c>
      <c r="F1678">
        <v>604324.56000000006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3.91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7490</v>
      </c>
      <c r="AW1678">
        <v>3350</v>
      </c>
      <c r="AX1678">
        <v>1219</v>
      </c>
      <c r="AY1678">
        <v>12059</v>
      </c>
      <c r="AZ1678">
        <v>4202</v>
      </c>
      <c r="BA1678">
        <v>7438</v>
      </c>
      <c r="BB1678">
        <v>1432</v>
      </c>
      <c r="BC1678">
        <v>13072</v>
      </c>
      <c r="BD1678">
        <v>9486</v>
      </c>
      <c r="BE1678">
        <v>9222</v>
      </c>
      <c r="BF1678">
        <v>1768</v>
      </c>
      <c r="BG1678">
        <v>20476</v>
      </c>
      <c r="BH1678">
        <v>0</v>
      </c>
      <c r="BI1678">
        <v>0</v>
      </c>
      <c r="BJ1678">
        <v>0</v>
      </c>
      <c r="BK1678">
        <v>0</v>
      </c>
      <c r="BL1678" s="2">
        <v>24.82</v>
      </c>
      <c r="BM1678" s="2">
        <v>42005.095138888886</v>
      </c>
      <c r="BN1678" s="2">
        <v>5.4</v>
      </c>
      <c r="BO1678" s="2">
        <v>42005.092361111114</v>
      </c>
      <c r="BP1678" s="2">
        <v>6.92</v>
      </c>
      <c r="BQ1678" s="2">
        <v>42005.092361111114</v>
      </c>
      <c r="BR1678" s="2">
        <v>11.07</v>
      </c>
      <c r="BS1678" s="2">
        <v>42005.092361111114</v>
      </c>
      <c r="BT1678">
        <v>0</v>
      </c>
      <c r="BU1678">
        <v>0</v>
      </c>
      <c r="BV1678" t="s">
        <v>135</v>
      </c>
      <c r="BW1678">
        <v>0</v>
      </c>
      <c r="BX1678">
        <v>0</v>
      </c>
      <c r="BY1678" t="s">
        <v>135</v>
      </c>
      <c r="BZ1678">
        <v>0</v>
      </c>
      <c r="CA1678">
        <v>0</v>
      </c>
      <c r="CB1678" t="s">
        <v>135</v>
      </c>
      <c r="CH1678" s="2"/>
      <c r="CJ1678" s="2"/>
      <c r="CL1678" s="2"/>
      <c r="CN1678" s="2"/>
      <c r="CQ1678" s="2"/>
      <c r="CT1678" s="2"/>
      <c r="CW1678" s="2"/>
    </row>
    <row r="1679" spans="1:101" x14ac:dyDescent="0.25">
      <c r="A1679" s="1" t="s">
        <v>163</v>
      </c>
      <c r="B1679" s="75" t="s">
        <v>164</v>
      </c>
      <c r="C1679">
        <v>0</v>
      </c>
      <c r="D1679">
        <v>0</v>
      </c>
      <c r="E1679">
        <v>0</v>
      </c>
      <c r="F1679">
        <v>604324.56000000006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3.91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7490</v>
      </c>
      <c r="AW1679">
        <v>3350</v>
      </c>
      <c r="AX1679">
        <v>1219</v>
      </c>
      <c r="AY1679">
        <v>12059</v>
      </c>
      <c r="AZ1679">
        <v>4202</v>
      </c>
      <c r="BA1679">
        <v>7438</v>
      </c>
      <c r="BB1679">
        <v>1432</v>
      </c>
      <c r="BC1679">
        <v>13072</v>
      </c>
      <c r="BD1679">
        <v>9486</v>
      </c>
      <c r="BE1679">
        <v>9222</v>
      </c>
      <c r="BF1679">
        <v>1768</v>
      </c>
      <c r="BG1679">
        <v>20476</v>
      </c>
      <c r="BH1679">
        <v>0</v>
      </c>
      <c r="BI1679">
        <v>0</v>
      </c>
      <c r="BJ1679">
        <v>0</v>
      </c>
      <c r="BK1679">
        <v>0</v>
      </c>
      <c r="BL1679" s="2">
        <v>24.82</v>
      </c>
      <c r="BM1679" s="2">
        <v>42005.095138888886</v>
      </c>
      <c r="BN1679" s="2">
        <v>5.4</v>
      </c>
      <c r="BO1679" s="2">
        <v>42005.092361111114</v>
      </c>
      <c r="BP1679" s="2">
        <v>6.92</v>
      </c>
      <c r="BQ1679" s="2">
        <v>42005.092361111114</v>
      </c>
      <c r="BR1679" s="2">
        <v>11.07</v>
      </c>
      <c r="BS1679" s="2">
        <v>42005.092361111114</v>
      </c>
      <c r="BT1679">
        <v>0</v>
      </c>
      <c r="BU1679">
        <v>0</v>
      </c>
      <c r="BV1679" t="s">
        <v>135</v>
      </c>
      <c r="BW1679">
        <v>0</v>
      </c>
      <c r="BX1679">
        <v>0</v>
      </c>
      <c r="BY1679" t="s">
        <v>135</v>
      </c>
      <c r="BZ1679">
        <v>0</v>
      </c>
      <c r="CA1679">
        <v>0</v>
      </c>
      <c r="CB1679" t="s">
        <v>135</v>
      </c>
      <c r="CH1679" s="2"/>
      <c r="CJ1679" s="2"/>
      <c r="CL1679" s="2"/>
      <c r="CN1679" s="2"/>
      <c r="CQ1679" s="2"/>
      <c r="CT1679" s="2"/>
      <c r="CW1679" s="2"/>
    </row>
    <row r="1680" spans="1:101" x14ac:dyDescent="0.25">
      <c r="A1680" s="1" t="s">
        <v>163</v>
      </c>
      <c r="B1680" s="75" t="s">
        <v>164</v>
      </c>
      <c r="C1680">
        <v>0</v>
      </c>
      <c r="D1680">
        <v>0</v>
      </c>
      <c r="E1680">
        <v>0</v>
      </c>
      <c r="F1680">
        <v>604324.56000000006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3.91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7490</v>
      </c>
      <c r="AW1680">
        <v>3350</v>
      </c>
      <c r="AX1680">
        <v>1219</v>
      </c>
      <c r="AY1680">
        <v>12059</v>
      </c>
      <c r="AZ1680">
        <v>4202</v>
      </c>
      <c r="BA1680">
        <v>7438</v>
      </c>
      <c r="BB1680">
        <v>1432</v>
      </c>
      <c r="BC1680">
        <v>13072</v>
      </c>
      <c r="BD1680">
        <v>9486</v>
      </c>
      <c r="BE1680">
        <v>9222</v>
      </c>
      <c r="BF1680">
        <v>1768</v>
      </c>
      <c r="BG1680">
        <v>20476</v>
      </c>
      <c r="BH1680">
        <v>0</v>
      </c>
      <c r="BI1680">
        <v>0</v>
      </c>
      <c r="BJ1680">
        <v>0</v>
      </c>
      <c r="BK1680">
        <v>0</v>
      </c>
      <c r="BL1680" s="2">
        <v>24.82</v>
      </c>
      <c r="BM1680" s="2">
        <v>42005.095138888886</v>
      </c>
      <c r="BN1680" s="2">
        <v>5.4</v>
      </c>
      <c r="BO1680" s="2">
        <v>42005.092361111114</v>
      </c>
      <c r="BP1680" s="2">
        <v>6.92</v>
      </c>
      <c r="BQ1680" s="2">
        <v>42005.092361111114</v>
      </c>
      <c r="BR1680" s="2">
        <v>11.07</v>
      </c>
      <c r="BS1680" s="2">
        <v>42005.092361111114</v>
      </c>
      <c r="BT1680">
        <v>0</v>
      </c>
      <c r="BU1680">
        <v>0</v>
      </c>
      <c r="BV1680" t="s">
        <v>135</v>
      </c>
      <c r="BW1680">
        <v>0</v>
      </c>
      <c r="BX1680">
        <v>0</v>
      </c>
      <c r="BY1680" t="s">
        <v>135</v>
      </c>
      <c r="BZ1680">
        <v>0</v>
      </c>
      <c r="CA1680">
        <v>0</v>
      </c>
      <c r="CB1680" t="s">
        <v>135</v>
      </c>
      <c r="CH1680" s="2"/>
      <c r="CJ1680" s="2"/>
      <c r="CL1680" s="2"/>
      <c r="CN1680" s="2"/>
      <c r="CQ1680" s="2"/>
      <c r="CT1680" s="2"/>
      <c r="CW1680" s="2"/>
    </row>
    <row r="1681" spans="1:101" x14ac:dyDescent="0.25">
      <c r="A1681" s="1" t="s">
        <v>163</v>
      </c>
      <c r="B1681" s="75" t="s">
        <v>164</v>
      </c>
      <c r="C1681">
        <v>0</v>
      </c>
      <c r="D1681">
        <v>0</v>
      </c>
      <c r="E1681">
        <v>0</v>
      </c>
      <c r="F1681">
        <v>604324.56000000006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3.91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7490</v>
      </c>
      <c r="AW1681">
        <v>3350</v>
      </c>
      <c r="AX1681">
        <v>1219</v>
      </c>
      <c r="AY1681">
        <v>12059</v>
      </c>
      <c r="AZ1681">
        <v>4202</v>
      </c>
      <c r="BA1681">
        <v>7438</v>
      </c>
      <c r="BB1681">
        <v>1432</v>
      </c>
      <c r="BC1681">
        <v>13072</v>
      </c>
      <c r="BD1681">
        <v>9486</v>
      </c>
      <c r="BE1681">
        <v>9222</v>
      </c>
      <c r="BF1681">
        <v>1768</v>
      </c>
      <c r="BG1681">
        <v>20476</v>
      </c>
      <c r="BH1681">
        <v>0</v>
      </c>
      <c r="BI1681">
        <v>0</v>
      </c>
      <c r="BJ1681">
        <v>0</v>
      </c>
      <c r="BK1681">
        <v>0</v>
      </c>
      <c r="BL1681" s="2">
        <v>24.82</v>
      </c>
      <c r="BM1681" s="2">
        <v>42005.095138888886</v>
      </c>
      <c r="BN1681" s="2">
        <v>5.4</v>
      </c>
      <c r="BO1681" s="2">
        <v>42005.092361111114</v>
      </c>
      <c r="BP1681" s="2">
        <v>6.92</v>
      </c>
      <c r="BQ1681" s="2">
        <v>42005.092361111114</v>
      </c>
      <c r="BR1681" s="2">
        <v>11.07</v>
      </c>
      <c r="BS1681" s="2">
        <v>42005.092361111114</v>
      </c>
      <c r="BT1681">
        <v>0</v>
      </c>
      <c r="BU1681">
        <v>0</v>
      </c>
      <c r="BV1681" t="s">
        <v>135</v>
      </c>
      <c r="BW1681">
        <v>0</v>
      </c>
      <c r="BX1681">
        <v>0</v>
      </c>
      <c r="BY1681" t="s">
        <v>135</v>
      </c>
      <c r="BZ1681">
        <v>0</v>
      </c>
      <c r="CA1681">
        <v>0</v>
      </c>
      <c r="CB1681" t="s">
        <v>135</v>
      </c>
      <c r="CH1681" s="2"/>
      <c r="CJ1681" s="2"/>
      <c r="CL1681" s="2"/>
      <c r="CN1681" s="2"/>
      <c r="CQ1681" s="2"/>
      <c r="CT1681" s="2"/>
      <c r="CW1681" s="2"/>
    </row>
    <row r="1682" spans="1:101" x14ac:dyDescent="0.25">
      <c r="A1682" s="1" t="s">
        <v>163</v>
      </c>
      <c r="B1682" s="75" t="s">
        <v>164</v>
      </c>
      <c r="C1682">
        <v>0</v>
      </c>
      <c r="D1682">
        <v>0</v>
      </c>
      <c r="E1682">
        <v>0</v>
      </c>
      <c r="F1682">
        <v>604324.56000000006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3.91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7490</v>
      </c>
      <c r="AW1682">
        <v>3350</v>
      </c>
      <c r="AX1682">
        <v>1219</v>
      </c>
      <c r="AY1682">
        <v>12059</v>
      </c>
      <c r="AZ1682">
        <v>4202</v>
      </c>
      <c r="BA1682">
        <v>7438</v>
      </c>
      <c r="BB1682">
        <v>1432</v>
      </c>
      <c r="BC1682">
        <v>13072</v>
      </c>
      <c r="BD1682">
        <v>9486</v>
      </c>
      <c r="BE1682">
        <v>9222</v>
      </c>
      <c r="BF1682">
        <v>1768</v>
      </c>
      <c r="BG1682">
        <v>20476</v>
      </c>
      <c r="BH1682">
        <v>0</v>
      </c>
      <c r="BI1682">
        <v>0</v>
      </c>
      <c r="BJ1682">
        <v>0</v>
      </c>
      <c r="BK1682">
        <v>0</v>
      </c>
      <c r="BL1682" s="2">
        <v>24.82</v>
      </c>
      <c r="BM1682" s="2">
        <v>42005.095138888886</v>
      </c>
      <c r="BN1682" s="2">
        <v>5.4</v>
      </c>
      <c r="BO1682" s="2">
        <v>42005.092361111114</v>
      </c>
      <c r="BP1682" s="2">
        <v>6.92</v>
      </c>
      <c r="BQ1682" s="2">
        <v>42005.092361111114</v>
      </c>
      <c r="BR1682" s="2">
        <v>11.07</v>
      </c>
      <c r="BS1682" s="2">
        <v>42005.092361111114</v>
      </c>
      <c r="BT1682">
        <v>0</v>
      </c>
      <c r="BU1682">
        <v>0</v>
      </c>
      <c r="BV1682" t="s">
        <v>135</v>
      </c>
      <c r="BW1682">
        <v>0</v>
      </c>
      <c r="BX1682">
        <v>0</v>
      </c>
      <c r="BY1682" t="s">
        <v>135</v>
      </c>
      <c r="BZ1682">
        <v>0</v>
      </c>
      <c r="CA1682">
        <v>0</v>
      </c>
      <c r="CB1682" t="s">
        <v>135</v>
      </c>
      <c r="CH1682" s="2"/>
      <c r="CJ1682" s="2"/>
      <c r="CL1682" s="2"/>
      <c r="CN1682" s="2"/>
      <c r="CQ1682" s="2"/>
      <c r="CT1682" s="2"/>
      <c r="CW1682" s="2"/>
    </row>
    <row r="1683" spans="1:101" x14ac:dyDescent="0.25">
      <c r="A1683" s="1" t="s">
        <v>163</v>
      </c>
      <c r="B1683" s="75" t="s">
        <v>164</v>
      </c>
      <c r="C1683">
        <v>0</v>
      </c>
      <c r="D1683">
        <v>0</v>
      </c>
      <c r="E1683">
        <v>0</v>
      </c>
      <c r="F1683">
        <v>604324.56000000006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3.91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7490</v>
      </c>
      <c r="AW1683">
        <v>3350</v>
      </c>
      <c r="AX1683">
        <v>1219</v>
      </c>
      <c r="AY1683">
        <v>12059</v>
      </c>
      <c r="AZ1683">
        <v>4202</v>
      </c>
      <c r="BA1683">
        <v>7438</v>
      </c>
      <c r="BB1683">
        <v>1432</v>
      </c>
      <c r="BC1683">
        <v>13072</v>
      </c>
      <c r="BD1683">
        <v>9486</v>
      </c>
      <c r="BE1683">
        <v>9222</v>
      </c>
      <c r="BF1683">
        <v>1768</v>
      </c>
      <c r="BG1683">
        <v>20476</v>
      </c>
      <c r="BH1683">
        <v>0</v>
      </c>
      <c r="BI1683">
        <v>0</v>
      </c>
      <c r="BJ1683">
        <v>0</v>
      </c>
      <c r="BK1683">
        <v>0</v>
      </c>
      <c r="BL1683" s="2">
        <v>24.82</v>
      </c>
      <c r="BM1683" s="2">
        <v>42005.095138888886</v>
      </c>
      <c r="BN1683" s="2">
        <v>5.4</v>
      </c>
      <c r="BO1683" s="2">
        <v>42005.092361111114</v>
      </c>
      <c r="BP1683" s="2">
        <v>6.92</v>
      </c>
      <c r="BQ1683" s="2">
        <v>42005.092361111114</v>
      </c>
      <c r="BR1683" s="2">
        <v>11.07</v>
      </c>
      <c r="BS1683" s="2">
        <v>42005.092361111114</v>
      </c>
      <c r="BT1683">
        <v>0</v>
      </c>
      <c r="BU1683">
        <v>0</v>
      </c>
      <c r="BV1683" t="s">
        <v>135</v>
      </c>
      <c r="BW1683">
        <v>0</v>
      </c>
      <c r="BX1683">
        <v>0</v>
      </c>
      <c r="BY1683" t="s">
        <v>135</v>
      </c>
      <c r="BZ1683">
        <v>0</v>
      </c>
      <c r="CA1683">
        <v>0</v>
      </c>
      <c r="CB1683" t="s">
        <v>135</v>
      </c>
      <c r="CH1683" s="2"/>
      <c r="CJ1683" s="2"/>
      <c r="CL1683" s="2"/>
      <c r="CN1683" s="2"/>
      <c r="CQ1683" s="2"/>
      <c r="CT1683" s="2"/>
      <c r="CW1683" s="2"/>
    </row>
    <row r="1684" spans="1:101" x14ac:dyDescent="0.25">
      <c r="A1684" s="1" t="s">
        <v>163</v>
      </c>
      <c r="B1684" s="75" t="s">
        <v>164</v>
      </c>
      <c r="C1684">
        <v>0</v>
      </c>
      <c r="D1684">
        <v>0</v>
      </c>
      <c r="E1684">
        <v>0</v>
      </c>
      <c r="F1684">
        <v>604324.56000000006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3.91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7490</v>
      </c>
      <c r="AW1684">
        <v>3350</v>
      </c>
      <c r="AX1684">
        <v>1219</v>
      </c>
      <c r="AY1684">
        <v>12059</v>
      </c>
      <c r="AZ1684">
        <v>4202</v>
      </c>
      <c r="BA1684">
        <v>7438</v>
      </c>
      <c r="BB1684">
        <v>1432</v>
      </c>
      <c r="BC1684">
        <v>13072</v>
      </c>
      <c r="BD1684">
        <v>9486</v>
      </c>
      <c r="BE1684">
        <v>9222</v>
      </c>
      <c r="BF1684">
        <v>1768</v>
      </c>
      <c r="BG1684">
        <v>20476</v>
      </c>
      <c r="BH1684">
        <v>0</v>
      </c>
      <c r="BI1684">
        <v>0</v>
      </c>
      <c r="BJ1684">
        <v>0</v>
      </c>
      <c r="BK1684">
        <v>0</v>
      </c>
      <c r="BL1684" s="2">
        <v>24.82</v>
      </c>
      <c r="BM1684" s="2">
        <v>42005.095138888886</v>
      </c>
      <c r="BN1684" s="2">
        <v>5.4</v>
      </c>
      <c r="BO1684" s="2">
        <v>42005.092361111114</v>
      </c>
      <c r="BP1684" s="2">
        <v>6.92</v>
      </c>
      <c r="BQ1684" s="2">
        <v>42005.092361111114</v>
      </c>
      <c r="BR1684" s="2">
        <v>11.07</v>
      </c>
      <c r="BS1684" s="2">
        <v>42005.092361111114</v>
      </c>
      <c r="BT1684">
        <v>0</v>
      </c>
      <c r="BU1684">
        <v>0</v>
      </c>
      <c r="BV1684" t="s">
        <v>135</v>
      </c>
      <c r="BW1684">
        <v>0</v>
      </c>
      <c r="BX1684">
        <v>0</v>
      </c>
      <c r="BY1684" t="s">
        <v>135</v>
      </c>
      <c r="BZ1684">
        <v>0</v>
      </c>
      <c r="CA1684">
        <v>0</v>
      </c>
      <c r="CB1684" t="s">
        <v>135</v>
      </c>
      <c r="CH1684" s="2"/>
      <c r="CJ1684" s="2"/>
      <c r="CL1684" s="2"/>
      <c r="CN1684" s="2"/>
      <c r="CQ1684" s="2"/>
      <c r="CT1684" s="2"/>
      <c r="CW1684" s="2"/>
    </row>
    <row r="1685" spans="1:101" x14ac:dyDescent="0.25">
      <c r="A1685" s="1" t="s">
        <v>163</v>
      </c>
      <c r="B1685" s="75" t="s">
        <v>164</v>
      </c>
      <c r="C1685">
        <v>0</v>
      </c>
      <c r="D1685">
        <v>0</v>
      </c>
      <c r="E1685">
        <v>0</v>
      </c>
      <c r="F1685">
        <v>604324.56000000006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3.91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7490</v>
      </c>
      <c r="AW1685">
        <v>3350</v>
      </c>
      <c r="AX1685">
        <v>1219</v>
      </c>
      <c r="AY1685">
        <v>12059</v>
      </c>
      <c r="AZ1685">
        <v>4202</v>
      </c>
      <c r="BA1685">
        <v>7438</v>
      </c>
      <c r="BB1685">
        <v>1432</v>
      </c>
      <c r="BC1685">
        <v>13072</v>
      </c>
      <c r="BD1685">
        <v>9486</v>
      </c>
      <c r="BE1685">
        <v>9222</v>
      </c>
      <c r="BF1685">
        <v>1768</v>
      </c>
      <c r="BG1685">
        <v>20476</v>
      </c>
      <c r="BH1685">
        <v>0</v>
      </c>
      <c r="BI1685">
        <v>0</v>
      </c>
      <c r="BJ1685">
        <v>0</v>
      </c>
      <c r="BK1685">
        <v>0</v>
      </c>
      <c r="BL1685" s="2">
        <v>24.82</v>
      </c>
      <c r="BM1685" s="2">
        <v>42005.095138888886</v>
      </c>
      <c r="BN1685" s="2">
        <v>5.4</v>
      </c>
      <c r="BO1685" s="2">
        <v>42005.092361111114</v>
      </c>
      <c r="BP1685" s="2">
        <v>6.92</v>
      </c>
      <c r="BQ1685" s="2">
        <v>42005.092361111114</v>
      </c>
      <c r="BR1685" s="2">
        <v>11.07</v>
      </c>
      <c r="BS1685" s="2">
        <v>42005.092361111114</v>
      </c>
      <c r="BT1685">
        <v>0</v>
      </c>
      <c r="BU1685">
        <v>0</v>
      </c>
      <c r="BV1685" t="s">
        <v>135</v>
      </c>
      <c r="BW1685">
        <v>0</v>
      </c>
      <c r="BX1685">
        <v>0</v>
      </c>
      <c r="BY1685" t="s">
        <v>135</v>
      </c>
      <c r="BZ1685">
        <v>0</v>
      </c>
      <c r="CA1685">
        <v>0</v>
      </c>
      <c r="CB1685" t="s">
        <v>135</v>
      </c>
      <c r="CH1685" s="2"/>
      <c r="CJ1685" s="2"/>
      <c r="CL1685" s="2"/>
      <c r="CN1685" s="2"/>
      <c r="CQ1685" s="2"/>
      <c r="CT1685" s="2"/>
      <c r="CW1685" s="2"/>
    </row>
    <row r="1686" spans="1:101" x14ac:dyDescent="0.25">
      <c r="A1686" s="1" t="s">
        <v>163</v>
      </c>
      <c r="B1686" s="75" t="s">
        <v>164</v>
      </c>
      <c r="C1686">
        <v>0</v>
      </c>
      <c r="D1686">
        <v>0</v>
      </c>
      <c r="E1686">
        <v>0</v>
      </c>
      <c r="F1686">
        <v>604324.56000000006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3.91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7490</v>
      </c>
      <c r="AW1686">
        <v>3350</v>
      </c>
      <c r="AX1686">
        <v>1219</v>
      </c>
      <c r="AY1686">
        <v>12059</v>
      </c>
      <c r="AZ1686">
        <v>4202</v>
      </c>
      <c r="BA1686">
        <v>7438</v>
      </c>
      <c r="BB1686">
        <v>1432</v>
      </c>
      <c r="BC1686">
        <v>13072</v>
      </c>
      <c r="BD1686">
        <v>9486</v>
      </c>
      <c r="BE1686">
        <v>9222</v>
      </c>
      <c r="BF1686">
        <v>1768</v>
      </c>
      <c r="BG1686">
        <v>20476</v>
      </c>
      <c r="BH1686">
        <v>0</v>
      </c>
      <c r="BI1686">
        <v>0</v>
      </c>
      <c r="BJ1686">
        <v>0</v>
      </c>
      <c r="BK1686">
        <v>0</v>
      </c>
      <c r="BL1686" s="2">
        <v>24.82</v>
      </c>
      <c r="BM1686" s="2">
        <v>42005.095138888886</v>
      </c>
      <c r="BN1686" s="2">
        <v>5.4</v>
      </c>
      <c r="BO1686" s="2">
        <v>42005.092361111114</v>
      </c>
      <c r="BP1686" s="2">
        <v>6.92</v>
      </c>
      <c r="BQ1686" s="2">
        <v>42005.092361111114</v>
      </c>
      <c r="BR1686" s="2">
        <v>11.07</v>
      </c>
      <c r="BS1686" s="2">
        <v>42005.092361111114</v>
      </c>
      <c r="BT1686">
        <v>0</v>
      </c>
      <c r="BU1686">
        <v>0</v>
      </c>
      <c r="BV1686" t="s">
        <v>135</v>
      </c>
      <c r="BW1686">
        <v>0</v>
      </c>
      <c r="BX1686">
        <v>0</v>
      </c>
      <c r="BY1686" t="s">
        <v>135</v>
      </c>
      <c r="BZ1686">
        <v>0</v>
      </c>
      <c r="CA1686">
        <v>0</v>
      </c>
      <c r="CB1686" t="s">
        <v>135</v>
      </c>
      <c r="CH1686" s="2"/>
      <c r="CJ1686" s="2"/>
      <c r="CL1686" s="2"/>
      <c r="CN1686" s="2"/>
      <c r="CQ1686" s="2"/>
      <c r="CT1686" s="2"/>
      <c r="CW1686" s="2"/>
    </row>
    <row r="1687" spans="1:101" x14ac:dyDescent="0.25">
      <c r="A1687" s="1" t="s">
        <v>163</v>
      </c>
      <c r="B1687" s="75" t="s">
        <v>164</v>
      </c>
      <c r="C1687">
        <v>0</v>
      </c>
      <c r="D1687">
        <v>0</v>
      </c>
      <c r="E1687">
        <v>0</v>
      </c>
      <c r="F1687">
        <v>604324.56000000006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3.91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7490</v>
      </c>
      <c r="AW1687">
        <v>3350</v>
      </c>
      <c r="AX1687">
        <v>1219</v>
      </c>
      <c r="AY1687">
        <v>12059</v>
      </c>
      <c r="AZ1687">
        <v>4202</v>
      </c>
      <c r="BA1687">
        <v>7438</v>
      </c>
      <c r="BB1687">
        <v>1432</v>
      </c>
      <c r="BC1687">
        <v>13072</v>
      </c>
      <c r="BD1687">
        <v>9486</v>
      </c>
      <c r="BE1687">
        <v>9222</v>
      </c>
      <c r="BF1687">
        <v>1768</v>
      </c>
      <c r="BG1687">
        <v>20476</v>
      </c>
      <c r="BH1687">
        <v>0</v>
      </c>
      <c r="BI1687">
        <v>0</v>
      </c>
      <c r="BJ1687">
        <v>0</v>
      </c>
      <c r="BK1687">
        <v>0</v>
      </c>
      <c r="BL1687" s="2">
        <v>24.82</v>
      </c>
      <c r="BM1687" s="2">
        <v>42005.095138888886</v>
      </c>
      <c r="BN1687" s="2">
        <v>5.4</v>
      </c>
      <c r="BO1687" s="2">
        <v>42005.092361111114</v>
      </c>
      <c r="BP1687" s="2">
        <v>6.92</v>
      </c>
      <c r="BQ1687" s="2">
        <v>42005.092361111114</v>
      </c>
      <c r="BR1687" s="2">
        <v>11.07</v>
      </c>
      <c r="BS1687" s="2">
        <v>42005.092361111114</v>
      </c>
      <c r="BT1687">
        <v>0</v>
      </c>
      <c r="BU1687">
        <v>0</v>
      </c>
      <c r="BV1687" t="s">
        <v>135</v>
      </c>
      <c r="BW1687">
        <v>0</v>
      </c>
      <c r="BX1687">
        <v>0</v>
      </c>
      <c r="BY1687" t="s">
        <v>135</v>
      </c>
      <c r="BZ1687">
        <v>0</v>
      </c>
      <c r="CA1687">
        <v>0</v>
      </c>
      <c r="CB1687" t="s">
        <v>135</v>
      </c>
      <c r="CH1687" s="2"/>
      <c r="CJ1687" s="2"/>
      <c r="CL1687" s="2"/>
      <c r="CN1687" s="2"/>
      <c r="CQ1687" s="2"/>
      <c r="CT1687" s="2"/>
      <c r="CW1687" s="2"/>
    </row>
    <row r="1688" spans="1:101" x14ac:dyDescent="0.25">
      <c r="A1688" s="1" t="s">
        <v>163</v>
      </c>
      <c r="B1688" s="75" t="s">
        <v>164</v>
      </c>
      <c r="C1688">
        <v>0</v>
      </c>
      <c r="D1688">
        <v>0</v>
      </c>
      <c r="E1688">
        <v>0</v>
      </c>
      <c r="F1688">
        <v>604324.56000000006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3.91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7490</v>
      </c>
      <c r="AW1688">
        <v>3350</v>
      </c>
      <c r="AX1688">
        <v>1219</v>
      </c>
      <c r="AY1688">
        <v>12059</v>
      </c>
      <c r="AZ1688">
        <v>4202</v>
      </c>
      <c r="BA1688">
        <v>7438</v>
      </c>
      <c r="BB1688">
        <v>1432</v>
      </c>
      <c r="BC1688">
        <v>13072</v>
      </c>
      <c r="BD1688">
        <v>9486</v>
      </c>
      <c r="BE1688">
        <v>9222</v>
      </c>
      <c r="BF1688">
        <v>1768</v>
      </c>
      <c r="BG1688">
        <v>20476</v>
      </c>
      <c r="BH1688">
        <v>0</v>
      </c>
      <c r="BI1688">
        <v>0</v>
      </c>
      <c r="BJ1688">
        <v>0</v>
      </c>
      <c r="BK1688">
        <v>0</v>
      </c>
      <c r="BL1688" s="2">
        <v>24.82</v>
      </c>
      <c r="BM1688" s="2">
        <v>42005.095138888886</v>
      </c>
      <c r="BN1688" s="2">
        <v>5.4</v>
      </c>
      <c r="BO1688" s="2">
        <v>42005.092361111114</v>
      </c>
      <c r="BP1688" s="2">
        <v>6.92</v>
      </c>
      <c r="BQ1688" s="2">
        <v>42005.092361111114</v>
      </c>
      <c r="BR1688" s="2">
        <v>11.07</v>
      </c>
      <c r="BS1688" s="2">
        <v>42005.092361111114</v>
      </c>
      <c r="BT1688">
        <v>0</v>
      </c>
      <c r="BU1688">
        <v>0</v>
      </c>
      <c r="BV1688" t="s">
        <v>135</v>
      </c>
      <c r="BW1688">
        <v>0</v>
      </c>
      <c r="BX1688">
        <v>0</v>
      </c>
      <c r="BY1688" t="s">
        <v>135</v>
      </c>
      <c r="BZ1688">
        <v>0</v>
      </c>
      <c r="CA1688">
        <v>0</v>
      </c>
      <c r="CB1688" t="s">
        <v>135</v>
      </c>
      <c r="CH1688" s="2"/>
      <c r="CJ1688" s="2"/>
      <c r="CL1688" s="2"/>
      <c r="CN1688" s="2"/>
      <c r="CQ1688" s="2"/>
      <c r="CT1688" s="2"/>
      <c r="CW1688" s="2"/>
    </row>
    <row r="1689" spans="1:101" x14ac:dyDescent="0.25">
      <c r="A1689" s="1" t="s">
        <v>163</v>
      </c>
      <c r="B1689" s="75" t="s">
        <v>164</v>
      </c>
      <c r="C1689">
        <v>0</v>
      </c>
      <c r="D1689">
        <v>0</v>
      </c>
      <c r="E1689">
        <v>0</v>
      </c>
      <c r="F1689">
        <v>604324.56000000006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3.91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7490</v>
      </c>
      <c r="AW1689">
        <v>3350</v>
      </c>
      <c r="AX1689">
        <v>1219</v>
      </c>
      <c r="AY1689">
        <v>12059</v>
      </c>
      <c r="AZ1689">
        <v>4202</v>
      </c>
      <c r="BA1689">
        <v>7438</v>
      </c>
      <c r="BB1689">
        <v>1432</v>
      </c>
      <c r="BC1689">
        <v>13072</v>
      </c>
      <c r="BD1689">
        <v>9486</v>
      </c>
      <c r="BE1689">
        <v>9222</v>
      </c>
      <c r="BF1689">
        <v>1768</v>
      </c>
      <c r="BG1689">
        <v>20476</v>
      </c>
      <c r="BH1689">
        <v>0</v>
      </c>
      <c r="BI1689">
        <v>0</v>
      </c>
      <c r="BJ1689">
        <v>0</v>
      </c>
      <c r="BK1689">
        <v>0</v>
      </c>
      <c r="BL1689" s="2">
        <v>24.82</v>
      </c>
      <c r="BM1689" s="2">
        <v>42005.095138888886</v>
      </c>
      <c r="BN1689" s="2">
        <v>5.4</v>
      </c>
      <c r="BO1689" s="2">
        <v>42005.092361111114</v>
      </c>
      <c r="BP1689" s="2">
        <v>6.92</v>
      </c>
      <c r="BQ1689" s="2">
        <v>42005.092361111114</v>
      </c>
      <c r="BR1689" s="2">
        <v>11.07</v>
      </c>
      <c r="BS1689" s="2">
        <v>42005.092361111114</v>
      </c>
      <c r="BT1689">
        <v>0</v>
      </c>
      <c r="BU1689">
        <v>0</v>
      </c>
      <c r="BV1689" t="s">
        <v>135</v>
      </c>
      <c r="BW1689">
        <v>0</v>
      </c>
      <c r="BX1689">
        <v>0</v>
      </c>
      <c r="BY1689" t="s">
        <v>135</v>
      </c>
      <c r="BZ1689">
        <v>0</v>
      </c>
      <c r="CA1689">
        <v>0</v>
      </c>
      <c r="CB1689" t="s">
        <v>135</v>
      </c>
      <c r="CH1689" s="2"/>
      <c r="CJ1689" s="2"/>
      <c r="CL1689" s="2"/>
      <c r="CN1689" s="2"/>
      <c r="CQ1689" s="2"/>
      <c r="CT1689" s="2"/>
      <c r="CW1689" s="2"/>
    </row>
    <row r="1690" spans="1:101" x14ac:dyDescent="0.25">
      <c r="A1690" s="1" t="s">
        <v>163</v>
      </c>
      <c r="B1690" s="75" t="s">
        <v>164</v>
      </c>
      <c r="C1690">
        <v>0</v>
      </c>
      <c r="D1690">
        <v>0</v>
      </c>
      <c r="E1690">
        <v>0</v>
      </c>
      <c r="F1690">
        <v>604324.56000000006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3.91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7490</v>
      </c>
      <c r="AW1690">
        <v>3350</v>
      </c>
      <c r="AX1690">
        <v>1219</v>
      </c>
      <c r="AY1690">
        <v>12059</v>
      </c>
      <c r="AZ1690">
        <v>4202</v>
      </c>
      <c r="BA1690">
        <v>7438</v>
      </c>
      <c r="BB1690">
        <v>1432</v>
      </c>
      <c r="BC1690">
        <v>13072</v>
      </c>
      <c r="BD1690">
        <v>9486</v>
      </c>
      <c r="BE1690">
        <v>9222</v>
      </c>
      <c r="BF1690">
        <v>1768</v>
      </c>
      <c r="BG1690">
        <v>20476</v>
      </c>
      <c r="BH1690">
        <v>0</v>
      </c>
      <c r="BI1690">
        <v>0</v>
      </c>
      <c r="BJ1690">
        <v>0</v>
      </c>
      <c r="BK1690">
        <v>0</v>
      </c>
      <c r="BL1690" s="2">
        <v>24.82</v>
      </c>
      <c r="BM1690" s="2">
        <v>42005.095138888886</v>
      </c>
      <c r="BN1690" s="2">
        <v>5.4</v>
      </c>
      <c r="BO1690" s="2">
        <v>42005.092361111114</v>
      </c>
      <c r="BP1690" s="2">
        <v>6.92</v>
      </c>
      <c r="BQ1690" s="2">
        <v>42005.092361111114</v>
      </c>
      <c r="BR1690" s="2">
        <v>11.07</v>
      </c>
      <c r="BS1690" s="2">
        <v>42005.092361111114</v>
      </c>
      <c r="BT1690">
        <v>0</v>
      </c>
      <c r="BU1690">
        <v>0</v>
      </c>
      <c r="BV1690" t="s">
        <v>135</v>
      </c>
      <c r="BW1690">
        <v>0</v>
      </c>
      <c r="BX1690">
        <v>0</v>
      </c>
      <c r="BY1690" t="s">
        <v>135</v>
      </c>
      <c r="BZ1690">
        <v>0</v>
      </c>
      <c r="CA1690">
        <v>0</v>
      </c>
      <c r="CB1690" t="s">
        <v>135</v>
      </c>
      <c r="CH1690" s="2"/>
      <c r="CJ1690" s="2"/>
      <c r="CL1690" s="2"/>
      <c r="CN1690" s="2"/>
      <c r="CQ1690" s="2"/>
      <c r="CT1690" s="2"/>
      <c r="CW1690" s="2"/>
    </row>
    <row r="1691" spans="1:101" x14ac:dyDescent="0.25">
      <c r="A1691" s="1" t="s">
        <v>163</v>
      </c>
      <c r="B1691" s="75" t="s">
        <v>164</v>
      </c>
      <c r="C1691">
        <v>0</v>
      </c>
      <c r="D1691">
        <v>0</v>
      </c>
      <c r="E1691">
        <v>0</v>
      </c>
      <c r="F1691">
        <v>604324.56000000006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3.91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7490</v>
      </c>
      <c r="AW1691">
        <v>3350</v>
      </c>
      <c r="AX1691">
        <v>1219</v>
      </c>
      <c r="AY1691">
        <v>12059</v>
      </c>
      <c r="AZ1691">
        <v>4202</v>
      </c>
      <c r="BA1691">
        <v>7438</v>
      </c>
      <c r="BB1691">
        <v>1432</v>
      </c>
      <c r="BC1691">
        <v>13072</v>
      </c>
      <c r="BD1691">
        <v>9486</v>
      </c>
      <c r="BE1691">
        <v>9222</v>
      </c>
      <c r="BF1691">
        <v>1768</v>
      </c>
      <c r="BG1691">
        <v>20476</v>
      </c>
      <c r="BH1691">
        <v>0</v>
      </c>
      <c r="BI1691">
        <v>0</v>
      </c>
      <c r="BJ1691">
        <v>0</v>
      </c>
      <c r="BK1691">
        <v>0</v>
      </c>
      <c r="BL1691" s="2">
        <v>24.82</v>
      </c>
      <c r="BM1691" s="2">
        <v>42005.095138888886</v>
      </c>
      <c r="BN1691" s="2">
        <v>5.4</v>
      </c>
      <c r="BO1691" s="2">
        <v>42005.092361111114</v>
      </c>
      <c r="BP1691" s="2">
        <v>6.92</v>
      </c>
      <c r="BQ1691" s="2">
        <v>42005.092361111114</v>
      </c>
      <c r="BR1691" s="2">
        <v>11.07</v>
      </c>
      <c r="BS1691" s="2">
        <v>42005.092361111114</v>
      </c>
      <c r="BT1691">
        <v>0</v>
      </c>
      <c r="BU1691">
        <v>0</v>
      </c>
      <c r="BV1691" t="s">
        <v>135</v>
      </c>
      <c r="BW1691">
        <v>0</v>
      </c>
      <c r="BX1691">
        <v>0</v>
      </c>
      <c r="BY1691" t="s">
        <v>135</v>
      </c>
      <c r="BZ1691">
        <v>0</v>
      </c>
      <c r="CA1691">
        <v>0</v>
      </c>
      <c r="CB1691" t="s">
        <v>135</v>
      </c>
      <c r="CH1691" s="2"/>
      <c r="CJ1691" s="2"/>
      <c r="CL1691" s="2"/>
      <c r="CN1691" s="2"/>
      <c r="CQ1691" s="2"/>
      <c r="CT1691" s="2"/>
      <c r="CW1691" s="2"/>
    </row>
    <row r="1692" spans="1:101" x14ac:dyDescent="0.25">
      <c r="A1692" s="1" t="s">
        <v>163</v>
      </c>
      <c r="B1692" s="75" t="s">
        <v>164</v>
      </c>
      <c r="C1692">
        <v>0</v>
      </c>
      <c r="D1692">
        <v>0</v>
      </c>
      <c r="E1692">
        <v>0</v>
      </c>
      <c r="F1692">
        <v>604324.56000000006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3.91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7490</v>
      </c>
      <c r="AW1692">
        <v>3350</v>
      </c>
      <c r="AX1692">
        <v>1219</v>
      </c>
      <c r="AY1692">
        <v>12059</v>
      </c>
      <c r="AZ1692">
        <v>4202</v>
      </c>
      <c r="BA1692">
        <v>7438</v>
      </c>
      <c r="BB1692">
        <v>1432</v>
      </c>
      <c r="BC1692">
        <v>13072</v>
      </c>
      <c r="BD1692">
        <v>9486</v>
      </c>
      <c r="BE1692">
        <v>9222</v>
      </c>
      <c r="BF1692">
        <v>1768</v>
      </c>
      <c r="BG1692">
        <v>20476</v>
      </c>
      <c r="BH1692">
        <v>0</v>
      </c>
      <c r="BI1692">
        <v>0</v>
      </c>
      <c r="BJ1692">
        <v>0</v>
      </c>
      <c r="BK1692">
        <v>0</v>
      </c>
      <c r="BL1692" s="2">
        <v>24.82</v>
      </c>
      <c r="BM1692" s="2">
        <v>42005.095138888886</v>
      </c>
      <c r="BN1692" s="2">
        <v>5.4</v>
      </c>
      <c r="BO1692" s="2">
        <v>42005.092361111114</v>
      </c>
      <c r="BP1692" s="2">
        <v>6.92</v>
      </c>
      <c r="BQ1692" s="2">
        <v>42005.092361111114</v>
      </c>
      <c r="BR1692" s="2">
        <v>11.07</v>
      </c>
      <c r="BS1692" s="2">
        <v>42005.092361111114</v>
      </c>
      <c r="BT1692">
        <v>0</v>
      </c>
      <c r="BU1692">
        <v>0</v>
      </c>
      <c r="BV1692" t="s">
        <v>135</v>
      </c>
      <c r="BW1692">
        <v>0</v>
      </c>
      <c r="BX1692">
        <v>0</v>
      </c>
      <c r="BY1692" t="s">
        <v>135</v>
      </c>
      <c r="BZ1692">
        <v>0</v>
      </c>
      <c r="CA1692">
        <v>0</v>
      </c>
      <c r="CB1692" t="s">
        <v>135</v>
      </c>
      <c r="CH1692" s="2"/>
      <c r="CJ1692" s="2"/>
      <c r="CL1692" s="2"/>
      <c r="CN1692" s="2"/>
      <c r="CQ1692" s="2"/>
      <c r="CT1692" s="2"/>
      <c r="CW1692" s="2"/>
    </row>
    <row r="1693" spans="1:101" x14ac:dyDescent="0.25">
      <c r="A1693" s="1" t="s">
        <v>163</v>
      </c>
      <c r="B1693" s="75" t="s">
        <v>164</v>
      </c>
      <c r="C1693">
        <v>0</v>
      </c>
      <c r="D1693">
        <v>0</v>
      </c>
      <c r="E1693">
        <v>0</v>
      </c>
      <c r="F1693">
        <v>604324.56000000006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3.91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7490</v>
      </c>
      <c r="AW1693">
        <v>3350</v>
      </c>
      <c r="AX1693">
        <v>1219</v>
      </c>
      <c r="AY1693">
        <v>12059</v>
      </c>
      <c r="AZ1693">
        <v>4202</v>
      </c>
      <c r="BA1693">
        <v>7438</v>
      </c>
      <c r="BB1693">
        <v>1432</v>
      </c>
      <c r="BC1693">
        <v>13072</v>
      </c>
      <c r="BD1693">
        <v>9486</v>
      </c>
      <c r="BE1693">
        <v>9222</v>
      </c>
      <c r="BF1693">
        <v>1768</v>
      </c>
      <c r="BG1693">
        <v>20476</v>
      </c>
      <c r="BH1693">
        <v>0</v>
      </c>
      <c r="BI1693">
        <v>0</v>
      </c>
      <c r="BJ1693">
        <v>0</v>
      </c>
      <c r="BK1693">
        <v>0</v>
      </c>
      <c r="BL1693" s="2">
        <v>24.82</v>
      </c>
      <c r="BM1693" s="2">
        <v>42005.095138888886</v>
      </c>
      <c r="BN1693" s="2">
        <v>5.4</v>
      </c>
      <c r="BO1693" s="2">
        <v>42005.092361111114</v>
      </c>
      <c r="BP1693" s="2">
        <v>6.92</v>
      </c>
      <c r="BQ1693" s="2">
        <v>42005.092361111114</v>
      </c>
      <c r="BR1693" s="2">
        <v>11.07</v>
      </c>
      <c r="BS1693" s="2">
        <v>42005.092361111114</v>
      </c>
      <c r="BT1693">
        <v>0</v>
      </c>
      <c r="BU1693">
        <v>0</v>
      </c>
      <c r="BV1693" t="s">
        <v>135</v>
      </c>
      <c r="BW1693">
        <v>0</v>
      </c>
      <c r="BX1693">
        <v>0</v>
      </c>
      <c r="BY1693" t="s">
        <v>135</v>
      </c>
      <c r="BZ1693">
        <v>0</v>
      </c>
      <c r="CA1693">
        <v>0</v>
      </c>
      <c r="CB1693" t="s">
        <v>135</v>
      </c>
      <c r="CH1693" s="2"/>
      <c r="CJ1693" s="2"/>
      <c r="CL1693" s="2"/>
      <c r="CN1693" s="2"/>
      <c r="CQ1693" s="2"/>
      <c r="CT1693" s="2"/>
      <c r="CW1693" s="2"/>
    </row>
    <row r="1694" spans="1:101" x14ac:dyDescent="0.25">
      <c r="A1694" s="1" t="s">
        <v>163</v>
      </c>
      <c r="B1694" s="75" t="s">
        <v>164</v>
      </c>
      <c r="C1694">
        <v>0</v>
      </c>
      <c r="D1694">
        <v>0</v>
      </c>
      <c r="E1694">
        <v>0</v>
      </c>
      <c r="F1694">
        <v>604324.56000000006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3.91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7490</v>
      </c>
      <c r="AW1694">
        <v>3350</v>
      </c>
      <c r="AX1694">
        <v>1219</v>
      </c>
      <c r="AY1694">
        <v>12059</v>
      </c>
      <c r="AZ1694">
        <v>4202</v>
      </c>
      <c r="BA1694">
        <v>7438</v>
      </c>
      <c r="BB1694">
        <v>1432</v>
      </c>
      <c r="BC1694">
        <v>13072</v>
      </c>
      <c r="BD1694">
        <v>9486</v>
      </c>
      <c r="BE1694">
        <v>9222</v>
      </c>
      <c r="BF1694">
        <v>1768</v>
      </c>
      <c r="BG1694">
        <v>20476</v>
      </c>
      <c r="BH1694">
        <v>0</v>
      </c>
      <c r="BI1694">
        <v>0</v>
      </c>
      <c r="BJ1694">
        <v>0</v>
      </c>
      <c r="BK1694">
        <v>0</v>
      </c>
      <c r="BL1694" s="2">
        <v>24.82</v>
      </c>
      <c r="BM1694" s="2">
        <v>42005.095138888886</v>
      </c>
      <c r="BN1694" s="2">
        <v>5.4</v>
      </c>
      <c r="BO1694" s="2">
        <v>42005.092361111114</v>
      </c>
      <c r="BP1694" s="2">
        <v>6.92</v>
      </c>
      <c r="BQ1694" s="2">
        <v>42005.092361111114</v>
      </c>
      <c r="BR1694" s="2">
        <v>11.07</v>
      </c>
      <c r="BS1694" s="2">
        <v>42005.092361111114</v>
      </c>
      <c r="BT1694">
        <v>0</v>
      </c>
      <c r="BU1694">
        <v>0</v>
      </c>
      <c r="BV1694" t="s">
        <v>135</v>
      </c>
      <c r="BW1694">
        <v>0</v>
      </c>
      <c r="BX1694">
        <v>0</v>
      </c>
      <c r="BY1694" t="s">
        <v>135</v>
      </c>
      <c r="BZ1694">
        <v>0</v>
      </c>
      <c r="CA1694">
        <v>0</v>
      </c>
      <c r="CB1694" t="s">
        <v>135</v>
      </c>
      <c r="CH1694" s="2"/>
      <c r="CJ1694" s="2"/>
      <c r="CL1694" s="2"/>
      <c r="CN1694" s="2"/>
      <c r="CQ1694" s="2"/>
      <c r="CT1694" s="2"/>
      <c r="CW1694" s="2"/>
    </row>
    <row r="1695" spans="1:101" x14ac:dyDescent="0.25">
      <c r="A1695" s="1" t="s">
        <v>163</v>
      </c>
      <c r="B1695" s="75" t="s">
        <v>164</v>
      </c>
      <c r="C1695">
        <v>0</v>
      </c>
      <c r="D1695">
        <v>0</v>
      </c>
      <c r="E1695">
        <v>0</v>
      </c>
      <c r="F1695">
        <v>604324.56000000006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3.91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7490</v>
      </c>
      <c r="AW1695">
        <v>3350</v>
      </c>
      <c r="AX1695">
        <v>1219</v>
      </c>
      <c r="AY1695">
        <v>12059</v>
      </c>
      <c r="AZ1695">
        <v>4202</v>
      </c>
      <c r="BA1695">
        <v>7438</v>
      </c>
      <c r="BB1695">
        <v>1432</v>
      </c>
      <c r="BC1695">
        <v>13072</v>
      </c>
      <c r="BD1695">
        <v>9486</v>
      </c>
      <c r="BE1695">
        <v>9222</v>
      </c>
      <c r="BF1695">
        <v>1768</v>
      </c>
      <c r="BG1695">
        <v>20476</v>
      </c>
      <c r="BH1695">
        <v>0</v>
      </c>
      <c r="BI1695">
        <v>0</v>
      </c>
      <c r="BJ1695">
        <v>0</v>
      </c>
      <c r="BK1695">
        <v>0</v>
      </c>
      <c r="BL1695" s="2">
        <v>24.82</v>
      </c>
      <c r="BM1695" s="2">
        <v>42005.095138888886</v>
      </c>
      <c r="BN1695" s="2">
        <v>5.4</v>
      </c>
      <c r="BO1695" s="2">
        <v>42005.092361111114</v>
      </c>
      <c r="BP1695" s="2">
        <v>6.92</v>
      </c>
      <c r="BQ1695" s="2">
        <v>42005.092361111114</v>
      </c>
      <c r="BR1695" s="2">
        <v>11.07</v>
      </c>
      <c r="BS1695" s="2">
        <v>42005.092361111114</v>
      </c>
      <c r="BT1695">
        <v>0</v>
      </c>
      <c r="BU1695">
        <v>0</v>
      </c>
      <c r="BV1695" t="s">
        <v>135</v>
      </c>
      <c r="BW1695">
        <v>0</v>
      </c>
      <c r="BX1695">
        <v>0</v>
      </c>
      <c r="BY1695" t="s">
        <v>135</v>
      </c>
      <c r="BZ1695">
        <v>0</v>
      </c>
      <c r="CA1695">
        <v>0</v>
      </c>
      <c r="CB1695" t="s">
        <v>135</v>
      </c>
      <c r="CH1695" s="2"/>
      <c r="CJ1695" s="2"/>
      <c r="CL1695" s="2"/>
      <c r="CN1695" s="2"/>
      <c r="CQ1695" s="2"/>
      <c r="CT1695" s="2"/>
      <c r="CW1695" s="2"/>
    </row>
    <row r="1696" spans="1:101" x14ac:dyDescent="0.25">
      <c r="A1696" s="1" t="s">
        <v>163</v>
      </c>
      <c r="B1696" s="75" t="s">
        <v>164</v>
      </c>
      <c r="C1696">
        <v>0</v>
      </c>
      <c r="D1696">
        <v>0</v>
      </c>
      <c r="E1696">
        <v>0</v>
      </c>
      <c r="F1696">
        <v>604324.56000000006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3.91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7490</v>
      </c>
      <c r="AW1696">
        <v>3350</v>
      </c>
      <c r="AX1696">
        <v>1219</v>
      </c>
      <c r="AY1696">
        <v>12059</v>
      </c>
      <c r="AZ1696">
        <v>4202</v>
      </c>
      <c r="BA1696">
        <v>7438</v>
      </c>
      <c r="BB1696">
        <v>1432</v>
      </c>
      <c r="BC1696">
        <v>13072</v>
      </c>
      <c r="BD1696">
        <v>9486</v>
      </c>
      <c r="BE1696">
        <v>9222</v>
      </c>
      <c r="BF1696">
        <v>1768</v>
      </c>
      <c r="BG1696">
        <v>20476</v>
      </c>
      <c r="BH1696">
        <v>0</v>
      </c>
      <c r="BI1696">
        <v>0</v>
      </c>
      <c r="BJ1696">
        <v>0</v>
      </c>
      <c r="BK1696">
        <v>0</v>
      </c>
      <c r="BL1696" s="2">
        <v>24.82</v>
      </c>
      <c r="BM1696" s="2">
        <v>42005.095138888886</v>
      </c>
      <c r="BN1696" s="2">
        <v>5.4</v>
      </c>
      <c r="BO1696" s="2">
        <v>42005.092361111114</v>
      </c>
      <c r="BP1696" s="2">
        <v>6.92</v>
      </c>
      <c r="BQ1696" s="2">
        <v>42005.092361111114</v>
      </c>
      <c r="BR1696" s="2">
        <v>11.07</v>
      </c>
      <c r="BS1696" s="2">
        <v>42005.092361111114</v>
      </c>
      <c r="BT1696">
        <v>0</v>
      </c>
      <c r="BU1696">
        <v>0</v>
      </c>
      <c r="BV1696" t="s">
        <v>135</v>
      </c>
      <c r="BW1696">
        <v>0</v>
      </c>
      <c r="BX1696">
        <v>0</v>
      </c>
      <c r="BY1696" t="s">
        <v>135</v>
      </c>
      <c r="BZ1696">
        <v>0</v>
      </c>
      <c r="CA1696">
        <v>0</v>
      </c>
      <c r="CB1696" t="s">
        <v>135</v>
      </c>
      <c r="CH1696" s="2"/>
      <c r="CJ1696" s="2"/>
      <c r="CL1696" s="2"/>
      <c r="CN1696" s="2"/>
      <c r="CQ1696" s="2"/>
      <c r="CT1696" s="2"/>
      <c r="CW1696" s="2"/>
    </row>
    <row r="1697" spans="1:101" x14ac:dyDescent="0.25">
      <c r="A1697" s="1" t="s">
        <v>163</v>
      </c>
      <c r="B1697" s="75" t="s">
        <v>164</v>
      </c>
      <c r="C1697">
        <v>0</v>
      </c>
      <c r="D1697">
        <v>0</v>
      </c>
      <c r="E1697">
        <v>0</v>
      </c>
      <c r="F1697">
        <v>604324.56000000006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3.91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7490</v>
      </c>
      <c r="AW1697">
        <v>3350</v>
      </c>
      <c r="AX1697">
        <v>1219</v>
      </c>
      <c r="AY1697">
        <v>12059</v>
      </c>
      <c r="AZ1697">
        <v>4202</v>
      </c>
      <c r="BA1697">
        <v>7438</v>
      </c>
      <c r="BB1697">
        <v>1432</v>
      </c>
      <c r="BC1697">
        <v>13072</v>
      </c>
      <c r="BD1697">
        <v>9486</v>
      </c>
      <c r="BE1697">
        <v>9222</v>
      </c>
      <c r="BF1697">
        <v>1768</v>
      </c>
      <c r="BG1697">
        <v>20476</v>
      </c>
      <c r="BH1697">
        <v>0</v>
      </c>
      <c r="BI1697">
        <v>0</v>
      </c>
      <c r="BJ1697">
        <v>0</v>
      </c>
      <c r="BK1697">
        <v>0</v>
      </c>
      <c r="BL1697" s="2">
        <v>24.82</v>
      </c>
      <c r="BM1697" s="2">
        <v>42005.095138888886</v>
      </c>
      <c r="BN1697" s="2">
        <v>5.4</v>
      </c>
      <c r="BO1697" s="2">
        <v>42005.092361111114</v>
      </c>
      <c r="BP1697" s="2">
        <v>6.92</v>
      </c>
      <c r="BQ1697" s="2">
        <v>42005.092361111114</v>
      </c>
      <c r="BR1697" s="2">
        <v>11.07</v>
      </c>
      <c r="BS1697" s="2">
        <v>42005.092361111114</v>
      </c>
      <c r="BT1697">
        <v>0</v>
      </c>
      <c r="BU1697">
        <v>0</v>
      </c>
      <c r="BV1697" t="s">
        <v>135</v>
      </c>
      <c r="BW1697">
        <v>0</v>
      </c>
      <c r="BX1697">
        <v>0</v>
      </c>
      <c r="BY1697" t="s">
        <v>135</v>
      </c>
      <c r="BZ1697">
        <v>0</v>
      </c>
      <c r="CA1697">
        <v>0</v>
      </c>
      <c r="CB1697" t="s">
        <v>135</v>
      </c>
      <c r="CH1697" s="2"/>
      <c r="CJ1697" s="2"/>
      <c r="CL1697" s="2"/>
      <c r="CN1697" s="2"/>
      <c r="CQ1697" s="2"/>
      <c r="CT1697" s="2"/>
      <c r="CW1697" s="2"/>
    </row>
    <row r="1698" spans="1:101" x14ac:dyDescent="0.25">
      <c r="A1698" s="1" t="s">
        <v>163</v>
      </c>
      <c r="B1698" s="75" t="s">
        <v>164</v>
      </c>
      <c r="C1698">
        <v>0</v>
      </c>
      <c r="D1698">
        <v>0</v>
      </c>
      <c r="E1698">
        <v>0</v>
      </c>
      <c r="F1698">
        <v>604324.56000000006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3.91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7490</v>
      </c>
      <c r="AW1698">
        <v>3350</v>
      </c>
      <c r="AX1698">
        <v>1219</v>
      </c>
      <c r="AY1698">
        <v>12059</v>
      </c>
      <c r="AZ1698">
        <v>4202</v>
      </c>
      <c r="BA1698">
        <v>7438</v>
      </c>
      <c r="BB1698">
        <v>1432</v>
      </c>
      <c r="BC1698">
        <v>13072</v>
      </c>
      <c r="BD1698">
        <v>9486</v>
      </c>
      <c r="BE1698">
        <v>9222</v>
      </c>
      <c r="BF1698">
        <v>1768</v>
      </c>
      <c r="BG1698">
        <v>20476</v>
      </c>
      <c r="BH1698">
        <v>0</v>
      </c>
      <c r="BI1698">
        <v>0</v>
      </c>
      <c r="BJ1698">
        <v>0</v>
      </c>
      <c r="BK1698">
        <v>0</v>
      </c>
      <c r="BL1698" s="2">
        <v>24.82</v>
      </c>
      <c r="BM1698" s="2">
        <v>42005.095138888886</v>
      </c>
      <c r="BN1698" s="2">
        <v>5.4</v>
      </c>
      <c r="BO1698" s="2">
        <v>42005.092361111114</v>
      </c>
      <c r="BP1698" s="2">
        <v>6.92</v>
      </c>
      <c r="BQ1698" s="2">
        <v>42005.092361111114</v>
      </c>
      <c r="BR1698" s="2">
        <v>11.07</v>
      </c>
      <c r="BS1698" s="2">
        <v>42005.092361111114</v>
      </c>
      <c r="BT1698">
        <v>0</v>
      </c>
      <c r="BU1698">
        <v>0</v>
      </c>
      <c r="BV1698" t="s">
        <v>135</v>
      </c>
      <c r="BW1698">
        <v>0</v>
      </c>
      <c r="BX1698">
        <v>0</v>
      </c>
      <c r="BY1698" t="s">
        <v>135</v>
      </c>
      <c r="BZ1698">
        <v>0</v>
      </c>
      <c r="CA1698">
        <v>0</v>
      </c>
      <c r="CB1698" t="s">
        <v>135</v>
      </c>
      <c r="CH1698" s="2"/>
      <c r="CJ1698" s="2"/>
      <c r="CL1698" s="2"/>
      <c r="CN1698" s="2"/>
      <c r="CQ1698" s="2"/>
      <c r="CT1698" s="2"/>
      <c r="CW1698" s="2"/>
    </row>
    <row r="1699" spans="1:101" x14ac:dyDescent="0.25">
      <c r="A1699" s="1" t="s">
        <v>163</v>
      </c>
      <c r="B1699" s="75" t="s">
        <v>164</v>
      </c>
      <c r="C1699">
        <v>0</v>
      </c>
      <c r="D1699">
        <v>0</v>
      </c>
      <c r="E1699">
        <v>0</v>
      </c>
      <c r="F1699">
        <v>604324.56000000006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3.91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7490</v>
      </c>
      <c r="AW1699">
        <v>3350</v>
      </c>
      <c r="AX1699">
        <v>1219</v>
      </c>
      <c r="AY1699">
        <v>12059</v>
      </c>
      <c r="AZ1699">
        <v>4202</v>
      </c>
      <c r="BA1699">
        <v>7438</v>
      </c>
      <c r="BB1699">
        <v>1432</v>
      </c>
      <c r="BC1699">
        <v>13072</v>
      </c>
      <c r="BD1699">
        <v>9486</v>
      </c>
      <c r="BE1699">
        <v>9222</v>
      </c>
      <c r="BF1699">
        <v>1768</v>
      </c>
      <c r="BG1699">
        <v>20476</v>
      </c>
      <c r="BH1699">
        <v>0</v>
      </c>
      <c r="BI1699">
        <v>0</v>
      </c>
      <c r="BJ1699">
        <v>0</v>
      </c>
      <c r="BK1699">
        <v>0</v>
      </c>
      <c r="BL1699" s="2">
        <v>24.82</v>
      </c>
      <c r="BM1699" s="2">
        <v>42005.095138888886</v>
      </c>
      <c r="BN1699" s="2">
        <v>5.4</v>
      </c>
      <c r="BO1699" s="2">
        <v>42005.092361111114</v>
      </c>
      <c r="BP1699" s="2">
        <v>6.92</v>
      </c>
      <c r="BQ1699" s="2">
        <v>42005.092361111114</v>
      </c>
      <c r="BR1699" s="2">
        <v>11.07</v>
      </c>
      <c r="BS1699" s="2">
        <v>42005.092361111114</v>
      </c>
      <c r="BT1699">
        <v>0</v>
      </c>
      <c r="BU1699">
        <v>0</v>
      </c>
      <c r="BV1699" t="s">
        <v>135</v>
      </c>
      <c r="BW1699">
        <v>0</v>
      </c>
      <c r="BX1699">
        <v>0</v>
      </c>
      <c r="BY1699" t="s">
        <v>135</v>
      </c>
      <c r="BZ1699">
        <v>0</v>
      </c>
      <c r="CA1699">
        <v>0</v>
      </c>
      <c r="CB1699" t="s">
        <v>135</v>
      </c>
      <c r="CH1699" s="2"/>
      <c r="CJ1699" s="2"/>
      <c r="CL1699" s="2"/>
      <c r="CN1699" s="2"/>
      <c r="CQ1699" s="2"/>
      <c r="CT1699" s="2"/>
      <c r="CW1699" s="2"/>
    </row>
    <row r="1700" spans="1:101" x14ac:dyDescent="0.25">
      <c r="A1700" s="1" t="s">
        <v>163</v>
      </c>
      <c r="B1700" s="75" t="s">
        <v>164</v>
      </c>
      <c r="C1700">
        <v>0</v>
      </c>
      <c r="D1700">
        <v>0</v>
      </c>
      <c r="E1700">
        <v>0</v>
      </c>
      <c r="F1700">
        <v>604324.56000000006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3.91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7490</v>
      </c>
      <c r="AW1700">
        <v>3350</v>
      </c>
      <c r="AX1700">
        <v>1219</v>
      </c>
      <c r="AY1700">
        <v>12059</v>
      </c>
      <c r="AZ1700">
        <v>4202</v>
      </c>
      <c r="BA1700">
        <v>7438</v>
      </c>
      <c r="BB1700">
        <v>1432</v>
      </c>
      <c r="BC1700">
        <v>13072</v>
      </c>
      <c r="BD1700">
        <v>9486</v>
      </c>
      <c r="BE1700">
        <v>9222</v>
      </c>
      <c r="BF1700">
        <v>1768</v>
      </c>
      <c r="BG1700">
        <v>20476</v>
      </c>
      <c r="BH1700">
        <v>0</v>
      </c>
      <c r="BI1700">
        <v>0</v>
      </c>
      <c r="BJ1700">
        <v>0</v>
      </c>
      <c r="BK1700">
        <v>0</v>
      </c>
      <c r="BL1700" s="2">
        <v>24.82</v>
      </c>
      <c r="BM1700" s="2">
        <v>42005.095138888886</v>
      </c>
      <c r="BN1700" s="2">
        <v>5.4</v>
      </c>
      <c r="BO1700" s="2">
        <v>42005.092361111114</v>
      </c>
      <c r="BP1700" s="2">
        <v>6.92</v>
      </c>
      <c r="BQ1700" s="2">
        <v>42005.092361111114</v>
      </c>
      <c r="BR1700" s="2">
        <v>11.07</v>
      </c>
      <c r="BS1700" s="2">
        <v>42005.092361111114</v>
      </c>
      <c r="BT1700">
        <v>0</v>
      </c>
      <c r="BU1700">
        <v>0</v>
      </c>
      <c r="BV1700" t="s">
        <v>135</v>
      </c>
      <c r="BW1700">
        <v>0</v>
      </c>
      <c r="BX1700">
        <v>0</v>
      </c>
      <c r="BY1700" t="s">
        <v>135</v>
      </c>
      <c r="BZ1700">
        <v>0</v>
      </c>
      <c r="CA1700">
        <v>0</v>
      </c>
      <c r="CB1700" t="s">
        <v>135</v>
      </c>
      <c r="CH1700" s="2"/>
      <c r="CJ1700" s="2"/>
      <c r="CL1700" s="2"/>
      <c r="CN1700" s="2"/>
      <c r="CQ1700" s="2"/>
      <c r="CT1700" s="2"/>
      <c r="CW1700" s="2"/>
    </row>
    <row r="1701" spans="1:101" x14ac:dyDescent="0.25">
      <c r="A1701" s="1" t="s">
        <v>163</v>
      </c>
      <c r="B1701" s="75" t="s">
        <v>164</v>
      </c>
      <c r="C1701">
        <v>0</v>
      </c>
      <c r="D1701">
        <v>0</v>
      </c>
      <c r="E1701">
        <v>0</v>
      </c>
      <c r="F1701">
        <v>604324.56000000006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3.91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7490</v>
      </c>
      <c r="AW1701">
        <v>3350</v>
      </c>
      <c r="AX1701">
        <v>1219</v>
      </c>
      <c r="AY1701">
        <v>12059</v>
      </c>
      <c r="AZ1701">
        <v>4202</v>
      </c>
      <c r="BA1701">
        <v>7438</v>
      </c>
      <c r="BB1701">
        <v>1432</v>
      </c>
      <c r="BC1701">
        <v>13072</v>
      </c>
      <c r="BD1701">
        <v>9486</v>
      </c>
      <c r="BE1701">
        <v>9222</v>
      </c>
      <c r="BF1701">
        <v>1768</v>
      </c>
      <c r="BG1701">
        <v>20476</v>
      </c>
      <c r="BH1701">
        <v>0</v>
      </c>
      <c r="BI1701">
        <v>0</v>
      </c>
      <c r="BJ1701">
        <v>0</v>
      </c>
      <c r="BK1701">
        <v>0</v>
      </c>
      <c r="BL1701" s="2">
        <v>24.82</v>
      </c>
      <c r="BM1701" s="2">
        <v>42005.095138888886</v>
      </c>
      <c r="BN1701" s="2">
        <v>5.4</v>
      </c>
      <c r="BO1701" s="2">
        <v>42005.092361111114</v>
      </c>
      <c r="BP1701" s="2">
        <v>6.92</v>
      </c>
      <c r="BQ1701" s="2">
        <v>42005.092361111114</v>
      </c>
      <c r="BR1701" s="2">
        <v>11.07</v>
      </c>
      <c r="BS1701" s="2">
        <v>42005.092361111114</v>
      </c>
      <c r="BT1701">
        <v>0</v>
      </c>
      <c r="BU1701">
        <v>0</v>
      </c>
      <c r="BV1701" t="s">
        <v>135</v>
      </c>
      <c r="BW1701">
        <v>0</v>
      </c>
      <c r="BX1701">
        <v>0</v>
      </c>
      <c r="BY1701" t="s">
        <v>135</v>
      </c>
      <c r="BZ1701">
        <v>0</v>
      </c>
      <c r="CA1701">
        <v>0</v>
      </c>
      <c r="CB1701" t="s">
        <v>135</v>
      </c>
      <c r="CH1701" s="2"/>
      <c r="CJ1701" s="2"/>
      <c r="CL1701" s="2"/>
      <c r="CN1701" s="2"/>
      <c r="CQ1701" s="2"/>
      <c r="CT1701" s="2"/>
      <c r="CW1701" s="2"/>
    </row>
    <row r="1702" spans="1:101" x14ac:dyDescent="0.25">
      <c r="A1702" s="1" t="s">
        <v>163</v>
      </c>
      <c r="B1702" s="75" t="s">
        <v>164</v>
      </c>
      <c r="C1702">
        <v>0</v>
      </c>
      <c r="D1702">
        <v>0</v>
      </c>
      <c r="E1702">
        <v>0</v>
      </c>
      <c r="F1702">
        <v>604324.56000000006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3.91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7490</v>
      </c>
      <c r="AW1702">
        <v>3350</v>
      </c>
      <c r="AX1702">
        <v>1219</v>
      </c>
      <c r="AY1702">
        <v>12059</v>
      </c>
      <c r="AZ1702">
        <v>4202</v>
      </c>
      <c r="BA1702">
        <v>7438</v>
      </c>
      <c r="BB1702">
        <v>1432</v>
      </c>
      <c r="BC1702">
        <v>13072</v>
      </c>
      <c r="BD1702">
        <v>9486</v>
      </c>
      <c r="BE1702">
        <v>9222</v>
      </c>
      <c r="BF1702">
        <v>1768</v>
      </c>
      <c r="BG1702">
        <v>20476</v>
      </c>
      <c r="BH1702">
        <v>0</v>
      </c>
      <c r="BI1702">
        <v>0</v>
      </c>
      <c r="BJ1702">
        <v>0</v>
      </c>
      <c r="BK1702">
        <v>0</v>
      </c>
      <c r="BL1702" s="2">
        <v>24.82</v>
      </c>
      <c r="BM1702" s="2">
        <v>42005.095138888886</v>
      </c>
      <c r="BN1702" s="2">
        <v>5.4</v>
      </c>
      <c r="BO1702" s="2">
        <v>42005.092361111114</v>
      </c>
      <c r="BP1702" s="2">
        <v>6.92</v>
      </c>
      <c r="BQ1702" s="2">
        <v>42005.092361111114</v>
      </c>
      <c r="BR1702" s="2">
        <v>11.07</v>
      </c>
      <c r="BS1702" s="2">
        <v>42005.092361111114</v>
      </c>
      <c r="BT1702">
        <v>0</v>
      </c>
      <c r="BU1702">
        <v>0</v>
      </c>
      <c r="BV1702" t="s">
        <v>135</v>
      </c>
      <c r="BW1702">
        <v>0</v>
      </c>
      <c r="BX1702">
        <v>0</v>
      </c>
      <c r="BY1702" t="s">
        <v>135</v>
      </c>
      <c r="BZ1702">
        <v>0</v>
      </c>
      <c r="CA1702">
        <v>0</v>
      </c>
      <c r="CB1702" t="s">
        <v>135</v>
      </c>
      <c r="CH1702" s="2"/>
      <c r="CJ1702" s="2"/>
      <c r="CL1702" s="2"/>
      <c r="CN1702" s="2"/>
      <c r="CQ1702" s="2"/>
      <c r="CT1702" s="2"/>
      <c r="CW1702" s="2"/>
    </row>
    <row r="1703" spans="1:101" x14ac:dyDescent="0.25">
      <c r="A1703" s="1" t="s">
        <v>163</v>
      </c>
      <c r="B1703" s="75" t="s">
        <v>164</v>
      </c>
      <c r="C1703">
        <v>0</v>
      </c>
      <c r="D1703">
        <v>0</v>
      </c>
      <c r="E1703">
        <v>0</v>
      </c>
      <c r="F1703">
        <v>604324.56000000006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3.91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7490</v>
      </c>
      <c r="AW1703">
        <v>3350</v>
      </c>
      <c r="AX1703">
        <v>1219</v>
      </c>
      <c r="AY1703">
        <v>12059</v>
      </c>
      <c r="AZ1703">
        <v>4202</v>
      </c>
      <c r="BA1703">
        <v>7438</v>
      </c>
      <c r="BB1703">
        <v>1432</v>
      </c>
      <c r="BC1703">
        <v>13072</v>
      </c>
      <c r="BD1703">
        <v>9486</v>
      </c>
      <c r="BE1703">
        <v>9222</v>
      </c>
      <c r="BF1703">
        <v>1768</v>
      </c>
      <c r="BG1703">
        <v>20476</v>
      </c>
      <c r="BH1703">
        <v>0</v>
      </c>
      <c r="BI1703">
        <v>0</v>
      </c>
      <c r="BJ1703">
        <v>0</v>
      </c>
      <c r="BK1703">
        <v>0</v>
      </c>
      <c r="BL1703" s="2">
        <v>24.82</v>
      </c>
      <c r="BM1703" s="2">
        <v>42005.095138888886</v>
      </c>
      <c r="BN1703" s="2">
        <v>5.4</v>
      </c>
      <c r="BO1703" s="2">
        <v>42005.092361111114</v>
      </c>
      <c r="BP1703" s="2">
        <v>6.92</v>
      </c>
      <c r="BQ1703" s="2">
        <v>42005.092361111114</v>
      </c>
      <c r="BR1703" s="2">
        <v>11.07</v>
      </c>
      <c r="BS1703" s="2">
        <v>42005.092361111114</v>
      </c>
      <c r="BT1703">
        <v>0</v>
      </c>
      <c r="BU1703">
        <v>0</v>
      </c>
      <c r="BV1703" t="s">
        <v>135</v>
      </c>
      <c r="BW1703">
        <v>0</v>
      </c>
      <c r="BX1703">
        <v>0</v>
      </c>
      <c r="BY1703" t="s">
        <v>135</v>
      </c>
      <c r="BZ1703">
        <v>0</v>
      </c>
      <c r="CA1703">
        <v>0</v>
      </c>
      <c r="CB1703" t="s">
        <v>135</v>
      </c>
      <c r="CH1703" s="2"/>
      <c r="CJ1703" s="2"/>
      <c r="CL1703" s="2"/>
      <c r="CN1703" s="2"/>
      <c r="CQ1703" s="2"/>
      <c r="CT1703" s="2"/>
      <c r="CW1703" s="2"/>
    </row>
    <row r="1704" spans="1:101" x14ac:dyDescent="0.25">
      <c r="A1704" s="1" t="s">
        <v>163</v>
      </c>
      <c r="B1704" s="75" t="s">
        <v>164</v>
      </c>
      <c r="C1704">
        <v>0</v>
      </c>
      <c r="D1704">
        <v>0</v>
      </c>
      <c r="E1704">
        <v>0</v>
      </c>
      <c r="F1704">
        <v>604324.56000000006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3.91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7490</v>
      </c>
      <c r="AW1704">
        <v>3350</v>
      </c>
      <c r="AX1704">
        <v>1219</v>
      </c>
      <c r="AY1704">
        <v>12059</v>
      </c>
      <c r="AZ1704">
        <v>4202</v>
      </c>
      <c r="BA1704">
        <v>7438</v>
      </c>
      <c r="BB1704">
        <v>1432</v>
      </c>
      <c r="BC1704">
        <v>13072</v>
      </c>
      <c r="BD1704">
        <v>9486</v>
      </c>
      <c r="BE1704">
        <v>9222</v>
      </c>
      <c r="BF1704">
        <v>1768</v>
      </c>
      <c r="BG1704">
        <v>20476</v>
      </c>
      <c r="BH1704">
        <v>0</v>
      </c>
      <c r="BI1704">
        <v>0</v>
      </c>
      <c r="BJ1704">
        <v>0</v>
      </c>
      <c r="BK1704">
        <v>0</v>
      </c>
      <c r="BL1704" s="2">
        <v>24.82</v>
      </c>
      <c r="BM1704" s="2">
        <v>42005.095138888886</v>
      </c>
      <c r="BN1704" s="2">
        <v>5.4</v>
      </c>
      <c r="BO1704" s="2">
        <v>42005.092361111114</v>
      </c>
      <c r="BP1704" s="2">
        <v>6.92</v>
      </c>
      <c r="BQ1704" s="2">
        <v>42005.092361111114</v>
      </c>
      <c r="BR1704" s="2">
        <v>11.07</v>
      </c>
      <c r="BS1704" s="2">
        <v>42005.092361111114</v>
      </c>
      <c r="BT1704">
        <v>0</v>
      </c>
      <c r="BU1704">
        <v>0</v>
      </c>
      <c r="BV1704" t="s">
        <v>135</v>
      </c>
      <c r="BW1704">
        <v>0</v>
      </c>
      <c r="BX1704">
        <v>0</v>
      </c>
      <c r="BY1704" t="s">
        <v>135</v>
      </c>
      <c r="BZ1704">
        <v>0</v>
      </c>
      <c r="CA1704">
        <v>0</v>
      </c>
      <c r="CB1704" t="s">
        <v>135</v>
      </c>
      <c r="CH1704" s="2"/>
      <c r="CJ1704" s="2"/>
      <c r="CL1704" s="2"/>
      <c r="CN1704" s="2"/>
      <c r="CQ1704" s="2"/>
      <c r="CT1704" s="2"/>
      <c r="CW1704" s="2"/>
    </row>
    <row r="1705" spans="1:101" x14ac:dyDescent="0.25">
      <c r="A1705" s="1" t="s">
        <v>163</v>
      </c>
      <c r="B1705" s="75" t="s">
        <v>164</v>
      </c>
      <c r="C1705">
        <v>0</v>
      </c>
      <c r="D1705">
        <v>0</v>
      </c>
      <c r="E1705">
        <v>0</v>
      </c>
      <c r="F1705">
        <v>604324.56000000006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3.91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7490</v>
      </c>
      <c r="AW1705">
        <v>3350</v>
      </c>
      <c r="AX1705">
        <v>1219</v>
      </c>
      <c r="AY1705">
        <v>12059</v>
      </c>
      <c r="AZ1705">
        <v>4202</v>
      </c>
      <c r="BA1705">
        <v>7438</v>
      </c>
      <c r="BB1705">
        <v>1432</v>
      </c>
      <c r="BC1705">
        <v>13072</v>
      </c>
      <c r="BD1705">
        <v>9486</v>
      </c>
      <c r="BE1705">
        <v>9222</v>
      </c>
      <c r="BF1705">
        <v>1768</v>
      </c>
      <c r="BG1705">
        <v>20476</v>
      </c>
      <c r="BH1705">
        <v>0</v>
      </c>
      <c r="BI1705">
        <v>0</v>
      </c>
      <c r="BJ1705">
        <v>0</v>
      </c>
      <c r="BK1705">
        <v>0</v>
      </c>
      <c r="BL1705" s="2">
        <v>24.82</v>
      </c>
      <c r="BM1705" s="2">
        <v>42005.095138888886</v>
      </c>
      <c r="BN1705" s="2">
        <v>5.4</v>
      </c>
      <c r="BO1705" s="2">
        <v>42005.092361111114</v>
      </c>
      <c r="BP1705" s="2">
        <v>6.92</v>
      </c>
      <c r="BQ1705" s="2">
        <v>42005.092361111114</v>
      </c>
      <c r="BR1705" s="2">
        <v>11.07</v>
      </c>
      <c r="BS1705" s="2">
        <v>42005.092361111114</v>
      </c>
      <c r="BT1705">
        <v>0</v>
      </c>
      <c r="BU1705">
        <v>0</v>
      </c>
      <c r="BV1705" t="s">
        <v>135</v>
      </c>
      <c r="BW1705">
        <v>0</v>
      </c>
      <c r="BX1705">
        <v>0</v>
      </c>
      <c r="BY1705" t="s">
        <v>135</v>
      </c>
      <c r="BZ1705">
        <v>0</v>
      </c>
      <c r="CA1705">
        <v>0</v>
      </c>
      <c r="CB1705" t="s">
        <v>135</v>
      </c>
      <c r="CH1705" s="2"/>
      <c r="CJ1705" s="2"/>
      <c r="CL1705" s="2"/>
      <c r="CN1705" s="2"/>
      <c r="CQ1705" s="2"/>
      <c r="CT1705" s="2"/>
      <c r="CW1705" s="2"/>
    </row>
    <row r="1706" spans="1:101" x14ac:dyDescent="0.25">
      <c r="A1706" s="1" t="s">
        <v>163</v>
      </c>
      <c r="B1706" s="75" t="s">
        <v>164</v>
      </c>
      <c r="C1706">
        <v>0</v>
      </c>
      <c r="D1706">
        <v>0</v>
      </c>
      <c r="E1706">
        <v>0</v>
      </c>
      <c r="F1706">
        <v>604324.56000000006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3.91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7490</v>
      </c>
      <c r="AW1706">
        <v>3350</v>
      </c>
      <c r="AX1706">
        <v>1219</v>
      </c>
      <c r="AY1706">
        <v>12059</v>
      </c>
      <c r="AZ1706">
        <v>4202</v>
      </c>
      <c r="BA1706">
        <v>7438</v>
      </c>
      <c r="BB1706">
        <v>1432</v>
      </c>
      <c r="BC1706">
        <v>13072</v>
      </c>
      <c r="BD1706">
        <v>9486</v>
      </c>
      <c r="BE1706">
        <v>9222</v>
      </c>
      <c r="BF1706">
        <v>1768</v>
      </c>
      <c r="BG1706">
        <v>20476</v>
      </c>
      <c r="BH1706">
        <v>0</v>
      </c>
      <c r="BI1706">
        <v>0</v>
      </c>
      <c r="BJ1706">
        <v>0</v>
      </c>
      <c r="BK1706">
        <v>0</v>
      </c>
      <c r="BL1706" s="2">
        <v>24.82</v>
      </c>
      <c r="BM1706" s="2">
        <v>42005.095138888886</v>
      </c>
      <c r="BN1706" s="2">
        <v>5.4</v>
      </c>
      <c r="BO1706" s="2">
        <v>42005.092361111114</v>
      </c>
      <c r="BP1706" s="2">
        <v>6.92</v>
      </c>
      <c r="BQ1706" s="2">
        <v>42005.092361111114</v>
      </c>
      <c r="BR1706" s="2">
        <v>11.07</v>
      </c>
      <c r="BS1706" s="2">
        <v>42005.092361111114</v>
      </c>
      <c r="BT1706">
        <v>0</v>
      </c>
      <c r="BU1706">
        <v>0</v>
      </c>
      <c r="BV1706" t="s">
        <v>135</v>
      </c>
      <c r="BW1706">
        <v>0</v>
      </c>
      <c r="BX1706">
        <v>0</v>
      </c>
      <c r="BY1706" t="s">
        <v>135</v>
      </c>
      <c r="BZ1706">
        <v>0</v>
      </c>
      <c r="CA1706">
        <v>0</v>
      </c>
      <c r="CB1706" t="s">
        <v>135</v>
      </c>
      <c r="CH1706" s="2"/>
      <c r="CJ1706" s="2"/>
      <c r="CL1706" s="2"/>
      <c r="CN1706" s="2"/>
      <c r="CQ1706" s="2"/>
      <c r="CT1706" s="2"/>
      <c r="CW1706" s="2"/>
    </row>
    <row r="1707" spans="1:101" x14ac:dyDescent="0.25">
      <c r="A1707" s="1" t="s">
        <v>163</v>
      </c>
      <c r="B1707" s="75" t="s">
        <v>164</v>
      </c>
      <c r="C1707">
        <v>0</v>
      </c>
      <c r="D1707">
        <v>0</v>
      </c>
      <c r="E1707">
        <v>0</v>
      </c>
      <c r="F1707">
        <v>604324.56000000006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3.91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7490</v>
      </c>
      <c r="AW1707">
        <v>3350</v>
      </c>
      <c r="AX1707">
        <v>1219</v>
      </c>
      <c r="AY1707">
        <v>12059</v>
      </c>
      <c r="AZ1707">
        <v>4202</v>
      </c>
      <c r="BA1707">
        <v>7438</v>
      </c>
      <c r="BB1707">
        <v>1432</v>
      </c>
      <c r="BC1707">
        <v>13072</v>
      </c>
      <c r="BD1707">
        <v>9486</v>
      </c>
      <c r="BE1707">
        <v>9222</v>
      </c>
      <c r="BF1707">
        <v>1768</v>
      </c>
      <c r="BG1707">
        <v>20476</v>
      </c>
      <c r="BH1707">
        <v>0</v>
      </c>
      <c r="BI1707">
        <v>0</v>
      </c>
      <c r="BJ1707">
        <v>0</v>
      </c>
      <c r="BK1707">
        <v>0</v>
      </c>
      <c r="BL1707" s="2">
        <v>24.82</v>
      </c>
      <c r="BM1707" s="2">
        <v>42005.095138888886</v>
      </c>
      <c r="BN1707" s="2">
        <v>5.4</v>
      </c>
      <c r="BO1707" s="2">
        <v>42005.092361111114</v>
      </c>
      <c r="BP1707" s="2">
        <v>6.92</v>
      </c>
      <c r="BQ1707" s="2">
        <v>42005.092361111114</v>
      </c>
      <c r="BR1707" s="2">
        <v>11.07</v>
      </c>
      <c r="BS1707" s="2">
        <v>42005.092361111114</v>
      </c>
      <c r="BT1707">
        <v>0</v>
      </c>
      <c r="BU1707">
        <v>0</v>
      </c>
      <c r="BV1707" t="s">
        <v>135</v>
      </c>
      <c r="BW1707">
        <v>0</v>
      </c>
      <c r="BX1707">
        <v>0</v>
      </c>
      <c r="BY1707" t="s">
        <v>135</v>
      </c>
      <c r="BZ1707">
        <v>0</v>
      </c>
      <c r="CA1707">
        <v>0</v>
      </c>
      <c r="CB1707" t="s">
        <v>135</v>
      </c>
      <c r="CH1707" s="2"/>
      <c r="CJ1707" s="2"/>
      <c r="CL1707" s="2"/>
      <c r="CN1707" s="2"/>
      <c r="CQ1707" s="2"/>
      <c r="CT1707" s="2"/>
      <c r="CW1707" s="2"/>
    </row>
    <row r="1708" spans="1:101" x14ac:dyDescent="0.25">
      <c r="A1708" s="1" t="s">
        <v>163</v>
      </c>
      <c r="B1708" s="75" t="s">
        <v>164</v>
      </c>
      <c r="C1708">
        <v>0</v>
      </c>
      <c r="D1708">
        <v>0</v>
      </c>
      <c r="E1708">
        <v>0</v>
      </c>
      <c r="F1708">
        <v>604324.56000000006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3.91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7490</v>
      </c>
      <c r="AW1708">
        <v>3350</v>
      </c>
      <c r="AX1708">
        <v>1219</v>
      </c>
      <c r="AY1708">
        <v>12059</v>
      </c>
      <c r="AZ1708">
        <v>4202</v>
      </c>
      <c r="BA1708">
        <v>7438</v>
      </c>
      <c r="BB1708">
        <v>1432</v>
      </c>
      <c r="BC1708">
        <v>13072</v>
      </c>
      <c r="BD1708">
        <v>9486</v>
      </c>
      <c r="BE1708">
        <v>9222</v>
      </c>
      <c r="BF1708">
        <v>1768</v>
      </c>
      <c r="BG1708">
        <v>20476</v>
      </c>
      <c r="BH1708">
        <v>0</v>
      </c>
      <c r="BI1708">
        <v>0</v>
      </c>
      <c r="BJ1708">
        <v>0</v>
      </c>
      <c r="BK1708">
        <v>0</v>
      </c>
      <c r="BL1708" s="2">
        <v>24.82</v>
      </c>
      <c r="BM1708" s="2">
        <v>42005.095138888886</v>
      </c>
      <c r="BN1708" s="2">
        <v>5.4</v>
      </c>
      <c r="BO1708" s="2">
        <v>42005.092361111114</v>
      </c>
      <c r="BP1708" s="2">
        <v>6.92</v>
      </c>
      <c r="BQ1708" s="2">
        <v>42005.092361111114</v>
      </c>
      <c r="BR1708" s="2">
        <v>11.07</v>
      </c>
      <c r="BS1708" s="2">
        <v>42005.092361111114</v>
      </c>
      <c r="BT1708">
        <v>0</v>
      </c>
      <c r="BU1708">
        <v>0</v>
      </c>
      <c r="BV1708" t="s">
        <v>135</v>
      </c>
      <c r="BW1708">
        <v>0</v>
      </c>
      <c r="BX1708">
        <v>0</v>
      </c>
      <c r="BY1708" t="s">
        <v>135</v>
      </c>
      <c r="BZ1708">
        <v>0</v>
      </c>
      <c r="CA1708">
        <v>0</v>
      </c>
      <c r="CB1708" t="s">
        <v>135</v>
      </c>
      <c r="CH1708" s="2"/>
      <c r="CJ1708" s="2"/>
      <c r="CL1708" s="2"/>
      <c r="CN1708" s="2"/>
      <c r="CQ1708" s="2"/>
      <c r="CT1708" s="2"/>
      <c r="CW1708" s="2"/>
    </row>
    <row r="1709" spans="1:101" x14ac:dyDescent="0.25">
      <c r="A1709" s="1" t="s">
        <v>163</v>
      </c>
      <c r="B1709" s="75" t="s">
        <v>164</v>
      </c>
      <c r="C1709">
        <v>0</v>
      </c>
      <c r="D1709">
        <v>0</v>
      </c>
      <c r="E1709">
        <v>0</v>
      </c>
      <c r="F1709">
        <v>604324.56000000006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3.91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7490</v>
      </c>
      <c r="AW1709">
        <v>3350</v>
      </c>
      <c r="AX1709">
        <v>1219</v>
      </c>
      <c r="AY1709">
        <v>12059</v>
      </c>
      <c r="AZ1709">
        <v>4202</v>
      </c>
      <c r="BA1709">
        <v>7438</v>
      </c>
      <c r="BB1709">
        <v>1432</v>
      </c>
      <c r="BC1709">
        <v>13072</v>
      </c>
      <c r="BD1709">
        <v>9486</v>
      </c>
      <c r="BE1709">
        <v>9222</v>
      </c>
      <c r="BF1709">
        <v>1768</v>
      </c>
      <c r="BG1709">
        <v>20476</v>
      </c>
      <c r="BH1709">
        <v>0</v>
      </c>
      <c r="BI1709">
        <v>0</v>
      </c>
      <c r="BJ1709">
        <v>0</v>
      </c>
      <c r="BK1709">
        <v>0</v>
      </c>
      <c r="BL1709" s="2">
        <v>24.82</v>
      </c>
      <c r="BM1709" s="2">
        <v>42005.095138888886</v>
      </c>
      <c r="BN1709" s="2">
        <v>5.4</v>
      </c>
      <c r="BO1709" s="2">
        <v>42005.092361111114</v>
      </c>
      <c r="BP1709" s="2">
        <v>6.92</v>
      </c>
      <c r="BQ1709" s="2">
        <v>42005.092361111114</v>
      </c>
      <c r="BR1709" s="2">
        <v>11.07</v>
      </c>
      <c r="BS1709" s="2">
        <v>42005.092361111114</v>
      </c>
      <c r="BT1709">
        <v>0</v>
      </c>
      <c r="BU1709">
        <v>0</v>
      </c>
      <c r="BV1709" t="s">
        <v>135</v>
      </c>
      <c r="BW1709">
        <v>0</v>
      </c>
      <c r="BX1709">
        <v>0</v>
      </c>
      <c r="BY1709" t="s">
        <v>135</v>
      </c>
      <c r="BZ1709">
        <v>0</v>
      </c>
      <c r="CA1709">
        <v>0</v>
      </c>
      <c r="CB1709" t="s">
        <v>135</v>
      </c>
      <c r="CH1709" s="2"/>
      <c r="CJ1709" s="2"/>
      <c r="CL1709" s="2"/>
      <c r="CN1709" s="2"/>
      <c r="CQ1709" s="2"/>
      <c r="CT1709" s="2"/>
      <c r="CW1709" s="2"/>
    </row>
    <row r="1710" spans="1:101" x14ac:dyDescent="0.25">
      <c r="A1710" s="1" t="s">
        <v>163</v>
      </c>
      <c r="B1710" s="75" t="s">
        <v>164</v>
      </c>
      <c r="C1710">
        <v>0</v>
      </c>
      <c r="D1710">
        <v>0</v>
      </c>
      <c r="E1710">
        <v>0</v>
      </c>
      <c r="F1710">
        <v>604324.56000000006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3.91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7490</v>
      </c>
      <c r="AW1710">
        <v>3350</v>
      </c>
      <c r="AX1710">
        <v>1219</v>
      </c>
      <c r="AY1710">
        <v>12059</v>
      </c>
      <c r="AZ1710">
        <v>4202</v>
      </c>
      <c r="BA1710">
        <v>7438</v>
      </c>
      <c r="BB1710">
        <v>1432</v>
      </c>
      <c r="BC1710">
        <v>13072</v>
      </c>
      <c r="BD1710">
        <v>9486</v>
      </c>
      <c r="BE1710">
        <v>9222</v>
      </c>
      <c r="BF1710">
        <v>1768</v>
      </c>
      <c r="BG1710">
        <v>20476</v>
      </c>
      <c r="BH1710">
        <v>0</v>
      </c>
      <c r="BI1710">
        <v>0</v>
      </c>
      <c r="BJ1710">
        <v>0</v>
      </c>
      <c r="BK1710">
        <v>0</v>
      </c>
      <c r="BL1710" s="2">
        <v>24.82</v>
      </c>
      <c r="BM1710" s="2">
        <v>42005.095138888886</v>
      </c>
      <c r="BN1710" s="2">
        <v>5.4</v>
      </c>
      <c r="BO1710" s="2">
        <v>42005.092361111114</v>
      </c>
      <c r="BP1710" s="2">
        <v>6.92</v>
      </c>
      <c r="BQ1710" s="2">
        <v>42005.092361111114</v>
      </c>
      <c r="BR1710" s="2">
        <v>11.07</v>
      </c>
      <c r="BS1710" s="2">
        <v>42005.092361111114</v>
      </c>
      <c r="BT1710">
        <v>0</v>
      </c>
      <c r="BU1710">
        <v>0</v>
      </c>
      <c r="BV1710" t="s">
        <v>135</v>
      </c>
      <c r="BW1710">
        <v>0</v>
      </c>
      <c r="BX1710">
        <v>0</v>
      </c>
      <c r="BY1710" t="s">
        <v>135</v>
      </c>
      <c r="BZ1710">
        <v>0</v>
      </c>
      <c r="CA1710">
        <v>0</v>
      </c>
      <c r="CB1710" t="s">
        <v>135</v>
      </c>
      <c r="CH1710" s="2"/>
      <c r="CJ1710" s="2"/>
      <c r="CL1710" s="2"/>
      <c r="CN1710" s="2"/>
      <c r="CQ1710" s="2"/>
      <c r="CT1710" s="2"/>
      <c r="CW1710" s="2"/>
    </row>
    <row r="1711" spans="1:101" x14ac:dyDescent="0.25">
      <c r="A1711" s="1" t="s">
        <v>163</v>
      </c>
      <c r="B1711" s="75" t="s">
        <v>164</v>
      </c>
      <c r="C1711">
        <v>0</v>
      </c>
      <c r="D1711">
        <v>0</v>
      </c>
      <c r="E1711">
        <v>0</v>
      </c>
      <c r="F1711">
        <v>604324.56000000006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3.91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7490</v>
      </c>
      <c r="AW1711">
        <v>3350</v>
      </c>
      <c r="AX1711">
        <v>1219</v>
      </c>
      <c r="AY1711">
        <v>12059</v>
      </c>
      <c r="AZ1711">
        <v>4202</v>
      </c>
      <c r="BA1711">
        <v>7438</v>
      </c>
      <c r="BB1711">
        <v>1432</v>
      </c>
      <c r="BC1711">
        <v>13072</v>
      </c>
      <c r="BD1711">
        <v>9486</v>
      </c>
      <c r="BE1711">
        <v>9222</v>
      </c>
      <c r="BF1711">
        <v>1768</v>
      </c>
      <c r="BG1711">
        <v>20476</v>
      </c>
      <c r="BH1711">
        <v>0</v>
      </c>
      <c r="BI1711">
        <v>0</v>
      </c>
      <c r="BJ1711">
        <v>0</v>
      </c>
      <c r="BK1711">
        <v>0</v>
      </c>
      <c r="BL1711" s="2">
        <v>24.82</v>
      </c>
      <c r="BM1711" s="2">
        <v>42005.095138888886</v>
      </c>
      <c r="BN1711" s="2">
        <v>5.4</v>
      </c>
      <c r="BO1711" s="2">
        <v>42005.092361111114</v>
      </c>
      <c r="BP1711" s="2">
        <v>6.92</v>
      </c>
      <c r="BQ1711" s="2">
        <v>42005.092361111114</v>
      </c>
      <c r="BR1711" s="2">
        <v>11.07</v>
      </c>
      <c r="BS1711" s="2">
        <v>42005.092361111114</v>
      </c>
      <c r="BT1711">
        <v>0</v>
      </c>
      <c r="BU1711">
        <v>0</v>
      </c>
      <c r="BV1711" t="s">
        <v>135</v>
      </c>
      <c r="BW1711">
        <v>0</v>
      </c>
      <c r="BX1711">
        <v>0</v>
      </c>
      <c r="BY1711" t="s">
        <v>135</v>
      </c>
      <c r="BZ1711">
        <v>0</v>
      </c>
      <c r="CA1711">
        <v>0</v>
      </c>
      <c r="CB1711" t="s">
        <v>135</v>
      </c>
      <c r="CH1711" s="2"/>
      <c r="CJ1711" s="2"/>
      <c r="CL1711" s="2"/>
      <c r="CN1711" s="2"/>
      <c r="CQ1711" s="2"/>
      <c r="CT1711" s="2"/>
      <c r="CW1711" s="2"/>
    </row>
    <row r="1712" spans="1:101" x14ac:dyDescent="0.25">
      <c r="A1712" s="1" t="s">
        <v>163</v>
      </c>
      <c r="B1712" s="75" t="s">
        <v>164</v>
      </c>
      <c r="C1712">
        <v>0</v>
      </c>
      <c r="D1712">
        <v>0</v>
      </c>
      <c r="E1712">
        <v>0</v>
      </c>
      <c r="F1712">
        <v>604324.56000000006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3.91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7490</v>
      </c>
      <c r="AW1712">
        <v>3350</v>
      </c>
      <c r="AX1712">
        <v>1219</v>
      </c>
      <c r="AY1712">
        <v>12059</v>
      </c>
      <c r="AZ1712">
        <v>4202</v>
      </c>
      <c r="BA1712">
        <v>7438</v>
      </c>
      <c r="BB1712">
        <v>1432</v>
      </c>
      <c r="BC1712">
        <v>13072</v>
      </c>
      <c r="BD1712">
        <v>9486</v>
      </c>
      <c r="BE1712">
        <v>9222</v>
      </c>
      <c r="BF1712">
        <v>1768</v>
      </c>
      <c r="BG1712">
        <v>20476</v>
      </c>
      <c r="BH1712">
        <v>0</v>
      </c>
      <c r="BI1712">
        <v>0</v>
      </c>
      <c r="BJ1712">
        <v>0</v>
      </c>
      <c r="BK1712">
        <v>0</v>
      </c>
      <c r="BL1712" s="2">
        <v>24.82</v>
      </c>
      <c r="BM1712" s="2">
        <v>42005.095138888886</v>
      </c>
      <c r="BN1712" s="2">
        <v>5.4</v>
      </c>
      <c r="BO1712" s="2">
        <v>42005.092361111114</v>
      </c>
      <c r="BP1712" s="2">
        <v>6.92</v>
      </c>
      <c r="BQ1712" s="2">
        <v>42005.092361111114</v>
      </c>
      <c r="BR1712" s="2">
        <v>11.07</v>
      </c>
      <c r="BS1712" s="2">
        <v>42005.092361111114</v>
      </c>
      <c r="BT1712">
        <v>0</v>
      </c>
      <c r="BU1712">
        <v>0</v>
      </c>
      <c r="BV1712" t="s">
        <v>135</v>
      </c>
      <c r="BW1712">
        <v>0</v>
      </c>
      <c r="BX1712">
        <v>0</v>
      </c>
      <c r="BY1712" t="s">
        <v>135</v>
      </c>
      <c r="BZ1712">
        <v>0</v>
      </c>
      <c r="CA1712">
        <v>0</v>
      </c>
      <c r="CB1712" t="s">
        <v>135</v>
      </c>
      <c r="CH1712" s="2"/>
      <c r="CJ1712" s="2"/>
      <c r="CL1712" s="2"/>
      <c r="CN1712" s="2"/>
      <c r="CQ1712" s="2"/>
      <c r="CT1712" s="2"/>
      <c r="CW1712" s="2"/>
    </row>
    <row r="1713" spans="1:101" x14ac:dyDescent="0.25">
      <c r="A1713" s="1" t="s">
        <v>163</v>
      </c>
      <c r="B1713" s="75" t="s">
        <v>164</v>
      </c>
      <c r="C1713">
        <v>0</v>
      </c>
      <c r="D1713">
        <v>0</v>
      </c>
      <c r="E1713">
        <v>0</v>
      </c>
      <c r="F1713">
        <v>604324.56000000006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3.91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7490</v>
      </c>
      <c r="AW1713">
        <v>3350</v>
      </c>
      <c r="AX1713">
        <v>1219</v>
      </c>
      <c r="AY1713">
        <v>12059</v>
      </c>
      <c r="AZ1713">
        <v>4202</v>
      </c>
      <c r="BA1713">
        <v>7438</v>
      </c>
      <c r="BB1713">
        <v>1432</v>
      </c>
      <c r="BC1713">
        <v>13072</v>
      </c>
      <c r="BD1713">
        <v>9486</v>
      </c>
      <c r="BE1713">
        <v>9222</v>
      </c>
      <c r="BF1713">
        <v>1768</v>
      </c>
      <c r="BG1713">
        <v>20476</v>
      </c>
      <c r="BH1713">
        <v>0</v>
      </c>
      <c r="BI1713">
        <v>0</v>
      </c>
      <c r="BJ1713">
        <v>0</v>
      </c>
      <c r="BK1713">
        <v>0</v>
      </c>
      <c r="BL1713" s="2">
        <v>24.82</v>
      </c>
      <c r="BM1713" s="2">
        <v>42005.095138888886</v>
      </c>
      <c r="BN1713" s="2">
        <v>5.4</v>
      </c>
      <c r="BO1713" s="2">
        <v>42005.092361111114</v>
      </c>
      <c r="BP1713" s="2">
        <v>6.92</v>
      </c>
      <c r="BQ1713" s="2">
        <v>42005.092361111114</v>
      </c>
      <c r="BR1713" s="2">
        <v>11.07</v>
      </c>
      <c r="BS1713" s="2">
        <v>42005.092361111114</v>
      </c>
      <c r="BT1713">
        <v>0</v>
      </c>
      <c r="BU1713">
        <v>0</v>
      </c>
      <c r="BV1713" t="s">
        <v>135</v>
      </c>
      <c r="BW1713">
        <v>0</v>
      </c>
      <c r="BX1713">
        <v>0</v>
      </c>
      <c r="BY1713" t="s">
        <v>135</v>
      </c>
      <c r="BZ1713">
        <v>0</v>
      </c>
      <c r="CA1713">
        <v>0</v>
      </c>
      <c r="CB1713" t="s">
        <v>135</v>
      </c>
      <c r="CH1713" s="2"/>
      <c r="CJ1713" s="2"/>
      <c r="CL1713" s="2"/>
      <c r="CN1713" s="2"/>
      <c r="CQ1713" s="2"/>
      <c r="CT1713" s="2"/>
      <c r="CW1713" s="2"/>
    </row>
    <row r="1714" spans="1:101" x14ac:dyDescent="0.25">
      <c r="A1714" s="1" t="s">
        <v>163</v>
      </c>
      <c r="B1714" s="75" t="s">
        <v>164</v>
      </c>
      <c r="C1714">
        <v>0</v>
      </c>
      <c r="D1714">
        <v>0</v>
      </c>
      <c r="E1714">
        <v>0</v>
      </c>
      <c r="F1714">
        <v>604324.56000000006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3.91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7490</v>
      </c>
      <c r="AW1714">
        <v>3350</v>
      </c>
      <c r="AX1714">
        <v>1219</v>
      </c>
      <c r="AY1714">
        <v>12059</v>
      </c>
      <c r="AZ1714">
        <v>4202</v>
      </c>
      <c r="BA1714">
        <v>7438</v>
      </c>
      <c r="BB1714">
        <v>1432</v>
      </c>
      <c r="BC1714">
        <v>13072</v>
      </c>
      <c r="BD1714">
        <v>9486</v>
      </c>
      <c r="BE1714">
        <v>9222</v>
      </c>
      <c r="BF1714">
        <v>1768</v>
      </c>
      <c r="BG1714">
        <v>20476</v>
      </c>
      <c r="BH1714">
        <v>0</v>
      </c>
      <c r="BI1714">
        <v>0</v>
      </c>
      <c r="BJ1714">
        <v>0</v>
      </c>
      <c r="BK1714">
        <v>0</v>
      </c>
      <c r="BL1714" s="2">
        <v>24.82</v>
      </c>
      <c r="BM1714" s="2">
        <v>42005.095138888886</v>
      </c>
      <c r="BN1714" s="2">
        <v>5.4</v>
      </c>
      <c r="BO1714" s="2">
        <v>42005.092361111114</v>
      </c>
      <c r="BP1714" s="2">
        <v>6.92</v>
      </c>
      <c r="BQ1714" s="2">
        <v>42005.092361111114</v>
      </c>
      <c r="BR1714" s="2">
        <v>11.07</v>
      </c>
      <c r="BS1714" s="2">
        <v>42005.092361111114</v>
      </c>
      <c r="BT1714">
        <v>0</v>
      </c>
      <c r="BU1714">
        <v>0</v>
      </c>
      <c r="BV1714" t="s">
        <v>135</v>
      </c>
      <c r="BW1714">
        <v>0</v>
      </c>
      <c r="BX1714">
        <v>0</v>
      </c>
      <c r="BY1714" t="s">
        <v>135</v>
      </c>
      <c r="BZ1714">
        <v>0</v>
      </c>
      <c r="CA1714">
        <v>0</v>
      </c>
      <c r="CB1714" t="s">
        <v>135</v>
      </c>
      <c r="CH1714" s="2"/>
      <c r="CJ1714" s="2"/>
      <c r="CL1714" s="2"/>
      <c r="CN1714" s="2"/>
      <c r="CQ1714" s="2"/>
      <c r="CT1714" s="2"/>
      <c r="CW1714" s="2"/>
    </row>
    <row r="1715" spans="1:101" x14ac:dyDescent="0.25">
      <c r="A1715" s="1" t="s">
        <v>163</v>
      </c>
      <c r="B1715" s="75" t="s">
        <v>164</v>
      </c>
      <c r="C1715">
        <v>0</v>
      </c>
      <c r="D1715">
        <v>0</v>
      </c>
      <c r="E1715">
        <v>0</v>
      </c>
      <c r="F1715">
        <v>604324.56000000006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3.91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7490</v>
      </c>
      <c r="AW1715">
        <v>3350</v>
      </c>
      <c r="AX1715">
        <v>1219</v>
      </c>
      <c r="AY1715">
        <v>12059</v>
      </c>
      <c r="AZ1715">
        <v>4202</v>
      </c>
      <c r="BA1715">
        <v>7438</v>
      </c>
      <c r="BB1715">
        <v>1432</v>
      </c>
      <c r="BC1715">
        <v>13072</v>
      </c>
      <c r="BD1715">
        <v>9486</v>
      </c>
      <c r="BE1715">
        <v>9222</v>
      </c>
      <c r="BF1715">
        <v>1768</v>
      </c>
      <c r="BG1715">
        <v>20476</v>
      </c>
      <c r="BH1715">
        <v>0</v>
      </c>
      <c r="BI1715">
        <v>0</v>
      </c>
      <c r="BJ1715">
        <v>0</v>
      </c>
      <c r="BK1715">
        <v>0</v>
      </c>
      <c r="BL1715" s="2">
        <v>24.82</v>
      </c>
      <c r="BM1715" s="2">
        <v>42005.095138888886</v>
      </c>
      <c r="BN1715" s="2">
        <v>5.4</v>
      </c>
      <c r="BO1715" s="2">
        <v>42005.092361111114</v>
      </c>
      <c r="BP1715" s="2">
        <v>6.92</v>
      </c>
      <c r="BQ1715" s="2">
        <v>42005.092361111114</v>
      </c>
      <c r="BR1715" s="2">
        <v>11.07</v>
      </c>
      <c r="BS1715" s="2">
        <v>42005.092361111114</v>
      </c>
      <c r="BT1715">
        <v>0</v>
      </c>
      <c r="BU1715">
        <v>0</v>
      </c>
      <c r="BV1715" t="s">
        <v>135</v>
      </c>
      <c r="BW1715">
        <v>0</v>
      </c>
      <c r="BX1715">
        <v>0</v>
      </c>
      <c r="BY1715" t="s">
        <v>135</v>
      </c>
      <c r="BZ1715">
        <v>0</v>
      </c>
      <c r="CA1715">
        <v>0</v>
      </c>
      <c r="CB1715" t="s">
        <v>135</v>
      </c>
      <c r="CH1715" s="2"/>
      <c r="CJ1715" s="2"/>
      <c r="CL1715" s="2"/>
      <c r="CN1715" s="2"/>
      <c r="CQ1715" s="2"/>
      <c r="CT1715" s="2"/>
      <c r="CW1715" s="2"/>
    </row>
    <row r="1716" spans="1:101" x14ac:dyDescent="0.25">
      <c r="A1716" s="1" t="s">
        <v>163</v>
      </c>
      <c r="B1716" s="75" t="s">
        <v>164</v>
      </c>
      <c r="C1716">
        <v>0</v>
      </c>
      <c r="D1716">
        <v>0</v>
      </c>
      <c r="E1716">
        <v>0</v>
      </c>
      <c r="F1716">
        <v>604324.56000000006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3.91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7490</v>
      </c>
      <c r="AW1716">
        <v>3350</v>
      </c>
      <c r="AX1716">
        <v>1219</v>
      </c>
      <c r="AY1716">
        <v>12059</v>
      </c>
      <c r="AZ1716">
        <v>4202</v>
      </c>
      <c r="BA1716">
        <v>7438</v>
      </c>
      <c r="BB1716">
        <v>1432</v>
      </c>
      <c r="BC1716">
        <v>13072</v>
      </c>
      <c r="BD1716">
        <v>9486</v>
      </c>
      <c r="BE1716">
        <v>9222</v>
      </c>
      <c r="BF1716">
        <v>1768</v>
      </c>
      <c r="BG1716">
        <v>20476</v>
      </c>
      <c r="BH1716">
        <v>0</v>
      </c>
      <c r="BI1716">
        <v>0</v>
      </c>
      <c r="BJ1716">
        <v>0</v>
      </c>
      <c r="BK1716">
        <v>0</v>
      </c>
      <c r="BL1716" s="2">
        <v>24.82</v>
      </c>
      <c r="BM1716" s="2">
        <v>42005.095138888886</v>
      </c>
      <c r="BN1716" s="2">
        <v>5.4</v>
      </c>
      <c r="BO1716" s="2">
        <v>42005.092361111114</v>
      </c>
      <c r="BP1716" s="2">
        <v>6.92</v>
      </c>
      <c r="BQ1716" s="2">
        <v>42005.092361111114</v>
      </c>
      <c r="BR1716" s="2">
        <v>11.07</v>
      </c>
      <c r="BS1716" s="2">
        <v>42005.092361111114</v>
      </c>
      <c r="BT1716">
        <v>0</v>
      </c>
      <c r="BU1716">
        <v>0</v>
      </c>
      <c r="BV1716" t="s">
        <v>135</v>
      </c>
      <c r="BW1716">
        <v>0</v>
      </c>
      <c r="BX1716">
        <v>0</v>
      </c>
      <c r="BY1716" t="s">
        <v>135</v>
      </c>
      <c r="BZ1716">
        <v>0</v>
      </c>
      <c r="CA1716">
        <v>0</v>
      </c>
      <c r="CB1716" t="s">
        <v>135</v>
      </c>
      <c r="CH1716" s="2"/>
      <c r="CJ1716" s="2"/>
      <c r="CL1716" s="2"/>
      <c r="CN1716" s="2"/>
      <c r="CQ1716" s="2"/>
      <c r="CT1716" s="2"/>
      <c r="CW1716" s="2"/>
    </row>
    <row r="1717" spans="1:101" x14ac:dyDescent="0.25">
      <c r="A1717" s="1" t="s">
        <v>163</v>
      </c>
      <c r="B1717" s="75" t="s">
        <v>164</v>
      </c>
      <c r="C1717">
        <v>0</v>
      </c>
      <c r="D1717">
        <v>0</v>
      </c>
      <c r="E1717">
        <v>0</v>
      </c>
      <c r="F1717">
        <v>604324.56000000006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3.91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7490</v>
      </c>
      <c r="AW1717">
        <v>3350</v>
      </c>
      <c r="AX1717">
        <v>1219</v>
      </c>
      <c r="AY1717">
        <v>12059</v>
      </c>
      <c r="AZ1717">
        <v>4202</v>
      </c>
      <c r="BA1717">
        <v>7438</v>
      </c>
      <c r="BB1717">
        <v>1432</v>
      </c>
      <c r="BC1717">
        <v>13072</v>
      </c>
      <c r="BD1717">
        <v>9486</v>
      </c>
      <c r="BE1717">
        <v>9222</v>
      </c>
      <c r="BF1717">
        <v>1768</v>
      </c>
      <c r="BG1717">
        <v>20476</v>
      </c>
      <c r="BH1717">
        <v>0</v>
      </c>
      <c r="BI1717">
        <v>0</v>
      </c>
      <c r="BJ1717">
        <v>0</v>
      </c>
      <c r="BK1717">
        <v>0</v>
      </c>
      <c r="BL1717" s="2">
        <v>24.82</v>
      </c>
      <c r="BM1717" s="2">
        <v>42005.095138888886</v>
      </c>
      <c r="BN1717" s="2">
        <v>5.4</v>
      </c>
      <c r="BO1717" s="2">
        <v>42005.092361111114</v>
      </c>
      <c r="BP1717" s="2">
        <v>6.92</v>
      </c>
      <c r="BQ1717" s="2">
        <v>42005.092361111114</v>
      </c>
      <c r="BR1717" s="2">
        <v>11.07</v>
      </c>
      <c r="BS1717" s="2">
        <v>42005.092361111114</v>
      </c>
      <c r="BT1717">
        <v>0</v>
      </c>
      <c r="BU1717">
        <v>0</v>
      </c>
      <c r="BV1717" t="s">
        <v>135</v>
      </c>
      <c r="BW1717">
        <v>0</v>
      </c>
      <c r="BX1717">
        <v>0</v>
      </c>
      <c r="BY1717" t="s">
        <v>135</v>
      </c>
      <c r="BZ1717">
        <v>0</v>
      </c>
      <c r="CA1717">
        <v>0</v>
      </c>
      <c r="CB1717" t="s">
        <v>135</v>
      </c>
      <c r="CH1717" s="2"/>
      <c r="CJ1717" s="2"/>
      <c r="CL1717" s="2"/>
      <c r="CN1717" s="2"/>
      <c r="CQ1717" s="2"/>
      <c r="CT1717" s="2"/>
      <c r="CW1717" s="2"/>
    </row>
    <row r="1718" spans="1:101" x14ac:dyDescent="0.25">
      <c r="A1718" s="1" t="s">
        <v>163</v>
      </c>
      <c r="B1718" s="75" t="s">
        <v>164</v>
      </c>
      <c r="C1718">
        <v>0</v>
      </c>
      <c r="D1718">
        <v>0</v>
      </c>
      <c r="E1718">
        <v>0</v>
      </c>
      <c r="F1718">
        <v>604324.56000000006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3.91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7490</v>
      </c>
      <c r="AW1718">
        <v>3350</v>
      </c>
      <c r="AX1718">
        <v>1219</v>
      </c>
      <c r="AY1718">
        <v>12059</v>
      </c>
      <c r="AZ1718">
        <v>4202</v>
      </c>
      <c r="BA1718">
        <v>7438</v>
      </c>
      <c r="BB1718">
        <v>1432</v>
      </c>
      <c r="BC1718">
        <v>13072</v>
      </c>
      <c r="BD1718">
        <v>9486</v>
      </c>
      <c r="BE1718">
        <v>9222</v>
      </c>
      <c r="BF1718">
        <v>1768</v>
      </c>
      <c r="BG1718">
        <v>20476</v>
      </c>
      <c r="BH1718">
        <v>0</v>
      </c>
      <c r="BI1718">
        <v>0</v>
      </c>
      <c r="BJ1718">
        <v>0</v>
      </c>
      <c r="BK1718">
        <v>0</v>
      </c>
      <c r="BL1718" s="2">
        <v>24.82</v>
      </c>
      <c r="BM1718" s="2">
        <v>42005.095138888886</v>
      </c>
      <c r="BN1718" s="2">
        <v>5.4</v>
      </c>
      <c r="BO1718" s="2">
        <v>42005.092361111114</v>
      </c>
      <c r="BP1718" s="2">
        <v>6.92</v>
      </c>
      <c r="BQ1718" s="2">
        <v>42005.092361111114</v>
      </c>
      <c r="BR1718" s="2">
        <v>11.07</v>
      </c>
      <c r="BS1718" s="2">
        <v>42005.092361111114</v>
      </c>
      <c r="BT1718">
        <v>0</v>
      </c>
      <c r="BU1718">
        <v>0</v>
      </c>
      <c r="BV1718" t="s">
        <v>135</v>
      </c>
      <c r="BW1718">
        <v>0</v>
      </c>
      <c r="BX1718">
        <v>0</v>
      </c>
      <c r="BY1718" t="s">
        <v>135</v>
      </c>
      <c r="BZ1718">
        <v>0</v>
      </c>
      <c r="CA1718">
        <v>0</v>
      </c>
      <c r="CB1718" t="s">
        <v>135</v>
      </c>
      <c r="CH1718" s="2"/>
      <c r="CJ1718" s="2"/>
      <c r="CL1718" s="2"/>
      <c r="CN1718" s="2"/>
      <c r="CQ1718" s="2"/>
      <c r="CT1718" s="2"/>
      <c r="CW1718" s="2"/>
    </row>
    <row r="1719" spans="1:101" x14ac:dyDescent="0.25">
      <c r="A1719" s="1" t="s">
        <v>163</v>
      </c>
      <c r="B1719" s="75" t="s">
        <v>164</v>
      </c>
      <c r="C1719">
        <v>0</v>
      </c>
      <c r="D1719">
        <v>0</v>
      </c>
      <c r="E1719">
        <v>0</v>
      </c>
      <c r="F1719">
        <v>604324.56000000006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3.91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7490</v>
      </c>
      <c r="AW1719">
        <v>3350</v>
      </c>
      <c r="AX1719">
        <v>1219</v>
      </c>
      <c r="AY1719">
        <v>12059</v>
      </c>
      <c r="AZ1719">
        <v>4202</v>
      </c>
      <c r="BA1719">
        <v>7438</v>
      </c>
      <c r="BB1719">
        <v>1432</v>
      </c>
      <c r="BC1719">
        <v>13072</v>
      </c>
      <c r="BD1719">
        <v>9486</v>
      </c>
      <c r="BE1719">
        <v>9222</v>
      </c>
      <c r="BF1719">
        <v>1768</v>
      </c>
      <c r="BG1719">
        <v>20476</v>
      </c>
      <c r="BH1719">
        <v>0</v>
      </c>
      <c r="BI1719">
        <v>0</v>
      </c>
      <c r="BJ1719">
        <v>0</v>
      </c>
      <c r="BK1719">
        <v>0</v>
      </c>
      <c r="BL1719" s="2">
        <v>24.82</v>
      </c>
      <c r="BM1719" s="2">
        <v>42005.095138888886</v>
      </c>
      <c r="BN1719" s="2">
        <v>5.4</v>
      </c>
      <c r="BO1719" s="2">
        <v>42005.092361111114</v>
      </c>
      <c r="BP1719" s="2">
        <v>6.92</v>
      </c>
      <c r="BQ1719" s="2">
        <v>42005.092361111114</v>
      </c>
      <c r="BR1719" s="2">
        <v>11.07</v>
      </c>
      <c r="BS1719" s="2">
        <v>42005.092361111114</v>
      </c>
      <c r="BT1719">
        <v>0</v>
      </c>
      <c r="BU1719">
        <v>0</v>
      </c>
      <c r="BV1719" t="s">
        <v>135</v>
      </c>
      <c r="BW1719">
        <v>0</v>
      </c>
      <c r="BX1719">
        <v>0</v>
      </c>
      <c r="BY1719" t="s">
        <v>135</v>
      </c>
      <c r="BZ1719">
        <v>0</v>
      </c>
      <c r="CA1719">
        <v>0</v>
      </c>
      <c r="CB1719" t="s">
        <v>135</v>
      </c>
      <c r="CH1719" s="2"/>
      <c r="CJ1719" s="2"/>
      <c r="CL1719" s="2"/>
      <c r="CN1719" s="2"/>
      <c r="CQ1719" s="2"/>
      <c r="CT1719" s="2"/>
      <c r="CW1719" s="2"/>
    </row>
    <row r="1720" spans="1:101" x14ac:dyDescent="0.25">
      <c r="A1720" s="1" t="s">
        <v>163</v>
      </c>
      <c r="B1720" s="75" t="s">
        <v>164</v>
      </c>
      <c r="C1720">
        <v>0</v>
      </c>
      <c r="D1720">
        <v>0</v>
      </c>
      <c r="E1720">
        <v>0</v>
      </c>
      <c r="F1720">
        <v>604324.56000000006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3.91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7490</v>
      </c>
      <c r="AW1720">
        <v>3350</v>
      </c>
      <c r="AX1720">
        <v>1219</v>
      </c>
      <c r="AY1720">
        <v>12059</v>
      </c>
      <c r="AZ1720">
        <v>4202</v>
      </c>
      <c r="BA1720">
        <v>7438</v>
      </c>
      <c r="BB1720">
        <v>1432</v>
      </c>
      <c r="BC1720">
        <v>13072</v>
      </c>
      <c r="BD1720">
        <v>9486</v>
      </c>
      <c r="BE1720">
        <v>9222</v>
      </c>
      <c r="BF1720">
        <v>1768</v>
      </c>
      <c r="BG1720">
        <v>20476</v>
      </c>
      <c r="BH1720">
        <v>0</v>
      </c>
      <c r="BI1720">
        <v>0</v>
      </c>
      <c r="BJ1720">
        <v>0</v>
      </c>
      <c r="BK1720">
        <v>0</v>
      </c>
      <c r="BL1720" s="2">
        <v>24.82</v>
      </c>
      <c r="BM1720" s="2">
        <v>42005.095138888886</v>
      </c>
      <c r="BN1720" s="2">
        <v>5.4</v>
      </c>
      <c r="BO1720" s="2">
        <v>42005.092361111114</v>
      </c>
      <c r="BP1720" s="2">
        <v>6.92</v>
      </c>
      <c r="BQ1720" s="2">
        <v>42005.092361111114</v>
      </c>
      <c r="BR1720" s="2">
        <v>11.07</v>
      </c>
      <c r="BS1720" s="2">
        <v>42005.092361111114</v>
      </c>
      <c r="BT1720">
        <v>0</v>
      </c>
      <c r="BU1720">
        <v>0</v>
      </c>
      <c r="BV1720" t="s">
        <v>135</v>
      </c>
      <c r="BW1720">
        <v>0</v>
      </c>
      <c r="BX1720">
        <v>0</v>
      </c>
      <c r="BY1720" t="s">
        <v>135</v>
      </c>
      <c r="BZ1720">
        <v>0</v>
      </c>
      <c r="CA1720">
        <v>0</v>
      </c>
      <c r="CB1720" t="s">
        <v>135</v>
      </c>
      <c r="CH1720" s="2"/>
      <c r="CJ1720" s="2"/>
      <c r="CL1720" s="2"/>
      <c r="CN1720" s="2"/>
      <c r="CQ1720" s="2"/>
      <c r="CT1720" s="2"/>
      <c r="CW1720" s="2"/>
    </row>
    <row r="1721" spans="1:101" x14ac:dyDescent="0.25">
      <c r="A1721" s="1" t="s">
        <v>163</v>
      </c>
      <c r="B1721" s="75" t="s">
        <v>164</v>
      </c>
      <c r="C1721">
        <v>0</v>
      </c>
      <c r="D1721">
        <v>0</v>
      </c>
      <c r="E1721">
        <v>0</v>
      </c>
      <c r="F1721">
        <v>604324.56000000006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3.91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7490</v>
      </c>
      <c r="AW1721">
        <v>3350</v>
      </c>
      <c r="AX1721">
        <v>1219</v>
      </c>
      <c r="AY1721">
        <v>12059</v>
      </c>
      <c r="AZ1721">
        <v>4202</v>
      </c>
      <c r="BA1721">
        <v>7438</v>
      </c>
      <c r="BB1721">
        <v>1432</v>
      </c>
      <c r="BC1721">
        <v>13072</v>
      </c>
      <c r="BD1721">
        <v>9486</v>
      </c>
      <c r="BE1721">
        <v>9222</v>
      </c>
      <c r="BF1721">
        <v>1768</v>
      </c>
      <c r="BG1721">
        <v>20476</v>
      </c>
      <c r="BH1721">
        <v>0</v>
      </c>
      <c r="BI1721">
        <v>0</v>
      </c>
      <c r="BJ1721">
        <v>0</v>
      </c>
      <c r="BK1721">
        <v>0</v>
      </c>
      <c r="BL1721" s="2">
        <v>24.82</v>
      </c>
      <c r="BM1721" s="2">
        <v>42005.095138888886</v>
      </c>
      <c r="BN1721" s="2">
        <v>5.4</v>
      </c>
      <c r="BO1721" s="2">
        <v>42005.092361111114</v>
      </c>
      <c r="BP1721" s="2">
        <v>6.92</v>
      </c>
      <c r="BQ1721" s="2">
        <v>42005.092361111114</v>
      </c>
      <c r="BR1721" s="2">
        <v>11.07</v>
      </c>
      <c r="BS1721" s="2">
        <v>42005.092361111114</v>
      </c>
      <c r="BT1721">
        <v>0</v>
      </c>
      <c r="BU1721">
        <v>0</v>
      </c>
      <c r="BV1721" t="s">
        <v>135</v>
      </c>
      <c r="BW1721">
        <v>0</v>
      </c>
      <c r="BX1721">
        <v>0</v>
      </c>
      <c r="BY1721" t="s">
        <v>135</v>
      </c>
      <c r="BZ1721">
        <v>0</v>
      </c>
      <c r="CA1721">
        <v>0</v>
      </c>
      <c r="CB1721" t="s">
        <v>135</v>
      </c>
      <c r="CH1721" s="2"/>
      <c r="CJ1721" s="2"/>
      <c r="CL1721" s="2"/>
      <c r="CN1721" s="2"/>
      <c r="CQ1721" s="2"/>
      <c r="CT1721" s="2"/>
      <c r="CW1721" s="2"/>
    </row>
    <row r="1722" spans="1:101" x14ac:dyDescent="0.25">
      <c r="A1722" s="1" t="s">
        <v>163</v>
      </c>
      <c r="B1722" s="75" t="s">
        <v>164</v>
      </c>
      <c r="C1722">
        <v>0</v>
      </c>
      <c r="D1722">
        <v>0</v>
      </c>
      <c r="E1722">
        <v>0</v>
      </c>
      <c r="F1722">
        <v>604324.56000000006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3.91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7490</v>
      </c>
      <c r="AW1722">
        <v>3350</v>
      </c>
      <c r="AX1722">
        <v>1219</v>
      </c>
      <c r="AY1722">
        <v>12059</v>
      </c>
      <c r="AZ1722">
        <v>4202</v>
      </c>
      <c r="BA1722">
        <v>7438</v>
      </c>
      <c r="BB1722">
        <v>1432</v>
      </c>
      <c r="BC1722">
        <v>13072</v>
      </c>
      <c r="BD1722">
        <v>9486</v>
      </c>
      <c r="BE1722">
        <v>9222</v>
      </c>
      <c r="BF1722">
        <v>1768</v>
      </c>
      <c r="BG1722">
        <v>20476</v>
      </c>
      <c r="BH1722">
        <v>0</v>
      </c>
      <c r="BI1722">
        <v>0</v>
      </c>
      <c r="BJ1722">
        <v>0</v>
      </c>
      <c r="BK1722">
        <v>0</v>
      </c>
      <c r="BL1722" s="2">
        <v>24.82</v>
      </c>
      <c r="BM1722" s="2">
        <v>42005.095138888886</v>
      </c>
      <c r="BN1722" s="2">
        <v>5.4</v>
      </c>
      <c r="BO1722" s="2">
        <v>42005.092361111114</v>
      </c>
      <c r="BP1722" s="2">
        <v>6.92</v>
      </c>
      <c r="BQ1722" s="2">
        <v>42005.092361111114</v>
      </c>
      <c r="BR1722" s="2">
        <v>11.07</v>
      </c>
      <c r="BS1722" s="2">
        <v>42005.092361111114</v>
      </c>
      <c r="BT1722">
        <v>0</v>
      </c>
      <c r="BU1722">
        <v>0</v>
      </c>
      <c r="BV1722" t="s">
        <v>135</v>
      </c>
      <c r="BW1722">
        <v>0</v>
      </c>
      <c r="BX1722">
        <v>0</v>
      </c>
      <c r="BY1722" t="s">
        <v>135</v>
      </c>
      <c r="BZ1722">
        <v>0</v>
      </c>
      <c r="CA1722">
        <v>0</v>
      </c>
      <c r="CB1722" t="s">
        <v>135</v>
      </c>
      <c r="CH1722" s="2"/>
      <c r="CJ1722" s="2"/>
      <c r="CL1722" s="2"/>
      <c r="CN1722" s="2"/>
      <c r="CQ1722" s="2"/>
      <c r="CT1722" s="2"/>
      <c r="CW1722" s="2"/>
    </row>
    <row r="1723" spans="1:101" x14ac:dyDescent="0.25">
      <c r="A1723" s="1" t="s">
        <v>163</v>
      </c>
      <c r="B1723" s="75" t="s">
        <v>164</v>
      </c>
      <c r="C1723">
        <v>0</v>
      </c>
      <c r="D1723">
        <v>0</v>
      </c>
      <c r="E1723">
        <v>0</v>
      </c>
      <c r="F1723">
        <v>604324.56000000006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3.91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7490</v>
      </c>
      <c r="AW1723">
        <v>3350</v>
      </c>
      <c r="AX1723">
        <v>1219</v>
      </c>
      <c r="AY1723">
        <v>12059</v>
      </c>
      <c r="AZ1723">
        <v>4202</v>
      </c>
      <c r="BA1723">
        <v>7438</v>
      </c>
      <c r="BB1723">
        <v>1432</v>
      </c>
      <c r="BC1723">
        <v>13072</v>
      </c>
      <c r="BD1723">
        <v>9486</v>
      </c>
      <c r="BE1723">
        <v>9222</v>
      </c>
      <c r="BF1723">
        <v>1768</v>
      </c>
      <c r="BG1723">
        <v>20476</v>
      </c>
      <c r="BH1723">
        <v>0</v>
      </c>
      <c r="BI1723">
        <v>0</v>
      </c>
      <c r="BJ1723">
        <v>0</v>
      </c>
      <c r="BK1723">
        <v>0</v>
      </c>
      <c r="BL1723" s="2">
        <v>24.82</v>
      </c>
      <c r="BM1723" s="2">
        <v>42005.095138888886</v>
      </c>
      <c r="BN1723" s="2">
        <v>5.4</v>
      </c>
      <c r="BO1723" s="2">
        <v>42005.092361111114</v>
      </c>
      <c r="BP1723" s="2">
        <v>6.92</v>
      </c>
      <c r="BQ1723" s="2">
        <v>42005.092361111114</v>
      </c>
      <c r="BR1723" s="2">
        <v>11.07</v>
      </c>
      <c r="BS1723" s="2">
        <v>42005.092361111114</v>
      </c>
      <c r="BT1723">
        <v>0</v>
      </c>
      <c r="BU1723">
        <v>0</v>
      </c>
      <c r="BV1723" t="s">
        <v>135</v>
      </c>
      <c r="BW1723">
        <v>0</v>
      </c>
      <c r="BX1723">
        <v>0</v>
      </c>
      <c r="BY1723" t="s">
        <v>135</v>
      </c>
      <c r="BZ1723">
        <v>0</v>
      </c>
      <c r="CA1723">
        <v>0</v>
      </c>
      <c r="CB1723" t="s">
        <v>135</v>
      </c>
      <c r="CH1723" s="2"/>
      <c r="CJ1723" s="2"/>
      <c r="CL1723" s="2"/>
      <c r="CN1723" s="2"/>
      <c r="CQ1723" s="2"/>
      <c r="CT1723" s="2"/>
      <c r="CW1723" s="2"/>
    </row>
    <row r="1724" spans="1:101" x14ac:dyDescent="0.25">
      <c r="A1724" s="1" t="s">
        <v>163</v>
      </c>
      <c r="B1724" s="75" t="s">
        <v>164</v>
      </c>
      <c r="C1724">
        <v>0</v>
      </c>
      <c r="D1724">
        <v>0</v>
      </c>
      <c r="E1724">
        <v>0</v>
      </c>
      <c r="F1724">
        <v>604324.56000000006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3.91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7490</v>
      </c>
      <c r="AW1724">
        <v>3350</v>
      </c>
      <c r="AX1724">
        <v>1219</v>
      </c>
      <c r="AY1724">
        <v>12059</v>
      </c>
      <c r="AZ1724">
        <v>4202</v>
      </c>
      <c r="BA1724">
        <v>7438</v>
      </c>
      <c r="BB1724">
        <v>1432</v>
      </c>
      <c r="BC1724">
        <v>13072</v>
      </c>
      <c r="BD1724">
        <v>9486</v>
      </c>
      <c r="BE1724">
        <v>9222</v>
      </c>
      <c r="BF1724">
        <v>1768</v>
      </c>
      <c r="BG1724">
        <v>20476</v>
      </c>
      <c r="BH1724">
        <v>0</v>
      </c>
      <c r="BI1724">
        <v>0</v>
      </c>
      <c r="BJ1724">
        <v>0</v>
      </c>
      <c r="BK1724">
        <v>0</v>
      </c>
      <c r="BL1724" s="2">
        <v>24.82</v>
      </c>
      <c r="BM1724" s="2">
        <v>42005.095138888886</v>
      </c>
      <c r="BN1724" s="2">
        <v>5.4</v>
      </c>
      <c r="BO1724" s="2">
        <v>42005.092361111114</v>
      </c>
      <c r="BP1724" s="2">
        <v>6.92</v>
      </c>
      <c r="BQ1724" s="2">
        <v>42005.092361111114</v>
      </c>
      <c r="BR1724" s="2">
        <v>11.07</v>
      </c>
      <c r="BS1724" s="2">
        <v>42005.092361111114</v>
      </c>
      <c r="BT1724">
        <v>0</v>
      </c>
      <c r="BU1724">
        <v>0</v>
      </c>
      <c r="BV1724" t="s">
        <v>135</v>
      </c>
      <c r="BW1724">
        <v>0</v>
      </c>
      <c r="BX1724">
        <v>0</v>
      </c>
      <c r="BY1724" t="s">
        <v>135</v>
      </c>
      <c r="BZ1724">
        <v>0</v>
      </c>
      <c r="CA1724">
        <v>0</v>
      </c>
      <c r="CB1724" t="s">
        <v>135</v>
      </c>
      <c r="CH1724" s="2"/>
      <c r="CJ1724" s="2"/>
      <c r="CL1724" s="2"/>
      <c r="CN1724" s="2"/>
      <c r="CQ1724" s="2"/>
      <c r="CT1724" s="2"/>
      <c r="CW1724" s="2"/>
    </row>
    <row r="1725" spans="1:101" x14ac:dyDescent="0.25">
      <c r="A1725" s="1" t="s">
        <v>163</v>
      </c>
      <c r="B1725" s="75" t="s">
        <v>164</v>
      </c>
      <c r="C1725">
        <v>0</v>
      </c>
      <c r="D1725">
        <v>0</v>
      </c>
      <c r="E1725">
        <v>0</v>
      </c>
      <c r="F1725">
        <v>604324.56000000006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3.91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7490</v>
      </c>
      <c r="AW1725">
        <v>3350</v>
      </c>
      <c r="AX1725">
        <v>1219</v>
      </c>
      <c r="AY1725">
        <v>12059</v>
      </c>
      <c r="AZ1725">
        <v>4202</v>
      </c>
      <c r="BA1725">
        <v>7438</v>
      </c>
      <c r="BB1725">
        <v>1432</v>
      </c>
      <c r="BC1725">
        <v>13072</v>
      </c>
      <c r="BD1725">
        <v>9486</v>
      </c>
      <c r="BE1725">
        <v>9222</v>
      </c>
      <c r="BF1725">
        <v>1768</v>
      </c>
      <c r="BG1725">
        <v>20476</v>
      </c>
      <c r="BH1725">
        <v>0</v>
      </c>
      <c r="BI1725">
        <v>0</v>
      </c>
      <c r="BJ1725">
        <v>0</v>
      </c>
      <c r="BK1725">
        <v>0</v>
      </c>
      <c r="BL1725" s="2">
        <v>24.82</v>
      </c>
      <c r="BM1725" s="2">
        <v>42005.095138888886</v>
      </c>
      <c r="BN1725" s="2">
        <v>5.4</v>
      </c>
      <c r="BO1725" s="2">
        <v>42005.092361111114</v>
      </c>
      <c r="BP1725" s="2">
        <v>6.92</v>
      </c>
      <c r="BQ1725" s="2">
        <v>42005.092361111114</v>
      </c>
      <c r="BR1725" s="2">
        <v>11.07</v>
      </c>
      <c r="BS1725" s="2">
        <v>42005.092361111114</v>
      </c>
      <c r="BT1725">
        <v>0</v>
      </c>
      <c r="BU1725">
        <v>0</v>
      </c>
      <c r="BV1725" t="s">
        <v>135</v>
      </c>
      <c r="BW1725">
        <v>0</v>
      </c>
      <c r="BX1725">
        <v>0</v>
      </c>
      <c r="BY1725" t="s">
        <v>135</v>
      </c>
      <c r="BZ1725">
        <v>0</v>
      </c>
      <c r="CA1725">
        <v>0</v>
      </c>
      <c r="CB1725" t="s">
        <v>135</v>
      </c>
      <c r="CH1725" s="2"/>
      <c r="CJ1725" s="2"/>
      <c r="CL1725" s="2"/>
      <c r="CN1725" s="2"/>
      <c r="CQ1725" s="2"/>
      <c r="CT1725" s="2"/>
      <c r="CW1725" s="2"/>
    </row>
    <row r="1726" spans="1:101" x14ac:dyDescent="0.25">
      <c r="A1726" s="1" t="s">
        <v>163</v>
      </c>
      <c r="B1726" s="75" t="s">
        <v>164</v>
      </c>
      <c r="C1726">
        <v>0</v>
      </c>
      <c r="D1726">
        <v>0</v>
      </c>
      <c r="E1726">
        <v>0</v>
      </c>
      <c r="F1726">
        <v>604324.56000000006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3.91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7490</v>
      </c>
      <c r="AW1726">
        <v>3350</v>
      </c>
      <c r="AX1726">
        <v>1219</v>
      </c>
      <c r="AY1726">
        <v>12059</v>
      </c>
      <c r="AZ1726">
        <v>4202</v>
      </c>
      <c r="BA1726">
        <v>7438</v>
      </c>
      <c r="BB1726">
        <v>1432</v>
      </c>
      <c r="BC1726">
        <v>13072</v>
      </c>
      <c r="BD1726">
        <v>9486</v>
      </c>
      <c r="BE1726">
        <v>9222</v>
      </c>
      <c r="BF1726">
        <v>1768</v>
      </c>
      <c r="BG1726">
        <v>20476</v>
      </c>
      <c r="BH1726">
        <v>0</v>
      </c>
      <c r="BI1726">
        <v>0</v>
      </c>
      <c r="BJ1726">
        <v>0</v>
      </c>
      <c r="BK1726">
        <v>0</v>
      </c>
      <c r="BL1726" s="2">
        <v>24.82</v>
      </c>
      <c r="BM1726" s="2">
        <v>42005.095138888886</v>
      </c>
      <c r="BN1726" s="2">
        <v>5.4</v>
      </c>
      <c r="BO1726" s="2">
        <v>42005.092361111114</v>
      </c>
      <c r="BP1726" s="2">
        <v>6.92</v>
      </c>
      <c r="BQ1726" s="2">
        <v>42005.092361111114</v>
      </c>
      <c r="BR1726" s="2">
        <v>11.07</v>
      </c>
      <c r="BS1726" s="2">
        <v>42005.092361111114</v>
      </c>
      <c r="BT1726">
        <v>0</v>
      </c>
      <c r="BU1726">
        <v>0</v>
      </c>
      <c r="BV1726" t="s">
        <v>135</v>
      </c>
      <c r="BW1726">
        <v>0</v>
      </c>
      <c r="BX1726">
        <v>0</v>
      </c>
      <c r="BY1726" t="s">
        <v>135</v>
      </c>
      <c r="BZ1726">
        <v>0</v>
      </c>
      <c r="CA1726">
        <v>0</v>
      </c>
      <c r="CB1726" t="s">
        <v>135</v>
      </c>
      <c r="CH1726" s="2"/>
      <c r="CJ1726" s="2"/>
      <c r="CL1726" s="2"/>
      <c r="CN1726" s="2"/>
      <c r="CQ1726" s="2"/>
      <c r="CT1726" s="2"/>
      <c r="CW1726" s="2"/>
    </row>
    <row r="1727" spans="1:101" x14ac:dyDescent="0.25">
      <c r="A1727" s="1" t="s">
        <v>163</v>
      </c>
      <c r="B1727" s="75" t="s">
        <v>164</v>
      </c>
      <c r="C1727">
        <v>0</v>
      </c>
      <c r="D1727">
        <v>0</v>
      </c>
      <c r="E1727">
        <v>0</v>
      </c>
      <c r="F1727">
        <v>604324.56000000006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3.91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7490</v>
      </c>
      <c r="AW1727">
        <v>3350</v>
      </c>
      <c r="AX1727">
        <v>1219</v>
      </c>
      <c r="AY1727">
        <v>12059</v>
      </c>
      <c r="AZ1727">
        <v>4202</v>
      </c>
      <c r="BA1727">
        <v>7438</v>
      </c>
      <c r="BB1727">
        <v>1432</v>
      </c>
      <c r="BC1727">
        <v>13072</v>
      </c>
      <c r="BD1727">
        <v>9486</v>
      </c>
      <c r="BE1727">
        <v>9222</v>
      </c>
      <c r="BF1727">
        <v>1768</v>
      </c>
      <c r="BG1727">
        <v>20476</v>
      </c>
      <c r="BH1727">
        <v>0</v>
      </c>
      <c r="BI1727">
        <v>0</v>
      </c>
      <c r="BJ1727">
        <v>0</v>
      </c>
      <c r="BK1727">
        <v>0</v>
      </c>
      <c r="BL1727" s="2">
        <v>24.82</v>
      </c>
      <c r="BM1727" s="2">
        <v>42005.095138888886</v>
      </c>
      <c r="BN1727" s="2">
        <v>5.4</v>
      </c>
      <c r="BO1727" s="2">
        <v>42005.092361111114</v>
      </c>
      <c r="BP1727" s="2">
        <v>6.92</v>
      </c>
      <c r="BQ1727" s="2">
        <v>42005.092361111114</v>
      </c>
      <c r="BR1727" s="2">
        <v>11.07</v>
      </c>
      <c r="BS1727" s="2">
        <v>42005.092361111114</v>
      </c>
      <c r="BT1727">
        <v>0</v>
      </c>
      <c r="BU1727">
        <v>0</v>
      </c>
      <c r="BV1727" t="s">
        <v>135</v>
      </c>
      <c r="BW1727">
        <v>0</v>
      </c>
      <c r="BX1727">
        <v>0</v>
      </c>
      <c r="BY1727" t="s">
        <v>135</v>
      </c>
      <c r="BZ1727">
        <v>0</v>
      </c>
      <c r="CA1727">
        <v>0</v>
      </c>
      <c r="CB1727" t="s">
        <v>135</v>
      </c>
      <c r="CH1727" s="2"/>
      <c r="CJ1727" s="2"/>
      <c r="CL1727" s="2"/>
      <c r="CN1727" s="2"/>
      <c r="CQ1727" s="2"/>
      <c r="CT1727" s="2"/>
      <c r="CW1727" s="2"/>
    </row>
    <row r="1728" spans="1:101" x14ac:dyDescent="0.25">
      <c r="A1728" s="1" t="s">
        <v>163</v>
      </c>
      <c r="B1728" s="75" t="s">
        <v>164</v>
      </c>
      <c r="C1728">
        <v>0</v>
      </c>
      <c r="D1728">
        <v>0</v>
      </c>
      <c r="E1728">
        <v>0</v>
      </c>
      <c r="F1728">
        <v>604324.56000000006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3.91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7490</v>
      </c>
      <c r="AW1728">
        <v>3350</v>
      </c>
      <c r="AX1728">
        <v>1219</v>
      </c>
      <c r="AY1728">
        <v>12059</v>
      </c>
      <c r="AZ1728">
        <v>4202</v>
      </c>
      <c r="BA1728">
        <v>7438</v>
      </c>
      <c r="BB1728">
        <v>1432</v>
      </c>
      <c r="BC1728">
        <v>13072</v>
      </c>
      <c r="BD1728">
        <v>9486</v>
      </c>
      <c r="BE1728">
        <v>9222</v>
      </c>
      <c r="BF1728">
        <v>1768</v>
      </c>
      <c r="BG1728">
        <v>20476</v>
      </c>
      <c r="BH1728">
        <v>0</v>
      </c>
      <c r="BI1728">
        <v>0</v>
      </c>
      <c r="BJ1728">
        <v>0</v>
      </c>
      <c r="BK1728">
        <v>0</v>
      </c>
      <c r="BL1728" s="2">
        <v>24.82</v>
      </c>
      <c r="BM1728" s="2">
        <v>42005.095138888886</v>
      </c>
      <c r="BN1728" s="2">
        <v>5.4</v>
      </c>
      <c r="BO1728" s="2">
        <v>42005.092361111114</v>
      </c>
      <c r="BP1728" s="2">
        <v>6.92</v>
      </c>
      <c r="BQ1728" s="2">
        <v>42005.092361111114</v>
      </c>
      <c r="BR1728" s="2">
        <v>11.07</v>
      </c>
      <c r="BS1728" s="2">
        <v>42005.092361111114</v>
      </c>
      <c r="BT1728">
        <v>0</v>
      </c>
      <c r="BU1728">
        <v>0</v>
      </c>
      <c r="BV1728" t="s">
        <v>135</v>
      </c>
      <c r="BW1728">
        <v>0</v>
      </c>
      <c r="BX1728">
        <v>0</v>
      </c>
      <c r="BY1728" t="s">
        <v>135</v>
      </c>
      <c r="BZ1728">
        <v>0</v>
      </c>
      <c r="CA1728">
        <v>0</v>
      </c>
      <c r="CB1728" t="s">
        <v>135</v>
      </c>
      <c r="CH1728" s="2"/>
      <c r="CJ1728" s="2"/>
      <c r="CL1728" s="2"/>
      <c r="CN1728" s="2"/>
      <c r="CQ1728" s="2"/>
      <c r="CT1728" s="2"/>
      <c r="CW1728" s="2"/>
    </row>
    <row r="1729" spans="1:101" x14ac:dyDescent="0.25">
      <c r="A1729" s="1" t="s">
        <v>163</v>
      </c>
      <c r="B1729" s="75" t="s">
        <v>164</v>
      </c>
      <c r="C1729">
        <v>0</v>
      </c>
      <c r="D1729">
        <v>0</v>
      </c>
      <c r="E1729">
        <v>0</v>
      </c>
      <c r="F1729">
        <v>604324.56000000006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3.91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7490</v>
      </c>
      <c r="AW1729">
        <v>3350</v>
      </c>
      <c r="AX1729">
        <v>1219</v>
      </c>
      <c r="AY1729">
        <v>12059</v>
      </c>
      <c r="AZ1729">
        <v>4202</v>
      </c>
      <c r="BA1729">
        <v>7438</v>
      </c>
      <c r="BB1729">
        <v>1432</v>
      </c>
      <c r="BC1729">
        <v>13072</v>
      </c>
      <c r="BD1729">
        <v>9486</v>
      </c>
      <c r="BE1729">
        <v>9222</v>
      </c>
      <c r="BF1729">
        <v>1768</v>
      </c>
      <c r="BG1729">
        <v>20476</v>
      </c>
      <c r="BH1729">
        <v>0</v>
      </c>
      <c r="BI1729">
        <v>0</v>
      </c>
      <c r="BJ1729">
        <v>0</v>
      </c>
      <c r="BK1729">
        <v>0</v>
      </c>
      <c r="BL1729" s="2">
        <v>24.82</v>
      </c>
      <c r="BM1729" s="2">
        <v>42005.095138888886</v>
      </c>
      <c r="BN1729" s="2">
        <v>5.4</v>
      </c>
      <c r="BO1729" s="2">
        <v>42005.092361111114</v>
      </c>
      <c r="BP1729" s="2">
        <v>6.92</v>
      </c>
      <c r="BQ1729" s="2">
        <v>42005.092361111114</v>
      </c>
      <c r="BR1729" s="2">
        <v>11.07</v>
      </c>
      <c r="BS1729" s="2">
        <v>42005.092361111114</v>
      </c>
      <c r="BT1729">
        <v>0</v>
      </c>
      <c r="BU1729">
        <v>0</v>
      </c>
      <c r="BV1729" t="s">
        <v>135</v>
      </c>
      <c r="BW1729">
        <v>0</v>
      </c>
      <c r="BX1729">
        <v>0</v>
      </c>
      <c r="BY1729" t="s">
        <v>135</v>
      </c>
      <c r="BZ1729">
        <v>0</v>
      </c>
      <c r="CA1729">
        <v>0</v>
      </c>
      <c r="CB1729" t="s">
        <v>135</v>
      </c>
      <c r="CH1729" s="2"/>
      <c r="CJ1729" s="2"/>
      <c r="CL1729" s="2"/>
      <c r="CN1729" s="2"/>
      <c r="CQ1729" s="2"/>
      <c r="CT1729" s="2"/>
      <c r="CW1729" s="2"/>
    </row>
    <row r="1730" spans="1:101" x14ac:dyDescent="0.25">
      <c r="A1730" s="1" t="s">
        <v>163</v>
      </c>
      <c r="B1730" s="75" t="s">
        <v>164</v>
      </c>
      <c r="C1730">
        <v>0</v>
      </c>
      <c r="D1730">
        <v>0</v>
      </c>
      <c r="E1730">
        <v>0</v>
      </c>
      <c r="F1730">
        <v>604324.56000000006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3.91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7490</v>
      </c>
      <c r="AW1730">
        <v>3350</v>
      </c>
      <c r="AX1730">
        <v>1219</v>
      </c>
      <c r="AY1730">
        <v>12059</v>
      </c>
      <c r="AZ1730">
        <v>4202</v>
      </c>
      <c r="BA1730">
        <v>7438</v>
      </c>
      <c r="BB1730">
        <v>1432</v>
      </c>
      <c r="BC1730">
        <v>13072</v>
      </c>
      <c r="BD1730">
        <v>9486</v>
      </c>
      <c r="BE1730">
        <v>9222</v>
      </c>
      <c r="BF1730">
        <v>1768</v>
      </c>
      <c r="BG1730">
        <v>20476</v>
      </c>
      <c r="BH1730">
        <v>0</v>
      </c>
      <c r="BI1730">
        <v>0</v>
      </c>
      <c r="BJ1730">
        <v>0</v>
      </c>
      <c r="BK1730">
        <v>0</v>
      </c>
      <c r="BL1730" s="2">
        <v>24.82</v>
      </c>
      <c r="BM1730" s="2">
        <v>42005.095138888886</v>
      </c>
      <c r="BN1730" s="2">
        <v>5.4</v>
      </c>
      <c r="BO1730" s="2">
        <v>42005.092361111114</v>
      </c>
      <c r="BP1730" s="2">
        <v>6.92</v>
      </c>
      <c r="BQ1730" s="2">
        <v>42005.092361111114</v>
      </c>
      <c r="BR1730" s="2">
        <v>11.07</v>
      </c>
      <c r="BS1730" s="2">
        <v>42005.092361111114</v>
      </c>
      <c r="BT1730">
        <v>0</v>
      </c>
      <c r="BU1730">
        <v>0</v>
      </c>
      <c r="BV1730" t="s">
        <v>135</v>
      </c>
      <c r="BW1730">
        <v>0</v>
      </c>
      <c r="BX1730">
        <v>0</v>
      </c>
      <c r="BY1730" t="s">
        <v>135</v>
      </c>
      <c r="BZ1730">
        <v>0</v>
      </c>
      <c r="CA1730">
        <v>0</v>
      </c>
      <c r="CB1730" t="s">
        <v>135</v>
      </c>
      <c r="CH1730" s="2"/>
      <c r="CJ1730" s="2"/>
      <c r="CL1730" s="2"/>
      <c r="CN1730" s="2"/>
      <c r="CQ1730" s="2"/>
      <c r="CT1730" s="2"/>
      <c r="CW1730" s="2"/>
    </row>
    <row r="1731" spans="1:101" x14ac:dyDescent="0.25">
      <c r="A1731" s="1" t="s">
        <v>163</v>
      </c>
      <c r="B1731" s="75" t="s">
        <v>164</v>
      </c>
      <c r="C1731">
        <v>0</v>
      </c>
      <c r="D1731">
        <v>0</v>
      </c>
      <c r="E1731">
        <v>0</v>
      </c>
      <c r="F1731">
        <v>604324.56000000006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3.91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7490</v>
      </c>
      <c r="AW1731">
        <v>3350</v>
      </c>
      <c r="AX1731">
        <v>1219</v>
      </c>
      <c r="AY1731">
        <v>12059</v>
      </c>
      <c r="AZ1731">
        <v>4202</v>
      </c>
      <c r="BA1731">
        <v>7438</v>
      </c>
      <c r="BB1731">
        <v>1432</v>
      </c>
      <c r="BC1731">
        <v>13072</v>
      </c>
      <c r="BD1731">
        <v>9486</v>
      </c>
      <c r="BE1731">
        <v>9222</v>
      </c>
      <c r="BF1731">
        <v>1768</v>
      </c>
      <c r="BG1731">
        <v>20476</v>
      </c>
      <c r="BH1731">
        <v>0</v>
      </c>
      <c r="BI1731">
        <v>0</v>
      </c>
      <c r="BJ1731">
        <v>0</v>
      </c>
      <c r="BK1731">
        <v>0</v>
      </c>
      <c r="BL1731" s="2">
        <v>24.82</v>
      </c>
      <c r="BM1731" s="2">
        <v>42005.095138888886</v>
      </c>
      <c r="BN1731" s="2">
        <v>5.4</v>
      </c>
      <c r="BO1731" s="2">
        <v>42005.092361111114</v>
      </c>
      <c r="BP1731" s="2">
        <v>6.92</v>
      </c>
      <c r="BQ1731" s="2">
        <v>42005.092361111114</v>
      </c>
      <c r="BR1731" s="2">
        <v>11.07</v>
      </c>
      <c r="BS1731" s="2">
        <v>42005.092361111114</v>
      </c>
      <c r="BT1731">
        <v>0</v>
      </c>
      <c r="BU1731">
        <v>0</v>
      </c>
      <c r="BV1731" t="s">
        <v>135</v>
      </c>
      <c r="BW1731">
        <v>0</v>
      </c>
      <c r="BX1731">
        <v>0</v>
      </c>
      <c r="BY1731" t="s">
        <v>135</v>
      </c>
      <c r="BZ1731">
        <v>0</v>
      </c>
      <c r="CA1731">
        <v>0</v>
      </c>
      <c r="CB1731" t="s">
        <v>135</v>
      </c>
      <c r="CH1731" s="2"/>
      <c r="CJ1731" s="2"/>
      <c r="CL1731" s="2"/>
      <c r="CN1731" s="2"/>
      <c r="CQ1731" s="2"/>
      <c r="CT1731" s="2"/>
      <c r="CW1731" s="2"/>
    </row>
    <row r="1732" spans="1:101" x14ac:dyDescent="0.25">
      <c r="A1732" s="1" t="s">
        <v>163</v>
      </c>
      <c r="B1732" s="75" t="s">
        <v>164</v>
      </c>
      <c r="C1732">
        <v>0</v>
      </c>
      <c r="D1732">
        <v>0</v>
      </c>
      <c r="E1732">
        <v>0</v>
      </c>
      <c r="F1732">
        <v>604324.56000000006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3.91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7490</v>
      </c>
      <c r="AW1732">
        <v>3350</v>
      </c>
      <c r="AX1732">
        <v>1219</v>
      </c>
      <c r="AY1732">
        <v>12059</v>
      </c>
      <c r="AZ1732">
        <v>4202</v>
      </c>
      <c r="BA1732">
        <v>7438</v>
      </c>
      <c r="BB1732">
        <v>1432</v>
      </c>
      <c r="BC1732">
        <v>13072</v>
      </c>
      <c r="BD1732">
        <v>9486</v>
      </c>
      <c r="BE1732">
        <v>9222</v>
      </c>
      <c r="BF1732">
        <v>1768</v>
      </c>
      <c r="BG1732">
        <v>20476</v>
      </c>
      <c r="BH1732">
        <v>0</v>
      </c>
      <c r="BI1732">
        <v>0</v>
      </c>
      <c r="BJ1732">
        <v>0</v>
      </c>
      <c r="BK1732">
        <v>0</v>
      </c>
      <c r="BL1732" s="2">
        <v>24.82</v>
      </c>
      <c r="BM1732" s="2">
        <v>42005.095138888886</v>
      </c>
      <c r="BN1732" s="2">
        <v>5.4</v>
      </c>
      <c r="BO1732" s="2">
        <v>42005.092361111114</v>
      </c>
      <c r="BP1732" s="2">
        <v>6.92</v>
      </c>
      <c r="BQ1732" s="2">
        <v>42005.092361111114</v>
      </c>
      <c r="BR1732" s="2">
        <v>11.07</v>
      </c>
      <c r="BS1732" s="2">
        <v>42005.092361111114</v>
      </c>
      <c r="BT1732">
        <v>0</v>
      </c>
      <c r="BU1732">
        <v>0</v>
      </c>
      <c r="BV1732" t="s">
        <v>135</v>
      </c>
      <c r="BW1732">
        <v>0</v>
      </c>
      <c r="BX1732">
        <v>0</v>
      </c>
      <c r="BY1732" t="s">
        <v>135</v>
      </c>
      <c r="BZ1732">
        <v>0</v>
      </c>
      <c r="CA1732">
        <v>0</v>
      </c>
      <c r="CB1732" t="s">
        <v>135</v>
      </c>
      <c r="CH1732" s="2"/>
      <c r="CJ1732" s="2"/>
      <c r="CL1732" s="2"/>
      <c r="CN1732" s="2"/>
      <c r="CQ1732" s="2"/>
      <c r="CT1732" s="2"/>
      <c r="CW1732" s="2"/>
    </row>
    <row r="1733" spans="1:101" x14ac:dyDescent="0.25">
      <c r="A1733" s="1" t="s">
        <v>163</v>
      </c>
      <c r="B1733" s="75" t="s">
        <v>164</v>
      </c>
      <c r="C1733">
        <v>0</v>
      </c>
      <c r="D1733">
        <v>0</v>
      </c>
      <c r="E1733">
        <v>0</v>
      </c>
      <c r="F1733">
        <v>604324.56000000006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3.91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7490</v>
      </c>
      <c r="AW1733">
        <v>3350</v>
      </c>
      <c r="AX1733">
        <v>1219</v>
      </c>
      <c r="AY1733">
        <v>12059</v>
      </c>
      <c r="AZ1733">
        <v>4202</v>
      </c>
      <c r="BA1733">
        <v>7438</v>
      </c>
      <c r="BB1733">
        <v>1432</v>
      </c>
      <c r="BC1733">
        <v>13072</v>
      </c>
      <c r="BD1733">
        <v>9486</v>
      </c>
      <c r="BE1733">
        <v>9222</v>
      </c>
      <c r="BF1733">
        <v>1768</v>
      </c>
      <c r="BG1733">
        <v>20476</v>
      </c>
      <c r="BH1733">
        <v>0</v>
      </c>
      <c r="BI1733">
        <v>0</v>
      </c>
      <c r="BJ1733">
        <v>0</v>
      </c>
      <c r="BK1733">
        <v>0</v>
      </c>
      <c r="BL1733" s="2">
        <v>24.82</v>
      </c>
      <c r="BM1733" s="2">
        <v>42005.095138888886</v>
      </c>
      <c r="BN1733" s="2">
        <v>5.4</v>
      </c>
      <c r="BO1733" s="2">
        <v>42005.092361111114</v>
      </c>
      <c r="BP1733" s="2">
        <v>6.92</v>
      </c>
      <c r="BQ1733" s="2">
        <v>42005.092361111114</v>
      </c>
      <c r="BR1733" s="2">
        <v>11.07</v>
      </c>
      <c r="BS1733" s="2">
        <v>42005.092361111114</v>
      </c>
      <c r="BT1733">
        <v>0</v>
      </c>
      <c r="BU1733">
        <v>0</v>
      </c>
      <c r="BV1733" t="s">
        <v>135</v>
      </c>
      <c r="BW1733">
        <v>0</v>
      </c>
      <c r="BX1733">
        <v>0</v>
      </c>
      <c r="BY1733" t="s">
        <v>135</v>
      </c>
      <c r="BZ1733">
        <v>0</v>
      </c>
      <c r="CA1733">
        <v>0</v>
      </c>
      <c r="CB1733" t="s">
        <v>135</v>
      </c>
      <c r="CH1733" s="2"/>
      <c r="CJ1733" s="2"/>
      <c r="CL1733" s="2"/>
      <c r="CN1733" s="2"/>
      <c r="CQ1733" s="2"/>
      <c r="CT1733" s="2"/>
      <c r="CW1733" s="2"/>
    </row>
    <row r="1734" spans="1:101" x14ac:dyDescent="0.25">
      <c r="A1734" s="1" t="s">
        <v>163</v>
      </c>
      <c r="B1734" s="75" t="s">
        <v>164</v>
      </c>
      <c r="C1734">
        <v>0</v>
      </c>
      <c r="D1734">
        <v>0</v>
      </c>
      <c r="E1734">
        <v>0</v>
      </c>
      <c r="F1734">
        <v>604324.56000000006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3.91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7490</v>
      </c>
      <c r="AW1734">
        <v>3350</v>
      </c>
      <c r="AX1734">
        <v>1219</v>
      </c>
      <c r="AY1734">
        <v>12059</v>
      </c>
      <c r="AZ1734">
        <v>4202</v>
      </c>
      <c r="BA1734">
        <v>7438</v>
      </c>
      <c r="BB1734">
        <v>1432</v>
      </c>
      <c r="BC1734">
        <v>13072</v>
      </c>
      <c r="BD1734">
        <v>9486</v>
      </c>
      <c r="BE1734">
        <v>9222</v>
      </c>
      <c r="BF1734">
        <v>1768</v>
      </c>
      <c r="BG1734">
        <v>20476</v>
      </c>
      <c r="BH1734">
        <v>0</v>
      </c>
      <c r="BI1734">
        <v>0</v>
      </c>
      <c r="BJ1734">
        <v>0</v>
      </c>
      <c r="BK1734">
        <v>0</v>
      </c>
      <c r="BL1734" s="2">
        <v>24.82</v>
      </c>
      <c r="BM1734" s="2">
        <v>42005.095138888886</v>
      </c>
      <c r="BN1734" s="2">
        <v>5.4</v>
      </c>
      <c r="BO1734" s="2">
        <v>42005.092361111114</v>
      </c>
      <c r="BP1734" s="2">
        <v>6.92</v>
      </c>
      <c r="BQ1734" s="2">
        <v>42005.092361111114</v>
      </c>
      <c r="BR1734" s="2">
        <v>11.07</v>
      </c>
      <c r="BS1734" s="2">
        <v>42005.092361111114</v>
      </c>
      <c r="BT1734">
        <v>0</v>
      </c>
      <c r="BU1734">
        <v>0</v>
      </c>
      <c r="BV1734" t="s">
        <v>135</v>
      </c>
      <c r="BW1734">
        <v>0</v>
      </c>
      <c r="BX1734">
        <v>0</v>
      </c>
      <c r="BY1734" t="s">
        <v>135</v>
      </c>
      <c r="BZ1734">
        <v>0</v>
      </c>
      <c r="CA1734">
        <v>0</v>
      </c>
      <c r="CB1734" t="s">
        <v>135</v>
      </c>
      <c r="CH1734" s="2"/>
      <c r="CJ1734" s="2"/>
      <c r="CL1734" s="2"/>
      <c r="CN1734" s="2"/>
      <c r="CQ1734" s="2"/>
      <c r="CT1734" s="2"/>
      <c r="CW1734" s="2"/>
    </row>
    <row r="1735" spans="1:101" x14ac:dyDescent="0.25">
      <c r="A1735" s="1" t="s">
        <v>163</v>
      </c>
      <c r="B1735" s="75" t="s">
        <v>164</v>
      </c>
      <c r="C1735">
        <v>0</v>
      </c>
      <c r="D1735">
        <v>0</v>
      </c>
      <c r="E1735">
        <v>0</v>
      </c>
      <c r="F1735">
        <v>604324.56000000006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3.91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7490</v>
      </c>
      <c r="AW1735">
        <v>3350</v>
      </c>
      <c r="AX1735">
        <v>1219</v>
      </c>
      <c r="AY1735">
        <v>12059</v>
      </c>
      <c r="AZ1735">
        <v>4202</v>
      </c>
      <c r="BA1735">
        <v>7438</v>
      </c>
      <c r="BB1735">
        <v>1432</v>
      </c>
      <c r="BC1735">
        <v>13072</v>
      </c>
      <c r="BD1735">
        <v>9486</v>
      </c>
      <c r="BE1735">
        <v>9222</v>
      </c>
      <c r="BF1735">
        <v>1768</v>
      </c>
      <c r="BG1735">
        <v>20476</v>
      </c>
      <c r="BH1735">
        <v>0</v>
      </c>
      <c r="BI1735">
        <v>0</v>
      </c>
      <c r="BJ1735">
        <v>0</v>
      </c>
      <c r="BK1735">
        <v>0</v>
      </c>
      <c r="BL1735" s="2">
        <v>24.82</v>
      </c>
      <c r="BM1735" s="2">
        <v>42005.095138888886</v>
      </c>
      <c r="BN1735" s="2">
        <v>5.4</v>
      </c>
      <c r="BO1735" s="2">
        <v>42005.092361111114</v>
      </c>
      <c r="BP1735" s="2">
        <v>6.92</v>
      </c>
      <c r="BQ1735" s="2">
        <v>42005.092361111114</v>
      </c>
      <c r="BR1735" s="2">
        <v>11.07</v>
      </c>
      <c r="BS1735" s="2">
        <v>42005.092361111114</v>
      </c>
      <c r="BT1735">
        <v>0</v>
      </c>
      <c r="BU1735">
        <v>0</v>
      </c>
      <c r="BV1735" t="s">
        <v>135</v>
      </c>
      <c r="BW1735">
        <v>0</v>
      </c>
      <c r="BX1735">
        <v>0</v>
      </c>
      <c r="BY1735" t="s">
        <v>135</v>
      </c>
      <c r="BZ1735">
        <v>0</v>
      </c>
      <c r="CA1735">
        <v>0</v>
      </c>
      <c r="CB1735" t="s">
        <v>135</v>
      </c>
      <c r="CH1735" s="2"/>
      <c r="CJ1735" s="2"/>
      <c r="CL1735" s="2"/>
      <c r="CN1735" s="2"/>
      <c r="CQ1735" s="2"/>
      <c r="CT1735" s="2"/>
      <c r="CW1735" s="2"/>
    </row>
    <row r="1736" spans="1:101" x14ac:dyDescent="0.25">
      <c r="A1736" s="1" t="s">
        <v>163</v>
      </c>
      <c r="B1736" s="75" t="s">
        <v>164</v>
      </c>
      <c r="C1736">
        <v>0</v>
      </c>
      <c r="D1736">
        <v>0</v>
      </c>
      <c r="E1736">
        <v>0</v>
      </c>
      <c r="F1736">
        <v>604324.56000000006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3.91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7490</v>
      </c>
      <c r="AW1736">
        <v>3350</v>
      </c>
      <c r="AX1736">
        <v>1219</v>
      </c>
      <c r="AY1736">
        <v>12059</v>
      </c>
      <c r="AZ1736">
        <v>4202</v>
      </c>
      <c r="BA1736">
        <v>7438</v>
      </c>
      <c r="BB1736">
        <v>1432</v>
      </c>
      <c r="BC1736">
        <v>13072</v>
      </c>
      <c r="BD1736">
        <v>9486</v>
      </c>
      <c r="BE1736">
        <v>9222</v>
      </c>
      <c r="BF1736">
        <v>1768</v>
      </c>
      <c r="BG1736">
        <v>20476</v>
      </c>
      <c r="BH1736">
        <v>0</v>
      </c>
      <c r="BI1736">
        <v>0</v>
      </c>
      <c r="BJ1736">
        <v>0</v>
      </c>
      <c r="BK1736">
        <v>0</v>
      </c>
      <c r="BL1736" s="2">
        <v>24.82</v>
      </c>
      <c r="BM1736" s="2">
        <v>42005.095138888886</v>
      </c>
      <c r="BN1736" s="2">
        <v>5.4</v>
      </c>
      <c r="BO1736" s="2">
        <v>42005.092361111114</v>
      </c>
      <c r="BP1736" s="2">
        <v>6.92</v>
      </c>
      <c r="BQ1736" s="2">
        <v>42005.092361111114</v>
      </c>
      <c r="BR1736" s="2">
        <v>11.07</v>
      </c>
      <c r="BS1736" s="2">
        <v>42005.092361111114</v>
      </c>
      <c r="BT1736">
        <v>0</v>
      </c>
      <c r="BU1736">
        <v>0</v>
      </c>
      <c r="BV1736" t="s">
        <v>135</v>
      </c>
      <c r="BW1736">
        <v>0</v>
      </c>
      <c r="BX1736">
        <v>0</v>
      </c>
      <c r="BY1736" t="s">
        <v>135</v>
      </c>
      <c r="BZ1736">
        <v>0</v>
      </c>
      <c r="CA1736">
        <v>0</v>
      </c>
      <c r="CB1736" t="s">
        <v>135</v>
      </c>
      <c r="CH1736" s="2"/>
      <c r="CJ1736" s="2"/>
      <c r="CL1736" s="2"/>
      <c r="CN1736" s="2"/>
      <c r="CQ1736" s="2"/>
      <c r="CT1736" s="2"/>
      <c r="CW1736" s="2"/>
    </row>
    <row r="1737" spans="1:101" x14ac:dyDescent="0.25">
      <c r="A1737" s="1" t="s">
        <v>163</v>
      </c>
      <c r="B1737" s="75" t="s">
        <v>164</v>
      </c>
      <c r="C1737">
        <v>0</v>
      </c>
      <c r="D1737">
        <v>0</v>
      </c>
      <c r="E1737">
        <v>0</v>
      </c>
      <c r="F1737">
        <v>604324.56000000006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3.91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7490</v>
      </c>
      <c r="AW1737">
        <v>3350</v>
      </c>
      <c r="AX1737">
        <v>1219</v>
      </c>
      <c r="AY1737">
        <v>12059</v>
      </c>
      <c r="AZ1737">
        <v>4202</v>
      </c>
      <c r="BA1737">
        <v>7438</v>
      </c>
      <c r="BB1737">
        <v>1432</v>
      </c>
      <c r="BC1737">
        <v>13072</v>
      </c>
      <c r="BD1737">
        <v>9486</v>
      </c>
      <c r="BE1737">
        <v>9222</v>
      </c>
      <c r="BF1737">
        <v>1768</v>
      </c>
      <c r="BG1737">
        <v>20476</v>
      </c>
      <c r="BH1737">
        <v>0</v>
      </c>
      <c r="BI1737">
        <v>0</v>
      </c>
      <c r="BJ1737">
        <v>0</v>
      </c>
      <c r="BK1737">
        <v>0</v>
      </c>
      <c r="BL1737" s="2">
        <v>24.82</v>
      </c>
      <c r="BM1737" s="2">
        <v>42005.095138888886</v>
      </c>
      <c r="BN1737" s="2">
        <v>5.4</v>
      </c>
      <c r="BO1737" s="2">
        <v>42005.092361111114</v>
      </c>
      <c r="BP1737" s="2">
        <v>6.92</v>
      </c>
      <c r="BQ1737" s="2">
        <v>42005.092361111114</v>
      </c>
      <c r="BR1737" s="2">
        <v>11.07</v>
      </c>
      <c r="BS1737" s="2">
        <v>42005.092361111114</v>
      </c>
      <c r="BT1737">
        <v>0</v>
      </c>
      <c r="BU1737">
        <v>0</v>
      </c>
      <c r="BV1737" t="s">
        <v>135</v>
      </c>
      <c r="BW1737">
        <v>0</v>
      </c>
      <c r="BX1737">
        <v>0</v>
      </c>
      <c r="BY1737" t="s">
        <v>135</v>
      </c>
      <c r="BZ1737">
        <v>0</v>
      </c>
      <c r="CA1737">
        <v>0</v>
      </c>
      <c r="CB1737" t="s">
        <v>135</v>
      </c>
      <c r="CH1737" s="2"/>
      <c r="CJ1737" s="2"/>
      <c r="CL1737" s="2"/>
      <c r="CN1737" s="2"/>
      <c r="CQ1737" s="2"/>
      <c r="CT1737" s="2"/>
      <c r="CW1737" s="2"/>
    </row>
    <row r="1738" spans="1:101" x14ac:dyDescent="0.25">
      <c r="A1738" s="1" t="s">
        <v>163</v>
      </c>
      <c r="B1738" s="75" t="s">
        <v>164</v>
      </c>
      <c r="C1738">
        <v>0</v>
      </c>
      <c r="D1738">
        <v>0</v>
      </c>
      <c r="E1738">
        <v>0</v>
      </c>
      <c r="F1738">
        <v>604324.56000000006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3.91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7490</v>
      </c>
      <c r="AW1738">
        <v>3350</v>
      </c>
      <c r="AX1738">
        <v>1219</v>
      </c>
      <c r="AY1738">
        <v>12059</v>
      </c>
      <c r="AZ1738">
        <v>4202</v>
      </c>
      <c r="BA1738">
        <v>7438</v>
      </c>
      <c r="BB1738">
        <v>1432</v>
      </c>
      <c r="BC1738">
        <v>13072</v>
      </c>
      <c r="BD1738">
        <v>9486</v>
      </c>
      <c r="BE1738">
        <v>9222</v>
      </c>
      <c r="BF1738">
        <v>1768</v>
      </c>
      <c r="BG1738">
        <v>20476</v>
      </c>
      <c r="BH1738">
        <v>0</v>
      </c>
      <c r="BI1738">
        <v>0</v>
      </c>
      <c r="BJ1738">
        <v>0</v>
      </c>
      <c r="BK1738">
        <v>0</v>
      </c>
      <c r="BL1738" s="2">
        <v>24.82</v>
      </c>
      <c r="BM1738" s="2">
        <v>42005.095138888886</v>
      </c>
      <c r="BN1738" s="2">
        <v>5.4</v>
      </c>
      <c r="BO1738" s="2">
        <v>42005.092361111114</v>
      </c>
      <c r="BP1738" s="2">
        <v>6.92</v>
      </c>
      <c r="BQ1738" s="2">
        <v>42005.092361111114</v>
      </c>
      <c r="BR1738" s="2">
        <v>11.07</v>
      </c>
      <c r="BS1738" s="2">
        <v>42005.092361111114</v>
      </c>
      <c r="BT1738">
        <v>0</v>
      </c>
      <c r="BU1738">
        <v>0</v>
      </c>
      <c r="BV1738" t="s">
        <v>135</v>
      </c>
      <c r="BW1738">
        <v>0</v>
      </c>
      <c r="BX1738">
        <v>0</v>
      </c>
      <c r="BY1738" t="s">
        <v>135</v>
      </c>
      <c r="BZ1738">
        <v>0</v>
      </c>
      <c r="CA1738">
        <v>0</v>
      </c>
      <c r="CB1738" t="s">
        <v>135</v>
      </c>
      <c r="CH1738" s="2"/>
      <c r="CJ1738" s="2"/>
      <c r="CL1738" s="2"/>
      <c r="CN1738" s="2"/>
      <c r="CQ1738" s="2"/>
      <c r="CT1738" s="2"/>
      <c r="CW1738" s="2"/>
    </row>
    <row r="1739" spans="1:101" x14ac:dyDescent="0.25">
      <c r="A1739" s="1" t="s">
        <v>163</v>
      </c>
      <c r="B1739" s="75" t="s">
        <v>164</v>
      </c>
      <c r="C1739">
        <v>0</v>
      </c>
      <c r="D1739">
        <v>0</v>
      </c>
      <c r="E1739">
        <v>0</v>
      </c>
      <c r="F1739">
        <v>604324.56000000006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3.91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7490</v>
      </c>
      <c r="AW1739">
        <v>3350</v>
      </c>
      <c r="AX1739">
        <v>1219</v>
      </c>
      <c r="AY1739">
        <v>12059</v>
      </c>
      <c r="AZ1739">
        <v>4202</v>
      </c>
      <c r="BA1739">
        <v>7438</v>
      </c>
      <c r="BB1739">
        <v>1432</v>
      </c>
      <c r="BC1739">
        <v>13072</v>
      </c>
      <c r="BD1739">
        <v>9486</v>
      </c>
      <c r="BE1739">
        <v>9222</v>
      </c>
      <c r="BF1739">
        <v>1768</v>
      </c>
      <c r="BG1739">
        <v>20476</v>
      </c>
      <c r="BH1739">
        <v>0</v>
      </c>
      <c r="BI1739">
        <v>0</v>
      </c>
      <c r="BJ1739">
        <v>0</v>
      </c>
      <c r="BK1739">
        <v>0</v>
      </c>
      <c r="BL1739" s="2">
        <v>24.82</v>
      </c>
      <c r="BM1739" s="2">
        <v>42005.095138888886</v>
      </c>
      <c r="BN1739" s="2">
        <v>5.4</v>
      </c>
      <c r="BO1739" s="2">
        <v>42005.092361111114</v>
      </c>
      <c r="BP1739" s="2">
        <v>6.92</v>
      </c>
      <c r="BQ1739" s="2">
        <v>42005.092361111114</v>
      </c>
      <c r="BR1739" s="2">
        <v>11.07</v>
      </c>
      <c r="BS1739" s="2">
        <v>42005.092361111114</v>
      </c>
      <c r="BT1739">
        <v>0</v>
      </c>
      <c r="BU1739">
        <v>0</v>
      </c>
      <c r="BV1739" t="s">
        <v>135</v>
      </c>
      <c r="BW1739">
        <v>0</v>
      </c>
      <c r="BX1739">
        <v>0</v>
      </c>
      <c r="BY1739" t="s">
        <v>135</v>
      </c>
      <c r="BZ1739">
        <v>0</v>
      </c>
      <c r="CA1739">
        <v>0</v>
      </c>
      <c r="CB1739" t="s">
        <v>135</v>
      </c>
      <c r="CH1739" s="2"/>
      <c r="CJ1739" s="2"/>
      <c r="CL1739" s="2"/>
      <c r="CN1739" s="2"/>
      <c r="CQ1739" s="2"/>
      <c r="CT1739" s="2"/>
      <c r="CW1739" s="2"/>
    </row>
    <row r="1740" spans="1:101" x14ac:dyDescent="0.25">
      <c r="A1740" s="1" t="s">
        <v>163</v>
      </c>
      <c r="B1740" s="75" t="s">
        <v>164</v>
      </c>
      <c r="C1740">
        <v>0</v>
      </c>
      <c r="D1740">
        <v>0</v>
      </c>
      <c r="E1740">
        <v>0</v>
      </c>
      <c r="F1740">
        <v>604324.56000000006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3.91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7490</v>
      </c>
      <c r="AW1740">
        <v>3350</v>
      </c>
      <c r="AX1740">
        <v>1219</v>
      </c>
      <c r="AY1740">
        <v>12059</v>
      </c>
      <c r="AZ1740">
        <v>4202</v>
      </c>
      <c r="BA1740">
        <v>7438</v>
      </c>
      <c r="BB1740">
        <v>1432</v>
      </c>
      <c r="BC1740">
        <v>13072</v>
      </c>
      <c r="BD1740">
        <v>9486</v>
      </c>
      <c r="BE1740">
        <v>9222</v>
      </c>
      <c r="BF1740">
        <v>1768</v>
      </c>
      <c r="BG1740">
        <v>20476</v>
      </c>
      <c r="BH1740">
        <v>0</v>
      </c>
      <c r="BI1740">
        <v>0</v>
      </c>
      <c r="BJ1740">
        <v>0</v>
      </c>
      <c r="BK1740">
        <v>0</v>
      </c>
      <c r="BL1740" s="2">
        <v>24.82</v>
      </c>
      <c r="BM1740" s="2">
        <v>42005.095138888886</v>
      </c>
      <c r="BN1740" s="2">
        <v>5.4</v>
      </c>
      <c r="BO1740" s="2">
        <v>42005.092361111114</v>
      </c>
      <c r="BP1740" s="2">
        <v>6.92</v>
      </c>
      <c r="BQ1740" s="2">
        <v>42005.092361111114</v>
      </c>
      <c r="BR1740" s="2">
        <v>11.07</v>
      </c>
      <c r="BS1740" s="2">
        <v>42005.092361111114</v>
      </c>
      <c r="BT1740">
        <v>0</v>
      </c>
      <c r="BU1740">
        <v>0</v>
      </c>
      <c r="BV1740" t="s">
        <v>135</v>
      </c>
      <c r="BW1740">
        <v>0</v>
      </c>
      <c r="BX1740">
        <v>0</v>
      </c>
      <c r="BY1740" t="s">
        <v>135</v>
      </c>
      <c r="BZ1740">
        <v>0</v>
      </c>
      <c r="CA1740">
        <v>0</v>
      </c>
      <c r="CB1740" t="s">
        <v>135</v>
      </c>
      <c r="CH1740" s="2"/>
      <c r="CJ1740" s="2"/>
      <c r="CL1740" s="2"/>
      <c r="CN1740" s="2"/>
      <c r="CQ1740" s="2"/>
      <c r="CT1740" s="2"/>
      <c r="CW1740" s="2"/>
    </row>
    <row r="1741" spans="1:101" x14ac:dyDescent="0.25">
      <c r="A1741" s="1" t="s">
        <v>163</v>
      </c>
      <c r="B1741" s="75" t="s">
        <v>164</v>
      </c>
      <c r="C1741">
        <v>0</v>
      </c>
      <c r="D1741">
        <v>0</v>
      </c>
      <c r="E1741">
        <v>0</v>
      </c>
      <c r="F1741">
        <v>604324.56000000006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3.91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7490</v>
      </c>
      <c r="AW1741">
        <v>3350</v>
      </c>
      <c r="AX1741">
        <v>1219</v>
      </c>
      <c r="AY1741">
        <v>12059</v>
      </c>
      <c r="AZ1741">
        <v>4202</v>
      </c>
      <c r="BA1741">
        <v>7438</v>
      </c>
      <c r="BB1741">
        <v>1432</v>
      </c>
      <c r="BC1741">
        <v>13072</v>
      </c>
      <c r="BD1741">
        <v>9486</v>
      </c>
      <c r="BE1741">
        <v>9222</v>
      </c>
      <c r="BF1741">
        <v>1768</v>
      </c>
      <c r="BG1741">
        <v>20476</v>
      </c>
      <c r="BH1741">
        <v>0</v>
      </c>
      <c r="BI1741">
        <v>0</v>
      </c>
      <c r="BJ1741">
        <v>0</v>
      </c>
      <c r="BK1741">
        <v>0</v>
      </c>
      <c r="BL1741" s="2">
        <v>24.82</v>
      </c>
      <c r="BM1741" s="2">
        <v>42005.095138888886</v>
      </c>
      <c r="BN1741" s="2">
        <v>5.4</v>
      </c>
      <c r="BO1741" s="2">
        <v>42005.092361111114</v>
      </c>
      <c r="BP1741" s="2">
        <v>6.92</v>
      </c>
      <c r="BQ1741" s="2">
        <v>42005.092361111114</v>
      </c>
      <c r="BR1741" s="2">
        <v>11.07</v>
      </c>
      <c r="BS1741" s="2">
        <v>42005.092361111114</v>
      </c>
      <c r="BT1741">
        <v>0</v>
      </c>
      <c r="BU1741">
        <v>0</v>
      </c>
      <c r="BV1741" t="s">
        <v>135</v>
      </c>
      <c r="BW1741">
        <v>0</v>
      </c>
      <c r="BX1741">
        <v>0</v>
      </c>
      <c r="BY1741" t="s">
        <v>135</v>
      </c>
      <c r="BZ1741">
        <v>0</v>
      </c>
      <c r="CA1741">
        <v>0</v>
      </c>
      <c r="CB1741" t="s">
        <v>135</v>
      </c>
      <c r="CH1741" s="2"/>
      <c r="CJ1741" s="2"/>
      <c r="CL1741" s="2"/>
      <c r="CN1741" s="2"/>
      <c r="CQ1741" s="2"/>
      <c r="CT1741" s="2"/>
      <c r="CW1741" s="2"/>
    </row>
    <row r="1742" spans="1:101" x14ac:dyDescent="0.25">
      <c r="A1742" s="1" t="s">
        <v>163</v>
      </c>
      <c r="B1742" s="75" t="s">
        <v>164</v>
      </c>
      <c r="C1742">
        <v>0</v>
      </c>
      <c r="D1742">
        <v>0</v>
      </c>
      <c r="E1742">
        <v>0</v>
      </c>
      <c r="F1742">
        <v>604324.56000000006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3.91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7490</v>
      </c>
      <c r="AW1742">
        <v>3350</v>
      </c>
      <c r="AX1742">
        <v>1219</v>
      </c>
      <c r="AY1742">
        <v>12059</v>
      </c>
      <c r="AZ1742">
        <v>4202</v>
      </c>
      <c r="BA1742">
        <v>7438</v>
      </c>
      <c r="BB1742">
        <v>1432</v>
      </c>
      <c r="BC1742">
        <v>13072</v>
      </c>
      <c r="BD1742">
        <v>9486</v>
      </c>
      <c r="BE1742">
        <v>9222</v>
      </c>
      <c r="BF1742">
        <v>1768</v>
      </c>
      <c r="BG1742">
        <v>20476</v>
      </c>
      <c r="BH1742">
        <v>0</v>
      </c>
      <c r="BI1742">
        <v>0</v>
      </c>
      <c r="BJ1742">
        <v>0</v>
      </c>
      <c r="BK1742">
        <v>0</v>
      </c>
      <c r="BL1742" s="2">
        <v>24.82</v>
      </c>
      <c r="BM1742" s="2">
        <v>42005.095138888886</v>
      </c>
      <c r="BN1742" s="2">
        <v>5.4</v>
      </c>
      <c r="BO1742" s="2">
        <v>42005.092361111114</v>
      </c>
      <c r="BP1742" s="2">
        <v>6.92</v>
      </c>
      <c r="BQ1742" s="2">
        <v>42005.092361111114</v>
      </c>
      <c r="BR1742" s="2">
        <v>11.07</v>
      </c>
      <c r="BS1742" s="2">
        <v>42005.092361111114</v>
      </c>
      <c r="BT1742">
        <v>0</v>
      </c>
      <c r="BU1742">
        <v>0</v>
      </c>
      <c r="BV1742" t="s">
        <v>135</v>
      </c>
      <c r="BW1742">
        <v>0</v>
      </c>
      <c r="BX1742">
        <v>0</v>
      </c>
      <c r="BY1742" t="s">
        <v>135</v>
      </c>
      <c r="BZ1742">
        <v>0</v>
      </c>
      <c r="CA1742">
        <v>0</v>
      </c>
      <c r="CB1742" t="s">
        <v>135</v>
      </c>
      <c r="CH1742" s="2"/>
      <c r="CJ1742" s="2"/>
      <c r="CL1742" s="2"/>
      <c r="CN1742" s="2"/>
      <c r="CQ1742" s="2"/>
      <c r="CT1742" s="2"/>
      <c r="CW1742" s="2"/>
    </row>
    <row r="1743" spans="1:101" x14ac:dyDescent="0.25">
      <c r="A1743" s="1" t="s">
        <v>163</v>
      </c>
      <c r="B1743" s="75" t="s">
        <v>164</v>
      </c>
      <c r="C1743">
        <v>0</v>
      </c>
      <c r="D1743">
        <v>0</v>
      </c>
      <c r="E1743">
        <v>0</v>
      </c>
      <c r="F1743">
        <v>604324.56000000006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3.91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7490</v>
      </c>
      <c r="AW1743">
        <v>3350</v>
      </c>
      <c r="AX1743">
        <v>1219</v>
      </c>
      <c r="AY1743">
        <v>12059</v>
      </c>
      <c r="AZ1743">
        <v>4202</v>
      </c>
      <c r="BA1743">
        <v>7438</v>
      </c>
      <c r="BB1743">
        <v>1432</v>
      </c>
      <c r="BC1743">
        <v>13072</v>
      </c>
      <c r="BD1743">
        <v>9486</v>
      </c>
      <c r="BE1743">
        <v>9222</v>
      </c>
      <c r="BF1743">
        <v>1768</v>
      </c>
      <c r="BG1743">
        <v>20476</v>
      </c>
      <c r="BH1743">
        <v>0</v>
      </c>
      <c r="BI1743">
        <v>0</v>
      </c>
      <c r="BJ1743">
        <v>0</v>
      </c>
      <c r="BK1743">
        <v>0</v>
      </c>
      <c r="BL1743" s="2">
        <v>24.82</v>
      </c>
      <c r="BM1743" s="2">
        <v>42005.095138888886</v>
      </c>
      <c r="BN1743" s="2">
        <v>5.4</v>
      </c>
      <c r="BO1743" s="2">
        <v>42005.092361111114</v>
      </c>
      <c r="BP1743" s="2">
        <v>6.92</v>
      </c>
      <c r="BQ1743" s="2">
        <v>42005.092361111114</v>
      </c>
      <c r="BR1743" s="2">
        <v>11.07</v>
      </c>
      <c r="BS1743" s="2">
        <v>42005.092361111114</v>
      </c>
      <c r="BT1743">
        <v>0</v>
      </c>
      <c r="BU1743">
        <v>0</v>
      </c>
      <c r="BV1743" t="s">
        <v>135</v>
      </c>
      <c r="BW1743">
        <v>0</v>
      </c>
      <c r="BX1743">
        <v>0</v>
      </c>
      <c r="BY1743" t="s">
        <v>135</v>
      </c>
      <c r="BZ1743">
        <v>0</v>
      </c>
      <c r="CA1743">
        <v>0</v>
      </c>
      <c r="CB1743" t="s">
        <v>135</v>
      </c>
      <c r="CH1743" s="2"/>
      <c r="CJ1743" s="2"/>
      <c r="CL1743" s="2"/>
      <c r="CN1743" s="2"/>
      <c r="CQ1743" s="2"/>
      <c r="CT1743" s="2"/>
      <c r="CW1743" s="2"/>
    </row>
    <row r="1744" spans="1:101" x14ac:dyDescent="0.25">
      <c r="A1744" s="1" t="s">
        <v>163</v>
      </c>
      <c r="B1744" s="75" t="s">
        <v>164</v>
      </c>
      <c r="C1744">
        <v>0</v>
      </c>
      <c r="D1744">
        <v>0</v>
      </c>
      <c r="E1744">
        <v>0</v>
      </c>
      <c r="F1744">
        <v>604324.56000000006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3.91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7490</v>
      </c>
      <c r="AW1744">
        <v>3350</v>
      </c>
      <c r="AX1744">
        <v>1219</v>
      </c>
      <c r="AY1744">
        <v>12059</v>
      </c>
      <c r="AZ1744">
        <v>4202</v>
      </c>
      <c r="BA1744">
        <v>7438</v>
      </c>
      <c r="BB1744">
        <v>1432</v>
      </c>
      <c r="BC1744">
        <v>13072</v>
      </c>
      <c r="BD1744">
        <v>9486</v>
      </c>
      <c r="BE1744">
        <v>9222</v>
      </c>
      <c r="BF1744">
        <v>1768</v>
      </c>
      <c r="BG1744">
        <v>20476</v>
      </c>
      <c r="BH1744">
        <v>0</v>
      </c>
      <c r="BI1744">
        <v>0</v>
      </c>
      <c r="BJ1744">
        <v>0</v>
      </c>
      <c r="BK1744">
        <v>0</v>
      </c>
      <c r="BL1744" s="2">
        <v>24.82</v>
      </c>
      <c r="BM1744" s="2">
        <v>42005.095138888886</v>
      </c>
      <c r="BN1744" s="2">
        <v>5.4</v>
      </c>
      <c r="BO1744" s="2">
        <v>42005.092361111114</v>
      </c>
      <c r="BP1744" s="2">
        <v>6.92</v>
      </c>
      <c r="BQ1744" s="2">
        <v>42005.092361111114</v>
      </c>
      <c r="BR1744" s="2">
        <v>11.07</v>
      </c>
      <c r="BS1744" s="2">
        <v>42005.092361111114</v>
      </c>
      <c r="BT1744">
        <v>0</v>
      </c>
      <c r="BU1744">
        <v>0</v>
      </c>
      <c r="BV1744" t="s">
        <v>135</v>
      </c>
      <c r="BW1744">
        <v>0</v>
      </c>
      <c r="BX1744">
        <v>0</v>
      </c>
      <c r="BY1744" t="s">
        <v>135</v>
      </c>
      <c r="BZ1744">
        <v>0</v>
      </c>
      <c r="CA1744">
        <v>0</v>
      </c>
      <c r="CB1744" t="s">
        <v>135</v>
      </c>
      <c r="CH1744" s="2"/>
      <c r="CJ1744" s="2"/>
      <c r="CL1744" s="2"/>
      <c r="CN1744" s="2"/>
      <c r="CQ1744" s="2"/>
      <c r="CT1744" s="2"/>
      <c r="CW1744" s="2"/>
    </row>
    <row r="1745" spans="1:101" x14ac:dyDescent="0.25">
      <c r="A1745" s="1" t="s">
        <v>163</v>
      </c>
      <c r="B1745" s="75" t="s">
        <v>164</v>
      </c>
      <c r="C1745">
        <v>0</v>
      </c>
      <c r="D1745">
        <v>0</v>
      </c>
      <c r="E1745">
        <v>0</v>
      </c>
      <c r="F1745">
        <v>604324.56000000006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3.91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7490</v>
      </c>
      <c r="AW1745">
        <v>3350</v>
      </c>
      <c r="AX1745">
        <v>1219</v>
      </c>
      <c r="AY1745">
        <v>12059</v>
      </c>
      <c r="AZ1745">
        <v>4202</v>
      </c>
      <c r="BA1745">
        <v>7438</v>
      </c>
      <c r="BB1745">
        <v>1432</v>
      </c>
      <c r="BC1745">
        <v>13072</v>
      </c>
      <c r="BD1745">
        <v>9486</v>
      </c>
      <c r="BE1745">
        <v>9222</v>
      </c>
      <c r="BF1745">
        <v>1768</v>
      </c>
      <c r="BG1745">
        <v>20476</v>
      </c>
      <c r="BH1745">
        <v>0</v>
      </c>
      <c r="BI1745">
        <v>0</v>
      </c>
      <c r="BJ1745">
        <v>0</v>
      </c>
      <c r="BK1745">
        <v>0</v>
      </c>
      <c r="BL1745" s="2">
        <v>24.82</v>
      </c>
      <c r="BM1745" s="2">
        <v>42005.095138888886</v>
      </c>
      <c r="BN1745" s="2">
        <v>5.4</v>
      </c>
      <c r="BO1745" s="2">
        <v>42005.092361111114</v>
      </c>
      <c r="BP1745" s="2">
        <v>6.92</v>
      </c>
      <c r="BQ1745" s="2">
        <v>42005.092361111114</v>
      </c>
      <c r="BR1745" s="2">
        <v>11.07</v>
      </c>
      <c r="BS1745" s="2">
        <v>42005.092361111114</v>
      </c>
      <c r="BT1745">
        <v>0</v>
      </c>
      <c r="BU1745">
        <v>0</v>
      </c>
      <c r="BV1745" t="s">
        <v>135</v>
      </c>
      <c r="BW1745">
        <v>0</v>
      </c>
      <c r="BX1745">
        <v>0</v>
      </c>
      <c r="BY1745" t="s">
        <v>135</v>
      </c>
      <c r="BZ1745">
        <v>0</v>
      </c>
      <c r="CA1745">
        <v>0</v>
      </c>
      <c r="CB1745" t="s">
        <v>135</v>
      </c>
      <c r="CH1745" s="2"/>
      <c r="CJ1745" s="2"/>
      <c r="CL1745" s="2"/>
      <c r="CN1745" s="2"/>
      <c r="CQ1745" s="2"/>
      <c r="CT1745" s="2"/>
      <c r="CW1745" s="2"/>
    </row>
    <row r="1746" spans="1:101" x14ac:dyDescent="0.25">
      <c r="A1746" s="1" t="s">
        <v>163</v>
      </c>
      <c r="B1746" s="75" t="s">
        <v>164</v>
      </c>
      <c r="C1746">
        <v>0</v>
      </c>
      <c r="D1746">
        <v>0</v>
      </c>
      <c r="E1746">
        <v>0</v>
      </c>
      <c r="F1746">
        <v>604324.56000000006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3.91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7490</v>
      </c>
      <c r="AW1746">
        <v>3350</v>
      </c>
      <c r="AX1746">
        <v>1219</v>
      </c>
      <c r="AY1746">
        <v>12059</v>
      </c>
      <c r="AZ1746">
        <v>4202</v>
      </c>
      <c r="BA1746">
        <v>7438</v>
      </c>
      <c r="BB1746">
        <v>1432</v>
      </c>
      <c r="BC1746">
        <v>13072</v>
      </c>
      <c r="BD1746">
        <v>9486</v>
      </c>
      <c r="BE1746">
        <v>9222</v>
      </c>
      <c r="BF1746">
        <v>1768</v>
      </c>
      <c r="BG1746">
        <v>20476</v>
      </c>
      <c r="BH1746">
        <v>0</v>
      </c>
      <c r="BI1746">
        <v>0</v>
      </c>
      <c r="BJ1746">
        <v>0</v>
      </c>
      <c r="BK1746">
        <v>0</v>
      </c>
      <c r="BL1746" s="2">
        <v>24.82</v>
      </c>
      <c r="BM1746" s="2">
        <v>42005.095138888886</v>
      </c>
      <c r="BN1746" s="2">
        <v>5.4</v>
      </c>
      <c r="BO1746" s="2">
        <v>42005.092361111114</v>
      </c>
      <c r="BP1746" s="2">
        <v>6.92</v>
      </c>
      <c r="BQ1746" s="2">
        <v>42005.092361111114</v>
      </c>
      <c r="BR1746" s="2">
        <v>11.07</v>
      </c>
      <c r="BS1746" s="2">
        <v>42005.092361111114</v>
      </c>
      <c r="BT1746">
        <v>0</v>
      </c>
      <c r="BU1746">
        <v>0</v>
      </c>
      <c r="BV1746" t="s">
        <v>135</v>
      </c>
      <c r="BW1746">
        <v>0</v>
      </c>
      <c r="BX1746">
        <v>0</v>
      </c>
      <c r="BY1746" t="s">
        <v>135</v>
      </c>
      <c r="BZ1746">
        <v>0</v>
      </c>
      <c r="CA1746">
        <v>0</v>
      </c>
      <c r="CB1746" t="s">
        <v>135</v>
      </c>
      <c r="CH1746" s="2"/>
      <c r="CJ1746" s="2"/>
      <c r="CL1746" s="2"/>
      <c r="CN1746" s="2"/>
      <c r="CQ1746" s="2"/>
      <c r="CT1746" s="2"/>
      <c r="CW1746" s="2"/>
    </row>
    <row r="1747" spans="1:101" x14ac:dyDescent="0.25">
      <c r="A1747" s="1" t="s">
        <v>163</v>
      </c>
      <c r="B1747" s="75" t="s">
        <v>164</v>
      </c>
      <c r="C1747">
        <v>0</v>
      </c>
      <c r="D1747">
        <v>0</v>
      </c>
      <c r="E1747">
        <v>0</v>
      </c>
      <c r="F1747">
        <v>604324.56000000006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3.91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7490</v>
      </c>
      <c r="AW1747">
        <v>3350</v>
      </c>
      <c r="AX1747">
        <v>1219</v>
      </c>
      <c r="AY1747">
        <v>12059</v>
      </c>
      <c r="AZ1747">
        <v>4202</v>
      </c>
      <c r="BA1747">
        <v>7438</v>
      </c>
      <c r="BB1747">
        <v>1432</v>
      </c>
      <c r="BC1747">
        <v>13072</v>
      </c>
      <c r="BD1747">
        <v>9486</v>
      </c>
      <c r="BE1747">
        <v>9222</v>
      </c>
      <c r="BF1747">
        <v>1768</v>
      </c>
      <c r="BG1747">
        <v>20476</v>
      </c>
      <c r="BH1747">
        <v>0</v>
      </c>
      <c r="BI1747">
        <v>0</v>
      </c>
      <c r="BJ1747">
        <v>0</v>
      </c>
      <c r="BK1747">
        <v>0</v>
      </c>
      <c r="BL1747" s="2">
        <v>24.82</v>
      </c>
      <c r="BM1747" s="2">
        <v>42005.095138888886</v>
      </c>
      <c r="BN1747" s="2">
        <v>5.4</v>
      </c>
      <c r="BO1747" s="2">
        <v>42005.092361111114</v>
      </c>
      <c r="BP1747" s="2">
        <v>6.92</v>
      </c>
      <c r="BQ1747" s="2">
        <v>42005.092361111114</v>
      </c>
      <c r="BR1747" s="2">
        <v>11.07</v>
      </c>
      <c r="BS1747" s="2">
        <v>42005.092361111114</v>
      </c>
      <c r="BT1747">
        <v>0</v>
      </c>
      <c r="BU1747">
        <v>0</v>
      </c>
      <c r="BV1747" t="s">
        <v>135</v>
      </c>
      <c r="BW1747">
        <v>0</v>
      </c>
      <c r="BX1747">
        <v>0</v>
      </c>
      <c r="BY1747" t="s">
        <v>135</v>
      </c>
      <c r="BZ1747">
        <v>0</v>
      </c>
      <c r="CA1747">
        <v>0</v>
      </c>
      <c r="CB1747" t="s">
        <v>135</v>
      </c>
      <c r="CH1747" s="2"/>
      <c r="CJ1747" s="2"/>
      <c r="CL1747" s="2"/>
      <c r="CN1747" s="2"/>
      <c r="CQ1747" s="2"/>
      <c r="CT1747" s="2"/>
      <c r="CW1747" s="2"/>
    </row>
    <row r="1748" spans="1:101" x14ac:dyDescent="0.25">
      <c r="A1748" s="1" t="s">
        <v>163</v>
      </c>
      <c r="B1748" s="75" t="s">
        <v>164</v>
      </c>
      <c r="C1748">
        <v>0</v>
      </c>
      <c r="D1748">
        <v>0</v>
      </c>
      <c r="E1748">
        <v>0</v>
      </c>
      <c r="F1748">
        <v>604324.56000000006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3.91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7490</v>
      </c>
      <c r="AW1748">
        <v>3350</v>
      </c>
      <c r="AX1748">
        <v>1219</v>
      </c>
      <c r="AY1748">
        <v>12059</v>
      </c>
      <c r="AZ1748">
        <v>4202</v>
      </c>
      <c r="BA1748">
        <v>7438</v>
      </c>
      <c r="BB1748">
        <v>1432</v>
      </c>
      <c r="BC1748">
        <v>13072</v>
      </c>
      <c r="BD1748">
        <v>9486</v>
      </c>
      <c r="BE1748">
        <v>9222</v>
      </c>
      <c r="BF1748">
        <v>1768</v>
      </c>
      <c r="BG1748">
        <v>20476</v>
      </c>
      <c r="BH1748">
        <v>0</v>
      </c>
      <c r="BI1748">
        <v>0</v>
      </c>
      <c r="BJ1748">
        <v>0</v>
      </c>
      <c r="BK1748">
        <v>0</v>
      </c>
      <c r="BL1748" s="2">
        <v>24.82</v>
      </c>
      <c r="BM1748" s="2">
        <v>42005.095138888886</v>
      </c>
      <c r="BN1748" s="2">
        <v>5.4</v>
      </c>
      <c r="BO1748" s="2">
        <v>42005.092361111114</v>
      </c>
      <c r="BP1748" s="2">
        <v>6.92</v>
      </c>
      <c r="BQ1748" s="2">
        <v>42005.092361111114</v>
      </c>
      <c r="BR1748" s="2">
        <v>11.07</v>
      </c>
      <c r="BS1748" s="2">
        <v>42005.092361111114</v>
      </c>
      <c r="BT1748">
        <v>0</v>
      </c>
      <c r="BU1748">
        <v>0</v>
      </c>
      <c r="BV1748" t="s">
        <v>135</v>
      </c>
      <c r="BW1748">
        <v>0</v>
      </c>
      <c r="BX1748">
        <v>0</v>
      </c>
      <c r="BY1748" t="s">
        <v>135</v>
      </c>
      <c r="BZ1748">
        <v>0</v>
      </c>
      <c r="CA1748">
        <v>0</v>
      </c>
      <c r="CB1748" t="s">
        <v>135</v>
      </c>
      <c r="CH1748" s="2"/>
      <c r="CJ1748" s="2"/>
      <c r="CL1748" s="2"/>
      <c r="CN1748" s="2"/>
      <c r="CQ1748" s="2"/>
      <c r="CT1748" s="2"/>
      <c r="CW1748" s="2"/>
    </row>
    <row r="1749" spans="1:101" x14ac:dyDescent="0.25">
      <c r="A1749" s="1" t="s">
        <v>163</v>
      </c>
      <c r="B1749" s="75" t="s">
        <v>164</v>
      </c>
      <c r="C1749">
        <v>0</v>
      </c>
      <c r="D1749">
        <v>0</v>
      </c>
      <c r="E1749">
        <v>0</v>
      </c>
      <c r="F1749">
        <v>604324.56000000006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3.91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7490</v>
      </c>
      <c r="AW1749">
        <v>3350</v>
      </c>
      <c r="AX1749">
        <v>1219</v>
      </c>
      <c r="AY1749">
        <v>12059</v>
      </c>
      <c r="AZ1749">
        <v>4202</v>
      </c>
      <c r="BA1749">
        <v>7438</v>
      </c>
      <c r="BB1749">
        <v>1432</v>
      </c>
      <c r="BC1749">
        <v>13072</v>
      </c>
      <c r="BD1749">
        <v>9486</v>
      </c>
      <c r="BE1749">
        <v>9222</v>
      </c>
      <c r="BF1749">
        <v>1768</v>
      </c>
      <c r="BG1749">
        <v>20476</v>
      </c>
      <c r="BH1749">
        <v>0</v>
      </c>
      <c r="BI1749">
        <v>0</v>
      </c>
      <c r="BJ1749">
        <v>0</v>
      </c>
      <c r="BK1749">
        <v>0</v>
      </c>
      <c r="BL1749" s="2">
        <v>24.82</v>
      </c>
      <c r="BM1749" s="2">
        <v>42005.095138888886</v>
      </c>
      <c r="BN1749" s="2">
        <v>5.4</v>
      </c>
      <c r="BO1749" s="2">
        <v>42005.092361111114</v>
      </c>
      <c r="BP1749" s="2">
        <v>6.92</v>
      </c>
      <c r="BQ1749" s="2">
        <v>42005.092361111114</v>
      </c>
      <c r="BR1749" s="2">
        <v>11.07</v>
      </c>
      <c r="BS1749" s="2">
        <v>42005.092361111114</v>
      </c>
      <c r="BT1749">
        <v>0</v>
      </c>
      <c r="BU1749">
        <v>0</v>
      </c>
      <c r="BV1749" t="s">
        <v>135</v>
      </c>
      <c r="BW1749">
        <v>0</v>
      </c>
      <c r="BX1749">
        <v>0</v>
      </c>
      <c r="BY1749" t="s">
        <v>135</v>
      </c>
      <c r="BZ1749">
        <v>0</v>
      </c>
      <c r="CA1749">
        <v>0</v>
      </c>
      <c r="CB1749" t="s">
        <v>135</v>
      </c>
      <c r="CH1749" s="2"/>
      <c r="CJ1749" s="2"/>
      <c r="CL1749" s="2"/>
      <c r="CN1749" s="2"/>
      <c r="CQ1749" s="2"/>
      <c r="CT1749" s="2"/>
      <c r="CW1749" s="2"/>
    </row>
    <row r="1750" spans="1:101" x14ac:dyDescent="0.25">
      <c r="A1750" s="1" t="s">
        <v>163</v>
      </c>
      <c r="B1750" s="75" t="s">
        <v>164</v>
      </c>
      <c r="C1750">
        <v>0</v>
      </c>
      <c r="D1750">
        <v>0</v>
      </c>
      <c r="E1750">
        <v>0</v>
      </c>
      <c r="F1750">
        <v>604324.56000000006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3.91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7490</v>
      </c>
      <c r="AW1750">
        <v>3350</v>
      </c>
      <c r="AX1750">
        <v>1219</v>
      </c>
      <c r="AY1750">
        <v>12059</v>
      </c>
      <c r="AZ1750">
        <v>4202</v>
      </c>
      <c r="BA1750">
        <v>7438</v>
      </c>
      <c r="BB1750">
        <v>1432</v>
      </c>
      <c r="BC1750">
        <v>13072</v>
      </c>
      <c r="BD1750">
        <v>9486</v>
      </c>
      <c r="BE1750">
        <v>9222</v>
      </c>
      <c r="BF1750">
        <v>1768</v>
      </c>
      <c r="BG1750">
        <v>20476</v>
      </c>
      <c r="BH1750">
        <v>0</v>
      </c>
      <c r="BI1750">
        <v>0</v>
      </c>
      <c r="BJ1750">
        <v>0</v>
      </c>
      <c r="BK1750">
        <v>0</v>
      </c>
      <c r="BL1750" s="2">
        <v>24.82</v>
      </c>
      <c r="BM1750" s="2">
        <v>42005.095138888886</v>
      </c>
      <c r="BN1750" s="2">
        <v>5.4</v>
      </c>
      <c r="BO1750" s="2">
        <v>42005.092361111114</v>
      </c>
      <c r="BP1750" s="2">
        <v>6.92</v>
      </c>
      <c r="BQ1750" s="2">
        <v>42005.092361111114</v>
      </c>
      <c r="BR1750" s="2">
        <v>11.07</v>
      </c>
      <c r="BS1750" s="2">
        <v>42005.092361111114</v>
      </c>
      <c r="BT1750">
        <v>0</v>
      </c>
      <c r="BU1750">
        <v>0</v>
      </c>
      <c r="BV1750" t="s">
        <v>135</v>
      </c>
      <c r="BW1750">
        <v>0</v>
      </c>
      <c r="BX1750">
        <v>0</v>
      </c>
      <c r="BY1750" t="s">
        <v>135</v>
      </c>
      <c r="BZ1750">
        <v>0</v>
      </c>
      <c r="CA1750">
        <v>0</v>
      </c>
      <c r="CB1750" t="s">
        <v>135</v>
      </c>
      <c r="CH1750" s="2"/>
      <c r="CJ1750" s="2"/>
      <c r="CL1750" s="2"/>
      <c r="CN1750" s="2"/>
      <c r="CQ1750" s="2"/>
      <c r="CT1750" s="2"/>
      <c r="CW1750" s="2"/>
    </row>
    <row r="1751" spans="1:101" x14ac:dyDescent="0.25">
      <c r="A1751" s="1" t="s">
        <v>163</v>
      </c>
      <c r="B1751" s="75" t="s">
        <v>164</v>
      </c>
      <c r="C1751">
        <v>0</v>
      </c>
      <c r="D1751">
        <v>0</v>
      </c>
      <c r="E1751">
        <v>0</v>
      </c>
      <c r="F1751">
        <v>604324.56000000006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3.91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7490</v>
      </c>
      <c r="AW1751">
        <v>3350</v>
      </c>
      <c r="AX1751">
        <v>1219</v>
      </c>
      <c r="AY1751">
        <v>12059</v>
      </c>
      <c r="AZ1751">
        <v>4202</v>
      </c>
      <c r="BA1751">
        <v>7438</v>
      </c>
      <c r="BB1751">
        <v>1432</v>
      </c>
      <c r="BC1751">
        <v>13072</v>
      </c>
      <c r="BD1751">
        <v>9486</v>
      </c>
      <c r="BE1751">
        <v>9222</v>
      </c>
      <c r="BF1751">
        <v>1768</v>
      </c>
      <c r="BG1751">
        <v>20476</v>
      </c>
      <c r="BH1751">
        <v>0</v>
      </c>
      <c r="BI1751">
        <v>0</v>
      </c>
      <c r="BJ1751">
        <v>0</v>
      </c>
      <c r="BK1751">
        <v>0</v>
      </c>
      <c r="BL1751" s="2">
        <v>24.82</v>
      </c>
      <c r="BM1751" s="2">
        <v>42005.095138888886</v>
      </c>
      <c r="BN1751" s="2">
        <v>5.4</v>
      </c>
      <c r="BO1751" s="2">
        <v>42005.092361111114</v>
      </c>
      <c r="BP1751" s="2">
        <v>6.92</v>
      </c>
      <c r="BQ1751" s="2">
        <v>42005.092361111114</v>
      </c>
      <c r="BR1751" s="2">
        <v>11.07</v>
      </c>
      <c r="BS1751" s="2">
        <v>42005.092361111114</v>
      </c>
      <c r="BT1751">
        <v>0</v>
      </c>
      <c r="BU1751">
        <v>0</v>
      </c>
      <c r="BV1751" t="s">
        <v>135</v>
      </c>
      <c r="BW1751">
        <v>0</v>
      </c>
      <c r="BX1751">
        <v>0</v>
      </c>
      <c r="BY1751" t="s">
        <v>135</v>
      </c>
      <c r="BZ1751">
        <v>0</v>
      </c>
      <c r="CA1751">
        <v>0</v>
      </c>
      <c r="CB1751" t="s">
        <v>135</v>
      </c>
      <c r="CH1751" s="2"/>
      <c r="CJ1751" s="2"/>
      <c r="CL1751" s="2"/>
      <c r="CN1751" s="2"/>
      <c r="CQ1751" s="2"/>
      <c r="CT1751" s="2"/>
      <c r="CW1751" s="2"/>
    </row>
    <row r="1752" spans="1:101" x14ac:dyDescent="0.25">
      <c r="A1752" s="1" t="s">
        <v>163</v>
      </c>
      <c r="B1752" s="75" t="s">
        <v>164</v>
      </c>
      <c r="C1752">
        <v>0</v>
      </c>
      <c r="D1752">
        <v>0</v>
      </c>
      <c r="E1752">
        <v>0</v>
      </c>
      <c r="F1752">
        <v>604324.56000000006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3.91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7490</v>
      </c>
      <c r="AW1752">
        <v>3350</v>
      </c>
      <c r="AX1752">
        <v>1219</v>
      </c>
      <c r="AY1752">
        <v>12059</v>
      </c>
      <c r="AZ1752">
        <v>4202</v>
      </c>
      <c r="BA1752">
        <v>7438</v>
      </c>
      <c r="BB1752">
        <v>1432</v>
      </c>
      <c r="BC1752">
        <v>13072</v>
      </c>
      <c r="BD1752">
        <v>9486</v>
      </c>
      <c r="BE1752">
        <v>9222</v>
      </c>
      <c r="BF1752">
        <v>1768</v>
      </c>
      <c r="BG1752">
        <v>20476</v>
      </c>
      <c r="BH1752">
        <v>0</v>
      </c>
      <c r="BI1752">
        <v>0</v>
      </c>
      <c r="BJ1752">
        <v>0</v>
      </c>
      <c r="BK1752">
        <v>0</v>
      </c>
      <c r="BL1752" s="2">
        <v>24.82</v>
      </c>
      <c r="BM1752" s="2">
        <v>42005.095138888886</v>
      </c>
      <c r="BN1752" s="2">
        <v>5.4</v>
      </c>
      <c r="BO1752" s="2">
        <v>42005.092361111114</v>
      </c>
      <c r="BP1752" s="2">
        <v>6.92</v>
      </c>
      <c r="BQ1752" s="2">
        <v>42005.092361111114</v>
      </c>
      <c r="BR1752" s="2">
        <v>11.07</v>
      </c>
      <c r="BS1752" s="2">
        <v>42005.092361111114</v>
      </c>
      <c r="BT1752">
        <v>0</v>
      </c>
      <c r="BU1752">
        <v>0</v>
      </c>
      <c r="BV1752" t="s">
        <v>135</v>
      </c>
      <c r="BW1752">
        <v>0</v>
      </c>
      <c r="BX1752">
        <v>0</v>
      </c>
      <c r="BY1752" t="s">
        <v>135</v>
      </c>
      <c r="BZ1752">
        <v>0</v>
      </c>
      <c r="CA1752">
        <v>0</v>
      </c>
      <c r="CB1752" t="s">
        <v>135</v>
      </c>
      <c r="CH1752" s="2"/>
      <c r="CJ1752" s="2"/>
      <c r="CL1752" s="2"/>
      <c r="CN1752" s="2"/>
      <c r="CQ1752" s="2"/>
      <c r="CT1752" s="2"/>
      <c r="CW1752" s="2"/>
    </row>
    <row r="1753" spans="1:101" x14ac:dyDescent="0.25">
      <c r="A1753" s="1" t="s">
        <v>163</v>
      </c>
      <c r="B1753" s="75" t="s">
        <v>164</v>
      </c>
      <c r="C1753">
        <v>0</v>
      </c>
      <c r="D1753">
        <v>0</v>
      </c>
      <c r="E1753">
        <v>0</v>
      </c>
      <c r="F1753">
        <v>604324.56000000006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3.91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7490</v>
      </c>
      <c r="AW1753">
        <v>3350</v>
      </c>
      <c r="AX1753">
        <v>1219</v>
      </c>
      <c r="AY1753">
        <v>12059</v>
      </c>
      <c r="AZ1753">
        <v>4202</v>
      </c>
      <c r="BA1753">
        <v>7438</v>
      </c>
      <c r="BB1753">
        <v>1432</v>
      </c>
      <c r="BC1753">
        <v>13072</v>
      </c>
      <c r="BD1753">
        <v>9486</v>
      </c>
      <c r="BE1753">
        <v>9222</v>
      </c>
      <c r="BF1753">
        <v>1768</v>
      </c>
      <c r="BG1753">
        <v>20476</v>
      </c>
      <c r="BH1753">
        <v>0</v>
      </c>
      <c r="BI1753">
        <v>0</v>
      </c>
      <c r="BJ1753">
        <v>0</v>
      </c>
      <c r="BK1753">
        <v>0</v>
      </c>
      <c r="BL1753" s="2">
        <v>24.82</v>
      </c>
      <c r="BM1753" s="2">
        <v>42005.095138888886</v>
      </c>
      <c r="BN1753" s="2">
        <v>5.4</v>
      </c>
      <c r="BO1753" s="2">
        <v>42005.092361111114</v>
      </c>
      <c r="BP1753" s="2">
        <v>6.92</v>
      </c>
      <c r="BQ1753" s="2">
        <v>42005.092361111114</v>
      </c>
      <c r="BR1753" s="2">
        <v>11.07</v>
      </c>
      <c r="BS1753" s="2">
        <v>42005.092361111114</v>
      </c>
      <c r="BT1753">
        <v>0</v>
      </c>
      <c r="BU1753">
        <v>0</v>
      </c>
      <c r="BV1753" t="s">
        <v>135</v>
      </c>
      <c r="BW1753">
        <v>0</v>
      </c>
      <c r="BX1753">
        <v>0</v>
      </c>
      <c r="BY1753" t="s">
        <v>135</v>
      </c>
      <c r="BZ1753">
        <v>0</v>
      </c>
      <c r="CA1753">
        <v>0</v>
      </c>
      <c r="CB1753" t="s">
        <v>135</v>
      </c>
      <c r="CH1753" s="2"/>
      <c r="CJ1753" s="2"/>
      <c r="CL1753" s="2"/>
      <c r="CN1753" s="2"/>
      <c r="CQ1753" s="2"/>
      <c r="CT1753" s="2"/>
      <c r="CW1753" s="2"/>
    </row>
    <row r="1754" spans="1:101" x14ac:dyDescent="0.25">
      <c r="A1754" s="1" t="s">
        <v>163</v>
      </c>
      <c r="B1754" s="75" t="s">
        <v>164</v>
      </c>
      <c r="C1754">
        <v>0</v>
      </c>
      <c r="D1754">
        <v>0</v>
      </c>
      <c r="E1754">
        <v>0</v>
      </c>
      <c r="F1754">
        <v>604324.56000000006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3.91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7490</v>
      </c>
      <c r="AW1754">
        <v>3350</v>
      </c>
      <c r="AX1754">
        <v>1219</v>
      </c>
      <c r="AY1754">
        <v>12059</v>
      </c>
      <c r="AZ1754">
        <v>4202</v>
      </c>
      <c r="BA1754">
        <v>7438</v>
      </c>
      <c r="BB1754">
        <v>1432</v>
      </c>
      <c r="BC1754">
        <v>13072</v>
      </c>
      <c r="BD1754">
        <v>9486</v>
      </c>
      <c r="BE1754">
        <v>9222</v>
      </c>
      <c r="BF1754">
        <v>1768</v>
      </c>
      <c r="BG1754">
        <v>20476</v>
      </c>
      <c r="BH1754">
        <v>0</v>
      </c>
      <c r="BI1754">
        <v>0</v>
      </c>
      <c r="BJ1754">
        <v>0</v>
      </c>
      <c r="BK1754">
        <v>0</v>
      </c>
      <c r="BL1754" s="2">
        <v>24.82</v>
      </c>
      <c r="BM1754" s="2">
        <v>42005.095138888886</v>
      </c>
      <c r="BN1754" s="2">
        <v>5.4</v>
      </c>
      <c r="BO1754" s="2">
        <v>42005.092361111114</v>
      </c>
      <c r="BP1754" s="2">
        <v>6.92</v>
      </c>
      <c r="BQ1754" s="2">
        <v>42005.092361111114</v>
      </c>
      <c r="BR1754" s="2">
        <v>11.07</v>
      </c>
      <c r="BS1754" s="2">
        <v>42005.092361111114</v>
      </c>
      <c r="BT1754">
        <v>0</v>
      </c>
      <c r="BU1754">
        <v>0</v>
      </c>
      <c r="BV1754" t="s">
        <v>135</v>
      </c>
      <c r="BW1754">
        <v>0</v>
      </c>
      <c r="BX1754">
        <v>0</v>
      </c>
      <c r="BY1754" t="s">
        <v>135</v>
      </c>
      <c r="BZ1754">
        <v>0</v>
      </c>
      <c r="CA1754">
        <v>0</v>
      </c>
      <c r="CB1754" t="s">
        <v>135</v>
      </c>
      <c r="CH1754" s="2"/>
      <c r="CJ1754" s="2"/>
      <c r="CL1754" s="2"/>
      <c r="CN1754" s="2"/>
      <c r="CQ1754" s="2"/>
      <c r="CT1754" s="2"/>
      <c r="CW1754" s="2"/>
    </row>
    <row r="1755" spans="1:101" x14ac:dyDescent="0.25">
      <c r="A1755" s="1" t="s">
        <v>163</v>
      </c>
      <c r="B1755" s="75" t="s">
        <v>164</v>
      </c>
      <c r="C1755">
        <v>0</v>
      </c>
      <c r="D1755">
        <v>0</v>
      </c>
      <c r="E1755">
        <v>0</v>
      </c>
      <c r="F1755">
        <v>604324.56000000006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3.91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7490</v>
      </c>
      <c r="AW1755">
        <v>3350</v>
      </c>
      <c r="AX1755">
        <v>1219</v>
      </c>
      <c r="AY1755">
        <v>12059</v>
      </c>
      <c r="AZ1755">
        <v>4202</v>
      </c>
      <c r="BA1755">
        <v>7438</v>
      </c>
      <c r="BB1755">
        <v>1432</v>
      </c>
      <c r="BC1755">
        <v>13072</v>
      </c>
      <c r="BD1755">
        <v>9486</v>
      </c>
      <c r="BE1755">
        <v>9222</v>
      </c>
      <c r="BF1755">
        <v>1768</v>
      </c>
      <c r="BG1755">
        <v>20476</v>
      </c>
      <c r="BH1755">
        <v>0</v>
      </c>
      <c r="BI1755">
        <v>0</v>
      </c>
      <c r="BJ1755">
        <v>0</v>
      </c>
      <c r="BK1755">
        <v>0</v>
      </c>
      <c r="BL1755" s="2">
        <v>24.82</v>
      </c>
      <c r="BM1755" s="2">
        <v>42005.095138888886</v>
      </c>
      <c r="BN1755" s="2">
        <v>5.4</v>
      </c>
      <c r="BO1755" s="2">
        <v>42005.092361111114</v>
      </c>
      <c r="BP1755" s="2">
        <v>6.92</v>
      </c>
      <c r="BQ1755" s="2">
        <v>42005.092361111114</v>
      </c>
      <c r="BR1755" s="2">
        <v>11.07</v>
      </c>
      <c r="BS1755" s="2">
        <v>42005.092361111114</v>
      </c>
      <c r="BT1755">
        <v>0</v>
      </c>
      <c r="BU1755">
        <v>0</v>
      </c>
      <c r="BV1755" t="s">
        <v>135</v>
      </c>
      <c r="BW1755">
        <v>0</v>
      </c>
      <c r="BX1755">
        <v>0</v>
      </c>
      <c r="BY1755" t="s">
        <v>135</v>
      </c>
      <c r="BZ1755">
        <v>0</v>
      </c>
      <c r="CA1755">
        <v>0</v>
      </c>
      <c r="CB1755" t="s">
        <v>135</v>
      </c>
      <c r="CH1755" s="2"/>
      <c r="CJ1755" s="2"/>
      <c r="CL1755" s="2"/>
      <c r="CN1755" s="2"/>
      <c r="CQ1755" s="2"/>
      <c r="CT1755" s="2"/>
      <c r="CW1755" s="2"/>
    </row>
    <row r="1756" spans="1:101" x14ac:dyDescent="0.25">
      <c r="A1756" s="1" t="s">
        <v>163</v>
      </c>
      <c r="B1756" s="75" t="s">
        <v>164</v>
      </c>
      <c r="C1756">
        <v>0</v>
      </c>
      <c r="D1756">
        <v>0</v>
      </c>
      <c r="E1756">
        <v>0</v>
      </c>
      <c r="F1756">
        <v>604324.56000000006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3.91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7490</v>
      </c>
      <c r="AW1756">
        <v>3350</v>
      </c>
      <c r="AX1756">
        <v>1219</v>
      </c>
      <c r="AY1756">
        <v>12059</v>
      </c>
      <c r="AZ1756">
        <v>4202</v>
      </c>
      <c r="BA1756">
        <v>7438</v>
      </c>
      <c r="BB1756">
        <v>1432</v>
      </c>
      <c r="BC1756">
        <v>13072</v>
      </c>
      <c r="BD1756">
        <v>9486</v>
      </c>
      <c r="BE1756">
        <v>9222</v>
      </c>
      <c r="BF1756">
        <v>1768</v>
      </c>
      <c r="BG1756">
        <v>20476</v>
      </c>
      <c r="BH1756">
        <v>0</v>
      </c>
      <c r="BI1756">
        <v>0</v>
      </c>
      <c r="BJ1756">
        <v>0</v>
      </c>
      <c r="BK1756">
        <v>0</v>
      </c>
      <c r="BL1756" s="2">
        <v>24.82</v>
      </c>
      <c r="BM1756" s="2">
        <v>42005.095138888886</v>
      </c>
      <c r="BN1756" s="2">
        <v>5.4</v>
      </c>
      <c r="BO1756" s="2">
        <v>42005.092361111114</v>
      </c>
      <c r="BP1756" s="2">
        <v>6.92</v>
      </c>
      <c r="BQ1756" s="2">
        <v>42005.092361111114</v>
      </c>
      <c r="BR1756" s="2">
        <v>11.07</v>
      </c>
      <c r="BS1756" s="2">
        <v>42005.092361111114</v>
      </c>
      <c r="BT1756">
        <v>0</v>
      </c>
      <c r="BU1756">
        <v>0</v>
      </c>
      <c r="BV1756" t="s">
        <v>135</v>
      </c>
      <c r="BW1756">
        <v>0</v>
      </c>
      <c r="BX1756">
        <v>0</v>
      </c>
      <c r="BY1756" t="s">
        <v>135</v>
      </c>
      <c r="BZ1756">
        <v>0</v>
      </c>
      <c r="CA1756">
        <v>0</v>
      </c>
      <c r="CB1756" t="s">
        <v>135</v>
      </c>
      <c r="CH1756" s="2"/>
      <c r="CJ1756" s="2"/>
      <c r="CL1756" s="2"/>
      <c r="CN1756" s="2"/>
      <c r="CQ1756" s="2"/>
      <c r="CT1756" s="2"/>
      <c r="CW1756" s="2"/>
    </row>
    <row r="1757" spans="1:101" x14ac:dyDescent="0.25">
      <c r="A1757" s="1" t="s">
        <v>163</v>
      </c>
      <c r="B1757" s="75" t="s">
        <v>164</v>
      </c>
      <c r="C1757">
        <v>0</v>
      </c>
      <c r="D1757">
        <v>0</v>
      </c>
      <c r="E1757">
        <v>0</v>
      </c>
      <c r="F1757">
        <v>604324.56000000006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3.91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7490</v>
      </c>
      <c r="AW1757">
        <v>3350</v>
      </c>
      <c r="AX1757">
        <v>1219</v>
      </c>
      <c r="AY1757">
        <v>12059</v>
      </c>
      <c r="AZ1757">
        <v>4202</v>
      </c>
      <c r="BA1757">
        <v>7438</v>
      </c>
      <c r="BB1757">
        <v>1432</v>
      </c>
      <c r="BC1757">
        <v>13072</v>
      </c>
      <c r="BD1757">
        <v>9486</v>
      </c>
      <c r="BE1757">
        <v>9222</v>
      </c>
      <c r="BF1757">
        <v>1768</v>
      </c>
      <c r="BG1757">
        <v>20476</v>
      </c>
      <c r="BH1757">
        <v>0</v>
      </c>
      <c r="BI1757">
        <v>0</v>
      </c>
      <c r="BJ1757">
        <v>0</v>
      </c>
      <c r="BK1757">
        <v>0</v>
      </c>
      <c r="BL1757" s="2">
        <v>24.82</v>
      </c>
      <c r="BM1757" s="2">
        <v>42005.095138888886</v>
      </c>
      <c r="BN1757" s="2">
        <v>5.4</v>
      </c>
      <c r="BO1757" s="2">
        <v>42005.092361111114</v>
      </c>
      <c r="BP1757" s="2">
        <v>6.92</v>
      </c>
      <c r="BQ1757" s="2">
        <v>42005.092361111114</v>
      </c>
      <c r="BR1757" s="2">
        <v>11.07</v>
      </c>
      <c r="BS1757" s="2">
        <v>42005.092361111114</v>
      </c>
      <c r="BT1757">
        <v>0</v>
      </c>
      <c r="BU1757">
        <v>0</v>
      </c>
      <c r="BV1757" t="s">
        <v>135</v>
      </c>
      <c r="BW1757">
        <v>0</v>
      </c>
      <c r="BX1757">
        <v>0</v>
      </c>
      <c r="BY1757" t="s">
        <v>135</v>
      </c>
      <c r="BZ1757">
        <v>0</v>
      </c>
      <c r="CA1757">
        <v>0</v>
      </c>
      <c r="CB1757" t="s">
        <v>135</v>
      </c>
      <c r="CH1757" s="2"/>
      <c r="CJ1757" s="2"/>
      <c r="CL1757" s="2"/>
      <c r="CN1757" s="2"/>
      <c r="CQ1757" s="2"/>
      <c r="CT1757" s="2"/>
      <c r="CW1757" s="2"/>
    </row>
    <row r="1758" spans="1:101" x14ac:dyDescent="0.25">
      <c r="A1758" s="1" t="s">
        <v>163</v>
      </c>
      <c r="B1758" s="75" t="s">
        <v>164</v>
      </c>
      <c r="C1758">
        <v>0</v>
      </c>
      <c r="D1758">
        <v>0</v>
      </c>
      <c r="E1758">
        <v>0</v>
      </c>
      <c r="F1758">
        <v>604324.56000000006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3.91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7490</v>
      </c>
      <c r="AW1758">
        <v>3350</v>
      </c>
      <c r="AX1758">
        <v>1219</v>
      </c>
      <c r="AY1758">
        <v>12059</v>
      </c>
      <c r="AZ1758">
        <v>4202</v>
      </c>
      <c r="BA1758">
        <v>7438</v>
      </c>
      <c r="BB1758">
        <v>1432</v>
      </c>
      <c r="BC1758">
        <v>13072</v>
      </c>
      <c r="BD1758">
        <v>9486</v>
      </c>
      <c r="BE1758">
        <v>9222</v>
      </c>
      <c r="BF1758">
        <v>1768</v>
      </c>
      <c r="BG1758">
        <v>20476</v>
      </c>
      <c r="BH1758">
        <v>0</v>
      </c>
      <c r="BI1758">
        <v>0</v>
      </c>
      <c r="BJ1758">
        <v>0</v>
      </c>
      <c r="BK1758">
        <v>0</v>
      </c>
      <c r="BL1758" s="2">
        <v>24.82</v>
      </c>
      <c r="BM1758" s="2">
        <v>42005.095138888886</v>
      </c>
      <c r="BN1758" s="2">
        <v>5.4</v>
      </c>
      <c r="BO1758" s="2">
        <v>42005.092361111114</v>
      </c>
      <c r="BP1758" s="2">
        <v>6.92</v>
      </c>
      <c r="BQ1758" s="2">
        <v>42005.092361111114</v>
      </c>
      <c r="BR1758" s="2">
        <v>11.07</v>
      </c>
      <c r="BS1758" s="2">
        <v>42005.092361111114</v>
      </c>
      <c r="BT1758">
        <v>0</v>
      </c>
      <c r="BU1758">
        <v>0</v>
      </c>
      <c r="BV1758" t="s">
        <v>135</v>
      </c>
      <c r="BW1758">
        <v>0</v>
      </c>
      <c r="BX1758">
        <v>0</v>
      </c>
      <c r="BY1758" t="s">
        <v>135</v>
      </c>
      <c r="BZ1758">
        <v>0</v>
      </c>
      <c r="CA1758">
        <v>0</v>
      </c>
      <c r="CB1758" t="s">
        <v>135</v>
      </c>
      <c r="CH1758" s="2"/>
      <c r="CJ1758" s="2"/>
      <c r="CL1758" s="2"/>
      <c r="CN1758" s="2"/>
      <c r="CQ1758" s="2"/>
      <c r="CT1758" s="2"/>
      <c r="CW1758" s="2"/>
    </row>
    <row r="1759" spans="1:101" x14ac:dyDescent="0.25">
      <c r="A1759" s="1" t="s">
        <v>163</v>
      </c>
      <c r="B1759" s="75" t="s">
        <v>164</v>
      </c>
      <c r="C1759">
        <v>0</v>
      </c>
      <c r="D1759">
        <v>0</v>
      </c>
      <c r="E1759">
        <v>0</v>
      </c>
      <c r="F1759">
        <v>604324.56000000006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3.91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7490</v>
      </c>
      <c r="AW1759">
        <v>3350</v>
      </c>
      <c r="AX1759">
        <v>1219</v>
      </c>
      <c r="AY1759">
        <v>12059</v>
      </c>
      <c r="AZ1759">
        <v>4202</v>
      </c>
      <c r="BA1759">
        <v>7438</v>
      </c>
      <c r="BB1759">
        <v>1432</v>
      </c>
      <c r="BC1759">
        <v>13072</v>
      </c>
      <c r="BD1759">
        <v>9486</v>
      </c>
      <c r="BE1759">
        <v>9222</v>
      </c>
      <c r="BF1759">
        <v>1768</v>
      </c>
      <c r="BG1759">
        <v>20476</v>
      </c>
      <c r="BH1759">
        <v>0</v>
      </c>
      <c r="BI1759">
        <v>0</v>
      </c>
      <c r="BJ1759">
        <v>0</v>
      </c>
      <c r="BK1759">
        <v>0</v>
      </c>
      <c r="BL1759" s="2">
        <v>24.82</v>
      </c>
      <c r="BM1759" s="2">
        <v>42005.095138888886</v>
      </c>
      <c r="BN1759" s="2">
        <v>5.4</v>
      </c>
      <c r="BO1759" s="2">
        <v>42005.092361111114</v>
      </c>
      <c r="BP1759" s="2">
        <v>6.92</v>
      </c>
      <c r="BQ1759" s="2">
        <v>42005.092361111114</v>
      </c>
      <c r="BR1759" s="2">
        <v>11.07</v>
      </c>
      <c r="BS1759" s="2">
        <v>42005.092361111114</v>
      </c>
      <c r="BT1759">
        <v>0</v>
      </c>
      <c r="BU1759">
        <v>0</v>
      </c>
      <c r="BV1759" t="s">
        <v>135</v>
      </c>
      <c r="BW1759">
        <v>0</v>
      </c>
      <c r="BX1759">
        <v>0</v>
      </c>
      <c r="BY1759" t="s">
        <v>135</v>
      </c>
      <c r="BZ1759">
        <v>0</v>
      </c>
      <c r="CA1759">
        <v>0</v>
      </c>
      <c r="CB1759" t="s">
        <v>135</v>
      </c>
      <c r="CH1759" s="2"/>
      <c r="CJ1759" s="2"/>
      <c r="CL1759" s="2"/>
      <c r="CN1759" s="2"/>
      <c r="CQ1759" s="2"/>
      <c r="CT1759" s="2"/>
      <c r="CW1759" s="2"/>
    </row>
    <row r="1760" spans="1:101" x14ac:dyDescent="0.25">
      <c r="A1760" s="1" t="s">
        <v>163</v>
      </c>
      <c r="B1760" s="75" t="s">
        <v>164</v>
      </c>
      <c r="C1760">
        <v>0</v>
      </c>
      <c r="D1760">
        <v>0</v>
      </c>
      <c r="E1760">
        <v>0</v>
      </c>
      <c r="F1760">
        <v>604324.56000000006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3.91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7490</v>
      </c>
      <c r="AW1760">
        <v>3350</v>
      </c>
      <c r="AX1760">
        <v>1219</v>
      </c>
      <c r="AY1760">
        <v>12059</v>
      </c>
      <c r="AZ1760">
        <v>4202</v>
      </c>
      <c r="BA1760">
        <v>7438</v>
      </c>
      <c r="BB1760">
        <v>1432</v>
      </c>
      <c r="BC1760">
        <v>13072</v>
      </c>
      <c r="BD1760">
        <v>9486</v>
      </c>
      <c r="BE1760">
        <v>9222</v>
      </c>
      <c r="BF1760">
        <v>1768</v>
      </c>
      <c r="BG1760">
        <v>20476</v>
      </c>
      <c r="BH1760">
        <v>0</v>
      </c>
      <c r="BI1760">
        <v>0</v>
      </c>
      <c r="BJ1760">
        <v>0</v>
      </c>
      <c r="BK1760">
        <v>0</v>
      </c>
      <c r="BL1760" s="2">
        <v>24.82</v>
      </c>
      <c r="BM1760" s="2">
        <v>42005.095138888886</v>
      </c>
      <c r="BN1760" s="2">
        <v>5.4</v>
      </c>
      <c r="BO1760" s="2">
        <v>42005.092361111114</v>
      </c>
      <c r="BP1760" s="2">
        <v>6.92</v>
      </c>
      <c r="BQ1760" s="2">
        <v>42005.092361111114</v>
      </c>
      <c r="BR1760" s="2">
        <v>11.07</v>
      </c>
      <c r="BS1760" s="2">
        <v>42005.092361111114</v>
      </c>
      <c r="BT1760">
        <v>0</v>
      </c>
      <c r="BU1760">
        <v>0</v>
      </c>
      <c r="BV1760" t="s">
        <v>135</v>
      </c>
      <c r="BW1760">
        <v>0</v>
      </c>
      <c r="BX1760">
        <v>0</v>
      </c>
      <c r="BY1760" t="s">
        <v>135</v>
      </c>
      <c r="BZ1760">
        <v>0</v>
      </c>
      <c r="CA1760">
        <v>0</v>
      </c>
      <c r="CB1760" t="s">
        <v>135</v>
      </c>
      <c r="CH1760" s="2"/>
      <c r="CJ1760" s="2"/>
      <c r="CL1760" s="2"/>
      <c r="CN1760" s="2"/>
      <c r="CQ1760" s="2"/>
      <c r="CT1760" s="2"/>
      <c r="CW1760" s="2"/>
    </row>
    <row r="1761" spans="1:101" x14ac:dyDescent="0.25">
      <c r="A1761" s="1" t="s">
        <v>163</v>
      </c>
      <c r="B1761" s="75" t="s">
        <v>164</v>
      </c>
      <c r="C1761">
        <v>0</v>
      </c>
      <c r="D1761">
        <v>0</v>
      </c>
      <c r="E1761">
        <v>0</v>
      </c>
      <c r="F1761">
        <v>604324.56000000006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3.91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7490</v>
      </c>
      <c r="AW1761">
        <v>3350</v>
      </c>
      <c r="AX1761">
        <v>1219</v>
      </c>
      <c r="AY1761">
        <v>12059</v>
      </c>
      <c r="AZ1761">
        <v>4202</v>
      </c>
      <c r="BA1761">
        <v>7438</v>
      </c>
      <c r="BB1761">
        <v>1432</v>
      </c>
      <c r="BC1761">
        <v>13072</v>
      </c>
      <c r="BD1761">
        <v>9486</v>
      </c>
      <c r="BE1761">
        <v>9222</v>
      </c>
      <c r="BF1761">
        <v>1768</v>
      </c>
      <c r="BG1761">
        <v>20476</v>
      </c>
      <c r="BH1761">
        <v>0</v>
      </c>
      <c r="BI1761">
        <v>0</v>
      </c>
      <c r="BJ1761">
        <v>0</v>
      </c>
      <c r="BK1761">
        <v>0</v>
      </c>
      <c r="BL1761" s="2">
        <v>24.82</v>
      </c>
      <c r="BM1761" s="2">
        <v>42005.095138888886</v>
      </c>
      <c r="BN1761" s="2">
        <v>5.4</v>
      </c>
      <c r="BO1761" s="2">
        <v>42005.092361111114</v>
      </c>
      <c r="BP1761" s="2">
        <v>6.92</v>
      </c>
      <c r="BQ1761" s="2">
        <v>42005.092361111114</v>
      </c>
      <c r="BR1761" s="2">
        <v>11.07</v>
      </c>
      <c r="BS1761" s="2">
        <v>42005.092361111114</v>
      </c>
      <c r="BT1761">
        <v>0</v>
      </c>
      <c r="BU1761">
        <v>0</v>
      </c>
      <c r="BV1761" t="s">
        <v>135</v>
      </c>
      <c r="BW1761">
        <v>0</v>
      </c>
      <c r="BX1761">
        <v>0</v>
      </c>
      <c r="BY1761" t="s">
        <v>135</v>
      </c>
      <c r="BZ1761">
        <v>0</v>
      </c>
      <c r="CA1761">
        <v>0</v>
      </c>
      <c r="CB1761" t="s">
        <v>135</v>
      </c>
      <c r="CH1761" s="2"/>
      <c r="CJ1761" s="2"/>
      <c r="CL1761" s="2"/>
      <c r="CN1761" s="2"/>
      <c r="CQ1761" s="2"/>
      <c r="CT1761" s="2"/>
      <c r="CW1761" s="2"/>
    </row>
    <row r="1762" spans="1:101" x14ac:dyDescent="0.25">
      <c r="A1762" s="1" t="s">
        <v>163</v>
      </c>
      <c r="B1762" s="75" t="s">
        <v>164</v>
      </c>
      <c r="C1762">
        <v>0</v>
      </c>
      <c r="D1762">
        <v>0</v>
      </c>
      <c r="E1762">
        <v>0</v>
      </c>
      <c r="F1762">
        <v>604324.56000000006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3.91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7490</v>
      </c>
      <c r="AW1762">
        <v>3350</v>
      </c>
      <c r="AX1762">
        <v>1219</v>
      </c>
      <c r="AY1762">
        <v>12059</v>
      </c>
      <c r="AZ1762">
        <v>4202</v>
      </c>
      <c r="BA1762">
        <v>7438</v>
      </c>
      <c r="BB1762">
        <v>1432</v>
      </c>
      <c r="BC1762">
        <v>13072</v>
      </c>
      <c r="BD1762">
        <v>9486</v>
      </c>
      <c r="BE1762">
        <v>9222</v>
      </c>
      <c r="BF1762">
        <v>1768</v>
      </c>
      <c r="BG1762">
        <v>20476</v>
      </c>
      <c r="BH1762">
        <v>0</v>
      </c>
      <c r="BI1762">
        <v>0</v>
      </c>
      <c r="BJ1762">
        <v>0</v>
      </c>
      <c r="BK1762">
        <v>0</v>
      </c>
      <c r="BL1762" s="2">
        <v>24.82</v>
      </c>
      <c r="BM1762" s="2">
        <v>42005.095138888886</v>
      </c>
      <c r="BN1762" s="2">
        <v>5.4</v>
      </c>
      <c r="BO1762" s="2">
        <v>42005.092361111114</v>
      </c>
      <c r="BP1762" s="2">
        <v>6.92</v>
      </c>
      <c r="BQ1762" s="2">
        <v>42005.092361111114</v>
      </c>
      <c r="BR1762" s="2">
        <v>11.07</v>
      </c>
      <c r="BS1762" s="2">
        <v>42005.092361111114</v>
      </c>
      <c r="BT1762">
        <v>0</v>
      </c>
      <c r="BU1762">
        <v>0</v>
      </c>
      <c r="BV1762" t="s">
        <v>135</v>
      </c>
      <c r="BW1762">
        <v>0</v>
      </c>
      <c r="BX1762">
        <v>0</v>
      </c>
      <c r="BY1762" t="s">
        <v>135</v>
      </c>
      <c r="BZ1762">
        <v>0</v>
      </c>
      <c r="CA1762">
        <v>0</v>
      </c>
      <c r="CB1762" t="s">
        <v>135</v>
      </c>
      <c r="CH1762" s="2"/>
      <c r="CJ1762" s="2"/>
      <c r="CL1762" s="2"/>
      <c r="CN1762" s="2"/>
      <c r="CQ1762" s="2"/>
      <c r="CT1762" s="2"/>
      <c r="CW1762" s="2"/>
    </row>
    <row r="1763" spans="1:101" x14ac:dyDescent="0.25">
      <c r="A1763" s="1" t="s">
        <v>163</v>
      </c>
      <c r="B1763" s="75" t="s">
        <v>164</v>
      </c>
      <c r="C1763">
        <v>0</v>
      </c>
      <c r="D1763">
        <v>0</v>
      </c>
      <c r="E1763">
        <v>0</v>
      </c>
      <c r="F1763">
        <v>604324.56000000006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3.91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7490</v>
      </c>
      <c r="AW1763">
        <v>3350</v>
      </c>
      <c r="AX1763">
        <v>1219</v>
      </c>
      <c r="AY1763">
        <v>12059</v>
      </c>
      <c r="AZ1763">
        <v>4202</v>
      </c>
      <c r="BA1763">
        <v>7438</v>
      </c>
      <c r="BB1763">
        <v>1432</v>
      </c>
      <c r="BC1763">
        <v>13072</v>
      </c>
      <c r="BD1763">
        <v>9486</v>
      </c>
      <c r="BE1763">
        <v>9222</v>
      </c>
      <c r="BF1763">
        <v>1768</v>
      </c>
      <c r="BG1763">
        <v>20476</v>
      </c>
      <c r="BH1763">
        <v>0</v>
      </c>
      <c r="BI1763">
        <v>0</v>
      </c>
      <c r="BJ1763">
        <v>0</v>
      </c>
      <c r="BK1763">
        <v>0</v>
      </c>
      <c r="BL1763" s="2">
        <v>24.82</v>
      </c>
      <c r="BM1763" s="2">
        <v>42005.095138888886</v>
      </c>
      <c r="BN1763" s="2">
        <v>5.4</v>
      </c>
      <c r="BO1763" s="2">
        <v>42005.092361111114</v>
      </c>
      <c r="BP1763" s="2">
        <v>6.92</v>
      </c>
      <c r="BQ1763" s="2">
        <v>42005.092361111114</v>
      </c>
      <c r="BR1763" s="2">
        <v>11.07</v>
      </c>
      <c r="BS1763" s="2">
        <v>42005.092361111114</v>
      </c>
      <c r="BT1763">
        <v>0</v>
      </c>
      <c r="BU1763">
        <v>0</v>
      </c>
      <c r="BV1763" t="s">
        <v>135</v>
      </c>
      <c r="BW1763">
        <v>0</v>
      </c>
      <c r="BX1763">
        <v>0</v>
      </c>
      <c r="BY1763" t="s">
        <v>135</v>
      </c>
      <c r="BZ1763">
        <v>0</v>
      </c>
      <c r="CA1763">
        <v>0</v>
      </c>
      <c r="CB1763" t="s">
        <v>135</v>
      </c>
      <c r="CH1763" s="2"/>
      <c r="CJ1763" s="2"/>
      <c r="CL1763" s="2"/>
      <c r="CN1763" s="2"/>
      <c r="CQ1763" s="2"/>
      <c r="CT1763" s="2"/>
      <c r="CW1763" s="2"/>
    </row>
    <row r="1764" spans="1:101" x14ac:dyDescent="0.25">
      <c r="A1764" s="1" t="s">
        <v>163</v>
      </c>
      <c r="B1764" s="75" t="s">
        <v>164</v>
      </c>
      <c r="C1764">
        <v>0</v>
      </c>
      <c r="D1764">
        <v>0</v>
      </c>
      <c r="E1764">
        <v>0</v>
      </c>
      <c r="F1764">
        <v>604324.56000000006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3.91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7490</v>
      </c>
      <c r="AW1764">
        <v>3350</v>
      </c>
      <c r="AX1764">
        <v>1219</v>
      </c>
      <c r="AY1764">
        <v>12059</v>
      </c>
      <c r="AZ1764">
        <v>4202</v>
      </c>
      <c r="BA1764">
        <v>7438</v>
      </c>
      <c r="BB1764">
        <v>1432</v>
      </c>
      <c r="BC1764">
        <v>13072</v>
      </c>
      <c r="BD1764">
        <v>9486</v>
      </c>
      <c r="BE1764">
        <v>9222</v>
      </c>
      <c r="BF1764">
        <v>1768</v>
      </c>
      <c r="BG1764">
        <v>20476</v>
      </c>
      <c r="BH1764">
        <v>0</v>
      </c>
      <c r="BI1764">
        <v>0</v>
      </c>
      <c r="BJ1764">
        <v>0</v>
      </c>
      <c r="BK1764">
        <v>0</v>
      </c>
      <c r="BL1764" s="2">
        <v>24.82</v>
      </c>
      <c r="BM1764" s="2">
        <v>42005.095138888886</v>
      </c>
      <c r="BN1764" s="2">
        <v>5.4</v>
      </c>
      <c r="BO1764" s="2">
        <v>42005.092361111114</v>
      </c>
      <c r="BP1764" s="2">
        <v>6.92</v>
      </c>
      <c r="BQ1764" s="2">
        <v>42005.092361111114</v>
      </c>
      <c r="BR1764" s="2">
        <v>11.07</v>
      </c>
      <c r="BS1764" s="2">
        <v>42005.092361111114</v>
      </c>
      <c r="BT1764">
        <v>0</v>
      </c>
      <c r="BU1764">
        <v>0</v>
      </c>
      <c r="BV1764" t="s">
        <v>135</v>
      </c>
      <c r="BW1764">
        <v>0</v>
      </c>
      <c r="BX1764">
        <v>0</v>
      </c>
      <c r="BY1764" t="s">
        <v>135</v>
      </c>
      <c r="BZ1764">
        <v>0</v>
      </c>
      <c r="CA1764">
        <v>0</v>
      </c>
      <c r="CB1764" t="s">
        <v>135</v>
      </c>
      <c r="CH1764" s="2"/>
      <c r="CJ1764" s="2"/>
      <c r="CL1764" s="2"/>
      <c r="CN1764" s="2"/>
      <c r="CQ1764" s="2"/>
      <c r="CT1764" s="2"/>
      <c r="CW1764" s="2"/>
    </row>
    <row r="1765" spans="1:101" x14ac:dyDescent="0.25">
      <c r="A1765" s="1" t="s">
        <v>163</v>
      </c>
      <c r="B1765" s="75" t="s">
        <v>164</v>
      </c>
      <c r="C1765">
        <v>0</v>
      </c>
      <c r="D1765">
        <v>0</v>
      </c>
      <c r="E1765">
        <v>0</v>
      </c>
      <c r="F1765">
        <v>604324.56000000006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3.91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7490</v>
      </c>
      <c r="AW1765">
        <v>3350</v>
      </c>
      <c r="AX1765">
        <v>1219</v>
      </c>
      <c r="AY1765">
        <v>12059</v>
      </c>
      <c r="AZ1765">
        <v>4202</v>
      </c>
      <c r="BA1765">
        <v>7438</v>
      </c>
      <c r="BB1765">
        <v>1432</v>
      </c>
      <c r="BC1765">
        <v>13072</v>
      </c>
      <c r="BD1765">
        <v>9486</v>
      </c>
      <c r="BE1765">
        <v>9222</v>
      </c>
      <c r="BF1765">
        <v>1768</v>
      </c>
      <c r="BG1765">
        <v>20476</v>
      </c>
      <c r="BH1765">
        <v>0</v>
      </c>
      <c r="BI1765">
        <v>0</v>
      </c>
      <c r="BJ1765">
        <v>0</v>
      </c>
      <c r="BK1765">
        <v>0</v>
      </c>
      <c r="BL1765" s="2">
        <v>24.82</v>
      </c>
      <c r="BM1765" s="2">
        <v>42005.095138888886</v>
      </c>
      <c r="BN1765" s="2">
        <v>5.4</v>
      </c>
      <c r="BO1765" s="2">
        <v>42005.092361111114</v>
      </c>
      <c r="BP1765" s="2">
        <v>6.92</v>
      </c>
      <c r="BQ1765" s="2">
        <v>42005.092361111114</v>
      </c>
      <c r="BR1765" s="2">
        <v>11.07</v>
      </c>
      <c r="BS1765" s="2">
        <v>42005.092361111114</v>
      </c>
      <c r="BT1765">
        <v>0</v>
      </c>
      <c r="BU1765">
        <v>0</v>
      </c>
      <c r="BV1765" t="s">
        <v>135</v>
      </c>
      <c r="BW1765">
        <v>0</v>
      </c>
      <c r="BX1765">
        <v>0</v>
      </c>
      <c r="BY1765" t="s">
        <v>135</v>
      </c>
      <c r="BZ1765">
        <v>0</v>
      </c>
      <c r="CA1765">
        <v>0</v>
      </c>
      <c r="CB1765" t="s">
        <v>135</v>
      </c>
      <c r="CH1765" s="2"/>
      <c r="CJ1765" s="2"/>
      <c r="CL1765" s="2"/>
      <c r="CN1765" s="2"/>
      <c r="CQ1765" s="2"/>
      <c r="CT1765" s="2"/>
      <c r="CW1765" s="2"/>
    </row>
    <row r="1766" spans="1:101" x14ac:dyDescent="0.25">
      <c r="A1766" s="1" t="s">
        <v>163</v>
      </c>
      <c r="B1766" s="75" t="s">
        <v>164</v>
      </c>
      <c r="C1766">
        <v>0</v>
      </c>
      <c r="D1766">
        <v>0</v>
      </c>
      <c r="E1766">
        <v>0</v>
      </c>
      <c r="F1766">
        <v>604324.56000000006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3.91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7490</v>
      </c>
      <c r="AW1766">
        <v>3350</v>
      </c>
      <c r="AX1766">
        <v>1219</v>
      </c>
      <c r="AY1766">
        <v>12059</v>
      </c>
      <c r="AZ1766">
        <v>4202</v>
      </c>
      <c r="BA1766">
        <v>7438</v>
      </c>
      <c r="BB1766">
        <v>1432</v>
      </c>
      <c r="BC1766">
        <v>13072</v>
      </c>
      <c r="BD1766">
        <v>9486</v>
      </c>
      <c r="BE1766">
        <v>9222</v>
      </c>
      <c r="BF1766">
        <v>1768</v>
      </c>
      <c r="BG1766">
        <v>20476</v>
      </c>
      <c r="BH1766">
        <v>0</v>
      </c>
      <c r="BI1766">
        <v>0</v>
      </c>
      <c r="BJ1766">
        <v>0</v>
      </c>
      <c r="BK1766">
        <v>0</v>
      </c>
      <c r="BL1766" s="2">
        <v>24.82</v>
      </c>
      <c r="BM1766" s="2">
        <v>42005.095138888886</v>
      </c>
      <c r="BN1766" s="2">
        <v>5.4</v>
      </c>
      <c r="BO1766" s="2">
        <v>42005.092361111114</v>
      </c>
      <c r="BP1766" s="2">
        <v>6.92</v>
      </c>
      <c r="BQ1766" s="2">
        <v>42005.092361111114</v>
      </c>
      <c r="BR1766" s="2">
        <v>11.07</v>
      </c>
      <c r="BS1766" s="2">
        <v>42005.092361111114</v>
      </c>
      <c r="BT1766">
        <v>0</v>
      </c>
      <c r="BU1766">
        <v>0</v>
      </c>
      <c r="BV1766" t="s">
        <v>135</v>
      </c>
      <c r="BW1766">
        <v>0</v>
      </c>
      <c r="BX1766">
        <v>0</v>
      </c>
      <c r="BY1766" t="s">
        <v>135</v>
      </c>
      <c r="BZ1766">
        <v>0</v>
      </c>
      <c r="CA1766">
        <v>0</v>
      </c>
      <c r="CB1766" t="s">
        <v>135</v>
      </c>
      <c r="CH1766" s="2"/>
      <c r="CJ1766" s="2"/>
      <c r="CL1766" s="2"/>
      <c r="CN1766" s="2"/>
      <c r="CQ1766" s="2"/>
      <c r="CT1766" s="2"/>
      <c r="CW1766" s="2"/>
    </row>
    <row r="1767" spans="1:101" x14ac:dyDescent="0.25">
      <c r="A1767" s="1" t="s">
        <v>163</v>
      </c>
      <c r="B1767" s="75" t="s">
        <v>164</v>
      </c>
      <c r="C1767">
        <v>0</v>
      </c>
      <c r="D1767">
        <v>0</v>
      </c>
      <c r="E1767">
        <v>0</v>
      </c>
      <c r="F1767">
        <v>604324.56000000006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3.91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7490</v>
      </c>
      <c r="AW1767">
        <v>3350</v>
      </c>
      <c r="AX1767">
        <v>1219</v>
      </c>
      <c r="AY1767">
        <v>12059</v>
      </c>
      <c r="AZ1767">
        <v>4202</v>
      </c>
      <c r="BA1767">
        <v>7438</v>
      </c>
      <c r="BB1767">
        <v>1432</v>
      </c>
      <c r="BC1767">
        <v>13072</v>
      </c>
      <c r="BD1767">
        <v>9486</v>
      </c>
      <c r="BE1767">
        <v>9222</v>
      </c>
      <c r="BF1767">
        <v>1768</v>
      </c>
      <c r="BG1767">
        <v>20476</v>
      </c>
      <c r="BH1767">
        <v>0</v>
      </c>
      <c r="BI1767">
        <v>0</v>
      </c>
      <c r="BJ1767">
        <v>0</v>
      </c>
      <c r="BK1767">
        <v>0</v>
      </c>
      <c r="BL1767" s="2">
        <v>24.82</v>
      </c>
      <c r="BM1767" s="2">
        <v>42005.095138888886</v>
      </c>
      <c r="BN1767" s="2">
        <v>5.4</v>
      </c>
      <c r="BO1767" s="2">
        <v>42005.092361111114</v>
      </c>
      <c r="BP1767" s="2">
        <v>6.92</v>
      </c>
      <c r="BQ1767" s="2">
        <v>42005.092361111114</v>
      </c>
      <c r="BR1767" s="2">
        <v>11.07</v>
      </c>
      <c r="BS1767" s="2">
        <v>42005.092361111114</v>
      </c>
      <c r="BT1767">
        <v>0</v>
      </c>
      <c r="BU1767">
        <v>0</v>
      </c>
      <c r="BV1767" t="s">
        <v>135</v>
      </c>
      <c r="BW1767">
        <v>0</v>
      </c>
      <c r="BX1767">
        <v>0</v>
      </c>
      <c r="BY1767" t="s">
        <v>135</v>
      </c>
      <c r="BZ1767">
        <v>0</v>
      </c>
      <c r="CA1767">
        <v>0</v>
      </c>
      <c r="CB1767" t="s">
        <v>135</v>
      </c>
      <c r="CH1767" s="2"/>
      <c r="CJ1767" s="2"/>
      <c r="CL1767" s="2"/>
      <c r="CN1767" s="2"/>
      <c r="CQ1767" s="2"/>
      <c r="CT1767" s="2"/>
      <c r="CW1767" s="2"/>
    </row>
    <row r="1768" spans="1:101" x14ac:dyDescent="0.25">
      <c r="A1768" s="1" t="s">
        <v>163</v>
      </c>
      <c r="B1768" s="75" t="s">
        <v>164</v>
      </c>
      <c r="C1768">
        <v>0</v>
      </c>
      <c r="D1768">
        <v>0</v>
      </c>
      <c r="E1768">
        <v>0</v>
      </c>
      <c r="F1768">
        <v>604324.56000000006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3.91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7490</v>
      </c>
      <c r="AW1768">
        <v>3350</v>
      </c>
      <c r="AX1768">
        <v>1219</v>
      </c>
      <c r="AY1768">
        <v>12059</v>
      </c>
      <c r="AZ1768">
        <v>4202</v>
      </c>
      <c r="BA1768">
        <v>7438</v>
      </c>
      <c r="BB1768">
        <v>1432</v>
      </c>
      <c r="BC1768">
        <v>13072</v>
      </c>
      <c r="BD1768">
        <v>9486</v>
      </c>
      <c r="BE1768">
        <v>9222</v>
      </c>
      <c r="BF1768">
        <v>1768</v>
      </c>
      <c r="BG1768">
        <v>20476</v>
      </c>
      <c r="BH1768">
        <v>0</v>
      </c>
      <c r="BI1768">
        <v>0</v>
      </c>
      <c r="BJ1768">
        <v>0</v>
      </c>
      <c r="BK1768">
        <v>0</v>
      </c>
      <c r="BL1768" s="2">
        <v>24.82</v>
      </c>
      <c r="BM1768" s="2">
        <v>42005.095138888886</v>
      </c>
      <c r="BN1768" s="2">
        <v>5.4</v>
      </c>
      <c r="BO1768" s="2">
        <v>42005.092361111114</v>
      </c>
      <c r="BP1768" s="2">
        <v>6.92</v>
      </c>
      <c r="BQ1768" s="2">
        <v>42005.092361111114</v>
      </c>
      <c r="BR1768" s="2">
        <v>11.07</v>
      </c>
      <c r="BS1768" s="2">
        <v>42005.092361111114</v>
      </c>
      <c r="BT1768">
        <v>0</v>
      </c>
      <c r="BU1768">
        <v>0</v>
      </c>
      <c r="BV1768" t="s">
        <v>135</v>
      </c>
      <c r="BW1768">
        <v>0</v>
      </c>
      <c r="BX1768">
        <v>0</v>
      </c>
      <c r="BY1768" t="s">
        <v>135</v>
      </c>
      <c r="BZ1768">
        <v>0</v>
      </c>
      <c r="CA1768">
        <v>0</v>
      </c>
      <c r="CB1768" t="s">
        <v>135</v>
      </c>
      <c r="CH1768" s="2"/>
      <c r="CJ1768" s="2"/>
      <c r="CL1768" s="2"/>
      <c r="CN1768" s="2"/>
      <c r="CQ1768" s="2"/>
      <c r="CT1768" s="2"/>
      <c r="CW1768" s="2"/>
    </row>
    <row r="1769" spans="1:101" x14ac:dyDescent="0.25">
      <c r="A1769" s="1" t="s">
        <v>163</v>
      </c>
      <c r="B1769" s="75" t="s">
        <v>164</v>
      </c>
      <c r="C1769">
        <v>0</v>
      </c>
      <c r="D1769">
        <v>0</v>
      </c>
      <c r="E1769">
        <v>0</v>
      </c>
      <c r="F1769">
        <v>604324.56000000006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3.91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7490</v>
      </c>
      <c r="AW1769">
        <v>3350</v>
      </c>
      <c r="AX1769">
        <v>1219</v>
      </c>
      <c r="AY1769">
        <v>12059</v>
      </c>
      <c r="AZ1769">
        <v>4202</v>
      </c>
      <c r="BA1769">
        <v>7438</v>
      </c>
      <c r="BB1769">
        <v>1432</v>
      </c>
      <c r="BC1769">
        <v>13072</v>
      </c>
      <c r="BD1769">
        <v>9486</v>
      </c>
      <c r="BE1769">
        <v>9222</v>
      </c>
      <c r="BF1769">
        <v>1768</v>
      </c>
      <c r="BG1769">
        <v>20476</v>
      </c>
      <c r="BH1769">
        <v>0</v>
      </c>
      <c r="BI1769">
        <v>0</v>
      </c>
      <c r="BJ1769">
        <v>0</v>
      </c>
      <c r="BK1769">
        <v>0</v>
      </c>
      <c r="BL1769" s="2">
        <v>24.82</v>
      </c>
      <c r="BM1769" s="2">
        <v>42005.095138888886</v>
      </c>
      <c r="BN1769" s="2">
        <v>5.4</v>
      </c>
      <c r="BO1769" s="2">
        <v>42005.092361111114</v>
      </c>
      <c r="BP1769" s="2">
        <v>6.92</v>
      </c>
      <c r="BQ1769" s="2">
        <v>42005.092361111114</v>
      </c>
      <c r="BR1769" s="2">
        <v>11.07</v>
      </c>
      <c r="BS1769" s="2">
        <v>42005.092361111114</v>
      </c>
      <c r="BT1769">
        <v>0</v>
      </c>
      <c r="BU1769">
        <v>0</v>
      </c>
      <c r="BV1769" t="s">
        <v>135</v>
      </c>
      <c r="BW1769">
        <v>0</v>
      </c>
      <c r="BX1769">
        <v>0</v>
      </c>
      <c r="BY1769" t="s">
        <v>135</v>
      </c>
      <c r="BZ1769">
        <v>0</v>
      </c>
      <c r="CA1769">
        <v>0</v>
      </c>
      <c r="CB1769" t="s">
        <v>135</v>
      </c>
      <c r="CH1769" s="2"/>
      <c r="CJ1769" s="2"/>
      <c r="CL1769" s="2"/>
      <c r="CN1769" s="2"/>
      <c r="CQ1769" s="2"/>
      <c r="CT1769" s="2"/>
      <c r="CW1769" s="2"/>
    </row>
    <row r="1770" spans="1:101" x14ac:dyDescent="0.25">
      <c r="A1770" s="1" t="s">
        <v>163</v>
      </c>
      <c r="B1770" s="75" t="s">
        <v>164</v>
      </c>
      <c r="C1770">
        <v>0</v>
      </c>
      <c r="D1770">
        <v>0</v>
      </c>
      <c r="E1770">
        <v>0</v>
      </c>
      <c r="F1770">
        <v>604324.56000000006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3.91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7490</v>
      </c>
      <c r="AW1770">
        <v>3350</v>
      </c>
      <c r="AX1770">
        <v>1219</v>
      </c>
      <c r="AY1770">
        <v>12059</v>
      </c>
      <c r="AZ1770">
        <v>4202</v>
      </c>
      <c r="BA1770">
        <v>7438</v>
      </c>
      <c r="BB1770">
        <v>1432</v>
      </c>
      <c r="BC1770">
        <v>13072</v>
      </c>
      <c r="BD1770">
        <v>9486</v>
      </c>
      <c r="BE1770">
        <v>9222</v>
      </c>
      <c r="BF1770">
        <v>1768</v>
      </c>
      <c r="BG1770">
        <v>20476</v>
      </c>
      <c r="BH1770">
        <v>0</v>
      </c>
      <c r="BI1770">
        <v>0</v>
      </c>
      <c r="BJ1770">
        <v>0</v>
      </c>
      <c r="BK1770">
        <v>0</v>
      </c>
      <c r="BL1770" s="2">
        <v>24.82</v>
      </c>
      <c r="BM1770" s="2">
        <v>42005.095138888886</v>
      </c>
      <c r="BN1770" s="2">
        <v>5.4</v>
      </c>
      <c r="BO1770" s="2">
        <v>42005.092361111114</v>
      </c>
      <c r="BP1770" s="2">
        <v>6.92</v>
      </c>
      <c r="BQ1770" s="2">
        <v>42005.092361111114</v>
      </c>
      <c r="BR1770" s="2">
        <v>11.07</v>
      </c>
      <c r="BS1770" s="2">
        <v>42005.092361111114</v>
      </c>
      <c r="BT1770">
        <v>0</v>
      </c>
      <c r="BU1770">
        <v>0</v>
      </c>
      <c r="BV1770" t="s">
        <v>135</v>
      </c>
      <c r="BW1770">
        <v>0</v>
      </c>
      <c r="BX1770">
        <v>0</v>
      </c>
      <c r="BY1770" t="s">
        <v>135</v>
      </c>
      <c r="BZ1770">
        <v>0</v>
      </c>
      <c r="CA1770">
        <v>0</v>
      </c>
      <c r="CB1770" t="s">
        <v>135</v>
      </c>
      <c r="CH1770" s="2"/>
      <c r="CJ1770" s="2"/>
      <c r="CL1770" s="2"/>
      <c r="CN1770" s="2"/>
      <c r="CQ1770" s="2"/>
      <c r="CT1770" s="2"/>
      <c r="CW1770" s="2"/>
    </row>
    <row r="1771" spans="1:101" x14ac:dyDescent="0.25">
      <c r="A1771" s="1" t="s">
        <v>163</v>
      </c>
      <c r="B1771" s="75" t="s">
        <v>164</v>
      </c>
      <c r="C1771">
        <v>0</v>
      </c>
      <c r="D1771">
        <v>0</v>
      </c>
      <c r="E1771">
        <v>0</v>
      </c>
      <c r="F1771">
        <v>604324.56000000006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3.91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7490</v>
      </c>
      <c r="AW1771">
        <v>3350</v>
      </c>
      <c r="AX1771">
        <v>1219</v>
      </c>
      <c r="AY1771">
        <v>12059</v>
      </c>
      <c r="AZ1771">
        <v>4202</v>
      </c>
      <c r="BA1771">
        <v>7438</v>
      </c>
      <c r="BB1771">
        <v>1432</v>
      </c>
      <c r="BC1771">
        <v>13072</v>
      </c>
      <c r="BD1771">
        <v>9486</v>
      </c>
      <c r="BE1771">
        <v>9222</v>
      </c>
      <c r="BF1771">
        <v>1768</v>
      </c>
      <c r="BG1771">
        <v>20476</v>
      </c>
      <c r="BH1771">
        <v>0</v>
      </c>
      <c r="BI1771">
        <v>0</v>
      </c>
      <c r="BJ1771">
        <v>0</v>
      </c>
      <c r="BK1771">
        <v>0</v>
      </c>
      <c r="BL1771" s="2">
        <v>24.82</v>
      </c>
      <c r="BM1771" s="2">
        <v>42005.095138888886</v>
      </c>
      <c r="BN1771" s="2">
        <v>5.4</v>
      </c>
      <c r="BO1771" s="2">
        <v>42005.092361111114</v>
      </c>
      <c r="BP1771" s="2">
        <v>6.92</v>
      </c>
      <c r="BQ1771" s="2">
        <v>42005.092361111114</v>
      </c>
      <c r="BR1771" s="2">
        <v>11.07</v>
      </c>
      <c r="BS1771" s="2">
        <v>42005.092361111114</v>
      </c>
      <c r="BT1771">
        <v>0</v>
      </c>
      <c r="BU1771">
        <v>0</v>
      </c>
      <c r="BV1771" t="s">
        <v>135</v>
      </c>
      <c r="BW1771">
        <v>0</v>
      </c>
      <c r="BX1771">
        <v>0</v>
      </c>
      <c r="BY1771" t="s">
        <v>135</v>
      </c>
      <c r="BZ1771">
        <v>0</v>
      </c>
      <c r="CA1771">
        <v>0</v>
      </c>
      <c r="CB1771" t="s">
        <v>135</v>
      </c>
      <c r="CH1771" s="2"/>
      <c r="CJ1771" s="2"/>
      <c r="CL1771" s="2"/>
      <c r="CN1771" s="2"/>
      <c r="CQ1771" s="2"/>
      <c r="CT1771" s="2"/>
      <c r="CW1771" s="2"/>
    </row>
    <row r="1772" spans="1:101" x14ac:dyDescent="0.25">
      <c r="A1772" s="1" t="s">
        <v>163</v>
      </c>
      <c r="B1772" s="75" t="s">
        <v>164</v>
      </c>
      <c r="C1772">
        <v>0</v>
      </c>
      <c r="D1772">
        <v>0</v>
      </c>
      <c r="E1772">
        <v>0</v>
      </c>
      <c r="F1772">
        <v>604324.56000000006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3.91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7490</v>
      </c>
      <c r="AW1772">
        <v>3350</v>
      </c>
      <c r="AX1772">
        <v>1219</v>
      </c>
      <c r="AY1772">
        <v>12059</v>
      </c>
      <c r="AZ1772">
        <v>4202</v>
      </c>
      <c r="BA1772">
        <v>7438</v>
      </c>
      <c r="BB1772">
        <v>1432</v>
      </c>
      <c r="BC1772">
        <v>13072</v>
      </c>
      <c r="BD1772">
        <v>9486</v>
      </c>
      <c r="BE1772">
        <v>9222</v>
      </c>
      <c r="BF1772">
        <v>1768</v>
      </c>
      <c r="BG1772">
        <v>20476</v>
      </c>
      <c r="BH1772">
        <v>0</v>
      </c>
      <c r="BI1772">
        <v>0</v>
      </c>
      <c r="BJ1772">
        <v>0</v>
      </c>
      <c r="BK1772">
        <v>0</v>
      </c>
      <c r="BL1772" s="2">
        <v>24.82</v>
      </c>
      <c r="BM1772" s="2">
        <v>42005.095138888886</v>
      </c>
      <c r="BN1772" s="2">
        <v>5.4</v>
      </c>
      <c r="BO1772" s="2">
        <v>42005.092361111114</v>
      </c>
      <c r="BP1772" s="2">
        <v>6.92</v>
      </c>
      <c r="BQ1772" s="2">
        <v>42005.092361111114</v>
      </c>
      <c r="BR1772" s="2">
        <v>11.07</v>
      </c>
      <c r="BS1772" s="2">
        <v>42005.092361111114</v>
      </c>
      <c r="BT1772">
        <v>0</v>
      </c>
      <c r="BU1772">
        <v>0</v>
      </c>
      <c r="BV1772" t="s">
        <v>135</v>
      </c>
      <c r="BW1772">
        <v>0</v>
      </c>
      <c r="BX1772">
        <v>0</v>
      </c>
      <c r="BY1772" t="s">
        <v>135</v>
      </c>
      <c r="BZ1772">
        <v>0</v>
      </c>
      <c r="CA1772">
        <v>0</v>
      </c>
      <c r="CB1772" t="s">
        <v>135</v>
      </c>
      <c r="CH1772" s="2"/>
      <c r="CJ1772" s="2"/>
      <c r="CL1772" s="2"/>
      <c r="CN1772" s="2"/>
      <c r="CQ1772" s="2"/>
      <c r="CT1772" s="2"/>
      <c r="CW1772" s="2"/>
    </row>
    <row r="1773" spans="1:101" x14ac:dyDescent="0.25">
      <c r="A1773" s="1" t="s">
        <v>163</v>
      </c>
      <c r="B1773" s="75" t="s">
        <v>164</v>
      </c>
      <c r="C1773">
        <v>0</v>
      </c>
      <c r="D1773">
        <v>0</v>
      </c>
      <c r="E1773">
        <v>0</v>
      </c>
      <c r="F1773">
        <v>604324.56000000006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3.91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7490</v>
      </c>
      <c r="AW1773">
        <v>3350</v>
      </c>
      <c r="AX1773">
        <v>1219</v>
      </c>
      <c r="AY1773">
        <v>12059</v>
      </c>
      <c r="AZ1773">
        <v>4202</v>
      </c>
      <c r="BA1773">
        <v>7438</v>
      </c>
      <c r="BB1773">
        <v>1432</v>
      </c>
      <c r="BC1773">
        <v>13072</v>
      </c>
      <c r="BD1773">
        <v>9486</v>
      </c>
      <c r="BE1773">
        <v>9222</v>
      </c>
      <c r="BF1773">
        <v>1768</v>
      </c>
      <c r="BG1773">
        <v>20476</v>
      </c>
      <c r="BH1773">
        <v>0</v>
      </c>
      <c r="BI1773">
        <v>0</v>
      </c>
      <c r="BJ1773">
        <v>0</v>
      </c>
      <c r="BK1773">
        <v>0</v>
      </c>
      <c r="BL1773" s="2">
        <v>24.82</v>
      </c>
      <c r="BM1773" s="2">
        <v>42005.095138888886</v>
      </c>
      <c r="BN1773" s="2">
        <v>5.4</v>
      </c>
      <c r="BO1773" s="2">
        <v>42005.092361111114</v>
      </c>
      <c r="BP1773" s="2">
        <v>6.92</v>
      </c>
      <c r="BQ1773" s="2">
        <v>42005.092361111114</v>
      </c>
      <c r="BR1773" s="2">
        <v>11.07</v>
      </c>
      <c r="BS1773" s="2">
        <v>42005.092361111114</v>
      </c>
      <c r="BT1773">
        <v>0</v>
      </c>
      <c r="BU1773">
        <v>0</v>
      </c>
      <c r="BV1773" t="s">
        <v>135</v>
      </c>
      <c r="BW1773">
        <v>0</v>
      </c>
      <c r="BX1773">
        <v>0</v>
      </c>
      <c r="BY1773" t="s">
        <v>135</v>
      </c>
      <c r="BZ1773">
        <v>0</v>
      </c>
      <c r="CA1773">
        <v>0</v>
      </c>
      <c r="CB1773" t="s">
        <v>135</v>
      </c>
      <c r="CH1773" s="2"/>
      <c r="CJ1773" s="2"/>
      <c r="CL1773" s="2"/>
      <c r="CN1773" s="2"/>
      <c r="CQ1773" s="2"/>
      <c r="CT1773" s="2"/>
      <c r="CW1773" s="2"/>
    </row>
    <row r="1774" spans="1:101" x14ac:dyDescent="0.25">
      <c r="A1774" s="1" t="s">
        <v>163</v>
      </c>
      <c r="B1774" s="75" t="s">
        <v>164</v>
      </c>
      <c r="C1774">
        <v>0</v>
      </c>
      <c r="D1774">
        <v>0</v>
      </c>
      <c r="E1774">
        <v>0</v>
      </c>
      <c r="F1774">
        <v>604324.56000000006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3.91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7490</v>
      </c>
      <c r="AW1774">
        <v>3350</v>
      </c>
      <c r="AX1774">
        <v>1219</v>
      </c>
      <c r="AY1774">
        <v>12059</v>
      </c>
      <c r="AZ1774">
        <v>4202</v>
      </c>
      <c r="BA1774">
        <v>7438</v>
      </c>
      <c r="BB1774">
        <v>1432</v>
      </c>
      <c r="BC1774">
        <v>13072</v>
      </c>
      <c r="BD1774">
        <v>9486</v>
      </c>
      <c r="BE1774">
        <v>9222</v>
      </c>
      <c r="BF1774">
        <v>1768</v>
      </c>
      <c r="BG1774">
        <v>20476</v>
      </c>
      <c r="BH1774">
        <v>0</v>
      </c>
      <c r="BI1774">
        <v>0</v>
      </c>
      <c r="BJ1774">
        <v>0</v>
      </c>
      <c r="BK1774">
        <v>0</v>
      </c>
      <c r="BL1774" s="2">
        <v>24.82</v>
      </c>
      <c r="BM1774" s="2">
        <v>42005.095138888886</v>
      </c>
      <c r="BN1774" s="2">
        <v>5.4</v>
      </c>
      <c r="BO1774" s="2">
        <v>42005.092361111114</v>
      </c>
      <c r="BP1774" s="2">
        <v>6.92</v>
      </c>
      <c r="BQ1774" s="2">
        <v>42005.092361111114</v>
      </c>
      <c r="BR1774" s="2">
        <v>11.07</v>
      </c>
      <c r="BS1774" s="2">
        <v>42005.092361111114</v>
      </c>
      <c r="BT1774">
        <v>0</v>
      </c>
      <c r="BU1774">
        <v>0</v>
      </c>
      <c r="BV1774" t="s">
        <v>135</v>
      </c>
      <c r="BW1774">
        <v>0</v>
      </c>
      <c r="BX1774">
        <v>0</v>
      </c>
      <c r="BY1774" t="s">
        <v>135</v>
      </c>
      <c r="BZ1774">
        <v>0</v>
      </c>
      <c r="CA1774">
        <v>0</v>
      </c>
      <c r="CB1774" t="s">
        <v>135</v>
      </c>
      <c r="CH1774" s="2"/>
      <c r="CJ1774" s="2"/>
      <c r="CL1774" s="2"/>
      <c r="CN1774" s="2"/>
      <c r="CQ1774" s="2"/>
      <c r="CT1774" s="2"/>
      <c r="CW1774" s="2"/>
    </row>
    <row r="1775" spans="1:101" x14ac:dyDescent="0.25">
      <c r="A1775" s="1" t="s">
        <v>163</v>
      </c>
      <c r="B1775" s="75" t="s">
        <v>164</v>
      </c>
      <c r="C1775">
        <v>0</v>
      </c>
      <c r="D1775">
        <v>0</v>
      </c>
      <c r="E1775">
        <v>0</v>
      </c>
      <c r="F1775">
        <v>604324.56000000006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3.91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7490</v>
      </c>
      <c r="AW1775">
        <v>3350</v>
      </c>
      <c r="AX1775">
        <v>1219</v>
      </c>
      <c r="AY1775">
        <v>12059</v>
      </c>
      <c r="AZ1775">
        <v>4202</v>
      </c>
      <c r="BA1775">
        <v>7438</v>
      </c>
      <c r="BB1775">
        <v>1432</v>
      </c>
      <c r="BC1775">
        <v>13072</v>
      </c>
      <c r="BD1775">
        <v>9486</v>
      </c>
      <c r="BE1775">
        <v>9222</v>
      </c>
      <c r="BF1775">
        <v>1768</v>
      </c>
      <c r="BG1775">
        <v>20476</v>
      </c>
      <c r="BH1775">
        <v>0</v>
      </c>
      <c r="BI1775">
        <v>0</v>
      </c>
      <c r="BJ1775">
        <v>0</v>
      </c>
      <c r="BK1775">
        <v>0</v>
      </c>
      <c r="BL1775" s="2">
        <v>24.82</v>
      </c>
      <c r="BM1775" s="2">
        <v>42005.095138888886</v>
      </c>
      <c r="BN1775" s="2">
        <v>5.4</v>
      </c>
      <c r="BO1775" s="2">
        <v>42005.092361111114</v>
      </c>
      <c r="BP1775" s="2">
        <v>6.92</v>
      </c>
      <c r="BQ1775" s="2">
        <v>42005.092361111114</v>
      </c>
      <c r="BR1775" s="2">
        <v>11.07</v>
      </c>
      <c r="BS1775" s="2">
        <v>42005.092361111114</v>
      </c>
      <c r="BT1775">
        <v>0</v>
      </c>
      <c r="BU1775">
        <v>0</v>
      </c>
      <c r="BV1775" t="s">
        <v>135</v>
      </c>
      <c r="BW1775">
        <v>0</v>
      </c>
      <c r="BX1775">
        <v>0</v>
      </c>
      <c r="BY1775" t="s">
        <v>135</v>
      </c>
      <c r="BZ1775">
        <v>0</v>
      </c>
      <c r="CA1775">
        <v>0</v>
      </c>
      <c r="CB1775" t="s">
        <v>135</v>
      </c>
      <c r="CH1775" s="2"/>
      <c r="CJ1775" s="2"/>
      <c r="CL1775" s="2"/>
      <c r="CN1775" s="2"/>
      <c r="CQ1775" s="2"/>
      <c r="CT1775" s="2"/>
      <c r="CW1775" s="2"/>
    </row>
    <row r="1776" spans="1:101" x14ac:dyDescent="0.25">
      <c r="A1776" s="1" t="s">
        <v>163</v>
      </c>
      <c r="B1776" s="75" t="s">
        <v>164</v>
      </c>
      <c r="C1776">
        <v>0</v>
      </c>
      <c r="D1776">
        <v>0</v>
      </c>
      <c r="E1776">
        <v>0</v>
      </c>
      <c r="F1776">
        <v>604324.56000000006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3.91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7490</v>
      </c>
      <c r="AW1776">
        <v>3350</v>
      </c>
      <c r="AX1776">
        <v>1219</v>
      </c>
      <c r="AY1776">
        <v>12059</v>
      </c>
      <c r="AZ1776">
        <v>4202</v>
      </c>
      <c r="BA1776">
        <v>7438</v>
      </c>
      <c r="BB1776">
        <v>1432</v>
      </c>
      <c r="BC1776">
        <v>13072</v>
      </c>
      <c r="BD1776">
        <v>9486</v>
      </c>
      <c r="BE1776">
        <v>9222</v>
      </c>
      <c r="BF1776">
        <v>1768</v>
      </c>
      <c r="BG1776">
        <v>20476</v>
      </c>
      <c r="BH1776">
        <v>0</v>
      </c>
      <c r="BI1776">
        <v>0</v>
      </c>
      <c r="BJ1776">
        <v>0</v>
      </c>
      <c r="BK1776">
        <v>0</v>
      </c>
      <c r="BL1776" s="2">
        <v>24.82</v>
      </c>
      <c r="BM1776" s="2">
        <v>42005.095138888886</v>
      </c>
      <c r="BN1776" s="2">
        <v>5.4</v>
      </c>
      <c r="BO1776" s="2">
        <v>42005.092361111114</v>
      </c>
      <c r="BP1776" s="2">
        <v>6.92</v>
      </c>
      <c r="BQ1776" s="2">
        <v>42005.092361111114</v>
      </c>
      <c r="BR1776" s="2">
        <v>11.07</v>
      </c>
      <c r="BS1776" s="2">
        <v>42005.092361111114</v>
      </c>
      <c r="BT1776">
        <v>0</v>
      </c>
      <c r="BU1776">
        <v>0</v>
      </c>
      <c r="BV1776" t="s">
        <v>135</v>
      </c>
      <c r="BW1776">
        <v>0</v>
      </c>
      <c r="BX1776">
        <v>0</v>
      </c>
      <c r="BY1776" t="s">
        <v>135</v>
      </c>
      <c r="BZ1776">
        <v>0</v>
      </c>
      <c r="CA1776">
        <v>0</v>
      </c>
      <c r="CB1776" t="s">
        <v>135</v>
      </c>
      <c r="CH1776" s="2"/>
      <c r="CJ1776" s="2"/>
      <c r="CL1776" s="2"/>
      <c r="CN1776" s="2"/>
      <c r="CQ1776" s="2"/>
      <c r="CT1776" s="2"/>
      <c r="CW1776" s="2"/>
    </row>
    <row r="1777" spans="1:101" x14ac:dyDescent="0.25">
      <c r="A1777" s="1" t="s">
        <v>163</v>
      </c>
      <c r="B1777" s="75" t="s">
        <v>164</v>
      </c>
      <c r="C1777">
        <v>0</v>
      </c>
      <c r="D1777">
        <v>0</v>
      </c>
      <c r="E1777">
        <v>0</v>
      </c>
      <c r="F1777">
        <v>604324.56000000006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3.91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7490</v>
      </c>
      <c r="AW1777">
        <v>3350</v>
      </c>
      <c r="AX1777">
        <v>1219</v>
      </c>
      <c r="AY1777">
        <v>12059</v>
      </c>
      <c r="AZ1777">
        <v>4202</v>
      </c>
      <c r="BA1777">
        <v>7438</v>
      </c>
      <c r="BB1777">
        <v>1432</v>
      </c>
      <c r="BC1777">
        <v>13072</v>
      </c>
      <c r="BD1777">
        <v>9486</v>
      </c>
      <c r="BE1777">
        <v>9222</v>
      </c>
      <c r="BF1777">
        <v>1768</v>
      </c>
      <c r="BG1777">
        <v>20476</v>
      </c>
      <c r="BH1777">
        <v>0</v>
      </c>
      <c r="BI1777">
        <v>0</v>
      </c>
      <c r="BJ1777">
        <v>0</v>
      </c>
      <c r="BK1777">
        <v>0</v>
      </c>
      <c r="BL1777" s="2">
        <v>24.82</v>
      </c>
      <c r="BM1777" s="2">
        <v>42005.095138888886</v>
      </c>
      <c r="BN1777" s="2">
        <v>5.4</v>
      </c>
      <c r="BO1777" s="2">
        <v>42005.092361111114</v>
      </c>
      <c r="BP1777" s="2">
        <v>6.92</v>
      </c>
      <c r="BQ1777" s="2">
        <v>42005.092361111114</v>
      </c>
      <c r="BR1777" s="2">
        <v>11.07</v>
      </c>
      <c r="BS1777" s="2">
        <v>42005.092361111114</v>
      </c>
      <c r="BT1777">
        <v>0</v>
      </c>
      <c r="BU1777">
        <v>0</v>
      </c>
      <c r="BV1777" t="s">
        <v>135</v>
      </c>
      <c r="BW1777">
        <v>0</v>
      </c>
      <c r="BX1777">
        <v>0</v>
      </c>
      <c r="BY1777" t="s">
        <v>135</v>
      </c>
      <c r="BZ1777">
        <v>0</v>
      </c>
      <c r="CA1777">
        <v>0</v>
      </c>
      <c r="CB1777" t="s">
        <v>135</v>
      </c>
      <c r="CH1777" s="2"/>
      <c r="CJ1777" s="2"/>
      <c r="CL1777" s="2"/>
      <c r="CN1777" s="2"/>
      <c r="CQ1777" s="2"/>
      <c r="CT1777" s="2"/>
      <c r="CW1777" s="2"/>
    </row>
    <row r="1778" spans="1:101" x14ac:dyDescent="0.25">
      <c r="A1778" s="1" t="s">
        <v>163</v>
      </c>
      <c r="B1778" s="75" t="s">
        <v>164</v>
      </c>
      <c r="C1778">
        <v>0</v>
      </c>
      <c r="D1778">
        <v>0</v>
      </c>
      <c r="E1778">
        <v>0</v>
      </c>
      <c r="F1778">
        <v>604324.56000000006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3.91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7490</v>
      </c>
      <c r="AW1778">
        <v>3350</v>
      </c>
      <c r="AX1778">
        <v>1219</v>
      </c>
      <c r="AY1778">
        <v>12059</v>
      </c>
      <c r="AZ1778">
        <v>4202</v>
      </c>
      <c r="BA1778">
        <v>7438</v>
      </c>
      <c r="BB1778">
        <v>1432</v>
      </c>
      <c r="BC1778">
        <v>13072</v>
      </c>
      <c r="BD1778">
        <v>9486</v>
      </c>
      <c r="BE1778">
        <v>9222</v>
      </c>
      <c r="BF1778">
        <v>1768</v>
      </c>
      <c r="BG1778">
        <v>20476</v>
      </c>
      <c r="BH1778">
        <v>0</v>
      </c>
      <c r="BI1778">
        <v>0</v>
      </c>
      <c r="BJ1778">
        <v>0</v>
      </c>
      <c r="BK1778">
        <v>0</v>
      </c>
      <c r="BL1778" s="2">
        <v>24.82</v>
      </c>
      <c r="BM1778" s="2">
        <v>42005.095138888886</v>
      </c>
      <c r="BN1778" s="2">
        <v>5.4</v>
      </c>
      <c r="BO1778" s="2">
        <v>42005.092361111114</v>
      </c>
      <c r="BP1778" s="2">
        <v>6.92</v>
      </c>
      <c r="BQ1778" s="2">
        <v>42005.092361111114</v>
      </c>
      <c r="BR1778" s="2">
        <v>11.07</v>
      </c>
      <c r="BS1778" s="2">
        <v>42005.092361111114</v>
      </c>
      <c r="BT1778">
        <v>0</v>
      </c>
      <c r="BU1778">
        <v>0</v>
      </c>
      <c r="BV1778" t="s">
        <v>135</v>
      </c>
      <c r="BW1778">
        <v>0</v>
      </c>
      <c r="BX1778">
        <v>0</v>
      </c>
      <c r="BY1778" t="s">
        <v>135</v>
      </c>
      <c r="BZ1778">
        <v>0</v>
      </c>
      <c r="CA1778">
        <v>0</v>
      </c>
      <c r="CB1778" t="s">
        <v>135</v>
      </c>
      <c r="CH1778" s="2"/>
      <c r="CJ1778" s="2"/>
      <c r="CL1778" s="2"/>
      <c r="CN1778" s="2"/>
      <c r="CQ1778" s="2"/>
      <c r="CT1778" s="2"/>
      <c r="CW1778" s="2"/>
    </row>
    <row r="1779" spans="1:101" x14ac:dyDescent="0.25">
      <c r="A1779" s="1" t="s">
        <v>163</v>
      </c>
      <c r="B1779" s="75" t="s">
        <v>164</v>
      </c>
      <c r="C1779">
        <v>0</v>
      </c>
      <c r="D1779">
        <v>0</v>
      </c>
      <c r="E1779">
        <v>0</v>
      </c>
      <c r="F1779">
        <v>604324.56000000006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3.91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7490</v>
      </c>
      <c r="AW1779">
        <v>3350</v>
      </c>
      <c r="AX1779">
        <v>1219</v>
      </c>
      <c r="AY1779">
        <v>12059</v>
      </c>
      <c r="AZ1779">
        <v>4202</v>
      </c>
      <c r="BA1779">
        <v>7438</v>
      </c>
      <c r="BB1779">
        <v>1432</v>
      </c>
      <c r="BC1779">
        <v>13072</v>
      </c>
      <c r="BD1779">
        <v>9486</v>
      </c>
      <c r="BE1779">
        <v>9222</v>
      </c>
      <c r="BF1779">
        <v>1768</v>
      </c>
      <c r="BG1779">
        <v>20476</v>
      </c>
      <c r="BH1779">
        <v>0</v>
      </c>
      <c r="BI1779">
        <v>0</v>
      </c>
      <c r="BJ1779">
        <v>0</v>
      </c>
      <c r="BK1779">
        <v>0</v>
      </c>
      <c r="BL1779" s="2">
        <v>24.82</v>
      </c>
      <c r="BM1779" s="2">
        <v>42005.095138888886</v>
      </c>
      <c r="BN1779" s="2">
        <v>5.4</v>
      </c>
      <c r="BO1779" s="2">
        <v>42005.092361111114</v>
      </c>
      <c r="BP1779" s="2">
        <v>6.92</v>
      </c>
      <c r="BQ1779" s="2">
        <v>42005.092361111114</v>
      </c>
      <c r="BR1779" s="2">
        <v>11.07</v>
      </c>
      <c r="BS1779" s="2">
        <v>42005.092361111114</v>
      </c>
      <c r="BT1779">
        <v>0</v>
      </c>
      <c r="BU1779">
        <v>0</v>
      </c>
      <c r="BV1779" t="s">
        <v>135</v>
      </c>
      <c r="BW1779">
        <v>0</v>
      </c>
      <c r="BX1779">
        <v>0</v>
      </c>
      <c r="BY1779" t="s">
        <v>135</v>
      </c>
      <c r="BZ1779">
        <v>0</v>
      </c>
      <c r="CA1779">
        <v>0</v>
      </c>
      <c r="CB1779" t="s">
        <v>135</v>
      </c>
      <c r="CH1779" s="2"/>
      <c r="CJ1779" s="2"/>
      <c r="CL1779" s="2"/>
      <c r="CN1779" s="2"/>
      <c r="CQ1779" s="2"/>
      <c r="CT1779" s="2"/>
      <c r="CW1779" s="2"/>
    </row>
    <row r="1780" spans="1:101" x14ac:dyDescent="0.25">
      <c r="A1780" s="1" t="s">
        <v>163</v>
      </c>
      <c r="B1780" s="75" t="s">
        <v>164</v>
      </c>
      <c r="C1780">
        <v>0</v>
      </c>
      <c r="D1780">
        <v>0</v>
      </c>
      <c r="E1780">
        <v>0</v>
      </c>
      <c r="F1780">
        <v>604324.56000000006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3.91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7490</v>
      </c>
      <c r="AW1780">
        <v>3350</v>
      </c>
      <c r="AX1780">
        <v>1219</v>
      </c>
      <c r="AY1780">
        <v>12059</v>
      </c>
      <c r="AZ1780">
        <v>4202</v>
      </c>
      <c r="BA1780">
        <v>7438</v>
      </c>
      <c r="BB1780">
        <v>1432</v>
      </c>
      <c r="BC1780">
        <v>13072</v>
      </c>
      <c r="BD1780">
        <v>9486</v>
      </c>
      <c r="BE1780">
        <v>9222</v>
      </c>
      <c r="BF1780">
        <v>1768</v>
      </c>
      <c r="BG1780">
        <v>20476</v>
      </c>
      <c r="BH1780">
        <v>0</v>
      </c>
      <c r="BI1780">
        <v>0</v>
      </c>
      <c r="BJ1780">
        <v>0</v>
      </c>
      <c r="BK1780">
        <v>0</v>
      </c>
      <c r="BL1780" s="2">
        <v>24.82</v>
      </c>
      <c r="BM1780" s="2">
        <v>42005.095138888886</v>
      </c>
      <c r="BN1780" s="2">
        <v>5.4</v>
      </c>
      <c r="BO1780" s="2">
        <v>42005.092361111114</v>
      </c>
      <c r="BP1780" s="2">
        <v>6.92</v>
      </c>
      <c r="BQ1780" s="2">
        <v>42005.092361111114</v>
      </c>
      <c r="BR1780" s="2">
        <v>11.07</v>
      </c>
      <c r="BS1780" s="2">
        <v>42005.092361111114</v>
      </c>
      <c r="BT1780">
        <v>0</v>
      </c>
      <c r="BU1780">
        <v>0</v>
      </c>
      <c r="BV1780" t="s">
        <v>135</v>
      </c>
      <c r="BW1780">
        <v>0</v>
      </c>
      <c r="BX1780">
        <v>0</v>
      </c>
      <c r="BY1780" t="s">
        <v>135</v>
      </c>
      <c r="BZ1780">
        <v>0</v>
      </c>
      <c r="CA1780">
        <v>0</v>
      </c>
      <c r="CB1780" t="s">
        <v>135</v>
      </c>
      <c r="CH1780" s="2"/>
      <c r="CJ1780" s="2"/>
      <c r="CL1780" s="2"/>
      <c r="CN1780" s="2"/>
      <c r="CQ1780" s="2"/>
      <c r="CT1780" s="2"/>
      <c r="CW1780" s="2"/>
    </row>
    <row r="1781" spans="1:101" x14ac:dyDescent="0.25">
      <c r="A1781" s="1" t="s">
        <v>163</v>
      </c>
      <c r="B1781" s="75" t="s">
        <v>164</v>
      </c>
      <c r="C1781">
        <v>0</v>
      </c>
      <c r="D1781">
        <v>0</v>
      </c>
      <c r="E1781">
        <v>0</v>
      </c>
      <c r="F1781">
        <v>604324.56000000006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3.91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7490</v>
      </c>
      <c r="AW1781">
        <v>3350</v>
      </c>
      <c r="AX1781">
        <v>1219</v>
      </c>
      <c r="AY1781">
        <v>12059</v>
      </c>
      <c r="AZ1781">
        <v>4202</v>
      </c>
      <c r="BA1781">
        <v>7438</v>
      </c>
      <c r="BB1781">
        <v>1432</v>
      </c>
      <c r="BC1781">
        <v>13072</v>
      </c>
      <c r="BD1781">
        <v>9486</v>
      </c>
      <c r="BE1781">
        <v>9222</v>
      </c>
      <c r="BF1781">
        <v>1768</v>
      </c>
      <c r="BG1781">
        <v>20476</v>
      </c>
      <c r="BH1781">
        <v>0</v>
      </c>
      <c r="BI1781">
        <v>0</v>
      </c>
      <c r="BJ1781">
        <v>0</v>
      </c>
      <c r="BK1781">
        <v>0</v>
      </c>
      <c r="BL1781" s="2">
        <v>24.82</v>
      </c>
      <c r="BM1781" s="2">
        <v>42005.095138888886</v>
      </c>
      <c r="BN1781" s="2">
        <v>5.4</v>
      </c>
      <c r="BO1781" s="2">
        <v>42005.092361111114</v>
      </c>
      <c r="BP1781" s="2">
        <v>6.92</v>
      </c>
      <c r="BQ1781" s="2">
        <v>42005.092361111114</v>
      </c>
      <c r="BR1781" s="2">
        <v>11.07</v>
      </c>
      <c r="BS1781" s="2">
        <v>42005.092361111114</v>
      </c>
      <c r="BT1781">
        <v>0</v>
      </c>
      <c r="BU1781">
        <v>0</v>
      </c>
      <c r="BV1781" t="s">
        <v>135</v>
      </c>
      <c r="BW1781">
        <v>0</v>
      </c>
      <c r="BX1781">
        <v>0</v>
      </c>
      <c r="BY1781" t="s">
        <v>135</v>
      </c>
      <c r="BZ1781">
        <v>0</v>
      </c>
      <c r="CA1781">
        <v>0</v>
      </c>
      <c r="CB1781" t="s">
        <v>135</v>
      </c>
      <c r="CH1781" s="2"/>
      <c r="CJ1781" s="2"/>
      <c r="CL1781" s="2"/>
      <c r="CN1781" s="2"/>
      <c r="CQ1781" s="2"/>
      <c r="CT1781" s="2"/>
      <c r="CW1781" s="2"/>
    </row>
    <row r="1782" spans="1:101" x14ac:dyDescent="0.25">
      <c r="A1782" s="1" t="s">
        <v>163</v>
      </c>
      <c r="B1782" s="75" t="s">
        <v>164</v>
      </c>
      <c r="C1782">
        <v>0</v>
      </c>
      <c r="D1782">
        <v>0</v>
      </c>
      <c r="E1782">
        <v>0</v>
      </c>
      <c r="F1782">
        <v>604324.56000000006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3.91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7490</v>
      </c>
      <c r="AW1782">
        <v>3350</v>
      </c>
      <c r="AX1782">
        <v>1219</v>
      </c>
      <c r="AY1782">
        <v>12059</v>
      </c>
      <c r="AZ1782">
        <v>4202</v>
      </c>
      <c r="BA1782">
        <v>7438</v>
      </c>
      <c r="BB1782">
        <v>1432</v>
      </c>
      <c r="BC1782">
        <v>13072</v>
      </c>
      <c r="BD1782">
        <v>9486</v>
      </c>
      <c r="BE1782">
        <v>9222</v>
      </c>
      <c r="BF1782">
        <v>1768</v>
      </c>
      <c r="BG1782">
        <v>20476</v>
      </c>
      <c r="BH1782">
        <v>0</v>
      </c>
      <c r="BI1782">
        <v>0</v>
      </c>
      <c r="BJ1782">
        <v>0</v>
      </c>
      <c r="BK1782">
        <v>0</v>
      </c>
      <c r="BL1782" s="2">
        <v>24.82</v>
      </c>
      <c r="BM1782" s="2">
        <v>42005.095138888886</v>
      </c>
      <c r="BN1782" s="2">
        <v>5.4</v>
      </c>
      <c r="BO1782" s="2">
        <v>42005.092361111114</v>
      </c>
      <c r="BP1782" s="2">
        <v>6.92</v>
      </c>
      <c r="BQ1782" s="2">
        <v>42005.092361111114</v>
      </c>
      <c r="BR1782" s="2">
        <v>11.07</v>
      </c>
      <c r="BS1782" s="2">
        <v>42005.092361111114</v>
      </c>
      <c r="BT1782">
        <v>0</v>
      </c>
      <c r="BU1782">
        <v>0</v>
      </c>
      <c r="BV1782" t="s">
        <v>135</v>
      </c>
      <c r="BW1782">
        <v>0</v>
      </c>
      <c r="BX1782">
        <v>0</v>
      </c>
      <c r="BY1782" t="s">
        <v>135</v>
      </c>
      <c r="BZ1782">
        <v>0</v>
      </c>
      <c r="CA1782">
        <v>0</v>
      </c>
      <c r="CB1782" t="s">
        <v>135</v>
      </c>
      <c r="CH1782" s="2"/>
      <c r="CJ1782" s="2"/>
      <c r="CL1782" s="2"/>
      <c r="CN1782" s="2"/>
      <c r="CQ1782" s="2"/>
      <c r="CT1782" s="2"/>
      <c r="CW1782" s="2"/>
    </row>
    <row r="1783" spans="1:101" x14ac:dyDescent="0.25">
      <c r="A1783" s="1" t="s">
        <v>163</v>
      </c>
      <c r="B1783" s="75" t="s">
        <v>164</v>
      </c>
      <c r="C1783">
        <v>0</v>
      </c>
      <c r="D1783">
        <v>0</v>
      </c>
      <c r="E1783">
        <v>0</v>
      </c>
      <c r="F1783">
        <v>604324.56000000006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3.91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7490</v>
      </c>
      <c r="AW1783">
        <v>3350</v>
      </c>
      <c r="AX1783">
        <v>1219</v>
      </c>
      <c r="AY1783">
        <v>12059</v>
      </c>
      <c r="AZ1783">
        <v>4202</v>
      </c>
      <c r="BA1783">
        <v>7438</v>
      </c>
      <c r="BB1783">
        <v>1432</v>
      </c>
      <c r="BC1783">
        <v>13072</v>
      </c>
      <c r="BD1783">
        <v>9486</v>
      </c>
      <c r="BE1783">
        <v>9222</v>
      </c>
      <c r="BF1783">
        <v>1768</v>
      </c>
      <c r="BG1783">
        <v>20476</v>
      </c>
      <c r="BH1783">
        <v>0</v>
      </c>
      <c r="BI1783">
        <v>0</v>
      </c>
      <c r="BJ1783">
        <v>0</v>
      </c>
      <c r="BK1783">
        <v>0</v>
      </c>
      <c r="BL1783" s="2">
        <v>24.82</v>
      </c>
      <c r="BM1783" s="2">
        <v>42005.095138888886</v>
      </c>
      <c r="BN1783" s="2">
        <v>5.4</v>
      </c>
      <c r="BO1783" s="2">
        <v>42005.092361111114</v>
      </c>
      <c r="BP1783" s="2">
        <v>6.92</v>
      </c>
      <c r="BQ1783" s="2">
        <v>42005.092361111114</v>
      </c>
      <c r="BR1783" s="2">
        <v>11.07</v>
      </c>
      <c r="BS1783" s="2">
        <v>42005.092361111114</v>
      </c>
      <c r="BT1783">
        <v>0</v>
      </c>
      <c r="BU1783">
        <v>0</v>
      </c>
      <c r="BV1783" t="s">
        <v>135</v>
      </c>
      <c r="BW1783">
        <v>0</v>
      </c>
      <c r="BX1783">
        <v>0</v>
      </c>
      <c r="BY1783" t="s">
        <v>135</v>
      </c>
      <c r="BZ1783">
        <v>0</v>
      </c>
      <c r="CA1783">
        <v>0</v>
      </c>
      <c r="CB1783" t="s">
        <v>135</v>
      </c>
      <c r="CH1783" s="2"/>
      <c r="CJ1783" s="2"/>
      <c r="CL1783" s="2"/>
      <c r="CN1783" s="2"/>
      <c r="CQ1783" s="2"/>
      <c r="CT1783" s="2"/>
      <c r="CW1783" s="2"/>
    </row>
    <row r="1784" spans="1:101" x14ac:dyDescent="0.25">
      <c r="A1784" s="1" t="s">
        <v>163</v>
      </c>
      <c r="B1784" s="75" t="s">
        <v>164</v>
      </c>
      <c r="C1784">
        <v>0</v>
      </c>
      <c r="D1784">
        <v>0</v>
      </c>
      <c r="E1784">
        <v>0</v>
      </c>
      <c r="F1784">
        <v>604324.56000000006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3.91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7490</v>
      </c>
      <c r="AW1784">
        <v>3350</v>
      </c>
      <c r="AX1784">
        <v>1219</v>
      </c>
      <c r="AY1784">
        <v>12059</v>
      </c>
      <c r="AZ1784">
        <v>4202</v>
      </c>
      <c r="BA1784">
        <v>7438</v>
      </c>
      <c r="BB1784">
        <v>1432</v>
      </c>
      <c r="BC1784">
        <v>13072</v>
      </c>
      <c r="BD1784">
        <v>9486</v>
      </c>
      <c r="BE1784">
        <v>9222</v>
      </c>
      <c r="BF1784">
        <v>1768</v>
      </c>
      <c r="BG1784">
        <v>20476</v>
      </c>
      <c r="BH1784">
        <v>0</v>
      </c>
      <c r="BI1784">
        <v>0</v>
      </c>
      <c r="BJ1784">
        <v>0</v>
      </c>
      <c r="BK1784">
        <v>0</v>
      </c>
      <c r="BL1784" s="2">
        <v>24.82</v>
      </c>
      <c r="BM1784" s="2">
        <v>42005.095138888886</v>
      </c>
      <c r="BN1784" s="2">
        <v>5.4</v>
      </c>
      <c r="BO1784" s="2">
        <v>42005.092361111114</v>
      </c>
      <c r="BP1784" s="2">
        <v>6.92</v>
      </c>
      <c r="BQ1784" s="2">
        <v>42005.092361111114</v>
      </c>
      <c r="BR1784" s="2">
        <v>11.07</v>
      </c>
      <c r="BS1784" s="2">
        <v>42005.092361111114</v>
      </c>
      <c r="BT1784">
        <v>0</v>
      </c>
      <c r="BU1784">
        <v>0</v>
      </c>
      <c r="BV1784" t="s">
        <v>135</v>
      </c>
      <c r="BW1784">
        <v>0</v>
      </c>
      <c r="BX1784">
        <v>0</v>
      </c>
      <c r="BY1784" t="s">
        <v>135</v>
      </c>
      <c r="BZ1784">
        <v>0</v>
      </c>
      <c r="CA1784">
        <v>0</v>
      </c>
      <c r="CB1784" t="s">
        <v>135</v>
      </c>
      <c r="CH1784" s="2"/>
      <c r="CJ1784" s="2"/>
      <c r="CL1784" s="2"/>
      <c r="CN1784" s="2"/>
      <c r="CQ1784" s="2"/>
      <c r="CT1784" s="2"/>
      <c r="CW1784" s="2"/>
    </row>
    <row r="1785" spans="1:101" x14ac:dyDescent="0.25">
      <c r="A1785" s="1" t="s">
        <v>163</v>
      </c>
      <c r="B1785" s="75" t="s">
        <v>164</v>
      </c>
      <c r="C1785">
        <v>0</v>
      </c>
      <c r="D1785">
        <v>0</v>
      </c>
      <c r="E1785">
        <v>0</v>
      </c>
      <c r="F1785">
        <v>604324.56000000006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3.91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7490</v>
      </c>
      <c r="AW1785">
        <v>3350</v>
      </c>
      <c r="AX1785">
        <v>1219</v>
      </c>
      <c r="AY1785">
        <v>12059</v>
      </c>
      <c r="AZ1785">
        <v>4202</v>
      </c>
      <c r="BA1785">
        <v>7438</v>
      </c>
      <c r="BB1785">
        <v>1432</v>
      </c>
      <c r="BC1785">
        <v>13072</v>
      </c>
      <c r="BD1785">
        <v>9486</v>
      </c>
      <c r="BE1785">
        <v>9222</v>
      </c>
      <c r="BF1785">
        <v>1768</v>
      </c>
      <c r="BG1785">
        <v>20476</v>
      </c>
      <c r="BH1785">
        <v>0</v>
      </c>
      <c r="BI1785">
        <v>0</v>
      </c>
      <c r="BJ1785">
        <v>0</v>
      </c>
      <c r="BK1785">
        <v>0</v>
      </c>
      <c r="BL1785" s="2">
        <v>24.82</v>
      </c>
      <c r="BM1785" s="2">
        <v>42005.095138888886</v>
      </c>
      <c r="BN1785" s="2">
        <v>5.4</v>
      </c>
      <c r="BO1785" s="2">
        <v>42005.092361111114</v>
      </c>
      <c r="BP1785" s="2">
        <v>6.92</v>
      </c>
      <c r="BQ1785" s="2">
        <v>42005.092361111114</v>
      </c>
      <c r="BR1785" s="2">
        <v>11.07</v>
      </c>
      <c r="BS1785" s="2">
        <v>42005.092361111114</v>
      </c>
      <c r="BT1785">
        <v>0</v>
      </c>
      <c r="BU1785">
        <v>0</v>
      </c>
      <c r="BV1785" t="s">
        <v>135</v>
      </c>
      <c r="BW1785">
        <v>0</v>
      </c>
      <c r="BX1785">
        <v>0</v>
      </c>
      <c r="BY1785" t="s">
        <v>135</v>
      </c>
      <c r="BZ1785">
        <v>0</v>
      </c>
      <c r="CA1785">
        <v>0</v>
      </c>
      <c r="CB1785" t="s">
        <v>135</v>
      </c>
      <c r="CH1785" s="2"/>
      <c r="CJ1785" s="2"/>
      <c r="CL1785" s="2"/>
      <c r="CN1785" s="2"/>
      <c r="CQ1785" s="2"/>
      <c r="CT1785" s="2"/>
      <c r="CW1785" s="2"/>
    </row>
    <row r="1786" spans="1:101" x14ac:dyDescent="0.25">
      <c r="A1786" s="1" t="s">
        <v>163</v>
      </c>
      <c r="B1786" s="75" t="s">
        <v>164</v>
      </c>
      <c r="C1786">
        <v>0</v>
      </c>
      <c r="D1786">
        <v>0</v>
      </c>
      <c r="E1786">
        <v>0</v>
      </c>
      <c r="F1786">
        <v>604324.56000000006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3.91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7490</v>
      </c>
      <c r="AW1786">
        <v>3350</v>
      </c>
      <c r="AX1786">
        <v>1219</v>
      </c>
      <c r="AY1786">
        <v>12059</v>
      </c>
      <c r="AZ1786">
        <v>4202</v>
      </c>
      <c r="BA1786">
        <v>7438</v>
      </c>
      <c r="BB1786">
        <v>1432</v>
      </c>
      <c r="BC1786">
        <v>13072</v>
      </c>
      <c r="BD1786">
        <v>9486</v>
      </c>
      <c r="BE1786">
        <v>9222</v>
      </c>
      <c r="BF1786">
        <v>1768</v>
      </c>
      <c r="BG1786">
        <v>20476</v>
      </c>
      <c r="BH1786">
        <v>0</v>
      </c>
      <c r="BI1786">
        <v>0</v>
      </c>
      <c r="BJ1786">
        <v>0</v>
      </c>
      <c r="BK1786">
        <v>0</v>
      </c>
      <c r="BL1786" s="2">
        <v>24.82</v>
      </c>
      <c r="BM1786" s="2">
        <v>42005.095138888886</v>
      </c>
      <c r="BN1786" s="2">
        <v>5.4</v>
      </c>
      <c r="BO1786" s="2">
        <v>42005.092361111114</v>
      </c>
      <c r="BP1786" s="2">
        <v>6.92</v>
      </c>
      <c r="BQ1786" s="2">
        <v>42005.092361111114</v>
      </c>
      <c r="BR1786" s="2">
        <v>11.07</v>
      </c>
      <c r="BS1786" s="2">
        <v>42005.092361111114</v>
      </c>
      <c r="BT1786">
        <v>0</v>
      </c>
      <c r="BU1786">
        <v>0</v>
      </c>
      <c r="BV1786" t="s">
        <v>135</v>
      </c>
      <c r="BW1786">
        <v>0</v>
      </c>
      <c r="BX1786">
        <v>0</v>
      </c>
      <c r="BY1786" t="s">
        <v>135</v>
      </c>
      <c r="BZ1786">
        <v>0</v>
      </c>
      <c r="CA1786">
        <v>0</v>
      </c>
      <c r="CB1786" t="s">
        <v>135</v>
      </c>
      <c r="CH1786" s="2"/>
      <c r="CJ1786" s="2"/>
      <c r="CL1786" s="2"/>
      <c r="CN1786" s="2"/>
      <c r="CQ1786" s="2"/>
      <c r="CT1786" s="2"/>
      <c r="CW1786" s="2"/>
    </row>
    <row r="1787" spans="1:101" x14ac:dyDescent="0.25">
      <c r="A1787" s="1" t="s">
        <v>163</v>
      </c>
      <c r="B1787" s="75" t="s">
        <v>164</v>
      </c>
      <c r="C1787">
        <v>0</v>
      </c>
      <c r="D1787">
        <v>0</v>
      </c>
      <c r="E1787">
        <v>0</v>
      </c>
      <c r="F1787">
        <v>604324.56000000006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3.91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7490</v>
      </c>
      <c r="AW1787">
        <v>3350</v>
      </c>
      <c r="AX1787">
        <v>1219</v>
      </c>
      <c r="AY1787">
        <v>12059</v>
      </c>
      <c r="AZ1787">
        <v>4202</v>
      </c>
      <c r="BA1787">
        <v>7438</v>
      </c>
      <c r="BB1787">
        <v>1432</v>
      </c>
      <c r="BC1787">
        <v>13072</v>
      </c>
      <c r="BD1787">
        <v>9486</v>
      </c>
      <c r="BE1787">
        <v>9222</v>
      </c>
      <c r="BF1787">
        <v>1768</v>
      </c>
      <c r="BG1787">
        <v>20476</v>
      </c>
      <c r="BH1787">
        <v>0</v>
      </c>
      <c r="BI1787">
        <v>0</v>
      </c>
      <c r="BJ1787">
        <v>0</v>
      </c>
      <c r="BK1787">
        <v>0</v>
      </c>
      <c r="BL1787" s="2">
        <v>24.82</v>
      </c>
      <c r="BM1787" s="2">
        <v>42005.095138888886</v>
      </c>
      <c r="BN1787" s="2">
        <v>5.4</v>
      </c>
      <c r="BO1787" s="2">
        <v>42005.092361111114</v>
      </c>
      <c r="BP1787" s="2">
        <v>6.92</v>
      </c>
      <c r="BQ1787" s="2">
        <v>42005.092361111114</v>
      </c>
      <c r="BR1787" s="2">
        <v>11.07</v>
      </c>
      <c r="BS1787" s="2">
        <v>42005.092361111114</v>
      </c>
      <c r="BT1787">
        <v>0</v>
      </c>
      <c r="BU1787">
        <v>0</v>
      </c>
      <c r="BV1787" t="s">
        <v>135</v>
      </c>
      <c r="BW1787">
        <v>0</v>
      </c>
      <c r="BX1787">
        <v>0</v>
      </c>
      <c r="BY1787" t="s">
        <v>135</v>
      </c>
      <c r="BZ1787">
        <v>0</v>
      </c>
      <c r="CA1787">
        <v>0</v>
      </c>
      <c r="CB1787" t="s">
        <v>135</v>
      </c>
      <c r="CH1787" s="2"/>
      <c r="CJ1787" s="2"/>
      <c r="CL1787" s="2"/>
      <c r="CN1787" s="2"/>
      <c r="CQ1787" s="2"/>
      <c r="CT1787" s="2"/>
      <c r="CW1787" s="2"/>
    </row>
    <row r="1788" spans="1:101" x14ac:dyDescent="0.25">
      <c r="A1788" s="1" t="s">
        <v>163</v>
      </c>
      <c r="B1788" s="75" t="s">
        <v>164</v>
      </c>
      <c r="C1788">
        <v>0</v>
      </c>
      <c r="D1788">
        <v>0</v>
      </c>
      <c r="E1788">
        <v>0</v>
      </c>
      <c r="F1788">
        <v>604324.56000000006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3.91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7490</v>
      </c>
      <c r="AW1788">
        <v>3350</v>
      </c>
      <c r="AX1788">
        <v>1219</v>
      </c>
      <c r="AY1788">
        <v>12059</v>
      </c>
      <c r="AZ1788">
        <v>4202</v>
      </c>
      <c r="BA1788">
        <v>7438</v>
      </c>
      <c r="BB1788">
        <v>1432</v>
      </c>
      <c r="BC1788">
        <v>13072</v>
      </c>
      <c r="BD1788">
        <v>9486</v>
      </c>
      <c r="BE1788">
        <v>9222</v>
      </c>
      <c r="BF1788">
        <v>1768</v>
      </c>
      <c r="BG1788">
        <v>20476</v>
      </c>
      <c r="BH1788">
        <v>0</v>
      </c>
      <c r="BI1788">
        <v>0</v>
      </c>
      <c r="BJ1788">
        <v>0</v>
      </c>
      <c r="BK1788">
        <v>0</v>
      </c>
      <c r="BL1788" s="2">
        <v>24.82</v>
      </c>
      <c r="BM1788" s="2">
        <v>42005.095138888886</v>
      </c>
      <c r="BN1788" s="2">
        <v>5.4</v>
      </c>
      <c r="BO1788" s="2">
        <v>42005.092361111114</v>
      </c>
      <c r="BP1788" s="2">
        <v>6.92</v>
      </c>
      <c r="BQ1788" s="2">
        <v>42005.092361111114</v>
      </c>
      <c r="BR1788" s="2">
        <v>11.07</v>
      </c>
      <c r="BS1788" s="2">
        <v>42005.092361111114</v>
      </c>
      <c r="BT1788">
        <v>0</v>
      </c>
      <c r="BU1788">
        <v>0</v>
      </c>
      <c r="BV1788" t="s">
        <v>135</v>
      </c>
      <c r="BW1788">
        <v>0</v>
      </c>
      <c r="BX1788">
        <v>0</v>
      </c>
      <c r="BY1788" t="s">
        <v>135</v>
      </c>
      <c r="BZ1788">
        <v>0</v>
      </c>
      <c r="CA1788">
        <v>0</v>
      </c>
      <c r="CB1788" t="s">
        <v>135</v>
      </c>
      <c r="CH1788" s="2"/>
      <c r="CJ1788" s="2"/>
      <c r="CL1788" s="2"/>
      <c r="CN1788" s="2"/>
      <c r="CQ1788" s="2"/>
      <c r="CT1788" s="2"/>
      <c r="CW1788" s="2"/>
    </row>
    <row r="1789" spans="1:101" x14ac:dyDescent="0.25">
      <c r="A1789" s="1" t="s">
        <v>163</v>
      </c>
      <c r="B1789" s="75" t="s">
        <v>164</v>
      </c>
      <c r="C1789">
        <v>0</v>
      </c>
      <c r="D1789">
        <v>0</v>
      </c>
      <c r="E1789">
        <v>0</v>
      </c>
      <c r="F1789">
        <v>604324.56000000006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3.91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7490</v>
      </c>
      <c r="AW1789">
        <v>3350</v>
      </c>
      <c r="AX1789">
        <v>1219</v>
      </c>
      <c r="AY1789">
        <v>12059</v>
      </c>
      <c r="AZ1789">
        <v>4202</v>
      </c>
      <c r="BA1789">
        <v>7438</v>
      </c>
      <c r="BB1789">
        <v>1432</v>
      </c>
      <c r="BC1789">
        <v>13072</v>
      </c>
      <c r="BD1789">
        <v>9486</v>
      </c>
      <c r="BE1789">
        <v>9222</v>
      </c>
      <c r="BF1789">
        <v>1768</v>
      </c>
      <c r="BG1789">
        <v>20476</v>
      </c>
      <c r="BH1789">
        <v>0</v>
      </c>
      <c r="BI1789">
        <v>0</v>
      </c>
      <c r="BJ1789">
        <v>0</v>
      </c>
      <c r="BK1789">
        <v>0</v>
      </c>
      <c r="BL1789" s="2">
        <v>24.82</v>
      </c>
      <c r="BM1789" s="2">
        <v>42005.095138888886</v>
      </c>
      <c r="BN1789" s="2">
        <v>5.4</v>
      </c>
      <c r="BO1789" s="2">
        <v>42005.092361111114</v>
      </c>
      <c r="BP1789" s="2">
        <v>6.92</v>
      </c>
      <c r="BQ1789" s="2">
        <v>42005.092361111114</v>
      </c>
      <c r="BR1789" s="2">
        <v>11.07</v>
      </c>
      <c r="BS1789" s="2">
        <v>42005.092361111114</v>
      </c>
      <c r="BT1789">
        <v>0</v>
      </c>
      <c r="BU1789">
        <v>0</v>
      </c>
      <c r="BV1789" t="s">
        <v>135</v>
      </c>
      <c r="BW1789">
        <v>0</v>
      </c>
      <c r="BX1789">
        <v>0</v>
      </c>
      <c r="BY1789" t="s">
        <v>135</v>
      </c>
      <c r="BZ1789">
        <v>0</v>
      </c>
      <c r="CA1789">
        <v>0</v>
      </c>
      <c r="CB1789" t="s">
        <v>135</v>
      </c>
      <c r="CH1789" s="2"/>
      <c r="CJ1789" s="2"/>
      <c r="CL1789" s="2"/>
      <c r="CN1789" s="2"/>
      <c r="CQ1789" s="2"/>
      <c r="CT1789" s="2"/>
      <c r="CW1789" s="2"/>
    </row>
    <row r="1790" spans="1:101" x14ac:dyDescent="0.25">
      <c r="A1790" s="1" t="s">
        <v>163</v>
      </c>
      <c r="B1790" s="75" t="s">
        <v>164</v>
      </c>
      <c r="C1790">
        <v>0</v>
      </c>
      <c r="D1790">
        <v>0</v>
      </c>
      <c r="E1790">
        <v>0</v>
      </c>
      <c r="F1790">
        <v>604324.56000000006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3.91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7490</v>
      </c>
      <c r="AW1790">
        <v>3350</v>
      </c>
      <c r="AX1790">
        <v>1219</v>
      </c>
      <c r="AY1790">
        <v>12059</v>
      </c>
      <c r="AZ1790">
        <v>4202</v>
      </c>
      <c r="BA1790">
        <v>7438</v>
      </c>
      <c r="BB1790">
        <v>1432</v>
      </c>
      <c r="BC1790">
        <v>13072</v>
      </c>
      <c r="BD1790">
        <v>9486</v>
      </c>
      <c r="BE1790">
        <v>9222</v>
      </c>
      <c r="BF1790">
        <v>1768</v>
      </c>
      <c r="BG1790">
        <v>20476</v>
      </c>
      <c r="BH1790">
        <v>0</v>
      </c>
      <c r="BI1790">
        <v>0</v>
      </c>
      <c r="BJ1790">
        <v>0</v>
      </c>
      <c r="BK1790">
        <v>0</v>
      </c>
      <c r="BL1790" s="2">
        <v>24.82</v>
      </c>
      <c r="BM1790" s="2">
        <v>42005.095138888886</v>
      </c>
      <c r="BN1790" s="2">
        <v>5.4</v>
      </c>
      <c r="BO1790" s="2">
        <v>42005.092361111114</v>
      </c>
      <c r="BP1790" s="2">
        <v>6.92</v>
      </c>
      <c r="BQ1790" s="2">
        <v>42005.092361111114</v>
      </c>
      <c r="BR1790" s="2">
        <v>11.07</v>
      </c>
      <c r="BS1790" s="2">
        <v>42005.092361111114</v>
      </c>
      <c r="BT1790">
        <v>0</v>
      </c>
      <c r="BU1790">
        <v>0</v>
      </c>
      <c r="BV1790" t="s">
        <v>135</v>
      </c>
      <c r="BW1790">
        <v>0</v>
      </c>
      <c r="BX1790">
        <v>0</v>
      </c>
      <c r="BY1790" t="s">
        <v>135</v>
      </c>
      <c r="BZ1790">
        <v>0</v>
      </c>
      <c r="CA1790">
        <v>0</v>
      </c>
      <c r="CB1790" t="s">
        <v>135</v>
      </c>
      <c r="CH1790" s="2"/>
      <c r="CJ1790" s="2"/>
      <c r="CL1790" s="2"/>
      <c r="CN1790" s="2"/>
      <c r="CQ1790" s="2"/>
      <c r="CT1790" s="2"/>
      <c r="CW1790" s="2"/>
    </row>
    <row r="1791" spans="1:101" x14ac:dyDescent="0.25">
      <c r="A1791" s="1" t="s">
        <v>163</v>
      </c>
      <c r="B1791" s="75" t="s">
        <v>164</v>
      </c>
      <c r="C1791">
        <v>0</v>
      </c>
      <c r="D1791">
        <v>0</v>
      </c>
      <c r="E1791">
        <v>0</v>
      </c>
      <c r="F1791">
        <v>604324.56000000006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3.91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7490</v>
      </c>
      <c r="AW1791">
        <v>3350</v>
      </c>
      <c r="AX1791">
        <v>1219</v>
      </c>
      <c r="AY1791">
        <v>12059</v>
      </c>
      <c r="AZ1791">
        <v>4202</v>
      </c>
      <c r="BA1791">
        <v>7438</v>
      </c>
      <c r="BB1791">
        <v>1432</v>
      </c>
      <c r="BC1791">
        <v>13072</v>
      </c>
      <c r="BD1791">
        <v>9486</v>
      </c>
      <c r="BE1791">
        <v>9222</v>
      </c>
      <c r="BF1791">
        <v>1768</v>
      </c>
      <c r="BG1791">
        <v>20476</v>
      </c>
      <c r="BH1791">
        <v>0</v>
      </c>
      <c r="BI1791">
        <v>0</v>
      </c>
      <c r="BJ1791">
        <v>0</v>
      </c>
      <c r="BK1791">
        <v>0</v>
      </c>
      <c r="BL1791" s="2">
        <v>24.82</v>
      </c>
      <c r="BM1791" s="2">
        <v>42005.095138888886</v>
      </c>
      <c r="BN1791" s="2">
        <v>5.4</v>
      </c>
      <c r="BO1791" s="2">
        <v>42005.092361111114</v>
      </c>
      <c r="BP1791" s="2">
        <v>6.92</v>
      </c>
      <c r="BQ1791" s="2">
        <v>42005.092361111114</v>
      </c>
      <c r="BR1791" s="2">
        <v>11.07</v>
      </c>
      <c r="BS1791" s="2">
        <v>42005.092361111114</v>
      </c>
      <c r="BT1791">
        <v>0</v>
      </c>
      <c r="BU1791">
        <v>0</v>
      </c>
      <c r="BV1791" t="s">
        <v>135</v>
      </c>
      <c r="BW1791">
        <v>0</v>
      </c>
      <c r="BX1791">
        <v>0</v>
      </c>
      <c r="BY1791" t="s">
        <v>135</v>
      </c>
      <c r="BZ1791">
        <v>0</v>
      </c>
      <c r="CA1791">
        <v>0</v>
      </c>
      <c r="CB1791" t="s">
        <v>135</v>
      </c>
      <c r="CH1791" s="2"/>
      <c r="CJ1791" s="2"/>
      <c r="CL1791" s="2"/>
      <c r="CN1791" s="2"/>
      <c r="CQ1791" s="2"/>
      <c r="CT1791" s="2"/>
      <c r="CW1791" s="2"/>
    </row>
    <row r="1792" spans="1:101" x14ac:dyDescent="0.25">
      <c r="A1792" s="1" t="s">
        <v>163</v>
      </c>
      <c r="B1792" s="75" t="s">
        <v>164</v>
      </c>
      <c r="C1792">
        <v>0</v>
      </c>
      <c r="D1792">
        <v>0</v>
      </c>
      <c r="E1792">
        <v>0</v>
      </c>
      <c r="F1792">
        <v>604324.56000000006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3.91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7490</v>
      </c>
      <c r="AW1792">
        <v>3350</v>
      </c>
      <c r="AX1792">
        <v>1219</v>
      </c>
      <c r="AY1792">
        <v>12059</v>
      </c>
      <c r="AZ1792">
        <v>4202</v>
      </c>
      <c r="BA1792">
        <v>7438</v>
      </c>
      <c r="BB1792">
        <v>1432</v>
      </c>
      <c r="BC1792">
        <v>13072</v>
      </c>
      <c r="BD1792">
        <v>9486</v>
      </c>
      <c r="BE1792">
        <v>9222</v>
      </c>
      <c r="BF1792">
        <v>1768</v>
      </c>
      <c r="BG1792">
        <v>20476</v>
      </c>
      <c r="BH1792">
        <v>0</v>
      </c>
      <c r="BI1792">
        <v>0</v>
      </c>
      <c r="BJ1792">
        <v>0</v>
      </c>
      <c r="BK1792">
        <v>0</v>
      </c>
      <c r="BL1792" s="2">
        <v>24.82</v>
      </c>
      <c r="BM1792" s="2">
        <v>42005.095138888886</v>
      </c>
      <c r="BN1792" s="2">
        <v>5.4</v>
      </c>
      <c r="BO1792" s="2">
        <v>42005.092361111114</v>
      </c>
      <c r="BP1792" s="2">
        <v>6.92</v>
      </c>
      <c r="BQ1792" s="2">
        <v>42005.092361111114</v>
      </c>
      <c r="BR1792" s="2">
        <v>11.07</v>
      </c>
      <c r="BS1792" s="2">
        <v>42005.092361111114</v>
      </c>
      <c r="BT1792">
        <v>0</v>
      </c>
      <c r="BU1792">
        <v>0</v>
      </c>
      <c r="BV1792" t="s">
        <v>135</v>
      </c>
      <c r="BW1792">
        <v>0</v>
      </c>
      <c r="BX1792">
        <v>0</v>
      </c>
      <c r="BY1792" t="s">
        <v>135</v>
      </c>
      <c r="BZ1792">
        <v>0</v>
      </c>
      <c r="CA1792">
        <v>0</v>
      </c>
      <c r="CB1792" t="s">
        <v>135</v>
      </c>
      <c r="CH1792" s="2"/>
      <c r="CJ1792" s="2"/>
      <c r="CL1792" s="2"/>
      <c r="CN1792" s="2"/>
      <c r="CQ1792" s="2"/>
      <c r="CT1792" s="2"/>
      <c r="CW1792" s="2"/>
    </row>
    <row r="1793" spans="1:101" x14ac:dyDescent="0.25">
      <c r="A1793" s="1" t="s">
        <v>163</v>
      </c>
      <c r="B1793" s="75" t="s">
        <v>164</v>
      </c>
      <c r="C1793">
        <v>0</v>
      </c>
      <c r="D1793">
        <v>0</v>
      </c>
      <c r="E1793">
        <v>0</v>
      </c>
      <c r="F1793">
        <v>604324.56000000006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3.91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7490</v>
      </c>
      <c r="AW1793">
        <v>3350</v>
      </c>
      <c r="AX1793">
        <v>1219</v>
      </c>
      <c r="AY1793">
        <v>12059</v>
      </c>
      <c r="AZ1793">
        <v>4202</v>
      </c>
      <c r="BA1793">
        <v>7438</v>
      </c>
      <c r="BB1793">
        <v>1432</v>
      </c>
      <c r="BC1793">
        <v>13072</v>
      </c>
      <c r="BD1793">
        <v>9486</v>
      </c>
      <c r="BE1793">
        <v>9222</v>
      </c>
      <c r="BF1793">
        <v>1768</v>
      </c>
      <c r="BG1793">
        <v>20476</v>
      </c>
      <c r="BH1793">
        <v>0</v>
      </c>
      <c r="BI1793">
        <v>0</v>
      </c>
      <c r="BJ1793">
        <v>0</v>
      </c>
      <c r="BK1793">
        <v>0</v>
      </c>
      <c r="BL1793" s="2">
        <v>24.82</v>
      </c>
      <c r="BM1793" s="2">
        <v>42005.095138888886</v>
      </c>
      <c r="BN1793" s="2">
        <v>5.4</v>
      </c>
      <c r="BO1793" s="2">
        <v>42005.092361111114</v>
      </c>
      <c r="BP1793" s="2">
        <v>6.92</v>
      </c>
      <c r="BQ1793" s="2">
        <v>42005.092361111114</v>
      </c>
      <c r="BR1793" s="2">
        <v>11.07</v>
      </c>
      <c r="BS1793" s="2">
        <v>42005.092361111114</v>
      </c>
      <c r="BT1793">
        <v>0</v>
      </c>
      <c r="BU1793">
        <v>0</v>
      </c>
      <c r="BV1793" t="s">
        <v>135</v>
      </c>
      <c r="BW1793">
        <v>0</v>
      </c>
      <c r="BX1793">
        <v>0</v>
      </c>
      <c r="BY1793" t="s">
        <v>135</v>
      </c>
      <c r="BZ1793">
        <v>0</v>
      </c>
      <c r="CA1793">
        <v>0</v>
      </c>
      <c r="CB1793" t="s">
        <v>135</v>
      </c>
      <c r="CH1793" s="2"/>
      <c r="CJ1793" s="2"/>
      <c r="CL1793" s="2"/>
      <c r="CN1793" s="2"/>
      <c r="CQ1793" s="2"/>
      <c r="CT1793" s="2"/>
      <c r="CW1793" s="2"/>
    </row>
    <row r="1794" spans="1:101" x14ac:dyDescent="0.25">
      <c r="A1794" s="1" t="s">
        <v>163</v>
      </c>
      <c r="B1794" s="75" t="s">
        <v>164</v>
      </c>
      <c r="C1794">
        <v>0</v>
      </c>
      <c r="D1794">
        <v>0</v>
      </c>
      <c r="E1794">
        <v>0</v>
      </c>
      <c r="F1794">
        <v>604324.56000000006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3.91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7490</v>
      </c>
      <c r="AW1794">
        <v>3350</v>
      </c>
      <c r="AX1794">
        <v>1219</v>
      </c>
      <c r="AY1794">
        <v>12059</v>
      </c>
      <c r="AZ1794">
        <v>4202</v>
      </c>
      <c r="BA1794">
        <v>7438</v>
      </c>
      <c r="BB1794">
        <v>1432</v>
      </c>
      <c r="BC1794">
        <v>13072</v>
      </c>
      <c r="BD1794">
        <v>9486</v>
      </c>
      <c r="BE1794">
        <v>9222</v>
      </c>
      <c r="BF1794">
        <v>1768</v>
      </c>
      <c r="BG1794">
        <v>20476</v>
      </c>
      <c r="BH1794">
        <v>0</v>
      </c>
      <c r="BI1794">
        <v>0</v>
      </c>
      <c r="BJ1794">
        <v>0</v>
      </c>
      <c r="BK1794">
        <v>0</v>
      </c>
      <c r="BL1794" s="2">
        <v>24.82</v>
      </c>
      <c r="BM1794" s="2">
        <v>42005.095138888886</v>
      </c>
      <c r="BN1794" s="2">
        <v>5.4</v>
      </c>
      <c r="BO1794" s="2">
        <v>42005.092361111114</v>
      </c>
      <c r="BP1794" s="2">
        <v>6.92</v>
      </c>
      <c r="BQ1794" s="2">
        <v>42005.092361111114</v>
      </c>
      <c r="BR1794" s="2">
        <v>11.07</v>
      </c>
      <c r="BS1794" s="2">
        <v>42005.092361111114</v>
      </c>
      <c r="BT1794">
        <v>0</v>
      </c>
      <c r="BU1794">
        <v>0</v>
      </c>
      <c r="BV1794" t="s">
        <v>135</v>
      </c>
      <c r="BW1794">
        <v>0</v>
      </c>
      <c r="BX1794">
        <v>0</v>
      </c>
      <c r="BY1794" t="s">
        <v>135</v>
      </c>
      <c r="BZ1794">
        <v>0</v>
      </c>
      <c r="CA1794">
        <v>0</v>
      </c>
      <c r="CB1794" t="s">
        <v>135</v>
      </c>
      <c r="CH1794" s="2"/>
      <c r="CJ1794" s="2"/>
      <c r="CL1794" s="2"/>
      <c r="CN1794" s="2"/>
      <c r="CQ1794" s="2"/>
      <c r="CT1794" s="2"/>
      <c r="CW1794" s="2"/>
    </row>
    <row r="1795" spans="1:101" x14ac:dyDescent="0.25">
      <c r="A1795" s="1" t="s">
        <v>163</v>
      </c>
      <c r="B1795" s="75" t="s">
        <v>164</v>
      </c>
      <c r="C1795">
        <v>0</v>
      </c>
      <c r="D1795">
        <v>0</v>
      </c>
      <c r="E1795">
        <v>0</v>
      </c>
      <c r="F1795">
        <v>604324.56000000006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3.91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7490</v>
      </c>
      <c r="AW1795">
        <v>3350</v>
      </c>
      <c r="AX1795">
        <v>1219</v>
      </c>
      <c r="AY1795">
        <v>12059</v>
      </c>
      <c r="AZ1795">
        <v>4202</v>
      </c>
      <c r="BA1795">
        <v>7438</v>
      </c>
      <c r="BB1795">
        <v>1432</v>
      </c>
      <c r="BC1795">
        <v>13072</v>
      </c>
      <c r="BD1795">
        <v>9486</v>
      </c>
      <c r="BE1795">
        <v>9222</v>
      </c>
      <c r="BF1795">
        <v>1768</v>
      </c>
      <c r="BG1795">
        <v>20476</v>
      </c>
      <c r="BH1795">
        <v>0</v>
      </c>
      <c r="BI1795">
        <v>0</v>
      </c>
      <c r="BJ1795">
        <v>0</v>
      </c>
      <c r="BK1795">
        <v>0</v>
      </c>
      <c r="BL1795" s="2">
        <v>24.82</v>
      </c>
      <c r="BM1795" s="2">
        <v>42005.095138888886</v>
      </c>
      <c r="BN1795" s="2">
        <v>5.4</v>
      </c>
      <c r="BO1795" s="2">
        <v>42005.092361111114</v>
      </c>
      <c r="BP1795" s="2">
        <v>6.92</v>
      </c>
      <c r="BQ1795" s="2">
        <v>42005.092361111114</v>
      </c>
      <c r="BR1795" s="2">
        <v>11.07</v>
      </c>
      <c r="BS1795" s="2">
        <v>42005.092361111114</v>
      </c>
      <c r="BT1795">
        <v>0</v>
      </c>
      <c r="BU1795">
        <v>0</v>
      </c>
      <c r="BV1795" t="s">
        <v>135</v>
      </c>
      <c r="BW1795">
        <v>0</v>
      </c>
      <c r="BX1795">
        <v>0</v>
      </c>
      <c r="BY1795" t="s">
        <v>135</v>
      </c>
      <c r="BZ1795">
        <v>0</v>
      </c>
      <c r="CA1795">
        <v>0</v>
      </c>
      <c r="CB1795" t="s">
        <v>135</v>
      </c>
      <c r="CH1795" s="2"/>
      <c r="CJ1795" s="2"/>
      <c r="CL1795" s="2"/>
      <c r="CN1795" s="2"/>
      <c r="CQ1795" s="2"/>
      <c r="CT1795" s="2"/>
      <c r="CW1795" s="2"/>
    </row>
    <row r="1796" spans="1:101" x14ac:dyDescent="0.25">
      <c r="A1796" s="1" t="s">
        <v>163</v>
      </c>
      <c r="B1796" s="75" t="s">
        <v>164</v>
      </c>
      <c r="C1796">
        <v>0</v>
      </c>
      <c r="D1796">
        <v>0</v>
      </c>
      <c r="E1796">
        <v>0</v>
      </c>
      <c r="F1796">
        <v>604324.56000000006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3.91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7490</v>
      </c>
      <c r="AW1796">
        <v>3350</v>
      </c>
      <c r="AX1796">
        <v>1219</v>
      </c>
      <c r="AY1796">
        <v>12059</v>
      </c>
      <c r="AZ1796">
        <v>4202</v>
      </c>
      <c r="BA1796">
        <v>7438</v>
      </c>
      <c r="BB1796">
        <v>1432</v>
      </c>
      <c r="BC1796">
        <v>13072</v>
      </c>
      <c r="BD1796">
        <v>9486</v>
      </c>
      <c r="BE1796">
        <v>9222</v>
      </c>
      <c r="BF1796">
        <v>1768</v>
      </c>
      <c r="BG1796">
        <v>20476</v>
      </c>
      <c r="BH1796">
        <v>0</v>
      </c>
      <c r="BI1796">
        <v>0</v>
      </c>
      <c r="BJ1796">
        <v>0</v>
      </c>
      <c r="BK1796">
        <v>0</v>
      </c>
      <c r="BL1796" s="2">
        <v>24.82</v>
      </c>
      <c r="BM1796" s="2">
        <v>42005.095138888886</v>
      </c>
      <c r="BN1796" s="2">
        <v>5.4</v>
      </c>
      <c r="BO1796" s="2">
        <v>42005.092361111114</v>
      </c>
      <c r="BP1796" s="2">
        <v>6.92</v>
      </c>
      <c r="BQ1796" s="2">
        <v>42005.092361111114</v>
      </c>
      <c r="BR1796" s="2">
        <v>11.07</v>
      </c>
      <c r="BS1796" s="2">
        <v>42005.092361111114</v>
      </c>
      <c r="BT1796">
        <v>0</v>
      </c>
      <c r="BU1796">
        <v>0</v>
      </c>
      <c r="BV1796" t="s">
        <v>135</v>
      </c>
      <c r="BW1796">
        <v>0</v>
      </c>
      <c r="BX1796">
        <v>0</v>
      </c>
      <c r="BY1796" t="s">
        <v>135</v>
      </c>
      <c r="BZ1796">
        <v>0</v>
      </c>
      <c r="CA1796">
        <v>0</v>
      </c>
      <c r="CB1796" t="s">
        <v>135</v>
      </c>
      <c r="CH1796" s="2"/>
      <c r="CJ1796" s="2"/>
      <c r="CL1796" s="2"/>
      <c r="CN1796" s="2"/>
      <c r="CQ1796" s="2"/>
      <c r="CT1796" s="2"/>
      <c r="CW1796" s="2"/>
    </row>
    <row r="1797" spans="1:101" x14ac:dyDescent="0.25">
      <c r="A1797" s="1" t="s">
        <v>163</v>
      </c>
      <c r="B1797" s="75" t="s">
        <v>164</v>
      </c>
      <c r="C1797">
        <v>0</v>
      </c>
      <c r="D1797">
        <v>0</v>
      </c>
      <c r="E1797">
        <v>0</v>
      </c>
      <c r="F1797">
        <v>604324.56000000006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3.91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7490</v>
      </c>
      <c r="AW1797">
        <v>3350</v>
      </c>
      <c r="AX1797">
        <v>1219</v>
      </c>
      <c r="AY1797">
        <v>12059</v>
      </c>
      <c r="AZ1797">
        <v>4202</v>
      </c>
      <c r="BA1797">
        <v>7438</v>
      </c>
      <c r="BB1797">
        <v>1432</v>
      </c>
      <c r="BC1797">
        <v>13072</v>
      </c>
      <c r="BD1797">
        <v>9486</v>
      </c>
      <c r="BE1797">
        <v>9222</v>
      </c>
      <c r="BF1797">
        <v>1768</v>
      </c>
      <c r="BG1797">
        <v>20476</v>
      </c>
      <c r="BH1797">
        <v>0</v>
      </c>
      <c r="BI1797">
        <v>0</v>
      </c>
      <c r="BJ1797">
        <v>0</v>
      </c>
      <c r="BK1797">
        <v>0</v>
      </c>
      <c r="BL1797" s="2">
        <v>24.82</v>
      </c>
      <c r="BM1797" s="2">
        <v>42005.095138888886</v>
      </c>
      <c r="BN1797" s="2">
        <v>5.4</v>
      </c>
      <c r="BO1797" s="2">
        <v>42005.092361111114</v>
      </c>
      <c r="BP1797" s="2">
        <v>6.92</v>
      </c>
      <c r="BQ1797" s="2">
        <v>42005.092361111114</v>
      </c>
      <c r="BR1797" s="2">
        <v>11.07</v>
      </c>
      <c r="BS1797" s="2">
        <v>42005.092361111114</v>
      </c>
      <c r="BT1797">
        <v>0</v>
      </c>
      <c r="BU1797">
        <v>0</v>
      </c>
      <c r="BV1797" t="s">
        <v>135</v>
      </c>
      <c r="BW1797">
        <v>0</v>
      </c>
      <c r="BX1797">
        <v>0</v>
      </c>
      <c r="BY1797" t="s">
        <v>135</v>
      </c>
      <c r="BZ1797">
        <v>0</v>
      </c>
      <c r="CA1797">
        <v>0</v>
      </c>
      <c r="CB1797" t="s">
        <v>135</v>
      </c>
      <c r="CH1797" s="2"/>
      <c r="CJ1797" s="2"/>
      <c r="CL1797" s="2"/>
      <c r="CN1797" s="2"/>
      <c r="CQ1797" s="2"/>
      <c r="CT1797" s="2"/>
      <c r="CW1797" s="2"/>
    </row>
    <row r="1798" spans="1:101" x14ac:dyDescent="0.25">
      <c r="A1798" s="1" t="s">
        <v>163</v>
      </c>
      <c r="B1798" s="75" t="s">
        <v>164</v>
      </c>
      <c r="C1798">
        <v>0</v>
      </c>
      <c r="D1798">
        <v>0</v>
      </c>
      <c r="E1798">
        <v>0</v>
      </c>
      <c r="F1798">
        <v>604324.56000000006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3.91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7490</v>
      </c>
      <c r="AW1798">
        <v>3350</v>
      </c>
      <c r="AX1798">
        <v>1219</v>
      </c>
      <c r="AY1798">
        <v>12059</v>
      </c>
      <c r="AZ1798">
        <v>4202</v>
      </c>
      <c r="BA1798">
        <v>7438</v>
      </c>
      <c r="BB1798">
        <v>1432</v>
      </c>
      <c r="BC1798">
        <v>13072</v>
      </c>
      <c r="BD1798">
        <v>9486</v>
      </c>
      <c r="BE1798">
        <v>9222</v>
      </c>
      <c r="BF1798">
        <v>1768</v>
      </c>
      <c r="BG1798">
        <v>20476</v>
      </c>
      <c r="BH1798">
        <v>0</v>
      </c>
      <c r="BI1798">
        <v>0</v>
      </c>
      <c r="BJ1798">
        <v>0</v>
      </c>
      <c r="BK1798">
        <v>0</v>
      </c>
      <c r="BL1798" s="2">
        <v>24.82</v>
      </c>
      <c r="BM1798" s="2">
        <v>42005.095138888886</v>
      </c>
      <c r="BN1798" s="2">
        <v>5.4</v>
      </c>
      <c r="BO1798" s="2">
        <v>42005.092361111114</v>
      </c>
      <c r="BP1798" s="2">
        <v>6.92</v>
      </c>
      <c r="BQ1798" s="2">
        <v>42005.092361111114</v>
      </c>
      <c r="BR1798" s="2">
        <v>11.07</v>
      </c>
      <c r="BS1798" s="2">
        <v>42005.092361111114</v>
      </c>
      <c r="BT1798">
        <v>0</v>
      </c>
      <c r="BU1798">
        <v>0</v>
      </c>
      <c r="BV1798" t="s">
        <v>135</v>
      </c>
      <c r="BW1798">
        <v>0</v>
      </c>
      <c r="BX1798">
        <v>0</v>
      </c>
      <c r="BY1798" t="s">
        <v>135</v>
      </c>
      <c r="BZ1798">
        <v>0</v>
      </c>
      <c r="CA1798">
        <v>0</v>
      </c>
      <c r="CB1798" t="s">
        <v>135</v>
      </c>
      <c r="CH1798" s="2"/>
      <c r="CJ1798" s="2"/>
      <c r="CL1798" s="2"/>
      <c r="CN1798" s="2"/>
      <c r="CQ1798" s="2"/>
      <c r="CT1798" s="2"/>
      <c r="CW1798" s="2"/>
    </row>
    <row r="1799" spans="1:101" x14ac:dyDescent="0.25">
      <c r="A1799" s="1" t="s">
        <v>163</v>
      </c>
      <c r="B1799" s="75" t="s">
        <v>164</v>
      </c>
      <c r="C1799">
        <v>0</v>
      </c>
      <c r="D1799">
        <v>0</v>
      </c>
      <c r="E1799">
        <v>0</v>
      </c>
      <c r="F1799">
        <v>604324.56000000006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3.91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7490</v>
      </c>
      <c r="AW1799">
        <v>3350</v>
      </c>
      <c r="AX1799">
        <v>1219</v>
      </c>
      <c r="AY1799">
        <v>12059</v>
      </c>
      <c r="AZ1799">
        <v>4202</v>
      </c>
      <c r="BA1799">
        <v>7438</v>
      </c>
      <c r="BB1799">
        <v>1432</v>
      </c>
      <c r="BC1799">
        <v>13072</v>
      </c>
      <c r="BD1799">
        <v>9486</v>
      </c>
      <c r="BE1799">
        <v>9222</v>
      </c>
      <c r="BF1799">
        <v>1768</v>
      </c>
      <c r="BG1799">
        <v>20476</v>
      </c>
      <c r="BH1799">
        <v>0</v>
      </c>
      <c r="BI1799">
        <v>0</v>
      </c>
      <c r="BJ1799">
        <v>0</v>
      </c>
      <c r="BK1799">
        <v>0</v>
      </c>
      <c r="BL1799" s="2">
        <v>24.82</v>
      </c>
      <c r="BM1799" s="2">
        <v>42005.095138888886</v>
      </c>
      <c r="BN1799" s="2">
        <v>5.4</v>
      </c>
      <c r="BO1799" s="2">
        <v>42005.092361111114</v>
      </c>
      <c r="BP1799" s="2">
        <v>6.92</v>
      </c>
      <c r="BQ1799" s="2">
        <v>42005.092361111114</v>
      </c>
      <c r="BR1799" s="2">
        <v>11.07</v>
      </c>
      <c r="BS1799" s="2">
        <v>42005.092361111114</v>
      </c>
      <c r="BT1799">
        <v>0</v>
      </c>
      <c r="BU1799">
        <v>0</v>
      </c>
      <c r="BV1799" t="s">
        <v>135</v>
      </c>
      <c r="BW1799">
        <v>0</v>
      </c>
      <c r="BX1799">
        <v>0</v>
      </c>
      <c r="BY1799" t="s">
        <v>135</v>
      </c>
      <c r="BZ1799">
        <v>0</v>
      </c>
      <c r="CA1799">
        <v>0</v>
      </c>
      <c r="CB1799" t="s">
        <v>135</v>
      </c>
      <c r="CH1799" s="2"/>
      <c r="CJ1799" s="2"/>
      <c r="CL1799" s="2"/>
      <c r="CN1799" s="2"/>
      <c r="CQ1799" s="2"/>
      <c r="CT1799" s="2"/>
      <c r="CW1799" s="2"/>
    </row>
    <row r="1800" spans="1:101" x14ac:dyDescent="0.25">
      <c r="A1800" s="1" t="s">
        <v>163</v>
      </c>
      <c r="B1800" s="75" t="s">
        <v>164</v>
      </c>
      <c r="C1800">
        <v>0</v>
      </c>
      <c r="D1800">
        <v>0</v>
      </c>
      <c r="E1800">
        <v>0</v>
      </c>
      <c r="F1800">
        <v>604324.56000000006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3.91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7490</v>
      </c>
      <c r="AW1800">
        <v>3350</v>
      </c>
      <c r="AX1800">
        <v>1219</v>
      </c>
      <c r="AY1800">
        <v>12059</v>
      </c>
      <c r="AZ1800">
        <v>4202</v>
      </c>
      <c r="BA1800">
        <v>7438</v>
      </c>
      <c r="BB1800">
        <v>1432</v>
      </c>
      <c r="BC1800">
        <v>13072</v>
      </c>
      <c r="BD1800">
        <v>9486</v>
      </c>
      <c r="BE1800">
        <v>9222</v>
      </c>
      <c r="BF1800">
        <v>1768</v>
      </c>
      <c r="BG1800">
        <v>20476</v>
      </c>
      <c r="BH1800">
        <v>0</v>
      </c>
      <c r="BI1800">
        <v>0</v>
      </c>
      <c r="BJ1800">
        <v>0</v>
      </c>
      <c r="BK1800">
        <v>0</v>
      </c>
      <c r="BL1800" s="2">
        <v>24.82</v>
      </c>
      <c r="BM1800" s="2">
        <v>42005.095138888886</v>
      </c>
      <c r="BN1800" s="2">
        <v>5.4</v>
      </c>
      <c r="BO1800" s="2">
        <v>42005.092361111114</v>
      </c>
      <c r="BP1800" s="2">
        <v>6.92</v>
      </c>
      <c r="BQ1800" s="2">
        <v>42005.092361111114</v>
      </c>
      <c r="BR1800" s="2">
        <v>11.07</v>
      </c>
      <c r="BS1800" s="2">
        <v>42005.092361111114</v>
      </c>
      <c r="BT1800">
        <v>0</v>
      </c>
      <c r="BU1800">
        <v>0</v>
      </c>
      <c r="BV1800" t="s">
        <v>135</v>
      </c>
      <c r="BW1800">
        <v>0</v>
      </c>
      <c r="BX1800">
        <v>0</v>
      </c>
      <c r="BY1800" t="s">
        <v>135</v>
      </c>
      <c r="BZ1800">
        <v>0</v>
      </c>
      <c r="CA1800">
        <v>0</v>
      </c>
      <c r="CB1800" t="s">
        <v>135</v>
      </c>
      <c r="CH1800" s="2"/>
      <c r="CJ1800" s="2"/>
      <c r="CL1800" s="2"/>
      <c r="CN1800" s="2"/>
      <c r="CQ1800" s="2"/>
      <c r="CT1800" s="2"/>
      <c r="CW1800" s="2"/>
    </row>
    <row r="1801" spans="1:101" x14ac:dyDescent="0.25">
      <c r="A1801" s="1" t="s">
        <v>163</v>
      </c>
      <c r="B1801" s="75" t="s">
        <v>164</v>
      </c>
      <c r="C1801">
        <v>0</v>
      </c>
      <c r="D1801">
        <v>0</v>
      </c>
      <c r="E1801">
        <v>0</v>
      </c>
      <c r="F1801">
        <v>604324.56000000006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3.91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7490</v>
      </c>
      <c r="AW1801">
        <v>3350</v>
      </c>
      <c r="AX1801">
        <v>1219</v>
      </c>
      <c r="AY1801">
        <v>12059</v>
      </c>
      <c r="AZ1801">
        <v>4202</v>
      </c>
      <c r="BA1801">
        <v>7438</v>
      </c>
      <c r="BB1801">
        <v>1432</v>
      </c>
      <c r="BC1801">
        <v>13072</v>
      </c>
      <c r="BD1801">
        <v>9486</v>
      </c>
      <c r="BE1801">
        <v>9222</v>
      </c>
      <c r="BF1801">
        <v>1768</v>
      </c>
      <c r="BG1801">
        <v>20476</v>
      </c>
      <c r="BH1801">
        <v>0</v>
      </c>
      <c r="BI1801">
        <v>0</v>
      </c>
      <c r="BJ1801">
        <v>0</v>
      </c>
      <c r="BK1801">
        <v>0</v>
      </c>
      <c r="BL1801" s="2">
        <v>24.82</v>
      </c>
      <c r="BM1801" s="2">
        <v>42005.095138888886</v>
      </c>
      <c r="BN1801" s="2">
        <v>5.4</v>
      </c>
      <c r="BO1801" s="2">
        <v>42005.092361111114</v>
      </c>
      <c r="BP1801" s="2">
        <v>6.92</v>
      </c>
      <c r="BQ1801" s="2">
        <v>42005.092361111114</v>
      </c>
      <c r="BR1801" s="2">
        <v>11.07</v>
      </c>
      <c r="BS1801" s="2">
        <v>42005.092361111114</v>
      </c>
      <c r="BT1801">
        <v>0</v>
      </c>
      <c r="BU1801">
        <v>0</v>
      </c>
      <c r="BV1801" t="s">
        <v>135</v>
      </c>
      <c r="BW1801">
        <v>0</v>
      </c>
      <c r="BX1801">
        <v>0</v>
      </c>
      <c r="BY1801" t="s">
        <v>135</v>
      </c>
      <c r="BZ1801">
        <v>0</v>
      </c>
      <c r="CA1801">
        <v>0</v>
      </c>
      <c r="CB1801" t="s">
        <v>135</v>
      </c>
      <c r="CH1801" s="2"/>
      <c r="CJ1801" s="2"/>
      <c r="CL1801" s="2"/>
      <c r="CN1801" s="2"/>
      <c r="CQ1801" s="2"/>
      <c r="CT1801" s="2"/>
      <c r="CW1801" s="2"/>
    </row>
    <row r="1802" spans="1:101" x14ac:dyDescent="0.25">
      <c r="A1802" s="1" t="s">
        <v>163</v>
      </c>
      <c r="B1802" s="75" t="s">
        <v>164</v>
      </c>
      <c r="C1802">
        <v>0</v>
      </c>
      <c r="D1802">
        <v>0</v>
      </c>
      <c r="E1802">
        <v>0</v>
      </c>
      <c r="F1802">
        <v>604324.56000000006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3.91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7490</v>
      </c>
      <c r="AW1802">
        <v>3350</v>
      </c>
      <c r="AX1802">
        <v>1219</v>
      </c>
      <c r="AY1802">
        <v>12059</v>
      </c>
      <c r="AZ1802">
        <v>4202</v>
      </c>
      <c r="BA1802">
        <v>7438</v>
      </c>
      <c r="BB1802">
        <v>1432</v>
      </c>
      <c r="BC1802">
        <v>13072</v>
      </c>
      <c r="BD1802">
        <v>9486</v>
      </c>
      <c r="BE1802">
        <v>9222</v>
      </c>
      <c r="BF1802">
        <v>1768</v>
      </c>
      <c r="BG1802">
        <v>20476</v>
      </c>
      <c r="BH1802">
        <v>0</v>
      </c>
      <c r="BI1802">
        <v>0</v>
      </c>
      <c r="BJ1802">
        <v>0</v>
      </c>
      <c r="BK1802">
        <v>0</v>
      </c>
      <c r="BL1802" s="2">
        <v>24.82</v>
      </c>
      <c r="BM1802" s="2">
        <v>42005.095138888886</v>
      </c>
      <c r="BN1802" s="2">
        <v>5.4</v>
      </c>
      <c r="BO1802" s="2">
        <v>42005.092361111114</v>
      </c>
      <c r="BP1802" s="2">
        <v>6.92</v>
      </c>
      <c r="BQ1802" s="2">
        <v>42005.092361111114</v>
      </c>
      <c r="BR1802" s="2">
        <v>11.07</v>
      </c>
      <c r="BS1802" s="2">
        <v>42005.092361111114</v>
      </c>
      <c r="BT1802">
        <v>0</v>
      </c>
      <c r="BU1802">
        <v>0</v>
      </c>
      <c r="BV1802" t="s">
        <v>135</v>
      </c>
      <c r="BW1802">
        <v>0</v>
      </c>
      <c r="BX1802">
        <v>0</v>
      </c>
      <c r="BY1802" t="s">
        <v>135</v>
      </c>
      <c r="BZ1802">
        <v>0</v>
      </c>
      <c r="CA1802">
        <v>0</v>
      </c>
      <c r="CB1802" t="s">
        <v>135</v>
      </c>
      <c r="CH1802" s="2"/>
      <c r="CJ1802" s="2"/>
      <c r="CL1802" s="2"/>
      <c r="CN1802" s="2"/>
      <c r="CQ1802" s="2"/>
      <c r="CT1802" s="2"/>
      <c r="CW1802" s="2"/>
    </row>
    <row r="1803" spans="1:101" x14ac:dyDescent="0.25">
      <c r="A1803" s="1" t="s">
        <v>163</v>
      </c>
      <c r="B1803" s="75" t="s">
        <v>164</v>
      </c>
      <c r="C1803">
        <v>0</v>
      </c>
      <c r="D1803">
        <v>0</v>
      </c>
      <c r="E1803">
        <v>0</v>
      </c>
      <c r="F1803">
        <v>604324.56000000006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3.91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7490</v>
      </c>
      <c r="AW1803">
        <v>3350</v>
      </c>
      <c r="AX1803">
        <v>1219</v>
      </c>
      <c r="AY1803">
        <v>12059</v>
      </c>
      <c r="AZ1803">
        <v>4202</v>
      </c>
      <c r="BA1803">
        <v>7438</v>
      </c>
      <c r="BB1803">
        <v>1432</v>
      </c>
      <c r="BC1803">
        <v>13072</v>
      </c>
      <c r="BD1803">
        <v>9486</v>
      </c>
      <c r="BE1803">
        <v>9222</v>
      </c>
      <c r="BF1803">
        <v>1768</v>
      </c>
      <c r="BG1803">
        <v>20476</v>
      </c>
      <c r="BH1803">
        <v>0</v>
      </c>
      <c r="BI1803">
        <v>0</v>
      </c>
      <c r="BJ1803">
        <v>0</v>
      </c>
      <c r="BK1803">
        <v>0</v>
      </c>
      <c r="BL1803" s="2">
        <v>24.82</v>
      </c>
      <c r="BM1803" s="2">
        <v>42005.095138888886</v>
      </c>
      <c r="BN1803" s="2">
        <v>5.4</v>
      </c>
      <c r="BO1803" s="2">
        <v>42005.092361111114</v>
      </c>
      <c r="BP1803" s="2">
        <v>6.92</v>
      </c>
      <c r="BQ1803" s="2">
        <v>42005.092361111114</v>
      </c>
      <c r="BR1803" s="2">
        <v>11.07</v>
      </c>
      <c r="BS1803" s="2">
        <v>42005.092361111114</v>
      </c>
      <c r="BT1803">
        <v>0</v>
      </c>
      <c r="BU1803">
        <v>0</v>
      </c>
      <c r="BV1803" t="s">
        <v>135</v>
      </c>
      <c r="BW1803">
        <v>0</v>
      </c>
      <c r="BX1803">
        <v>0</v>
      </c>
      <c r="BY1803" t="s">
        <v>135</v>
      </c>
      <c r="BZ1803">
        <v>0</v>
      </c>
      <c r="CA1803">
        <v>0</v>
      </c>
      <c r="CB1803" t="s">
        <v>135</v>
      </c>
      <c r="CH1803" s="2"/>
      <c r="CJ1803" s="2"/>
      <c r="CL1803" s="2"/>
      <c r="CN1803" s="2"/>
      <c r="CQ1803" s="2"/>
      <c r="CT1803" s="2"/>
      <c r="CW1803" s="2"/>
    </row>
    <row r="1804" spans="1:101" x14ac:dyDescent="0.25">
      <c r="A1804" s="1" t="s">
        <v>163</v>
      </c>
      <c r="B1804" s="75" t="s">
        <v>164</v>
      </c>
      <c r="C1804">
        <v>0</v>
      </c>
      <c r="D1804">
        <v>0</v>
      </c>
      <c r="E1804">
        <v>0</v>
      </c>
      <c r="F1804">
        <v>604324.56000000006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3.91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7490</v>
      </c>
      <c r="AW1804">
        <v>3350</v>
      </c>
      <c r="AX1804">
        <v>1219</v>
      </c>
      <c r="AY1804">
        <v>12059</v>
      </c>
      <c r="AZ1804">
        <v>4202</v>
      </c>
      <c r="BA1804">
        <v>7438</v>
      </c>
      <c r="BB1804">
        <v>1432</v>
      </c>
      <c r="BC1804">
        <v>13072</v>
      </c>
      <c r="BD1804">
        <v>9486</v>
      </c>
      <c r="BE1804">
        <v>9222</v>
      </c>
      <c r="BF1804">
        <v>1768</v>
      </c>
      <c r="BG1804">
        <v>20476</v>
      </c>
      <c r="BH1804">
        <v>0</v>
      </c>
      <c r="BI1804">
        <v>0</v>
      </c>
      <c r="BJ1804">
        <v>0</v>
      </c>
      <c r="BK1804">
        <v>0</v>
      </c>
      <c r="BL1804" s="2">
        <v>24.82</v>
      </c>
      <c r="BM1804" s="2">
        <v>42005.095138888886</v>
      </c>
      <c r="BN1804" s="2">
        <v>5.4</v>
      </c>
      <c r="BO1804" s="2">
        <v>42005.092361111114</v>
      </c>
      <c r="BP1804" s="2">
        <v>6.92</v>
      </c>
      <c r="BQ1804" s="2">
        <v>42005.092361111114</v>
      </c>
      <c r="BR1804" s="2">
        <v>11.07</v>
      </c>
      <c r="BS1804" s="2">
        <v>42005.092361111114</v>
      </c>
      <c r="BT1804">
        <v>0</v>
      </c>
      <c r="BU1804">
        <v>0</v>
      </c>
      <c r="BV1804" t="s">
        <v>135</v>
      </c>
      <c r="BW1804">
        <v>0</v>
      </c>
      <c r="BX1804">
        <v>0</v>
      </c>
      <c r="BY1804" t="s">
        <v>135</v>
      </c>
      <c r="BZ1804">
        <v>0</v>
      </c>
      <c r="CA1804">
        <v>0</v>
      </c>
      <c r="CB1804" t="s">
        <v>135</v>
      </c>
      <c r="CH1804" s="2"/>
      <c r="CJ1804" s="2"/>
      <c r="CL1804" s="2"/>
      <c r="CN1804" s="2"/>
      <c r="CQ1804" s="2"/>
      <c r="CT1804" s="2"/>
      <c r="CW1804" s="2"/>
    </row>
    <row r="1805" spans="1:101" x14ac:dyDescent="0.25">
      <c r="A1805" s="1" t="s">
        <v>163</v>
      </c>
      <c r="B1805" s="75" t="s">
        <v>164</v>
      </c>
      <c r="C1805">
        <v>0</v>
      </c>
      <c r="D1805">
        <v>0</v>
      </c>
      <c r="E1805">
        <v>0</v>
      </c>
      <c r="F1805">
        <v>604324.56000000006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3.91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7490</v>
      </c>
      <c r="AW1805">
        <v>3350</v>
      </c>
      <c r="AX1805">
        <v>1219</v>
      </c>
      <c r="AY1805">
        <v>12059</v>
      </c>
      <c r="AZ1805">
        <v>4202</v>
      </c>
      <c r="BA1805">
        <v>7438</v>
      </c>
      <c r="BB1805">
        <v>1432</v>
      </c>
      <c r="BC1805">
        <v>13072</v>
      </c>
      <c r="BD1805">
        <v>9486</v>
      </c>
      <c r="BE1805">
        <v>9222</v>
      </c>
      <c r="BF1805">
        <v>1768</v>
      </c>
      <c r="BG1805">
        <v>20476</v>
      </c>
      <c r="BH1805">
        <v>0</v>
      </c>
      <c r="BI1805">
        <v>0</v>
      </c>
      <c r="BJ1805">
        <v>0</v>
      </c>
      <c r="BK1805">
        <v>0</v>
      </c>
      <c r="BL1805" s="2">
        <v>24.82</v>
      </c>
      <c r="BM1805" s="2">
        <v>42005.095138888886</v>
      </c>
      <c r="BN1805" s="2">
        <v>5.4</v>
      </c>
      <c r="BO1805" s="2">
        <v>42005.092361111114</v>
      </c>
      <c r="BP1805" s="2">
        <v>6.92</v>
      </c>
      <c r="BQ1805" s="2">
        <v>42005.092361111114</v>
      </c>
      <c r="BR1805" s="2">
        <v>11.07</v>
      </c>
      <c r="BS1805" s="2">
        <v>42005.092361111114</v>
      </c>
      <c r="BT1805">
        <v>0</v>
      </c>
      <c r="BU1805">
        <v>0</v>
      </c>
      <c r="BV1805" t="s">
        <v>135</v>
      </c>
      <c r="BW1805">
        <v>0</v>
      </c>
      <c r="BX1805">
        <v>0</v>
      </c>
      <c r="BY1805" t="s">
        <v>135</v>
      </c>
      <c r="BZ1805">
        <v>0</v>
      </c>
      <c r="CA1805">
        <v>0</v>
      </c>
      <c r="CB1805" t="s">
        <v>135</v>
      </c>
      <c r="CH1805" s="2"/>
      <c r="CJ1805" s="2"/>
      <c r="CL1805" s="2"/>
      <c r="CN1805" s="2"/>
      <c r="CQ1805" s="2"/>
      <c r="CT1805" s="2"/>
      <c r="CW1805" s="2"/>
    </row>
    <row r="1806" spans="1:101" x14ac:dyDescent="0.25">
      <c r="A1806" s="1" t="s">
        <v>163</v>
      </c>
      <c r="B1806" s="75" t="s">
        <v>164</v>
      </c>
      <c r="C1806">
        <v>0</v>
      </c>
      <c r="D1806">
        <v>0</v>
      </c>
      <c r="E1806">
        <v>0</v>
      </c>
      <c r="F1806">
        <v>604324.56000000006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3.91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7490</v>
      </c>
      <c r="AW1806">
        <v>3350</v>
      </c>
      <c r="AX1806">
        <v>1219</v>
      </c>
      <c r="AY1806">
        <v>12059</v>
      </c>
      <c r="AZ1806">
        <v>4202</v>
      </c>
      <c r="BA1806">
        <v>7438</v>
      </c>
      <c r="BB1806">
        <v>1432</v>
      </c>
      <c r="BC1806">
        <v>13072</v>
      </c>
      <c r="BD1806">
        <v>9486</v>
      </c>
      <c r="BE1806">
        <v>9222</v>
      </c>
      <c r="BF1806">
        <v>1768</v>
      </c>
      <c r="BG1806">
        <v>20476</v>
      </c>
      <c r="BH1806">
        <v>0</v>
      </c>
      <c r="BI1806">
        <v>0</v>
      </c>
      <c r="BJ1806">
        <v>0</v>
      </c>
      <c r="BK1806">
        <v>0</v>
      </c>
      <c r="BL1806" s="2">
        <v>24.82</v>
      </c>
      <c r="BM1806" s="2">
        <v>42005.095138888886</v>
      </c>
      <c r="BN1806" s="2">
        <v>5.4</v>
      </c>
      <c r="BO1806" s="2">
        <v>42005.092361111114</v>
      </c>
      <c r="BP1806" s="2">
        <v>6.92</v>
      </c>
      <c r="BQ1806" s="2">
        <v>42005.092361111114</v>
      </c>
      <c r="BR1806" s="2">
        <v>11.07</v>
      </c>
      <c r="BS1806" s="2">
        <v>42005.092361111114</v>
      </c>
      <c r="BT1806">
        <v>0</v>
      </c>
      <c r="BU1806">
        <v>0</v>
      </c>
      <c r="BV1806" t="s">
        <v>135</v>
      </c>
      <c r="BW1806">
        <v>0</v>
      </c>
      <c r="BX1806">
        <v>0</v>
      </c>
      <c r="BY1806" t="s">
        <v>135</v>
      </c>
      <c r="BZ1806">
        <v>0</v>
      </c>
      <c r="CA1806">
        <v>0</v>
      </c>
      <c r="CB1806" t="s">
        <v>135</v>
      </c>
      <c r="CH1806" s="2"/>
      <c r="CJ1806" s="2"/>
      <c r="CL1806" s="2"/>
      <c r="CN1806" s="2"/>
      <c r="CQ1806" s="2"/>
      <c r="CT1806" s="2"/>
      <c r="CW1806" s="2"/>
    </row>
    <row r="1807" spans="1:101" x14ac:dyDescent="0.25">
      <c r="A1807" s="1" t="s">
        <v>163</v>
      </c>
      <c r="B1807" s="75" t="s">
        <v>164</v>
      </c>
      <c r="C1807">
        <v>0</v>
      </c>
      <c r="D1807">
        <v>0</v>
      </c>
      <c r="E1807">
        <v>0</v>
      </c>
      <c r="F1807">
        <v>604324.56000000006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3.91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7490</v>
      </c>
      <c r="AW1807">
        <v>3350</v>
      </c>
      <c r="AX1807">
        <v>1219</v>
      </c>
      <c r="AY1807">
        <v>12059</v>
      </c>
      <c r="AZ1807">
        <v>4202</v>
      </c>
      <c r="BA1807">
        <v>7438</v>
      </c>
      <c r="BB1807">
        <v>1432</v>
      </c>
      <c r="BC1807">
        <v>13072</v>
      </c>
      <c r="BD1807">
        <v>9486</v>
      </c>
      <c r="BE1807">
        <v>9222</v>
      </c>
      <c r="BF1807">
        <v>1768</v>
      </c>
      <c r="BG1807">
        <v>20476</v>
      </c>
      <c r="BH1807">
        <v>0</v>
      </c>
      <c r="BI1807">
        <v>0</v>
      </c>
      <c r="BJ1807">
        <v>0</v>
      </c>
      <c r="BK1807">
        <v>0</v>
      </c>
      <c r="BL1807" s="2">
        <v>24.82</v>
      </c>
      <c r="BM1807" s="2">
        <v>42005.095138888886</v>
      </c>
      <c r="BN1807" s="2">
        <v>5.4</v>
      </c>
      <c r="BO1807" s="2">
        <v>42005.092361111114</v>
      </c>
      <c r="BP1807" s="2">
        <v>6.92</v>
      </c>
      <c r="BQ1807" s="2">
        <v>42005.092361111114</v>
      </c>
      <c r="BR1807" s="2">
        <v>11.07</v>
      </c>
      <c r="BS1807" s="2">
        <v>42005.092361111114</v>
      </c>
      <c r="BT1807">
        <v>0</v>
      </c>
      <c r="BU1807">
        <v>0</v>
      </c>
      <c r="BV1807" t="s">
        <v>135</v>
      </c>
      <c r="BW1807">
        <v>0</v>
      </c>
      <c r="BX1807">
        <v>0</v>
      </c>
      <c r="BY1807" t="s">
        <v>135</v>
      </c>
      <c r="BZ1807">
        <v>0</v>
      </c>
      <c r="CA1807">
        <v>0</v>
      </c>
      <c r="CB1807" t="s">
        <v>135</v>
      </c>
      <c r="CH1807" s="2"/>
      <c r="CJ1807" s="2"/>
      <c r="CL1807" s="2"/>
      <c r="CN1807" s="2"/>
      <c r="CQ1807" s="2"/>
      <c r="CT1807" s="2"/>
      <c r="CW1807" s="2"/>
    </row>
    <row r="1808" spans="1:101" x14ac:dyDescent="0.25">
      <c r="A1808" s="1" t="s">
        <v>163</v>
      </c>
      <c r="B1808" s="75" t="s">
        <v>164</v>
      </c>
      <c r="C1808">
        <v>0</v>
      </c>
      <c r="D1808">
        <v>0</v>
      </c>
      <c r="E1808">
        <v>0</v>
      </c>
      <c r="F1808">
        <v>604324.56000000006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3.91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7490</v>
      </c>
      <c r="AW1808">
        <v>3350</v>
      </c>
      <c r="AX1808">
        <v>1219</v>
      </c>
      <c r="AY1808">
        <v>12059</v>
      </c>
      <c r="AZ1808">
        <v>4202</v>
      </c>
      <c r="BA1808">
        <v>7438</v>
      </c>
      <c r="BB1808">
        <v>1432</v>
      </c>
      <c r="BC1808">
        <v>13072</v>
      </c>
      <c r="BD1808">
        <v>9486</v>
      </c>
      <c r="BE1808">
        <v>9222</v>
      </c>
      <c r="BF1808">
        <v>1768</v>
      </c>
      <c r="BG1808">
        <v>20476</v>
      </c>
      <c r="BH1808">
        <v>0</v>
      </c>
      <c r="BI1808">
        <v>0</v>
      </c>
      <c r="BJ1808">
        <v>0</v>
      </c>
      <c r="BK1808">
        <v>0</v>
      </c>
      <c r="BL1808" s="2">
        <v>24.82</v>
      </c>
      <c r="BM1808" s="2">
        <v>42005.095138888886</v>
      </c>
      <c r="BN1808" s="2">
        <v>5.4</v>
      </c>
      <c r="BO1808" s="2">
        <v>42005.092361111114</v>
      </c>
      <c r="BP1808" s="2">
        <v>6.92</v>
      </c>
      <c r="BQ1808" s="2">
        <v>42005.092361111114</v>
      </c>
      <c r="BR1808" s="2">
        <v>11.07</v>
      </c>
      <c r="BS1808" s="2">
        <v>42005.092361111114</v>
      </c>
      <c r="BT1808">
        <v>0</v>
      </c>
      <c r="BU1808">
        <v>0</v>
      </c>
      <c r="BV1808" t="s">
        <v>135</v>
      </c>
      <c r="BW1808">
        <v>0</v>
      </c>
      <c r="BX1808">
        <v>0</v>
      </c>
      <c r="BY1808" t="s">
        <v>135</v>
      </c>
      <c r="BZ1808">
        <v>0</v>
      </c>
      <c r="CA1808">
        <v>0</v>
      </c>
      <c r="CB1808" t="s">
        <v>135</v>
      </c>
      <c r="CH1808" s="2"/>
      <c r="CJ1808" s="2"/>
      <c r="CL1808" s="2"/>
      <c r="CN1808" s="2"/>
      <c r="CQ1808" s="2"/>
      <c r="CT1808" s="2"/>
      <c r="CW1808" s="2"/>
    </row>
    <row r="1809" spans="1:101" x14ac:dyDescent="0.25">
      <c r="A1809" s="1" t="s">
        <v>163</v>
      </c>
      <c r="B1809" s="75" t="s">
        <v>164</v>
      </c>
      <c r="C1809">
        <v>0</v>
      </c>
      <c r="D1809">
        <v>0</v>
      </c>
      <c r="E1809">
        <v>0</v>
      </c>
      <c r="F1809">
        <v>604324.56000000006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3.91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7490</v>
      </c>
      <c r="AW1809">
        <v>3350</v>
      </c>
      <c r="AX1809">
        <v>1219</v>
      </c>
      <c r="AY1809">
        <v>12059</v>
      </c>
      <c r="AZ1809">
        <v>4202</v>
      </c>
      <c r="BA1809">
        <v>7438</v>
      </c>
      <c r="BB1809">
        <v>1432</v>
      </c>
      <c r="BC1809">
        <v>13072</v>
      </c>
      <c r="BD1809">
        <v>9486</v>
      </c>
      <c r="BE1809">
        <v>9222</v>
      </c>
      <c r="BF1809">
        <v>1768</v>
      </c>
      <c r="BG1809">
        <v>20476</v>
      </c>
      <c r="BH1809">
        <v>0</v>
      </c>
      <c r="BI1809">
        <v>0</v>
      </c>
      <c r="BJ1809">
        <v>0</v>
      </c>
      <c r="BK1809">
        <v>0</v>
      </c>
      <c r="BL1809" s="2">
        <v>24.82</v>
      </c>
      <c r="BM1809" s="2">
        <v>42005.095138888886</v>
      </c>
      <c r="BN1809" s="2">
        <v>5.4</v>
      </c>
      <c r="BO1809" s="2">
        <v>42005.092361111114</v>
      </c>
      <c r="BP1809" s="2">
        <v>6.92</v>
      </c>
      <c r="BQ1809" s="2">
        <v>42005.092361111114</v>
      </c>
      <c r="BR1809" s="2">
        <v>11.07</v>
      </c>
      <c r="BS1809" s="2">
        <v>42005.092361111114</v>
      </c>
      <c r="BT1809">
        <v>0</v>
      </c>
      <c r="BU1809">
        <v>0</v>
      </c>
      <c r="BV1809" t="s">
        <v>135</v>
      </c>
      <c r="BW1809">
        <v>0</v>
      </c>
      <c r="BX1809">
        <v>0</v>
      </c>
      <c r="BY1809" t="s">
        <v>135</v>
      </c>
      <c r="BZ1809">
        <v>0</v>
      </c>
      <c r="CA1809">
        <v>0</v>
      </c>
      <c r="CB1809" t="s">
        <v>135</v>
      </c>
      <c r="CH1809" s="2"/>
      <c r="CJ1809" s="2"/>
      <c r="CL1809" s="2"/>
      <c r="CN1809" s="2"/>
      <c r="CQ1809" s="2"/>
      <c r="CT1809" s="2"/>
      <c r="CW1809" s="2"/>
    </row>
    <row r="1810" spans="1:101" x14ac:dyDescent="0.25">
      <c r="A1810" s="1" t="s">
        <v>163</v>
      </c>
      <c r="B1810" s="75" t="s">
        <v>164</v>
      </c>
      <c r="C1810">
        <v>0</v>
      </c>
      <c r="D1810">
        <v>0</v>
      </c>
      <c r="E1810">
        <v>0</v>
      </c>
      <c r="F1810">
        <v>604324.56000000006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3.91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7490</v>
      </c>
      <c r="AW1810">
        <v>3350</v>
      </c>
      <c r="AX1810">
        <v>1219</v>
      </c>
      <c r="AY1810">
        <v>12059</v>
      </c>
      <c r="AZ1810">
        <v>4202</v>
      </c>
      <c r="BA1810">
        <v>7438</v>
      </c>
      <c r="BB1810">
        <v>1432</v>
      </c>
      <c r="BC1810">
        <v>13072</v>
      </c>
      <c r="BD1810">
        <v>9486</v>
      </c>
      <c r="BE1810">
        <v>9222</v>
      </c>
      <c r="BF1810">
        <v>1768</v>
      </c>
      <c r="BG1810">
        <v>20476</v>
      </c>
      <c r="BH1810">
        <v>0</v>
      </c>
      <c r="BI1810">
        <v>0</v>
      </c>
      <c r="BJ1810">
        <v>0</v>
      </c>
      <c r="BK1810">
        <v>0</v>
      </c>
      <c r="BL1810" s="2">
        <v>24.82</v>
      </c>
      <c r="BM1810" s="2">
        <v>42005.095138888886</v>
      </c>
      <c r="BN1810" s="2">
        <v>5.4</v>
      </c>
      <c r="BO1810" s="2">
        <v>42005.092361111114</v>
      </c>
      <c r="BP1810" s="2">
        <v>6.92</v>
      </c>
      <c r="BQ1810" s="2">
        <v>42005.092361111114</v>
      </c>
      <c r="BR1810" s="2">
        <v>11.07</v>
      </c>
      <c r="BS1810" s="2">
        <v>42005.092361111114</v>
      </c>
      <c r="BT1810">
        <v>0</v>
      </c>
      <c r="BU1810">
        <v>0</v>
      </c>
      <c r="BV1810" t="s">
        <v>135</v>
      </c>
      <c r="BW1810">
        <v>0</v>
      </c>
      <c r="BX1810">
        <v>0</v>
      </c>
      <c r="BY1810" t="s">
        <v>135</v>
      </c>
      <c r="BZ1810">
        <v>0</v>
      </c>
      <c r="CA1810">
        <v>0</v>
      </c>
      <c r="CB1810" t="s">
        <v>135</v>
      </c>
      <c r="CH1810" s="2"/>
      <c r="CJ1810" s="2"/>
      <c r="CL1810" s="2"/>
      <c r="CN1810" s="2"/>
      <c r="CQ1810" s="2"/>
      <c r="CT1810" s="2"/>
      <c r="CW1810" s="2"/>
    </row>
    <row r="1811" spans="1:101" x14ac:dyDescent="0.25">
      <c r="A1811" s="1" t="s">
        <v>163</v>
      </c>
      <c r="B1811" s="75" t="s">
        <v>164</v>
      </c>
      <c r="C1811">
        <v>0</v>
      </c>
      <c r="D1811">
        <v>0</v>
      </c>
      <c r="E1811">
        <v>0</v>
      </c>
      <c r="F1811">
        <v>604324.56000000006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3.91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7490</v>
      </c>
      <c r="AW1811">
        <v>3350</v>
      </c>
      <c r="AX1811">
        <v>1219</v>
      </c>
      <c r="AY1811">
        <v>12059</v>
      </c>
      <c r="AZ1811">
        <v>4202</v>
      </c>
      <c r="BA1811">
        <v>7438</v>
      </c>
      <c r="BB1811">
        <v>1432</v>
      </c>
      <c r="BC1811">
        <v>13072</v>
      </c>
      <c r="BD1811">
        <v>9486</v>
      </c>
      <c r="BE1811">
        <v>9222</v>
      </c>
      <c r="BF1811">
        <v>1768</v>
      </c>
      <c r="BG1811">
        <v>20476</v>
      </c>
      <c r="BH1811">
        <v>0</v>
      </c>
      <c r="BI1811">
        <v>0</v>
      </c>
      <c r="BJ1811">
        <v>0</v>
      </c>
      <c r="BK1811">
        <v>0</v>
      </c>
      <c r="BL1811" s="2">
        <v>24.82</v>
      </c>
      <c r="BM1811" s="2">
        <v>42005.095138888886</v>
      </c>
      <c r="BN1811" s="2">
        <v>5.4</v>
      </c>
      <c r="BO1811" s="2">
        <v>42005.092361111114</v>
      </c>
      <c r="BP1811" s="2">
        <v>6.92</v>
      </c>
      <c r="BQ1811" s="2">
        <v>42005.092361111114</v>
      </c>
      <c r="BR1811" s="2">
        <v>11.07</v>
      </c>
      <c r="BS1811" s="2">
        <v>42005.092361111114</v>
      </c>
      <c r="BT1811">
        <v>0</v>
      </c>
      <c r="BU1811">
        <v>0</v>
      </c>
      <c r="BV1811" t="s">
        <v>135</v>
      </c>
      <c r="BW1811">
        <v>0</v>
      </c>
      <c r="BX1811">
        <v>0</v>
      </c>
      <c r="BY1811" t="s">
        <v>135</v>
      </c>
      <c r="BZ1811">
        <v>0</v>
      </c>
      <c r="CA1811">
        <v>0</v>
      </c>
      <c r="CB1811" t="s">
        <v>135</v>
      </c>
      <c r="CH1811" s="2"/>
      <c r="CJ1811" s="2"/>
      <c r="CL1811" s="2"/>
      <c r="CN1811" s="2"/>
      <c r="CQ1811" s="2"/>
      <c r="CT1811" s="2"/>
      <c r="CW1811" s="2"/>
    </row>
    <row r="1812" spans="1:101" x14ac:dyDescent="0.25">
      <c r="A1812" s="1" t="s">
        <v>163</v>
      </c>
      <c r="B1812" s="75" t="s">
        <v>164</v>
      </c>
      <c r="C1812">
        <v>0</v>
      </c>
      <c r="D1812">
        <v>0</v>
      </c>
      <c r="E1812">
        <v>0</v>
      </c>
      <c r="F1812">
        <v>604324.56000000006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3.91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7490</v>
      </c>
      <c r="AW1812">
        <v>3350</v>
      </c>
      <c r="AX1812">
        <v>1219</v>
      </c>
      <c r="AY1812">
        <v>12059</v>
      </c>
      <c r="AZ1812">
        <v>4202</v>
      </c>
      <c r="BA1812">
        <v>7438</v>
      </c>
      <c r="BB1812">
        <v>1432</v>
      </c>
      <c r="BC1812">
        <v>13072</v>
      </c>
      <c r="BD1812">
        <v>9486</v>
      </c>
      <c r="BE1812">
        <v>9222</v>
      </c>
      <c r="BF1812">
        <v>1768</v>
      </c>
      <c r="BG1812">
        <v>20476</v>
      </c>
      <c r="BH1812">
        <v>0</v>
      </c>
      <c r="BI1812">
        <v>0</v>
      </c>
      <c r="BJ1812">
        <v>0</v>
      </c>
      <c r="BK1812">
        <v>0</v>
      </c>
      <c r="BL1812" s="2">
        <v>24.82</v>
      </c>
      <c r="BM1812" s="2">
        <v>42005.095138888886</v>
      </c>
      <c r="BN1812" s="2">
        <v>5.4</v>
      </c>
      <c r="BO1812" s="2">
        <v>42005.092361111114</v>
      </c>
      <c r="BP1812" s="2">
        <v>6.92</v>
      </c>
      <c r="BQ1812" s="2">
        <v>42005.092361111114</v>
      </c>
      <c r="BR1812" s="2">
        <v>11.07</v>
      </c>
      <c r="BS1812" s="2">
        <v>42005.092361111114</v>
      </c>
      <c r="BT1812">
        <v>0</v>
      </c>
      <c r="BU1812">
        <v>0</v>
      </c>
      <c r="BV1812" t="s">
        <v>135</v>
      </c>
      <c r="BW1812">
        <v>0</v>
      </c>
      <c r="BX1812">
        <v>0</v>
      </c>
      <c r="BY1812" t="s">
        <v>135</v>
      </c>
      <c r="BZ1812">
        <v>0</v>
      </c>
      <c r="CA1812">
        <v>0</v>
      </c>
      <c r="CB1812" t="s">
        <v>135</v>
      </c>
      <c r="CH1812" s="2"/>
      <c r="CJ1812" s="2"/>
      <c r="CL1812" s="2"/>
      <c r="CN1812" s="2"/>
      <c r="CQ1812" s="2"/>
      <c r="CT1812" s="2"/>
      <c r="CW1812" s="2"/>
    </row>
    <row r="1813" spans="1:101" x14ac:dyDescent="0.25">
      <c r="A1813" s="1" t="s">
        <v>163</v>
      </c>
      <c r="B1813" s="75" t="s">
        <v>164</v>
      </c>
      <c r="C1813">
        <v>0</v>
      </c>
      <c r="D1813">
        <v>0</v>
      </c>
      <c r="E1813">
        <v>0</v>
      </c>
      <c r="F1813">
        <v>604324.56000000006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3.91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7490</v>
      </c>
      <c r="AW1813">
        <v>3350</v>
      </c>
      <c r="AX1813">
        <v>1219</v>
      </c>
      <c r="AY1813">
        <v>12059</v>
      </c>
      <c r="AZ1813">
        <v>4202</v>
      </c>
      <c r="BA1813">
        <v>7438</v>
      </c>
      <c r="BB1813">
        <v>1432</v>
      </c>
      <c r="BC1813">
        <v>13072</v>
      </c>
      <c r="BD1813">
        <v>9486</v>
      </c>
      <c r="BE1813">
        <v>9222</v>
      </c>
      <c r="BF1813">
        <v>1768</v>
      </c>
      <c r="BG1813">
        <v>20476</v>
      </c>
      <c r="BH1813">
        <v>0</v>
      </c>
      <c r="BI1813">
        <v>0</v>
      </c>
      <c r="BJ1813">
        <v>0</v>
      </c>
      <c r="BK1813">
        <v>0</v>
      </c>
      <c r="BL1813" s="2">
        <v>24.82</v>
      </c>
      <c r="BM1813" s="2">
        <v>42005.095138888886</v>
      </c>
      <c r="BN1813" s="2">
        <v>5.4</v>
      </c>
      <c r="BO1813" s="2">
        <v>42005.092361111114</v>
      </c>
      <c r="BP1813" s="2">
        <v>6.92</v>
      </c>
      <c r="BQ1813" s="2">
        <v>42005.092361111114</v>
      </c>
      <c r="BR1813" s="2">
        <v>11.07</v>
      </c>
      <c r="BS1813" s="2">
        <v>42005.092361111114</v>
      </c>
      <c r="BT1813">
        <v>0</v>
      </c>
      <c r="BU1813">
        <v>0</v>
      </c>
      <c r="BV1813" t="s">
        <v>135</v>
      </c>
      <c r="BW1813">
        <v>0</v>
      </c>
      <c r="BX1813">
        <v>0</v>
      </c>
      <c r="BY1813" t="s">
        <v>135</v>
      </c>
      <c r="BZ1813">
        <v>0</v>
      </c>
      <c r="CA1813">
        <v>0</v>
      </c>
      <c r="CB1813" t="s">
        <v>135</v>
      </c>
      <c r="CH1813" s="2"/>
      <c r="CJ1813" s="2"/>
      <c r="CL1813" s="2"/>
      <c r="CN1813" s="2"/>
      <c r="CQ1813" s="2"/>
      <c r="CT1813" s="2"/>
      <c r="CW1813" s="2"/>
    </row>
    <row r="1814" spans="1:101" x14ac:dyDescent="0.25">
      <c r="A1814" s="1" t="s">
        <v>163</v>
      </c>
      <c r="B1814" s="75" t="s">
        <v>164</v>
      </c>
      <c r="C1814">
        <v>0</v>
      </c>
      <c r="D1814">
        <v>0</v>
      </c>
      <c r="E1814">
        <v>0</v>
      </c>
      <c r="F1814">
        <v>604324.56000000006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3.91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7490</v>
      </c>
      <c r="AW1814">
        <v>3350</v>
      </c>
      <c r="AX1814">
        <v>1219</v>
      </c>
      <c r="AY1814">
        <v>12059</v>
      </c>
      <c r="AZ1814">
        <v>4202</v>
      </c>
      <c r="BA1814">
        <v>7438</v>
      </c>
      <c r="BB1814">
        <v>1432</v>
      </c>
      <c r="BC1814">
        <v>13072</v>
      </c>
      <c r="BD1814">
        <v>9486</v>
      </c>
      <c r="BE1814">
        <v>9222</v>
      </c>
      <c r="BF1814">
        <v>1768</v>
      </c>
      <c r="BG1814">
        <v>20476</v>
      </c>
      <c r="BH1814">
        <v>0</v>
      </c>
      <c r="BI1814">
        <v>0</v>
      </c>
      <c r="BJ1814">
        <v>0</v>
      </c>
      <c r="BK1814">
        <v>0</v>
      </c>
      <c r="BL1814" s="2">
        <v>24.82</v>
      </c>
      <c r="BM1814" s="2">
        <v>42005.095138888886</v>
      </c>
      <c r="BN1814" s="2">
        <v>5.4</v>
      </c>
      <c r="BO1814" s="2">
        <v>42005.092361111114</v>
      </c>
      <c r="BP1814" s="2">
        <v>6.92</v>
      </c>
      <c r="BQ1814" s="2">
        <v>42005.092361111114</v>
      </c>
      <c r="BR1814" s="2">
        <v>11.07</v>
      </c>
      <c r="BS1814" s="2">
        <v>42005.092361111114</v>
      </c>
      <c r="BT1814">
        <v>0</v>
      </c>
      <c r="BU1814">
        <v>0</v>
      </c>
      <c r="BV1814" t="s">
        <v>135</v>
      </c>
      <c r="BW1814">
        <v>0</v>
      </c>
      <c r="BX1814">
        <v>0</v>
      </c>
      <c r="BY1814" t="s">
        <v>135</v>
      </c>
      <c r="BZ1814">
        <v>0</v>
      </c>
      <c r="CA1814">
        <v>0</v>
      </c>
      <c r="CB1814" t="s">
        <v>135</v>
      </c>
      <c r="CH1814" s="2"/>
      <c r="CJ1814" s="2"/>
      <c r="CL1814" s="2"/>
      <c r="CN1814" s="2"/>
      <c r="CQ1814" s="2"/>
      <c r="CT1814" s="2"/>
      <c r="CW1814" s="2"/>
    </row>
    <row r="1815" spans="1:101" x14ac:dyDescent="0.25">
      <c r="A1815" s="1" t="s">
        <v>163</v>
      </c>
      <c r="B1815" s="75" t="s">
        <v>164</v>
      </c>
      <c r="C1815">
        <v>0</v>
      </c>
      <c r="D1815">
        <v>0</v>
      </c>
      <c r="E1815">
        <v>0</v>
      </c>
      <c r="F1815">
        <v>604324.56000000006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3.91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7490</v>
      </c>
      <c r="AW1815">
        <v>3350</v>
      </c>
      <c r="AX1815">
        <v>1219</v>
      </c>
      <c r="AY1815">
        <v>12059</v>
      </c>
      <c r="AZ1815">
        <v>4202</v>
      </c>
      <c r="BA1815">
        <v>7438</v>
      </c>
      <c r="BB1815">
        <v>1432</v>
      </c>
      <c r="BC1815">
        <v>13072</v>
      </c>
      <c r="BD1815">
        <v>9486</v>
      </c>
      <c r="BE1815">
        <v>9222</v>
      </c>
      <c r="BF1815">
        <v>1768</v>
      </c>
      <c r="BG1815">
        <v>20476</v>
      </c>
      <c r="BH1815">
        <v>0</v>
      </c>
      <c r="BI1815">
        <v>0</v>
      </c>
      <c r="BJ1815">
        <v>0</v>
      </c>
      <c r="BK1815">
        <v>0</v>
      </c>
      <c r="BL1815" s="2">
        <v>24.82</v>
      </c>
      <c r="BM1815" s="2">
        <v>42005.095138888886</v>
      </c>
      <c r="BN1815" s="2">
        <v>5.4</v>
      </c>
      <c r="BO1815" s="2">
        <v>42005.092361111114</v>
      </c>
      <c r="BP1815" s="2">
        <v>6.92</v>
      </c>
      <c r="BQ1815" s="2">
        <v>42005.092361111114</v>
      </c>
      <c r="BR1815" s="2">
        <v>11.07</v>
      </c>
      <c r="BS1815" s="2">
        <v>42005.092361111114</v>
      </c>
      <c r="BT1815">
        <v>0</v>
      </c>
      <c r="BU1815">
        <v>0</v>
      </c>
      <c r="BV1815" t="s">
        <v>135</v>
      </c>
      <c r="BW1815">
        <v>0</v>
      </c>
      <c r="BX1815">
        <v>0</v>
      </c>
      <c r="BY1815" t="s">
        <v>135</v>
      </c>
      <c r="BZ1815">
        <v>0</v>
      </c>
      <c r="CA1815">
        <v>0</v>
      </c>
      <c r="CB1815" t="s">
        <v>135</v>
      </c>
      <c r="CH1815" s="2"/>
      <c r="CJ1815" s="2"/>
      <c r="CL1815" s="2"/>
      <c r="CN1815" s="2"/>
      <c r="CQ1815" s="2"/>
      <c r="CT1815" s="2"/>
      <c r="CW1815" s="2"/>
    </row>
    <row r="1816" spans="1:101" x14ac:dyDescent="0.25">
      <c r="A1816" s="1" t="s">
        <v>163</v>
      </c>
      <c r="B1816" s="75" t="s">
        <v>164</v>
      </c>
      <c r="C1816">
        <v>0</v>
      </c>
      <c r="D1816">
        <v>0</v>
      </c>
      <c r="E1816">
        <v>0</v>
      </c>
      <c r="F1816">
        <v>604324.56000000006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3.91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7490</v>
      </c>
      <c r="AW1816">
        <v>3350</v>
      </c>
      <c r="AX1816">
        <v>1219</v>
      </c>
      <c r="AY1816">
        <v>12059</v>
      </c>
      <c r="AZ1816">
        <v>4202</v>
      </c>
      <c r="BA1816">
        <v>7438</v>
      </c>
      <c r="BB1816">
        <v>1432</v>
      </c>
      <c r="BC1816">
        <v>13072</v>
      </c>
      <c r="BD1816">
        <v>9486</v>
      </c>
      <c r="BE1816">
        <v>9222</v>
      </c>
      <c r="BF1816">
        <v>1768</v>
      </c>
      <c r="BG1816">
        <v>20476</v>
      </c>
      <c r="BH1816">
        <v>0</v>
      </c>
      <c r="BI1816">
        <v>0</v>
      </c>
      <c r="BJ1816">
        <v>0</v>
      </c>
      <c r="BK1816">
        <v>0</v>
      </c>
      <c r="BL1816" s="2">
        <v>24.82</v>
      </c>
      <c r="BM1816" s="2">
        <v>42005.095138888886</v>
      </c>
      <c r="BN1816" s="2">
        <v>5.4</v>
      </c>
      <c r="BO1816" s="2">
        <v>42005.092361111114</v>
      </c>
      <c r="BP1816" s="2">
        <v>6.92</v>
      </c>
      <c r="BQ1816" s="2">
        <v>42005.092361111114</v>
      </c>
      <c r="BR1816" s="2">
        <v>11.07</v>
      </c>
      <c r="BS1816" s="2">
        <v>42005.092361111114</v>
      </c>
      <c r="BT1816">
        <v>0</v>
      </c>
      <c r="BU1816">
        <v>0</v>
      </c>
      <c r="BV1816" t="s">
        <v>135</v>
      </c>
      <c r="BW1816">
        <v>0</v>
      </c>
      <c r="BX1816">
        <v>0</v>
      </c>
      <c r="BY1816" t="s">
        <v>135</v>
      </c>
      <c r="BZ1816">
        <v>0</v>
      </c>
      <c r="CA1816">
        <v>0</v>
      </c>
      <c r="CB1816" t="s">
        <v>135</v>
      </c>
      <c r="CH1816" s="2"/>
      <c r="CJ1816" s="2"/>
      <c r="CL1816" s="2"/>
      <c r="CN1816" s="2"/>
      <c r="CQ1816" s="2"/>
      <c r="CT1816" s="2"/>
      <c r="CW1816" s="2"/>
    </row>
    <row r="1817" spans="1:101" x14ac:dyDescent="0.25">
      <c r="A1817" s="1" t="s">
        <v>163</v>
      </c>
      <c r="B1817" s="75" t="s">
        <v>164</v>
      </c>
      <c r="C1817">
        <v>0</v>
      </c>
      <c r="D1817">
        <v>0</v>
      </c>
      <c r="E1817">
        <v>0</v>
      </c>
      <c r="F1817">
        <v>604324.56000000006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3.91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7490</v>
      </c>
      <c r="AW1817">
        <v>3350</v>
      </c>
      <c r="AX1817">
        <v>1219</v>
      </c>
      <c r="AY1817">
        <v>12059</v>
      </c>
      <c r="AZ1817">
        <v>4202</v>
      </c>
      <c r="BA1817">
        <v>7438</v>
      </c>
      <c r="BB1817">
        <v>1432</v>
      </c>
      <c r="BC1817">
        <v>13072</v>
      </c>
      <c r="BD1817">
        <v>9486</v>
      </c>
      <c r="BE1817">
        <v>9222</v>
      </c>
      <c r="BF1817">
        <v>1768</v>
      </c>
      <c r="BG1817">
        <v>20476</v>
      </c>
      <c r="BH1817">
        <v>0</v>
      </c>
      <c r="BI1817">
        <v>0</v>
      </c>
      <c r="BJ1817">
        <v>0</v>
      </c>
      <c r="BK1817">
        <v>0</v>
      </c>
      <c r="BL1817" s="2">
        <v>24.82</v>
      </c>
      <c r="BM1817" s="2">
        <v>42005.095138888886</v>
      </c>
      <c r="BN1817" s="2">
        <v>5.4</v>
      </c>
      <c r="BO1817" s="2">
        <v>42005.092361111114</v>
      </c>
      <c r="BP1817" s="2">
        <v>6.92</v>
      </c>
      <c r="BQ1817" s="2">
        <v>42005.092361111114</v>
      </c>
      <c r="BR1817" s="2">
        <v>11.07</v>
      </c>
      <c r="BS1817" s="2">
        <v>42005.092361111114</v>
      </c>
      <c r="BT1817">
        <v>0</v>
      </c>
      <c r="BU1817">
        <v>0</v>
      </c>
      <c r="BV1817" t="s">
        <v>135</v>
      </c>
      <c r="BW1817">
        <v>0</v>
      </c>
      <c r="BX1817">
        <v>0</v>
      </c>
      <c r="BY1817" t="s">
        <v>135</v>
      </c>
      <c r="BZ1817">
        <v>0</v>
      </c>
      <c r="CA1817">
        <v>0</v>
      </c>
      <c r="CB1817" t="s">
        <v>135</v>
      </c>
      <c r="CH1817" s="2"/>
      <c r="CJ1817" s="2"/>
      <c r="CL1817" s="2"/>
      <c r="CN1817" s="2"/>
      <c r="CQ1817" s="2"/>
      <c r="CT1817" s="2"/>
      <c r="CW1817" s="2"/>
    </row>
    <row r="1818" spans="1:101" x14ac:dyDescent="0.25">
      <c r="A1818" s="1" t="s">
        <v>163</v>
      </c>
      <c r="B1818" s="75" t="s">
        <v>164</v>
      </c>
      <c r="C1818">
        <v>0</v>
      </c>
      <c r="D1818">
        <v>0</v>
      </c>
      <c r="E1818">
        <v>0</v>
      </c>
      <c r="F1818">
        <v>604324.56000000006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3.91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7490</v>
      </c>
      <c r="AW1818">
        <v>3350</v>
      </c>
      <c r="AX1818">
        <v>1219</v>
      </c>
      <c r="AY1818">
        <v>12059</v>
      </c>
      <c r="AZ1818">
        <v>4202</v>
      </c>
      <c r="BA1818">
        <v>7438</v>
      </c>
      <c r="BB1818">
        <v>1432</v>
      </c>
      <c r="BC1818">
        <v>13072</v>
      </c>
      <c r="BD1818">
        <v>9486</v>
      </c>
      <c r="BE1818">
        <v>9222</v>
      </c>
      <c r="BF1818">
        <v>1768</v>
      </c>
      <c r="BG1818">
        <v>20476</v>
      </c>
      <c r="BH1818">
        <v>0</v>
      </c>
      <c r="BI1818">
        <v>0</v>
      </c>
      <c r="BJ1818">
        <v>0</v>
      </c>
      <c r="BK1818">
        <v>0</v>
      </c>
      <c r="BL1818" s="2">
        <v>24.82</v>
      </c>
      <c r="BM1818" s="2">
        <v>42005.095138888886</v>
      </c>
      <c r="BN1818" s="2">
        <v>5.4</v>
      </c>
      <c r="BO1818" s="2">
        <v>42005.092361111114</v>
      </c>
      <c r="BP1818" s="2">
        <v>6.92</v>
      </c>
      <c r="BQ1818" s="2">
        <v>42005.092361111114</v>
      </c>
      <c r="BR1818" s="2">
        <v>11.07</v>
      </c>
      <c r="BS1818" s="2">
        <v>42005.092361111114</v>
      </c>
      <c r="BT1818">
        <v>0</v>
      </c>
      <c r="BU1818">
        <v>0</v>
      </c>
      <c r="BV1818" t="s">
        <v>135</v>
      </c>
      <c r="BW1818">
        <v>0</v>
      </c>
      <c r="BX1818">
        <v>0</v>
      </c>
      <c r="BY1818" t="s">
        <v>135</v>
      </c>
      <c r="BZ1818">
        <v>0</v>
      </c>
      <c r="CA1818">
        <v>0</v>
      </c>
      <c r="CB1818" t="s">
        <v>135</v>
      </c>
      <c r="CH1818" s="2"/>
      <c r="CJ1818" s="2"/>
      <c r="CL1818" s="2"/>
      <c r="CN1818" s="2"/>
      <c r="CQ1818" s="2"/>
      <c r="CT1818" s="2"/>
      <c r="CW1818" s="2"/>
    </row>
    <row r="1819" spans="1:101" x14ac:dyDescent="0.25">
      <c r="A1819" s="1" t="s">
        <v>163</v>
      </c>
      <c r="B1819" s="75" t="s">
        <v>164</v>
      </c>
      <c r="C1819">
        <v>0</v>
      </c>
      <c r="D1819">
        <v>0</v>
      </c>
      <c r="E1819">
        <v>0</v>
      </c>
      <c r="F1819">
        <v>604324.56000000006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3.91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7490</v>
      </c>
      <c r="AW1819">
        <v>3350</v>
      </c>
      <c r="AX1819">
        <v>1219</v>
      </c>
      <c r="AY1819">
        <v>12059</v>
      </c>
      <c r="AZ1819">
        <v>4202</v>
      </c>
      <c r="BA1819">
        <v>7438</v>
      </c>
      <c r="BB1819">
        <v>1432</v>
      </c>
      <c r="BC1819">
        <v>13072</v>
      </c>
      <c r="BD1819">
        <v>9486</v>
      </c>
      <c r="BE1819">
        <v>9222</v>
      </c>
      <c r="BF1819">
        <v>1768</v>
      </c>
      <c r="BG1819">
        <v>20476</v>
      </c>
      <c r="BH1819">
        <v>0</v>
      </c>
      <c r="BI1819">
        <v>0</v>
      </c>
      <c r="BJ1819">
        <v>0</v>
      </c>
      <c r="BK1819">
        <v>0</v>
      </c>
      <c r="BL1819" s="2">
        <v>24.82</v>
      </c>
      <c r="BM1819" s="2">
        <v>42005.095138888886</v>
      </c>
      <c r="BN1819" s="2">
        <v>5.4</v>
      </c>
      <c r="BO1819" s="2">
        <v>42005.092361111114</v>
      </c>
      <c r="BP1819" s="2">
        <v>6.92</v>
      </c>
      <c r="BQ1819" s="2">
        <v>42005.092361111114</v>
      </c>
      <c r="BR1819" s="2">
        <v>11.07</v>
      </c>
      <c r="BS1819" s="2">
        <v>42005.092361111114</v>
      </c>
      <c r="BT1819">
        <v>0</v>
      </c>
      <c r="BU1819">
        <v>0</v>
      </c>
      <c r="BV1819" t="s">
        <v>135</v>
      </c>
      <c r="BW1819">
        <v>0</v>
      </c>
      <c r="BX1819">
        <v>0</v>
      </c>
      <c r="BY1819" t="s">
        <v>135</v>
      </c>
      <c r="BZ1819">
        <v>0</v>
      </c>
      <c r="CA1819">
        <v>0</v>
      </c>
      <c r="CB1819" t="s">
        <v>135</v>
      </c>
      <c r="CH1819" s="2"/>
      <c r="CJ1819" s="2"/>
      <c r="CL1819" s="2"/>
      <c r="CN1819" s="2"/>
      <c r="CQ1819" s="2"/>
      <c r="CT1819" s="2"/>
      <c r="CW1819" s="2"/>
    </row>
    <row r="1820" spans="1:101" x14ac:dyDescent="0.25">
      <c r="A1820" s="1" t="s">
        <v>163</v>
      </c>
      <c r="B1820" s="75" t="s">
        <v>164</v>
      </c>
      <c r="C1820">
        <v>0</v>
      </c>
      <c r="D1820">
        <v>0</v>
      </c>
      <c r="E1820">
        <v>0</v>
      </c>
      <c r="F1820">
        <v>604324.56000000006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3.91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7490</v>
      </c>
      <c r="AW1820">
        <v>3350</v>
      </c>
      <c r="AX1820">
        <v>1219</v>
      </c>
      <c r="AY1820">
        <v>12059</v>
      </c>
      <c r="AZ1820">
        <v>4202</v>
      </c>
      <c r="BA1820">
        <v>7438</v>
      </c>
      <c r="BB1820">
        <v>1432</v>
      </c>
      <c r="BC1820">
        <v>13072</v>
      </c>
      <c r="BD1820">
        <v>9486</v>
      </c>
      <c r="BE1820">
        <v>9222</v>
      </c>
      <c r="BF1820">
        <v>1768</v>
      </c>
      <c r="BG1820">
        <v>20476</v>
      </c>
      <c r="BH1820">
        <v>0</v>
      </c>
      <c r="BI1820">
        <v>0</v>
      </c>
      <c r="BJ1820">
        <v>0</v>
      </c>
      <c r="BK1820">
        <v>0</v>
      </c>
      <c r="BL1820" s="2">
        <v>24.82</v>
      </c>
      <c r="BM1820" s="2">
        <v>42005.095138888886</v>
      </c>
      <c r="BN1820" s="2">
        <v>5.4</v>
      </c>
      <c r="BO1820" s="2">
        <v>42005.092361111114</v>
      </c>
      <c r="BP1820" s="2">
        <v>6.92</v>
      </c>
      <c r="BQ1820" s="2">
        <v>42005.092361111114</v>
      </c>
      <c r="BR1820" s="2">
        <v>11.07</v>
      </c>
      <c r="BS1820" s="2">
        <v>42005.092361111114</v>
      </c>
      <c r="BT1820">
        <v>0</v>
      </c>
      <c r="BU1820">
        <v>0</v>
      </c>
      <c r="BV1820" t="s">
        <v>135</v>
      </c>
      <c r="BW1820">
        <v>0</v>
      </c>
      <c r="BX1820">
        <v>0</v>
      </c>
      <c r="BY1820" t="s">
        <v>135</v>
      </c>
      <c r="BZ1820">
        <v>0</v>
      </c>
      <c r="CA1820">
        <v>0</v>
      </c>
      <c r="CB1820" t="s">
        <v>135</v>
      </c>
      <c r="CH1820" s="2"/>
      <c r="CJ1820" s="2"/>
      <c r="CL1820" s="2"/>
      <c r="CN1820" s="2"/>
      <c r="CQ1820" s="2"/>
      <c r="CT1820" s="2"/>
      <c r="CW1820" s="2"/>
    </row>
    <row r="1821" spans="1:101" x14ac:dyDescent="0.25">
      <c r="A1821" s="1" t="s">
        <v>163</v>
      </c>
      <c r="B1821" s="75" t="s">
        <v>164</v>
      </c>
      <c r="C1821">
        <v>0</v>
      </c>
      <c r="D1821">
        <v>0</v>
      </c>
      <c r="E1821">
        <v>0</v>
      </c>
      <c r="F1821">
        <v>604324.56000000006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3.91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7490</v>
      </c>
      <c r="AW1821">
        <v>3350</v>
      </c>
      <c r="AX1821">
        <v>1219</v>
      </c>
      <c r="AY1821">
        <v>12059</v>
      </c>
      <c r="AZ1821">
        <v>4202</v>
      </c>
      <c r="BA1821">
        <v>7438</v>
      </c>
      <c r="BB1821">
        <v>1432</v>
      </c>
      <c r="BC1821">
        <v>13072</v>
      </c>
      <c r="BD1821">
        <v>9486</v>
      </c>
      <c r="BE1821">
        <v>9222</v>
      </c>
      <c r="BF1821">
        <v>1768</v>
      </c>
      <c r="BG1821">
        <v>20476</v>
      </c>
      <c r="BH1821">
        <v>0</v>
      </c>
      <c r="BI1821">
        <v>0</v>
      </c>
      <c r="BJ1821">
        <v>0</v>
      </c>
      <c r="BK1821">
        <v>0</v>
      </c>
      <c r="BL1821" s="2">
        <v>24.82</v>
      </c>
      <c r="BM1821" s="2">
        <v>42005.095138888886</v>
      </c>
      <c r="BN1821" s="2">
        <v>5.4</v>
      </c>
      <c r="BO1821" s="2">
        <v>42005.092361111114</v>
      </c>
      <c r="BP1821" s="2">
        <v>6.92</v>
      </c>
      <c r="BQ1821" s="2">
        <v>42005.092361111114</v>
      </c>
      <c r="BR1821" s="2">
        <v>11.07</v>
      </c>
      <c r="BS1821" s="2">
        <v>42005.092361111114</v>
      </c>
      <c r="BT1821">
        <v>0</v>
      </c>
      <c r="BU1821">
        <v>0</v>
      </c>
      <c r="BV1821" t="s">
        <v>135</v>
      </c>
      <c r="BW1821">
        <v>0</v>
      </c>
      <c r="BX1821">
        <v>0</v>
      </c>
      <c r="BY1821" t="s">
        <v>135</v>
      </c>
      <c r="BZ1821">
        <v>0</v>
      </c>
      <c r="CA1821">
        <v>0</v>
      </c>
      <c r="CB1821" t="s">
        <v>135</v>
      </c>
      <c r="CH1821" s="2"/>
      <c r="CJ1821" s="2"/>
      <c r="CL1821" s="2"/>
      <c r="CN1821" s="2"/>
      <c r="CQ1821" s="2"/>
      <c r="CT1821" s="2"/>
      <c r="CW1821" s="2"/>
    </row>
    <row r="1822" spans="1:101" x14ac:dyDescent="0.25">
      <c r="A1822" s="1" t="s">
        <v>163</v>
      </c>
      <c r="B1822" s="75" t="s">
        <v>164</v>
      </c>
      <c r="C1822">
        <v>0</v>
      </c>
      <c r="D1822">
        <v>0</v>
      </c>
      <c r="E1822">
        <v>0</v>
      </c>
      <c r="F1822">
        <v>604324.56000000006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3.91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7490</v>
      </c>
      <c r="AW1822">
        <v>3350</v>
      </c>
      <c r="AX1822">
        <v>1219</v>
      </c>
      <c r="AY1822">
        <v>12059</v>
      </c>
      <c r="AZ1822">
        <v>4202</v>
      </c>
      <c r="BA1822">
        <v>7438</v>
      </c>
      <c r="BB1822">
        <v>1432</v>
      </c>
      <c r="BC1822">
        <v>13072</v>
      </c>
      <c r="BD1822">
        <v>9486</v>
      </c>
      <c r="BE1822">
        <v>9222</v>
      </c>
      <c r="BF1822">
        <v>1768</v>
      </c>
      <c r="BG1822">
        <v>20476</v>
      </c>
      <c r="BH1822">
        <v>0</v>
      </c>
      <c r="BI1822">
        <v>0</v>
      </c>
      <c r="BJ1822">
        <v>0</v>
      </c>
      <c r="BK1822">
        <v>0</v>
      </c>
      <c r="BL1822" s="2">
        <v>24.82</v>
      </c>
      <c r="BM1822" s="2">
        <v>42005.095138888886</v>
      </c>
      <c r="BN1822" s="2">
        <v>5.4</v>
      </c>
      <c r="BO1822" s="2">
        <v>42005.092361111114</v>
      </c>
      <c r="BP1822" s="2">
        <v>6.92</v>
      </c>
      <c r="BQ1822" s="2">
        <v>42005.092361111114</v>
      </c>
      <c r="BR1822" s="2">
        <v>11.07</v>
      </c>
      <c r="BS1822" s="2">
        <v>42005.092361111114</v>
      </c>
      <c r="BT1822">
        <v>0</v>
      </c>
      <c r="BU1822">
        <v>0</v>
      </c>
      <c r="BV1822" t="s">
        <v>135</v>
      </c>
      <c r="BW1822">
        <v>0</v>
      </c>
      <c r="BX1822">
        <v>0</v>
      </c>
      <c r="BY1822" t="s">
        <v>135</v>
      </c>
      <c r="BZ1822">
        <v>0</v>
      </c>
      <c r="CA1822">
        <v>0</v>
      </c>
      <c r="CB1822" t="s">
        <v>135</v>
      </c>
      <c r="CH1822" s="2"/>
      <c r="CJ1822" s="2"/>
      <c r="CL1822" s="2"/>
      <c r="CN1822" s="2"/>
      <c r="CQ1822" s="2"/>
      <c r="CT1822" s="2"/>
      <c r="CW1822" s="2"/>
    </row>
    <row r="1823" spans="1:101" x14ac:dyDescent="0.25">
      <c r="A1823" s="1" t="s">
        <v>163</v>
      </c>
      <c r="B1823" s="75" t="s">
        <v>164</v>
      </c>
      <c r="C1823">
        <v>0</v>
      </c>
      <c r="D1823">
        <v>0</v>
      </c>
      <c r="E1823">
        <v>0</v>
      </c>
      <c r="F1823">
        <v>604324.56000000006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3.91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7490</v>
      </c>
      <c r="AW1823">
        <v>3350</v>
      </c>
      <c r="AX1823">
        <v>1219</v>
      </c>
      <c r="AY1823">
        <v>12059</v>
      </c>
      <c r="AZ1823">
        <v>4202</v>
      </c>
      <c r="BA1823">
        <v>7438</v>
      </c>
      <c r="BB1823">
        <v>1432</v>
      </c>
      <c r="BC1823">
        <v>13072</v>
      </c>
      <c r="BD1823">
        <v>9486</v>
      </c>
      <c r="BE1823">
        <v>9222</v>
      </c>
      <c r="BF1823">
        <v>1768</v>
      </c>
      <c r="BG1823">
        <v>20476</v>
      </c>
      <c r="BH1823">
        <v>0</v>
      </c>
      <c r="BI1823">
        <v>0</v>
      </c>
      <c r="BJ1823">
        <v>0</v>
      </c>
      <c r="BK1823">
        <v>0</v>
      </c>
      <c r="BL1823" s="2">
        <v>24.82</v>
      </c>
      <c r="BM1823" s="2">
        <v>42005.095138888886</v>
      </c>
      <c r="BN1823" s="2">
        <v>5.4</v>
      </c>
      <c r="BO1823" s="2">
        <v>42005.092361111114</v>
      </c>
      <c r="BP1823" s="2">
        <v>6.92</v>
      </c>
      <c r="BQ1823" s="2">
        <v>42005.092361111114</v>
      </c>
      <c r="BR1823" s="2">
        <v>11.07</v>
      </c>
      <c r="BS1823" s="2">
        <v>42005.092361111114</v>
      </c>
      <c r="BT1823">
        <v>0</v>
      </c>
      <c r="BU1823">
        <v>0</v>
      </c>
      <c r="BV1823" t="s">
        <v>135</v>
      </c>
      <c r="BW1823">
        <v>0</v>
      </c>
      <c r="BX1823">
        <v>0</v>
      </c>
      <c r="BY1823" t="s">
        <v>135</v>
      </c>
      <c r="BZ1823">
        <v>0</v>
      </c>
      <c r="CA1823">
        <v>0</v>
      </c>
      <c r="CB1823" t="s">
        <v>135</v>
      </c>
      <c r="CH1823" s="2"/>
      <c r="CJ1823" s="2"/>
      <c r="CL1823" s="2"/>
      <c r="CN1823" s="2"/>
      <c r="CQ1823" s="2"/>
      <c r="CT1823" s="2"/>
      <c r="CW1823" s="2"/>
    </row>
    <row r="1824" spans="1:101" x14ac:dyDescent="0.25">
      <c r="A1824" s="1" t="s">
        <v>163</v>
      </c>
      <c r="B1824" s="75" t="s">
        <v>164</v>
      </c>
      <c r="C1824">
        <v>0</v>
      </c>
      <c r="D1824">
        <v>0</v>
      </c>
      <c r="E1824">
        <v>0</v>
      </c>
      <c r="F1824">
        <v>604324.56000000006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3.91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7490</v>
      </c>
      <c r="AW1824">
        <v>3350</v>
      </c>
      <c r="AX1824">
        <v>1219</v>
      </c>
      <c r="AY1824">
        <v>12059</v>
      </c>
      <c r="AZ1824">
        <v>4202</v>
      </c>
      <c r="BA1824">
        <v>7438</v>
      </c>
      <c r="BB1824">
        <v>1432</v>
      </c>
      <c r="BC1824">
        <v>13072</v>
      </c>
      <c r="BD1824">
        <v>9486</v>
      </c>
      <c r="BE1824">
        <v>9222</v>
      </c>
      <c r="BF1824">
        <v>1768</v>
      </c>
      <c r="BG1824">
        <v>20476</v>
      </c>
      <c r="BH1824">
        <v>0</v>
      </c>
      <c r="BI1824">
        <v>0</v>
      </c>
      <c r="BJ1824">
        <v>0</v>
      </c>
      <c r="BK1824">
        <v>0</v>
      </c>
      <c r="BL1824" s="2">
        <v>24.82</v>
      </c>
      <c r="BM1824" s="2">
        <v>42005.095138888886</v>
      </c>
      <c r="BN1824" s="2">
        <v>5.4</v>
      </c>
      <c r="BO1824" s="2">
        <v>42005.092361111114</v>
      </c>
      <c r="BP1824" s="2">
        <v>6.92</v>
      </c>
      <c r="BQ1824" s="2">
        <v>42005.092361111114</v>
      </c>
      <c r="BR1824" s="2">
        <v>11.07</v>
      </c>
      <c r="BS1824" s="2">
        <v>42005.092361111114</v>
      </c>
      <c r="BT1824">
        <v>0</v>
      </c>
      <c r="BU1824">
        <v>0</v>
      </c>
      <c r="BV1824" t="s">
        <v>135</v>
      </c>
      <c r="BW1824">
        <v>0</v>
      </c>
      <c r="BX1824">
        <v>0</v>
      </c>
      <c r="BY1824" t="s">
        <v>135</v>
      </c>
      <c r="BZ1824">
        <v>0</v>
      </c>
      <c r="CA1824">
        <v>0</v>
      </c>
      <c r="CB1824" t="s">
        <v>135</v>
      </c>
      <c r="CH1824" s="2"/>
      <c r="CJ1824" s="2"/>
      <c r="CL1824" s="2"/>
      <c r="CN1824" s="2"/>
      <c r="CQ1824" s="2"/>
      <c r="CT1824" s="2"/>
      <c r="CW1824" s="2"/>
    </row>
    <row r="1825" spans="1:101" x14ac:dyDescent="0.25">
      <c r="A1825" s="1" t="s">
        <v>163</v>
      </c>
      <c r="B1825" s="75" t="s">
        <v>164</v>
      </c>
      <c r="C1825">
        <v>0</v>
      </c>
      <c r="D1825">
        <v>0</v>
      </c>
      <c r="E1825">
        <v>0</v>
      </c>
      <c r="F1825">
        <v>604324.56000000006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3.91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7490</v>
      </c>
      <c r="AW1825">
        <v>3350</v>
      </c>
      <c r="AX1825">
        <v>1219</v>
      </c>
      <c r="AY1825">
        <v>12059</v>
      </c>
      <c r="AZ1825">
        <v>4202</v>
      </c>
      <c r="BA1825">
        <v>7438</v>
      </c>
      <c r="BB1825">
        <v>1432</v>
      </c>
      <c r="BC1825">
        <v>13072</v>
      </c>
      <c r="BD1825">
        <v>9486</v>
      </c>
      <c r="BE1825">
        <v>9222</v>
      </c>
      <c r="BF1825">
        <v>1768</v>
      </c>
      <c r="BG1825">
        <v>20476</v>
      </c>
      <c r="BH1825">
        <v>0</v>
      </c>
      <c r="BI1825">
        <v>0</v>
      </c>
      <c r="BJ1825">
        <v>0</v>
      </c>
      <c r="BK1825">
        <v>0</v>
      </c>
      <c r="BL1825" s="2">
        <v>24.82</v>
      </c>
      <c r="BM1825" s="2">
        <v>42005.095138888886</v>
      </c>
      <c r="BN1825" s="2">
        <v>5.4</v>
      </c>
      <c r="BO1825" s="2">
        <v>42005.092361111114</v>
      </c>
      <c r="BP1825" s="2">
        <v>6.92</v>
      </c>
      <c r="BQ1825" s="2">
        <v>42005.092361111114</v>
      </c>
      <c r="BR1825" s="2">
        <v>11.07</v>
      </c>
      <c r="BS1825" s="2">
        <v>42005.092361111114</v>
      </c>
      <c r="BT1825">
        <v>0</v>
      </c>
      <c r="BU1825">
        <v>0</v>
      </c>
      <c r="BV1825" t="s">
        <v>135</v>
      </c>
      <c r="BW1825">
        <v>0</v>
      </c>
      <c r="BX1825">
        <v>0</v>
      </c>
      <c r="BY1825" t="s">
        <v>135</v>
      </c>
      <c r="BZ1825">
        <v>0</v>
      </c>
      <c r="CA1825">
        <v>0</v>
      </c>
      <c r="CB1825" t="s">
        <v>135</v>
      </c>
      <c r="CH1825" s="2"/>
      <c r="CJ1825" s="2"/>
      <c r="CL1825" s="2"/>
      <c r="CN1825" s="2"/>
      <c r="CQ1825" s="2"/>
      <c r="CT1825" s="2"/>
      <c r="CW1825" s="2"/>
    </row>
    <row r="1826" spans="1:101" x14ac:dyDescent="0.25">
      <c r="A1826" s="1" t="s">
        <v>163</v>
      </c>
      <c r="B1826" s="75" t="s">
        <v>164</v>
      </c>
      <c r="C1826">
        <v>0</v>
      </c>
      <c r="D1826">
        <v>0</v>
      </c>
      <c r="E1826">
        <v>0</v>
      </c>
      <c r="F1826">
        <v>604324.56000000006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3.91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7490</v>
      </c>
      <c r="AW1826">
        <v>3350</v>
      </c>
      <c r="AX1826">
        <v>1219</v>
      </c>
      <c r="AY1826">
        <v>12059</v>
      </c>
      <c r="AZ1826">
        <v>4202</v>
      </c>
      <c r="BA1826">
        <v>7438</v>
      </c>
      <c r="BB1826">
        <v>1432</v>
      </c>
      <c r="BC1826">
        <v>13072</v>
      </c>
      <c r="BD1826">
        <v>9486</v>
      </c>
      <c r="BE1826">
        <v>9222</v>
      </c>
      <c r="BF1826">
        <v>1768</v>
      </c>
      <c r="BG1826">
        <v>20476</v>
      </c>
      <c r="BH1826">
        <v>0</v>
      </c>
      <c r="BI1826">
        <v>0</v>
      </c>
      <c r="BJ1826">
        <v>0</v>
      </c>
      <c r="BK1826">
        <v>0</v>
      </c>
      <c r="BL1826" s="2">
        <v>24.82</v>
      </c>
      <c r="BM1826" s="2">
        <v>42005.095138888886</v>
      </c>
      <c r="BN1826" s="2">
        <v>5.4</v>
      </c>
      <c r="BO1826" s="2">
        <v>42005.092361111114</v>
      </c>
      <c r="BP1826" s="2">
        <v>6.92</v>
      </c>
      <c r="BQ1826" s="2">
        <v>42005.092361111114</v>
      </c>
      <c r="BR1826" s="2">
        <v>11.07</v>
      </c>
      <c r="BS1826" s="2">
        <v>42005.092361111114</v>
      </c>
      <c r="BT1826">
        <v>0</v>
      </c>
      <c r="BU1826">
        <v>0</v>
      </c>
      <c r="BV1826" t="s">
        <v>135</v>
      </c>
      <c r="BW1826">
        <v>0</v>
      </c>
      <c r="BX1826">
        <v>0</v>
      </c>
      <c r="BY1826" t="s">
        <v>135</v>
      </c>
      <c r="BZ1826">
        <v>0</v>
      </c>
      <c r="CA1826">
        <v>0</v>
      </c>
      <c r="CB1826" t="s">
        <v>135</v>
      </c>
      <c r="CH1826" s="2"/>
      <c r="CJ1826" s="2"/>
      <c r="CL1826" s="2"/>
      <c r="CN1826" s="2"/>
      <c r="CQ1826" s="2"/>
      <c r="CT1826" s="2"/>
      <c r="CW1826" s="2"/>
    </row>
    <row r="1827" spans="1:101" x14ac:dyDescent="0.25">
      <c r="A1827" s="1" t="s">
        <v>163</v>
      </c>
      <c r="B1827" s="75" t="s">
        <v>164</v>
      </c>
      <c r="C1827">
        <v>0</v>
      </c>
      <c r="D1827">
        <v>0</v>
      </c>
      <c r="E1827">
        <v>0</v>
      </c>
      <c r="F1827">
        <v>604324.56000000006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3.91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7490</v>
      </c>
      <c r="AW1827">
        <v>3350</v>
      </c>
      <c r="AX1827">
        <v>1219</v>
      </c>
      <c r="AY1827">
        <v>12059</v>
      </c>
      <c r="AZ1827">
        <v>4202</v>
      </c>
      <c r="BA1827">
        <v>7438</v>
      </c>
      <c r="BB1827">
        <v>1432</v>
      </c>
      <c r="BC1827">
        <v>13072</v>
      </c>
      <c r="BD1827">
        <v>9486</v>
      </c>
      <c r="BE1827">
        <v>9222</v>
      </c>
      <c r="BF1827">
        <v>1768</v>
      </c>
      <c r="BG1827">
        <v>20476</v>
      </c>
      <c r="BH1827">
        <v>0</v>
      </c>
      <c r="BI1827">
        <v>0</v>
      </c>
      <c r="BJ1827">
        <v>0</v>
      </c>
      <c r="BK1827">
        <v>0</v>
      </c>
      <c r="BL1827" s="2">
        <v>24.82</v>
      </c>
      <c r="BM1827" s="2">
        <v>42005.095138888886</v>
      </c>
      <c r="BN1827" s="2">
        <v>5.4</v>
      </c>
      <c r="BO1827" s="2">
        <v>42005.092361111114</v>
      </c>
      <c r="BP1827" s="2">
        <v>6.92</v>
      </c>
      <c r="BQ1827" s="2">
        <v>42005.092361111114</v>
      </c>
      <c r="BR1827" s="2">
        <v>11.07</v>
      </c>
      <c r="BS1827" s="2">
        <v>42005.092361111114</v>
      </c>
      <c r="BT1827">
        <v>0</v>
      </c>
      <c r="BU1827">
        <v>0</v>
      </c>
      <c r="BV1827" t="s">
        <v>135</v>
      </c>
      <c r="BW1827">
        <v>0</v>
      </c>
      <c r="BX1827">
        <v>0</v>
      </c>
      <c r="BY1827" t="s">
        <v>135</v>
      </c>
      <c r="BZ1827">
        <v>0</v>
      </c>
      <c r="CA1827">
        <v>0</v>
      </c>
      <c r="CB1827" t="s">
        <v>135</v>
      </c>
      <c r="CH1827" s="2"/>
      <c r="CJ1827" s="2"/>
      <c r="CL1827" s="2"/>
      <c r="CN1827" s="2"/>
      <c r="CQ1827" s="2"/>
      <c r="CT1827" s="2"/>
      <c r="CW1827" s="2"/>
    </row>
    <row r="1828" spans="1:101" x14ac:dyDescent="0.25">
      <c r="A1828" s="1" t="s">
        <v>163</v>
      </c>
      <c r="B1828" s="75" t="s">
        <v>164</v>
      </c>
      <c r="C1828">
        <v>0</v>
      </c>
      <c r="D1828">
        <v>0</v>
      </c>
      <c r="E1828">
        <v>0</v>
      </c>
      <c r="F1828">
        <v>604324.56000000006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3.91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7490</v>
      </c>
      <c r="AW1828">
        <v>3350</v>
      </c>
      <c r="AX1828">
        <v>1219</v>
      </c>
      <c r="AY1828">
        <v>12059</v>
      </c>
      <c r="AZ1828">
        <v>4202</v>
      </c>
      <c r="BA1828">
        <v>7438</v>
      </c>
      <c r="BB1828">
        <v>1432</v>
      </c>
      <c r="BC1828">
        <v>13072</v>
      </c>
      <c r="BD1828">
        <v>9486</v>
      </c>
      <c r="BE1828">
        <v>9222</v>
      </c>
      <c r="BF1828">
        <v>1768</v>
      </c>
      <c r="BG1828">
        <v>20476</v>
      </c>
      <c r="BH1828">
        <v>0</v>
      </c>
      <c r="BI1828">
        <v>0</v>
      </c>
      <c r="BJ1828">
        <v>0</v>
      </c>
      <c r="BK1828">
        <v>0</v>
      </c>
      <c r="BL1828" s="2">
        <v>24.82</v>
      </c>
      <c r="BM1828" s="2">
        <v>42005.095138888886</v>
      </c>
      <c r="BN1828" s="2">
        <v>5.4</v>
      </c>
      <c r="BO1828" s="2">
        <v>42005.092361111114</v>
      </c>
      <c r="BP1828" s="2">
        <v>6.92</v>
      </c>
      <c r="BQ1828" s="2">
        <v>42005.092361111114</v>
      </c>
      <c r="BR1828" s="2">
        <v>11.07</v>
      </c>
      <c r="BS1828" s="2">
        <v>42005.092361111114</v>
      </c>
      <c r="BT1828">
        <v>0</v>
      </c>
      <c r="BU1828">
        <v>0</v>
      </c>
      <c r="BV1828" t="s">
        <v>135</v>
      </c>
      <c r="BW1828">
        <v>0</v>
      </c>
      <c r="BX1828">
        <v>0</v>
      </c>
      <c r="BY1828" t="s">
        <v>135</v>
      </c>
      <c r="BZ1828">
        <v>0</v>
      </c>
      <c r="CA1828">
        <v>0</v>
      </c>
      <c r="CB1828" t="s">
        <v>135</v>
      </c>
      <c r="CH1828" s="2"/>
      <c r="CJ1828" s="2"/>
      <c r="CL1828" s="2"/>
      <c r="CN1828" s="2"/>
      <c r="CQ1828" s="2"/>
      <c r="CT1828" s="2"/>
      <c r="CW1828" s="2"/>
    </row>
    <row r="1829" spans="1:101" x14ac:dyDescent="0.25">
      <c r="A1829" s="1" t="s">
        <v>163</v>
      </c>
      <c r="B1829" s="75" t="s">
        <v>164</v>
      </c>
      <c r="C1829">
        <v>0</v>
      </c>
      <c r="D1829">
        <v>0</v>
      </c>
      <c r="E1829">
        <v>0</v>
      </c>
      <c r="F1829">
        <v>604324.56000000006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3.91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7490</v>
      </c>
      <c r="AW1829">
        <v>3350</v>
      </c>
      <c r="AX1829">
        <v>1219</v>
      </c>
      <c r="AY1829">
        <v>12059</v>
      </c>
      <c r="AZ1829">
        <v>4202</v>
      </c>
      <c r="BA1829">
        <v>7438</v>
      </c>
      <c r="BB1829">
        <v>1432</v>
      </c>
      <c r="BC1829">
        <v>13072</v>
      </c>
      <c r="BD1829">
        <v>9486</v>
      </c>
      <c r="BE1829">
        <v>9222</v>
      </c>
      <c r="BF1829">
        <v>1768</v>
      </c>
      <c r="BG1829">
        <v>20476</v>
      </c>
      <c r="BH1829">
        <v>0</v>
      </c>
      <c r="BI1829">
        <v>0</v>
      </c>
      <c r="BJ1829">
        <v>0</v>
      </c>
      <c r="BK1829">
        <v>0</v>
      </c>
      <c r="BL1829" s="2">
        <v>24.82</v>
      </c>
      <c r="BM1829" s="2">
        <v>42005.095138888886</v>
      </c>
      <c r="BN1829" s="2">
        <v>5.4</v>
      </c>
      <c r="BO1829" s="2">
        <v>42005.092361111114</v>
      </c>
      <c r="BP1829" s="2">
        <v>6.92</v>
      </c>
      <c r="BQ1829" s="2">
        <v>42005.092361111114</v>
      </c>
      <c r="BR1829" s="2">
        <v>11.07</v>
      </c>
      <c r="BS1829" s="2">
        <v>42005.092361111114</v>
      </c>
      <c r="BT1829">
        <v>0</v>
      </c>
      <c r="BU1829">
        <v>0</v>
      </c>
      <c r="BV1829" t="s">
        <v>135</v>
      </c>
      <c r="BW1829">
        <v>0</v>
      </c>
      <c r="BX1829">
        <v>0</v>
      </c>
      <c r="BY1829" t="s">
        <v>135</v>
      </c>
      <c r="BZ1829">
        <v>0</v>
      </c>
      <c r="CA1829">
        <v>0</v>
      </c>
      <c r="CB1829" t="s">
        <v>135</v>
      </c>
      <c r="CH1829" s="2"/>
      <c r="CJ1829" s="2"/>
      <c r="CL1829" s="2"/>
      <c r="CN1829" s="2"/>
      <c r="CQ1829" s="2"/>
      <c r="CT1829" s="2"/>
      <c r="CW1829" s="2"/>
    </row>
    <row r="1830" spans="1:101" x14ac:dyDescent="0.25">
      <c r="A1830" s="1" t="s">
        <v>163</v>
      </c>
      <c r="B1830" s="75" t="s">
        <v>164</v>
      </c>
      <c r="C1830">
        <v>0</v>
      </c>
      <c r="D1830">
        <v>0</v>
      </c>
      <c r="E1830">
        <v>0</v>
      </c>
      <c r="F1830">
        <v>604324.56000000006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3.91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7490</v>
      </c>
      <c r="AW1830">
        <v>3350</v>
      </c>
      <c r="AX1830">
        <v>1219</v>
      </c>
      <c r="AY1830">
        <v>12059</v>
      </c>
      <c r="AZ1830">
        <v>4202</v>
      </c>
      <c r="BA1830">
        <v>7438</v>
      </c>
      <c r="BB1830">
        <v>1432</v>
      </c>
      <c r="BC1830">
        <v>13072</v>
      </c>
      <c r="BD1830">
        <v>9486</v>
      </c>
      <c r="BE1830">
        <v>9222</v>
      </c>
      <c r="BF1830">
        <v>1768</v>
      </c>
      <c r="BG1830">
        <v>20476</v>
      </c>
      <c r="BH1830">
        <v>0</v>
      </c>
      <c r="BI1830">
        <v>0</v>
      </c>
      <c r="BJ1830">
        <v>0</v>
      </c>
      <c r="BK1830">
        <v>0</v>
      </c>
      <c r="BL1830" s="2">
        <v>24.82</v>
      </c>
      <c r="BM1830" s="2">
        <v>42005.095138888886</v>
      </c>
      <c r="BN1830" s="2">
        <v>5.4</v>
      </c>
      <c r="BO1830" s="2">
        <v>42005.092361111114</v>
      </c>
      <c r="BP1830" s="2">
        <v>6.92</v>
      </c>
      <c r="BQ1830" s="2">
        <v>42005.092361111114</v>
      </c>
      <c r="BR1830" s="2">
        <v>11.07</v>
      </c>
      <c r="BS1830" s="2">
        <v>42005.092361111114</v>
      </c>
      <c r="BT1830">
        <v>0</v>
      </c>
      <c r="BU1830">
        <v>0</v>
      </c>
      <c r="BV1830" t="s">
        <v>135</v>
      </c>
      <c r="BW1830">
        <v>0</v>
      </c>
      <c r="BX1830">
        <v>0</v>
      </c>
      <c r="BY1830" t="s">
        <v>135</v>
      </c>
      <c r="BZ1830">
        <v>0</v>
      </c>
      <c r="CA1830">
        <v>0</v>
      </c>
      <c r="CB1830" t="s">
        <v>135</v>
      </c>
      <c r="CH1830" s="2"/>
      <c r="CJ1830" s="2"/>
      <c r="CL1830" s="2"/>
      <c r="CN1830" s="2"/>
      <c r="CQ1830" s="2"/>
      <c r="CT1830" s="2"/>
      <c r="CW1830" s="2"/>
    </row>
    <row r="1831" spans="1:101" x14ac:dyDescent="0.25">
      <c r="A1831" s="1" t="s">
        <v>163</v>
      </c>
      <c r="B1831" s="75" t="s">
        <v>164</v>
      </c>
      <c r="C1831">
        <v>0</v>
      </c>
      <c r="D1831">
        <v>0</v>
      </c>
      <c r="E1831">
        <v>0</v>
      </c>
      <c r="F1831">
        <v>604324.56000000006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3.91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7490</v>
      </c>
      <c r="AW1831">
        <v>3350</v>
      </c>
      <c r="AX1831">
        <v>1219</v>
      </c>
      <c r="AY1831">
        <v>12059</v>
      </c>
      <c r="AZ1831">
        <v>4202</v>
      </c>
      <c r="BA1831">
        <v>7438</v>
      </c>
      <c r="BB1831">
        <v>1432</v>
      </c>
      <c r="BC1831">
        <v>13072</v>
      </c>
      <c r="BD1831">
        <v>9486</v>
      </c>
      <c r="BE1831">
        <v>9222</v>
      </c>
      <c r="BF1831">
        <v>1768</v>
      </c>
      <c r="BG1831">
        <v>20476</v>
      </c>
      <c r="BH1831">
        <v>0</v>
      </c>
      <c r="BI1831">
        <v>0</v>
      </c>
      <c r="BJ1831">
        <v>0</v>
      </c>
      <c r="BK1831">
        <v>0</v>
      </c>
      <c r="BL1831" s="2">
        <v>24.82</v>
      </c>
      <c r="BM1831" s="2">
        <v>42005.095138888886</v>
      </c>
      <c r="BN1831" s="2">
        <v>5.4</v>
      </c>
      <c r="BO1831" s="2">
        <v>42005.092361111114</v>
      </c>
      <c r="BP1831" s="2">
        <v>6.92</v>
      </c>
      <c r="BQ1831" s="2">
        <v>42005.092361111114</v>
      </c>
      <c r="BR1831" s="2">
        <v>11.07</v>
      </c>
      <c r="BS1831" s="2">
        <v>42005.092361111114</v>
      </c>
      <c r="BT1831">
        <v>0</v>
      </c>
      <c r="BU1831">
        <v>0</v>
      </c>
      <c r="BV1831" t="s">
        <v>135</v>
      </c>
      <c r="BW1831">
        <v>0</v>
      </c>
      <c r="BX1831">
        <v>0</v>
      </c>
      <c r="BY1831" t="s">
        <v>135</v>
      </c>
      <c r="BZ1831">
        <v>0</v>
      </c>
      <c r="CA1831">
        <v>0</v>
      </c>
      <c r="CB1831" t="s">
        <v>135</v>
      </c>
      <c r="CH1831" s="2"/>
      <c r="CJ1831" s="2"/>
      <c r="CL1831" s="2"/>
      <c r="CN1831" s="2"/>
      <c r="CQ1831" s="2"/>
      <c r="CT1831" s="2"/>
      <c r="CW1831" s="2"/>
    </row>
    <row r="1832" spans="1:101" x14ac:dyDescent="0.25">
      <c r="A1832" s="1" t="s">
        <v>163</v>
      </c>
      <c r="B1832" s="75" t="s">
        <v>164</v>
      </c>
      <c r="C1832">
        <v>0</v>
      </c>
      <c r="D1832">
        <v>0</v>
      </c>
      <c r="E1832">
        <v>0</v>
      </c>
      <c r="F1832">
        <v>604324.56000000006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3.91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7490</v>
      </c>
      <c r="AW1832">
        <v>3350</v>
      </c>
      <c r="AX1832">
        <v>1219</v>
      </c>
      <c r="AY1832">
        <v>12059</v>
      </c>
      <c r="AZ1832">
        <v>4202</v>
      </c>
      <c r="BA1832">
        <v>7438</v>
      </c>
      <c r="BB1832">
        <v>1432</v>
      </c>
      <c r="BC1832">
        <v>13072</v>
      </c>
      <c r="BD1832">
        <v>9486</v>
      </c>
      <c r="BE1832">
        <v>9222</v>
      </c>
      <c r="BF1832">
        <v>1768</v>
      </c>
      <c r="BG1832">
        <v>20476</v>
      </c>
      <c r="BH1832">
        <v>0</v>
      </c>
      <c r="BI1832">
        <v>0</v>
      </c>
      <c r="BJ1832">
        <v>0</v>
      </c>
      <c r="BK1832">
        <v>0</v>
      </c>
      <c r="BL1832" s="2">
        <v>24.82</v>
      </c>
      <c r="BM1832" s="2">
        <v>42005.095138888886</v>
      </c>
      <c r="BN1832" s="2">
        <v>5.4</v>
      </c>
      <c r="BO1832" s="2">
        <v>42005.092361111114</v>
      </c>
      <c r="BP1832" s="2">
        <v>6.92</v>
      </c>
      <c r="BQ1832" s="2">
        <v>42005.092361111114</v>
      </c>
      <c r="BR1832" s="2">
        <v>11.07</v>
      </c>
      <c r="BS1832" s="2">
        <v>42005.092361111114</v>
      </c>
      <c r="BT1832">
        <v>0</v>
      </c>
      <c r="BU1832">
        <v>0</v>
      </c>
      <c r="BV1832" t="s">
        <v>135</v>
      </c>
      <c r="BW1832">
        <v>0</v>
      </c>
      <c r="BX1832">
        <v>0</v>
      </c>
      <c r="BY1832" t="s">
        <v>135</v>
      </c>
      <c r="BZ1832">
        <v>0</v>
      </c>
      <c r="CA1832">
        <v>0</v>
      </c>
      <c r="CB1832" t="s">
        <v>135</v>
      </c>
      <c r="CH1832" s="2"/>
      <c r="CJ1832" s="2"/>
      <c r="CL1832" s="2"/>
      <c r="CN1832" s="2"/>
      <c r="CQ1832" s="2"/>
      <c r="CT1832" s="2"/>
      <c r="CW1832" s="2"/>
    </row>
    <row r="1833" spans="1:101" x14ac:dyDescent="0.25">
      <c r="A1833" s="1" t="s">
        <v>163</v>
      </c>
      <c r="B1833" s="75" t="s">
        <v>164</v>
      </c>
      <c r="C1833">
        <v>0</v>
      </c>
      <c r="D1833">
        <v>0</v>
      </c>
      <c r="E1833">
        <v>0</v>
      </c>
      <c r="F1833">
        <v>604324.56000000006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3.91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7490</v>
      </c>
      <c r="AW1833">
        <v>3350</v>
      </c>
      <c r="AX1833">
        <v>1219</v>
      </c>
      <c r="AY1833">
        <v>12059</v>
      </c>
      <c r="AZ1833">
        <v>4202</v>
      </c>
      <c r="BA1833">
        <v>7438</v>
      </c>
      <c r="BB1833">
        <v>1432</v>
      </c>
      <c r="BC1833">
        <v>13072</v>
      </c>
      <c r="BD1833">
        <v>9486</v>
      </c>
      <c r="BE1833">
        <v>9222</v>
      </c>
      <c r="BF1833">
        <v>1768</v>
      </c>
      <c r="BG1833">
        <v>20476</v>
      </c>
      <c r="BH1833">
        <v>0</v>
      </c>
      <c r="BI1833">
        <v>0</v>
      </c>
      <c r="BJ1833">
        <v>0</v>
      </c>
      <c r="BK1833">
        <v>0</v>
      </c>
      <c r="BL1833" s="2">
        <v>24.82</v>
      </c>
      <c r="BM1833" s="2">
        <v>42005.095138888886</v>
      </c>
      <c r="BN1833" s="2">
        <v>5.4</v>
      </c>
      <c r="BO1833" s="2">
        <v>42005.092361111114</v>
      </c>
      <c r="BP1833" s="2">
        <v>6.92</v>
      </c>
      <c r="BQ1833" s="2">
        <v>42005.092361111114</v>
      </c>
      <c r="BR1833" s="2">
        <v>11.07</v>
      </c>
      <c r="BS1833" s="2">
        <v>42005.092361111114</v>
      </c>
      <c r="BT1833">
        <v>0</v>
      </c>
      <c r="BU1833">
        <v>0</v>
      </c>
      <c r="BV1833" t="s">
        <v>135</v>
      </c>
      <c r="BW1833">
        <v>0</v>
      </c>
      <c r="BX1833">
        <v>0</v>
      </c>
      <c r="BY1833" t="s">
        <v>135</v>
      </c>
      <c r="BZ1833">
        <v>0</v>
      </c>
      <c r="CA1833">
        <v>0</v>
      </c>
      <c r="CB1833" t="s">
        <v>135</v>
      </c>
      <c r="CH1833" s="2"/>
      <c r="CJ1833" s="2"/>
      <c r="CL1833" s="2"/>
      <c r="CN1833" s="2"/>
      <c r="CQ1833" s="2"/>
      <c r="CT1833" s="2"/>
      <c r="CW1833" s="2"/>
    </row>
    <row r="1834" spans="1:101" x14ac:dyDescent="0.25">
      <c r="A1834" s="1" t="s">
        <v>163</v>
      </c>
      <c r="B1834" s="75" t="s">
        <v>164</v>
      </c>
      <c r="C1834">
        <v>0</v>
      </c>
      <c r="D1834">
        <v>0</v>
      </c>
      <c r="E1834">
        <v>0</v>
      </c>
      <c r="F1834">
        <v>604324.56000000006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3.91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7490</v>
      </c>
      <c r="AW1834">
        <v>3350</v>
      </c>
      <c r="AX1834">
        <v>1219</v>
      </c>
      <c r="AY1834">
        <v>12059</v>
      </c>
      <c r="AZ1834">
        <v>4202</v>
      </c>
      <c r="BA1834">
        <v>7438</v>
      </c>
      <c r="BB1834">
        <v>1432</v>
      </c>
      <c r="BC1834">
        <v>13072</v>
      </c>
      <c r="BD1834">
        <v>9486</v>
      </c>
      <c r="BE1834">
        <v>9222</v>
      </c>
      <c r="BF1834">
        <v>1768</v>
      </c>
      <c r="BG1834">
        <v>20476</v>
      </c>
      <c r="BH1834">
        <v>0</v>
      </c>
      <c r="BI1834">
        <v>0</v>
      </c>
      <c r="BJ1834">
        <v>0</v>
      </c>
      <c r="BK1834">
        <v>0</v>
      </c>
      <c r="BL1834" s="2">
        <v>24.82</v>
      </c>
      <c r="BM1834" s="2">
        <v>42005.095138888886</v>
      </c>
      <c r="BN1834" s="2">
        <v>5.4</v>
      </c>
      <c r="BO1834" s="2">
        <v>42005.092361111114</v>
      </c>
      <c r="BP1834" s="2">
        <v>6.92</v>
      </c>
      <c r="BQ1834" s="2">
        <v>42005.092361111114</v>
      </c>
      <c r="BR1834" s="2">
        <v>11.07</v>
      </c>
      <c r="BS1834" s="2">
        <v>42005.092361111114</v>
      </c>
      <c r="BT1834">
        <v>0</v>
      </c>
      <c r="BU1834">
        <v>0</v>
      </c>
      <c r="BV1834" t="s">
        <v>135</v>
      </c>
      <c r="BW1834">
        <v>0</v>
      </c>
      <c r="BX1834">
        <v>0</v>
      </c>
      <c r="BY1834" t="s">
        <v>135</v>
      </c>
      <c r="BZ1834">
        <v>0</v>
      </c>
      <c r="CA1834">
        <v>0</v>
      </c>
      <c r="CB1834" t="s">
        <v>135</v>
      </c>
      <c r="CH1834" s="2"/>
      <c r="CJ1834" s="2"/>
      <c r="CL1834" s="2"/>
      <c r="CN1834" s="2"/>
      <c r="CQ1834" s="2"/>
      <c r="CT1834" s="2"/>
      <c r="CW1834" s="2"/>
    </row>
    <row r="1835" spans="1:101" x14ac:dyDescent="0.25">
      <c r="A1835" s="1" t="s">
        <v>163</v>
      </c>
      <c r="B1835" s="75" t="s">
        <v>164</v>
      </c>
      <c r="C1835">
        <v>0</v>
      </c>
      <c r="D1835">
        <v>0</v>
      </c>
      <c r="E1835">
        <v>0</v>
      </c>
      <c r="F1835">
        <v>604324.56000000006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3.91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7490</v>
      </c>
      <c r="AW1835">
        <v>3350</v>
      </c>
      <c r="AX1835">
        <v>1219</v>
      </c>
      <c r="AY1835">
        <v>12059</v>
      </c>
      <c r="AZ1835">
        <v>4202</v>
      </c>
      <c r="BA1835">
        <v>7438</v>
      </c>
      <c r="BB1835">
        <v>1432</v>
      </c>
      <c r="BC1835">
        <v>13072</v>
      </c>
      <c r="BD1835">
        <v>9486</v>
      </c>
      <c r="BE1835">
        <v>9222</v>
      </c>
      <c r="BF1835">
        <v>1768</v>
      </c>
      <c r="BG1835">
        <v>20476</v>
      </c>
      <c r="BH1835">
        <v>0</v>
      </c>
      <c r="BI1835">
        <v>0</v>
      </c>
      <c r="BJ1835">
        <v>0</v>
      </c>
      <c r="BK1835">
        <v>0</v>
      </c>
      <c r="BL1835" s="2">
        <v>24.82</v>
      </c>
      <c r="BM1835" s="2">
        <v>42005.095138888886</v>
      </c>
      <c r="BN1835" s="2">
        <v>5.4</v>
      </c>
      <c r="BO1835" s="2">
        <v>42005.092361111114</v>
      </c>
      <c r="BP1835" s="2">
        <v>6.92</v>
      </c>
      <c r="BQ1835" s="2">
        <v>42005.092361111114</v>
      </c>
      <c r="BR1835" s="2">
        <v>11.07</v>
      </c>
      <c r="BS1835" s="2">
        <v>42005.092361111114</v>
      </c>
      <c r="BT1835">
        <v>0</v>
      </c>
      <c r="BU1835">
        <v>0</v>
      </c>
      <c r="BV1835" t="s">
        <v>135</v>
      </c>
      <c r="BW1835">
        <v>0</v>
      </c>
      <c r="BX1835">
        <v>0</v>
      </c>
      <c r="BY1835" t="s">
        <v>135</v>
      </c>
      <c r="BZ1835">
        <v>0</v>
      </c>
      <c r="CA1835">
        <v>0</v>
      </c>
      <c r="CB1835" t="s">
        <v>135</v>
      </c>
      <c r="CH1835" s="2"/>
      <c r="CJ1835" s="2"/>
      <c r="CL1835" s="2"/>
      <c r="CN1835" s="2"/>
      <c r="CQ1835" s="2"/>
      <c r="CT1835" s="2"/>
      <c r="CW1835" s="2"/>
    </row>
    <row r="1836" spans="1:101" x14ac:dyDescent="0.25">
      <c r="A1836" s="1" t="s">
        <v>163</v>
      </c>
      <c r="B1836" s="75" t="s">
        <v>164</v>
      </c>
      <c r="C1836">
        <v>0</v>
      </c>
      <c r="D1836">
        <v>0</v>
      </c>
      <c r="E1836">
        <v>0</v>
      </c>
      <c r="F1836">
        <v>604324.56000000006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3.91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7490</v>
      </c>
      <c r="AW1836">
        <v>3350</v>
      </c>
      <c r="AX1836">
        <v>1219</v>
      </c>
      <c r="AY1836">
        <v>12059</v>
      </c>
      <c r="AZ1836">
        <v>4202</v>
      </c>
      <c r="BA1836">
        <v>7438</v>
      </c>
      <c r="BB1836">
        <v>1432</v>
      </c>
      <c r="BC1836">
        <v>13072</v>
      </c>
      <c r="BD1836">
        <v>9486</v>
      </c>
      <c r="BE1836">
        <v>9222</v>
      </c>
      <c r="BF1836">
        <v>1768</v>
      </c>
      <c r="BG1836">
        <v>20476</v>
      </c>
      <c r="BH1836">
        <v>0</v>
      </c>
      <c r="BI1836">
        <v>0</v>
      </c>
      <c r="BJ1836">
        <v>0</v>
      </c>
      <c r="BK1836">
        <v>0</v>
      </c>
      <c r="BL1836" s="2">
        <v>24.82</v>
      </c>
      <c r="BM1836" s="2">
        <v>42005.095138888886</v>
      </c>
      <c r="BN1836" s="2">
        <v>5.4</v>
      </c>
      <c r="BO1836" s="2">
        <v>42005.092361111114</v>
      </c>
      <c r="BP1836" s="2">
        <v>6.92</v>
      </c>
      <c r="BQ1836" s="2">
        <v>42005.092361111114</v>
      </c>
      <c r="BR1836" s="2">
        <v>11.07</v>
      </c>
      <c r="BS1836" s="2">
        <v>42005.092361111114</v>
      </c>
      <c r="BT1836">
        <v>0</v>
      </c>
      <c r="BU1836">
        <v>0</v>
      </c>
      <c r="BV1836" t="s">
        <v>135</v>
      </c>
      <c r="BW1836">
        <v>0</v>
      </c>
      <c r="BX1836">
        <v>0</v>
      </c>
      <c r="BY1836" t="s">
        <v>135</v>
      </c>
      <c r="BZ1836">
        <v>0</v>
      </c>
      <c r="CA1836">
        <v>0</v>
      </c>
      <c r="CB1836" t="s">
        <v>135</v>
      </c>
      <c r="CH1836" s="2"/>
      <c r="CJ1836" s="2"/>
      <c r="CL1836" s="2"/>
      <c r="CN1836" s="2"/>
      <c r="CQ1836" s="2"/>
      <c r="CT1836" s="2"/>
      <c r="CW1836" s="2"/>
    </row>
    <row r="1837" spans="1:101" x14ac:dyDescent="0.25">
      <c r="A1837" s="1" t="s">
        <v>163</v>
      </c>
      <c r="B1837" s="75" t="s">
        <v>164</v>
      </c>
      <c r="C1837">
        <v>0</v>
      </c>
      <c r="D1837">
        <v>0</v>
      </c>
      <c r="E1837">
        <v>0</v>
      </c>
      <c r="F1837">
        <v>604324.56000000006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3.91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7490</v>
      </c>
      <c r="AW1837">
        <v>3350</v>
      </c>
      <c r="AX1837">
        <v>1219</v>
      </c>
      <c r="AY1837">
        <v>12059</v>
      </c>
      <c r="AZ1837">
        <v>4202</v>
      </c>
      <c r="BA1837">
        <v>7438</v>
      </c>
      <c r="BB1837">
        <v>1432</v>
      </c>
      <c r="BC1837">
        <v>13072</v>
      </c>
      <c r="BD1837">
        <v>9486</v>
      </c>
      <c r="BE1837">
        <v>9222</v>
      </c>
      <c r="BF1837">
        <v>1768</v>
      </c>
      <c r="BG1837">
        <v>20476</v>
      </c>
      <c r="BH1837">
        <v>0</v>
      </c>
      <c r="BI1837">
        <v>0</v>
      </c>
      <c r="BJ1837">
        <v>0</v>
      </c>
      <c r="BK1837">
        <v>0</v>
      </c>
      <c r="BL1837" s="2">
        <v>24.82</v>
      </c>
      <c r="BM1837" s="2">
        <v>42005.095138888886</v>
      </c>
      <c r="BN1837" s="2">
        <v>5.4</v>
      </c>
      <c r="BO1837" s="2">
        <v>42005.092361111114</v>
      </c>
      <c r="BP1837" s="2">
        <v>6.92</v>
      </c>
      <c r="BQ1837" s="2">
        <v>42005.092361111114</v>
      </c>
      <c r="BR1837" s="2">
        <v>11.07</v>
      </c>
      <c r="BS1837" s="2">
        <v>42005.092361111114</v>
      </c>
      <c r="BT1837">
        <v>0</v>
      </c>
      <c r="BU1837">
        <v>0</v>
      </c>
      <c r="BV1837" t="s">
        <v>135</v>
      </c>
      <c r="BW1837">
        <v>0</v>
      </c>
      <c r="BX1837">
        <v>0</v>
      </c>
      <c r="BY1837" t="s">
        <v>135</v>
      </c>
      <c r="BZ1837">
        <v>0</v>
      </c>
      <c r="CA1837">
        <v>0</v>
      </c>
      <c r="CB1837" t="s">
        <v>135</v>
      </c>
      <c r="CH1837" s="2"/>
      <c r="CJ1837" s="2"/>
      <c r="CL1837" s="2"/>
      <c r="CN1837" s="2"/>
      <c r="CQ1837" s="2"/>
      <c r="CT1837" s="2"/>
      <c r="CW1837" s="2"/>
    </row>
    <row r="1838" spans="1:101" x14ac:dyDescent="0.25">
      <c r="A1838" s="1" t="s">
        <v>163</v>
      </c>
      <c r="B1838" s="75" t="s">
        <v>164</v>
      </c>
      <c r="C1838">
        <v>0</v>
      </c>
      <c r="D1838">
        <v>0</v>
      </c>
      <c r="E1838">
        <v>0</v>
      </c>
      <c r="F1838">
        <v>604324.56000000006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3.91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7490</v>
      </c>
      <c r="AW1838">
        <v>3350</v>
      </c>
      <c r="AX1838">
        <v>1219</v>
      </c>
      <c r="AY1838">
        <v>12059</v>
      </c>
      <c r="AZ1838">
        <v>4202</v>
      </c>
      <c r="BA1838">
        <v>7438</v>
      </c>
      <c r="BB1838">
        <v>1432</v>
      </c>
      <c r="BC1838">
        <v>13072</v>
      </c>
      <c r="BD1838">
        <v>9486</v>
      </c>
      <c r="BE1838">
        <v>9222</v>
      </c>
      <c r="BF1838">
        <v>1768</v>
      </c>
      <c r="BG1838">
        <v>20476</v>
      </c>
      <c r="BH1838">
        <v>0</v>
      </c>
      <c r="BI1838">
        <v>0</v>
      </c>
      <c r="BJ1838">
        <v>0</v>
      </c>
      <c r="BK1838">
        <v>0</v>
      </c>
      <c r="BL1838" s="2">
        <v>24.82</v>
      </c>
      <c r="BM1838" s="2">
        <v>42005.095138888886</v>
      </c>
      <c r="BN1838" s="2">
        <v>5.4</v>
      </c>
      <c r="BO1838" s="2">
        <v>42005.092361111114</v>
      </c>
      <c r="BP1838" s="2">
        <v>6.92</v>
      </c>
      <c r="BQ1838" s="2">
        <v>42005.092361111114</v>
      </c>
      <c r="BR1838" s="2">
        <v>11.07</v>
      </c>
      <c r="BS1838" s="2">
        <v>42005.092361111114</v>
      </c>
      <c r="BT1838">
        <v>0</v>
      </c>
      <c r="BU1838">
        <v>0</v>
      </c>
      <c r="BV1838" t="s">
        <v>135</v>
      </c>
      <c r="BW1838">
        <v>0</v>
      </c>
      <c r="BX1838">
        <v>0</v>
      </c>
      <c r="BY1838" t="s">
        <v>135</v>
      </c>
      <c r="BZ1838">
        <v>0</v>
      </c>
      <c r="CA1838">
        <v>0</v>
      </c>
      <c r="CB1838" t="s">
        <v>135</v>
      </c>
      <c r="CH1838" s="2"/>
      <c r="CJ1838" s="2"/>
      <c r="CL1838" s="2"/>
      <c r="CN1838" s="2"/>
      <c r="CQ1838" s="2"/>
      <c r="CT1838" s="2"/>
      <c r="CW1838" s="2"/>
    </row>
    <row r="1839" spans="1:101" x14ac:dyDescent="0.25">
      <c r="A1839" s="1" t="s">
        <v>163</v>
      </c>
      <c r="B1839" s="75" t="s">
        <v>164</v>
      </c>
      <c r="C1839">
        <v>0</v>
      </c>
      <c r="D1839">
        <v>0</v>
      </c>
      <c r="E1839">
        <v>0</v>
      </c>
      <c r="F1839">
        <v>604324.56000000006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3.91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7490</v>
      </c>
      <c r="AW1839">
        <v>3350</v>
      </c>
      <c r="AX1839">
        <v>1219</v>
      </c>
      <c r="AY1839">
        <v>12059</v>
      </c>
      <c r="AZ1839">
        <v>4202</v>
      </c>
      <c r="BA1839">
        <v>7438</v>
      </c>
      <c r="BB1839">
        <v>1432</v>
      </c>
      <c r="BC1839">
        <v>13072</v>
      </c>
      <c r="BD1839">
        <v>9486</v>
      </c>
      <c r="BE1839">
        <v>9222</v>
      </c>
      <c r="BF1839">
        <v>1768</v>
      </c>
      <c r="BG1839">
        <v>20476</v>
      </c>
      <c r="BH1839">
        <v>0</v>
      </c>
      <c r="BI1839">
        <v>0</v>
      </c>
      <c r="BJ1839">
        <v>0</v>
      </c>
      <c r="BK1839">
        <v>0</v>
      </c>
      <c r="BL1839" s="2">
        <v>24.82</v>
      </c>
      <c r="BM1839" s="2">
        <v>42005.095138888886</v>
      </c>
      <c r="BN1839" s="2">
        <v>5.4</v>
      </c>
      <c r="BO1839" s="2">
        <v>42005.092361111114</v>
      </c>
      <c r="BP1839" s="2">
        <v>6.92</v>
      </c>
      <c r="BQ1839" s="2">
        <v>42005.092361111114</v>
      </c>
      <c r="BR1839" s="2">
        <v>11.07</v>
      </c>
      <c r="BS1839" s="2">
        <v>42005.092361111114</v>
      </c>
      <c r="BT1839">
        <v>0</v>
      </c>
      <c r="BU1839">
        <v>0</v>
      </c>
      <c r="BV1839" t="s">
        <v>135</v>
      </c>
      <c r="BW1839">
        <v>0</v>
      </c>
      <c r="BX1839">
        <v>0</v>
      </c>
      <c r="BY1839" t="s">
        <v>135</v>
      </c>
      <c r="BZ1839">
        <v>0</v>
      </c>
      <c r="CA1839">
        <v>0</v>
      </c>
      <c r="CB1839" t="s">
        <v>135</v>
      </c>
      <c r="CH1839" s="2"/>
      <c r="CJ1839" s="2"/>
      <c r="CL1839" s="2"/>
      <c r="CN1839" s="2"/>
      <c r="CQ1839" s="2"/>
      <c r="CT1839" s="2"/>
      <c r="CW1839" s="2"/>
    </row>
    <row r="1840" spans="1:101" x14ac:dyDescent="0.25">
      <c r="A1840" s="1" t="s">
        <v>163</v>
      </c>
      <c r="B1840" s="75" t="s">
        <v>164</v>
      </c>
      <c r="C1840">
        <v>0</v>
      </c>
      <c r="D1840">
        <v>0</v>
      </c>
      <c r="E1840">
        <v>0</v>
      </c>
      <c r="F1840">
        <v>604324.56000000006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3.91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7490</v>
      </c>
      <c r="AW1840">
        <v>3350</v>
      </c>
      <c r="AX1840">
        <v>1219</v>
      </c>
      <c r="AY1840">
        <v>12059</v>
      </c>
      <c r="AZ1840">
        <v>4202</v>
      </c>
      <c r="BA1840">
        <v>7438</v>
      </c>
      <c r="BB1840">
        <v>1432</v>
      </c>
      <c r="BC1840">
        <v>13072</v>
      </c>
      <c r="BD1840">
        <v>9486</v>
      </c>
      <c r="BE1840">
        <v>9222</v>
      </c>
      <c r="BF1840">
        <v>1768</v>
      </c>
      <c r="BG1840">
        <v>20476</v>
      </c>
      <c r="BH1840">
        <v>0</v>
      </c>
      <c r="BI1840">
        <v>0</v>
      </c>
      <c r="BJ1840">
        <v>0</v>
      </c>
      <c r="BK1840">
        <v>0</v>
      </c>
      <c r="BL1840" s="2">
        <v>24.82</v>
      </c>
      <c r="BM1840" s="2">
        <v>42005.095138888886</v>
      </c>
      <c r="BN1840" s="2">
        <v>5.4</v>
      </c>
      <c r="BO1840" s="2">
        <v>42005.092361111114</v>
      </c>
      <c r="BP1840" s="2">
        <v>6.92</v>
      </c>
      <c r="BQ1840" s="2">
        <v>42005.092361111114</v>
      </c>
      <c r="BR1840" s="2">
        <v>11.07</v>
      </c>
      <c r="BS1840" s="2">
        <v>42005.092361111114</v>
      </c>
      <c r="BT1840">
        <v>0</v>
      </c>
      <c r="BU1840">
        <v>0</v>
      </c>
      <c r="BV1840" t="s">
        <v>135</v>
      </c>
      <c r="BW1840">
        <v>0</v>
      </c>
      <c r="BX1840">
        <v>0</v>
      </c>
      <c r="BY1840" t="s">
        <v>135</v>
      </c>
      <c r="BZ1840">
        <v>0</v>
      </c>
      <c r="CA1840">
        <v>0</v>
      </c>
      <c r="CB1840" t="s">
        <v>135</v>
      </c>
      <c r="CH1840" s="2"/>
      <c r="CJ1840" s="2"/>
      <c r="CL1840" s="2"/>
      <c r="CN1840" s="2"/>
      <c r="CQ1840" s="2"/>
      <c r="CT1840" s="2"/>
      <c r="CW1840" s="2"/>
    </row>
    <row r="1841" spans="1:101" x14ac:dyDescent="0.25">
      <c r="A1841" s="1" t="s">
        <v>163</v>
      </c>
      <c r="B1841" s="75" t="s">
        <v>164</v>
      </c>
      <c r="C1841">
        <v>0</v>
      </c>
      <c r="D1841">
        <v>0</v>
      </c>
      <c r="E1841">
        <v>0</v>
      </c>
      <c r="F1841">
        <v>604324.56000000006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3.91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7490</v>
      </c>
      <c r="AW1841">
        <v>3350</v>
      </c>
      <c r="AX1841">
        <v>1219</v>
      </c>
      <c r="AY1841">
        <v>12059</v>
      </c>
      <c r="AZ1841">
        <v>4202</v>
      </c>
      <c r="BA1841">
        <v>7438</v>
      </c>
      <c r="BB1841">
        <v>1432</v>
      </c>
      <c r="BC1841">
        <v>13072</v>
      </c>
      <c r="BD1841">
        <v>9486</v>
      </c>
      <c r="BE1841">
        <v>9222</v>
      </c>
      <c r="BF1841">
        <v>1768</v>
      </c>
      <c r="BG1841">
        <v>20476</v>
      </c>
      <c r="BH1841">
        <v>0</v>
      </c>
      <c r="BI1841">
        <v>0</v>
      </c>
      <c r="BJ1841">
        <v>0</v>
      </c>
      <c r="BK1841">
        <v>0</v>
      </c>
      <c r="BL1841" s="2">
        <v>24.82</v>
      </c>
      <c r="BM1841" s="2">
        <v>42005.095138888886</v>
      </c>
      <c r="BN1841" s="2">
        <v>5.4</v>
      </c>
      <c r="BO1841" s="2">
        <v>42005.092361111114</v>
      </c>
      <c r="BP1841" s="2">
        <v>6.92</v>
      </c>
      <c r="BQ1841" s="2">
        <v>42005.092361111114</v>
      </c>
      <c r="BR1841" s="2">
        <v>11.07</v>
      </c>
      <c r="BS1841" s="2">
        <v>42005.092361111114</v>
      </c>
      <c r="BT1841">
        <v>0</v>
      </c>
      <c r="BU1841">
        <v>0</v>
      </c>
      <c r="BV1841" t="s">
        <v>135</v>
      </c>
      <c r="BW1841">
        <v>0</v>
      </c>
      <c r="BX1841">
        <v>0</v>
      </c>
      <c r="BY1841" t="s">
        <v>135</v>
      </c>
      <c r="BZ1841">
        <v>0</v>
      </c>
      <c r="CA1841">
        <v>0</v>
      </c>
      <c r="CB1841" t="s">
        <v>135</v>
      </c>
      <c r="CH1841" s="2"/>
      <c r="CJ1841" s="2"/>
      <c r="CL1841" s="2"/>
      <c r="CN1841" s="2"/>
      <c r="CQ1841" s="2"/>
      <c r="CT1841" s="2"/>
      <c r="CW1841" s="2"/>
    </row>
    <row r="1842" spans="1:101" x14ac:dyDescent="0.25">
      <c r="A1842" s="1" t="s">
        <v>163</v>
      </c>
      <c r="B1842" s="75" t="s">
        <v>164</v>
      </c>
      <c r="C1842">
        <v>0</v>
      </c>
      <c r="D1842">
        <v>0</v>
      </c>
      <c r="E1842">
        <v>0</v>
      </c>
      <c r="F1842">
        <v>604324.56000000006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3.91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7490</v>
      </c>
      <c r="AW1842">
        <v>3350</v>
      </c>
      <c r="AX1842">
        <v>1219</v>
      </c>
      <c r="AY1842">
        <v>12059</v>
      </c>
      <c r="AZ1842">
        <v>4202</v>
      </c>
      <c r="BA1842">
        <v>7438</v>
      </c>
      <c r="BB1842">
        <v>1432</v>
      </c>
      <c r="BC1842">
        <v>13072</v>
      </c>
      <c r="BD1842">
        <v>9486</v>
      </c>
      <c r="BE1842">
        <v>9222</v>
      </c>
      <c r="BF1842">
        <v>1768</v>
      </c>
      <c r="BG1842">
        <v>20476</v>
      </c>
      <c r="BH1842">
        <v>0</v>
      </c>
      <c r="BI1842">
        <v>0</v>
      </c>
      <c r="BJ1842">
        <v>0</v>
      </c>
      <c r="BK1842">
        <v>0</v>
      </c>
      <c r="BL1842" s="2">
        <v>24.82</v>
      </c>
      <c r="BM1842" s="2">
        <v>42005.095138888886</v>
      </c>
      <c r="BN1842" s="2">
        <v>5.4</v>
      </c>
      <c r="BO1842" s="2">
        <v>42005.092361111114</v>
      </c>
      <c r="BP1842" s="2">
        <v>6.92</v>
      </c>
      <c r="BQ1842" s="2">
        <v>42005.092361111114</v>
      </c>
      <c r="BR1842" s="2">
        <v>11.07</v>
      </c>
      <c r="BS1842" s="2">
        <v>42005.092361111114</v>
      </c>
      <c r="BT1842">
        <v>0</v>
      </c>
      <c r="BU1842">
        <v>0</v>
      </c>
      <c r="BV1842" t="s">
        <v>135</v>
      </c>
      <c r="BW1842">
        <v>0</v>
      </c>
      <c r="BX1842">
        <v>0</v>
      </c>
      <c r="BY1842" t="s">
        <v>135</v>
      </c>
      <c r="BZ1842">
        <v>0</v>
      </c>
      <c r="CA1842">
        <v>0</v>
      </c>
      <c r="CB1842" t="s">
        <v>135</v>
      </c>
      <c r="CH1842" s="2"/>
      <c r="CJ1842" s="2"/>
      <c r="CL1842" s="2"/>
      <c r="CN1842" s="2"/>
      <c r="CQ1842" s="2"/>
      <c r="CT1842" s="2"/>
      <c r="CW1842" s="2"/>
    </row>
    <row r="1843" spans="1:101" x14ac:dyDescent="0.25">
      <c r="A1843" s="1" t="s">
        <v>163</v>
      </c>
      <c r="B1843" s="75" t="s">
        <v>164</v>
      </c>
      <c r="C1843">
        <v>0</v>
      </c>
      <c r="D1843">
        <v>0</v>
      </c>
      <c r="E1843">
        <v>0</v>
      </c>
      <c r="F1843">
        <v>604324.56000000006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3.91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7490</v>
      </c>
      <c r="AW1843">
        <v>3350</v>
      </c>
      <c r="AX1843">
        <v>1219</v>
      </c>
      <c r="AY1843">
        <v>12059</v>
      </c>
      <c r="AZ1843">
        <v>4202</v>
      </c>
      <c r="BA1843">
        <v>7438</v>
      </c>
      <c r="BB1843">
        <v>1432</v>
      </c>
      <c r="BC1843">
        <v>13072</v>
      </c>
      <c r="BD1843">
        <v>9486</v>
      </c>
      <c r="BE1843">
        <v>9222</v>
      </c>
      <c r="BF1843">
        <v>1768</v>
      </c>
      <c r="BG1843">
        <v>20476</v>
      </c>
      <c r="BH1843">
        <v>0</v>
      </c>
      <c r="BI1843">
        <v>0</v>
      </c>
      <c r="BJ1843">
        <v>0</v>
      </c>
      <c r="BK1843">
        <v>0</v>
      </c>
      <c r="BL1843" s="2">
        <v>24.82</v>
      </c>
      <c r="BM1843" s="2">
        <v>42005.095138888886</v>
      </c>
      <c r="BN1843" s="2">
        <v>5.4</v>
      </c>
      <c r="BO1843" s="2">
        <v>42005.092361111114</v>
      </c>
      <c r="BP1843" s="2">
        <v>6.92</v>
      </c>
      <c r="BQ1843" s="2">
        <v>42005.092361111114</v>
      </c>
      <c r="BR1843" s="2">
        <v>11.07</v>
      </c>
      <c r="BS1843" s="2">
        <v>42005.092361111114</v>
      </c>
      <c r="BT1843">
        <v>0</v>
      </c>
      <c r="BU1843">
        <v>0</v>
      </c>
      <c r="BV1843" t="s">
        <v>135</v>
      </c>
      <c r="BW1843">
        <v>0</v>
      </c>
      <c r="BX1843">
        <v>0</v>
      </c>
      <c r="BY1843" t="s">
        <v>135</v>
      </c>
      <c r="BZ1843">
        <v>0</v>
      </c>
      <c r="CA1843">
        <v>0</v>
      </c>
      <c r="CB1843" t="s">
        <v>135</v>
      </c>
      <c r="CH1843" s="2"/>
      <c r="CJ1843" s="2"/>
      <c r="CL1843" s="2"/>
      <c r="CN1843" s="2"/>
      <c r="CQ1843" s="2"/>
      <c r="CT1843" s="2"/>
      <c r="CW1843" s="2"/>
    </row>
    <row r="1844" spans="1:101" x14ac:dyDescent="0.25">
      <c r="A1844" s="1" t="s">
        <v>163</v>
      </c>
      <c r="B1844" s="75" t="s">
        <v>164</v>
      </c>
      <c r="C1844">
        <v>0</v>
      </c>
      <c r="D1844">
        <v>0</v>
      </c>
      <c r="E1844">
        <v>0</v>
      </c>
      <c r="F1844">
        <v>604324.56000000006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3.91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7490</v>
      </c>
      <c r="AW1844">
        <v>3350</v>
      </c>
      <c r="AX1844">
        <v>1219</v>
      </c>
      <c r="AY1844">
        <v>12059</v>
      </c>
      <c r="AZ1844">
        <v>4202</v>
      </c>
      <c r="BA1844">
        <v>7438</v>
      </c>
      <c r="BB1844">
        <v>1432</v>
      </c>
      <c r="BC1844">
        <v>13072</v>
      </c>
      <c r="BD1844">
        <v>9486</v>
      </c>
      <c r="BE1844">
        <v>9222</v>
      </c>
      <c r="BF1844">
        <v>1768</v>
      </c>
      <c r="BG1844">
        <v>20476</v>
      </c>
      <c r="BH1844">
        <v>0</v>
      </c>
      <c r="BI1844">
        <v>0</v>
      </c>
      <c r="BJ1844">
        <v>0</v>
      </c>
      <c r="BK1844">
        <v>0</v>
      </c>
      <c r="BL1844" s="2">
        <v>24.82</v>
      </c>
      <c r="BM1844" s="2">
        <v>42005.095138888886</v>
      </c>
      <c r="BN1844" s="2">
        <v>5.4</v>
      </c>
      <c r="BO1844" s="2">
        <v>42005.092361111114</v>
      </c>
      <c r="BP1844" s="2">
        <v>6.92</v>
      </c>
      <c r="BQ1844" s="2">
        <v>42005.092361111114</v>
      </c>
      <c r="BR1844" s="2">
        <v>11.07</v>
      </c>
      <c r="BS1844" s="2">
        <v>42005.092361111114</v>
      </c>
      <c r="BT1844">
        <v>0</v>
      </c>
      <c r="BU1844">
        <v>0</v>
      </c>
      <c r="BV1844" t="s">
        <v>135</v>
      </c>
      <c r="BW1844">
        <v>0</v>
      </c>
      <c r="BX1844">
        <v>0</v>
      </c>
      <c r="BY1844" t="s">
        <v>135</v>
      </c>
      <c r="BZ1844">
        <v>0</v>
      </c>
      <c r="CA1844">
        <v>0</v>
      </c>
      <c r="CB1844" t="s">
        <v>135</v>
      </c>
      <c r="CH1844" s="2"/>
      <c r="CJ1844" s="2"/>
      <c r="CL1844" s="2"/>
      <c r="CN1844" s="2"/>
      <c r="CQ1844" s="2"/>
      <c r="CT1844" s="2"/>
      <c r="CW1844" s="2"/>
    </row>
    <row r="1845" spans="1:101" x14ac:dyDescent="0.25">
      <c r="A1845" s="1" t="s">
        <v>163</v>
      </c>
      <c r="B1845" s="75" t="s">
        <v>164</v>
      </c>
      <c r="C1845">
        <v>0</v>
      </c>
      <c r="D1845">
        <v>0</v>
      </c>
      <c r="E1845">
        <v>0</v>
      </c>
      <c r="F1845">
        <v>604324.56000000006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3.91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7490</v>
      </c>
      <c r="AW1845">
        <v>3350</v>
      </c>
      <c r="AX1845">
        <v>1219</v>
      </c>
      <c r="AY1845">
        <v>12059</v>
      </c>
      <c r="AZ1845">
        <v>4202</v>
      </c>
      <c r="BA1845">
        <v>7438</v>
      </c>
      <c r="BB1845">
        <v>1432</v>
      </c>
      <c r="BC1845">
        <v>13072</v>
      </c>
      <c r="BD1845">
        <v>9486</v>
      </c>
      <c r="BE1845">
        <v>9222</v>
      </c>
      <c r="BF1845">
        <v>1768</v>
      </c>
      <c r="BG1845">
        <v>20476</v>
      </c>
      <c r="BH1845">
        <v>0</v>
      </c>
      <c r="BI1845">
        <v>0</v>
      </c>
      <c r="BJ1845">
        <v>0</v>
      </c>
      <c r="BK1845">
        <v>0</v>
      </c>
      <c r="BL1845" s="2">
        <v>24.82</v>
      </c>
      <c r="BM1845" s="2">
        <v>42005.095138888886</v>
      </c>
      <c r="BN1845" s="2">
        <v>5.4</v>
      </c>
      <c r="BO1845" s="2">
        <v>42005.092361111114</v>
      </c>
      <c r="BP1845" s="2">
        <v>6.92</v>
      </c>
      <c r="BQ1845" s="2">
        <v>42005.092361111114</v>
      </c>
      <c r="BR1845" s="2">
        <v>11.07</v>
      </c>
      <c r="BS1845" s="2">
        <v>42005.092361111114</v>
      </c>
      <c r="BT1845">
        <v>0</v>
      </c>
      <c r="BU1845">
        <v>0</v>
      </c>
      <c r="BV1845" t="s">
        <v>135</v>
      </c>
      <c r="BW1845">
        <v>0</v>
      </c>
      <c r="BX1845">
        <v>0</v>
      </c>
      <c r="BY1845" t="s">
        <v>135</v>
      </c>
      <c r="BZ1845">
        <v>0</v>
      </c>
      <c r="CA1845">
        <v>0</v>
      </c>
      <c r="CB1845" t="s">
        <v>135</v>
      </c>
      <c r="CH1845" s="2"/>
      <c r="CJ1845" s="2"/>
      <c r="CL1845" s="2"/>
      <c r="CN1845" s="2"/>
      <c r="CQ1845" s="2"/>
      <c r="CT1845" s="2"/>
      <c r="CW1845" s="2"/>
    </row>
    <row r="1846" spans="1:101" x14ac:dyDescent="0.25">
      <c r="A1846" s="1" t="s">
        <v>163</v>
      </c>
      <c r="B1846" s="75" t="s">
        <v>164</v>
      </c>
      <c r="C1846">
        <v>0</v>
      </c>
      <c r="D1846">
        <v>0</v>
      </c>
      <c r="E1846">
        <v>0</v>
      </c>
      <c r="F1846">
        <v>604324.56000000006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3.91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7490</v>
      </c>
      <c r="AW1846">
        <v>3350</v>
      </c>
      <c r="AX1846">
        <v>1219</v>
      </c>
      <c r="AY1846">
        <v>12059</v>
      </c>
      <c r="AZ1846">
        <v>4202</v>
      </c>
      <c r="BA1846">
        <v>7438</v>
      </c>
      <c r="BB1846">
        <v>1432</v>
      </c>
      <c r="BC1846">
        <v>13072</v>
      </c>
      <c r="BD1846">
        <v>9486</v>
      </c>
      <c r="BE1846">
        <v>9222</v>
      </c>
      <c r="BF1846">
        <v>1768</v>
      </c>
      <c r="BG1846">
        <v>20476</v>
      </c>
      <c r="BH1846">
        <v>0</v>
      </c>
      <c r="BI1846">
        <v>0</v>
      </c>
      <c r="BJ1846">
        <v>0</v>
      </c>
      <c r="BK1846">
        <v>0</v>
      </c>
      <c r="BL1846" s="2">
        <v>24.82</v>
      </c>
      <c r="BM1846" s="2">
        <v>42005.095138888886</v>
      </c>
      <c r="BN1846" s="2">
        <v>5.4</v>
      </c>
      <c r="BO1846" s="2">
        <v>42005.092361111114</v>
      </c>
      <c r="BP1846" s="2">
        <v>6.92</v>
      </c>
      <c r="BQ1846" s="2">
        <v>42005.092361111114</v>
      </c>
      <c r="BR1846" s="2">
        <v>11.07</v>
      </c>
      <c r="BS1846" s="2">
        <v>42005.092361111114</v>
      </c>
      <c r="BT1846">
        <v>0</v>
      </c>
      <c r="BU1846">
        <v>0</v>
      </c>
      <c r="BV1846" t="s">
        <v>135</v>
      </c>
      <c r="BW1846">
        <v>0</v>
      </c>
      <c r="BX1846">
        <v>0</v>
      </c>
      <c r="BY1846" t="s">
        <v>135</v>
      </c>
      <c r="BZ1846">
        <v>0</v>
      </c>
      <c r="CA1846">
        <v>0</v>
      </c>
      <c r="CB1846" t="s">
        <v>135</v>
      </c>
      <c r="CH1846" s="2"/>
      <c r="CJ1846" s="2"/>
      <c r="CL1846" s="2"/>
      <c r="CN1846" s="2"/>
      <c r="CQ1846" s="2"/>
      <c r="CT1846" s="2"/>
      <c r="CW1846" s="2"/>
    </row>
    <row r="1847" spans="1:101" x14ac:dyDescent="0.25">
      <c r="A1847" s="1" t="s">
        <v>163</v>
      </c>
      <c r="B1847" s="75" t="s">
        <v>164</v>
      </c>
      <c r="C1847">
        <v>0</v>
      </c>
      <c r="D1847">
        <v>0</v>
      </c>
      <c r="E1847">
        <v>0</v>
      </c>
      <c r="F1847">
        <v>604324.56000000006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3.91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7490</v>
      </c>
      <c r="AW1847">
        <v>3350</v>
      </c>
      <c r="AX1847">
        <v>1219</v>
      </c>
      <c r="AY1847">
        <v>12059</v>
      </c>
      <c r="AZ1847">
        <v>4202</v>
      </c>
      <c r="BA1847">
        <v>7438</v>
      </c>
      <c r="BB1847">
        <v>1432</v>
      </c>
      <c r="BC1847">
        <v>13072</v>
      </c>
      <c r="BD1847">
        <v>9486</v>
      </c>
      <c r="BE1847">
        <v>9222</v>
      </c>
      <c r="BF1847">
        <v>1768</v>
      </c>
      <c r="BG1847">
        <v>20476</v>
      </c>
      <c r="BH1847">
        <v>0</v>
      </c>
      <c r="BI1847">
        <v>0</v>
      </c>
      <c r="BJ1847">
        <v>0</v>
      </c>
      <c r="BK1847">
        <v>0</v>
      </c>
      <c r="BL1847" s="2">
        <v>24.82</v>
      </c>
      <c r="BM1847" s="2">
        <v>42005.095138888886</v>
      </c>
      <c r="BN1847" s="2">
        <v>5.4</v>
      </c>
      <c r="BO1847" s="2">
        <v>42005.092361111114</v>
      </c>
      <c r="BP1847" s="2">
        <v>6.92</v>
      </c>
      <c r="BQ1847" s="2">
        <v>42005.092361111114</v>
      </c>
      <c r="BR1847" s="2">
        <v>11.07</v>
      </c>
      <c r="BS1847" s="2">
        <v>42005.092361111114</v>
      </c>
      <c r="BT1847">
        <v>0</v>
      </c>
      <c r="BU1847">
        <v>0</v>
      </c>
      <c r="BV1847" t="s">
        <v>135</v>
      </c>
      <c r="BW1847">
        <v>0</v>
      </c>
      <c r="BX1847">
        <v>0</v>
      </c>
      <c r="BY1847" t="s">
        <v>135</v>
      </c>
      <c r="BZ1847">
        <v>0</v>
      </c>
      <c r="CA1847">
        <v>0</v>
      </c>
      <c r="CB1847" t="s">
        <v>135</v>
      </c>
      <c r="CH1847" s="2"/>
      <c r="CJ1847" s="2"/>
      <c r="CL1847" s="2"/>
      <c r="CN1847" s="2"/>
      <c r="CQ1847" s="2"/>
      <c r="CT1847" s="2"/>
      <c r="CW1847" s="2"/>
    </row>
    <row r="1848" spans="1:101" x14ac:dyDescent="0.25">
      <c r="A1848" s="1" t="s">
        <v>163</v>
      </c>
      <c r="B1848" s="75" t="s">
        <v>164</v>
      </c>
      <c r="C1848">
        <v>0</v>
      </c>
      <c r="D1848">
        <v>0</v>
      </c>
      <c r="E1848">
        <v>0</v>
      </c>
      <c r="F1848">
        <v>604324.56000000006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3.91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7490</v>
      </c>
      <c r="AW1848">
        <v>3350</v>
      </c>
      <c r="AX1848">
        <v>1219</v>
      </c>
      <c r="AY1848">
        <v>12059</v>
      </c>
      <c r="AZ1848">
        <v>4202</v>
      </c>
      <c r="BA1848">
        <v>7438</v>
      </c>
      <c r="BB1848">
        <v>1432</v>
      </c>
      <c r="BC1848">
        <v>13072</v>
      </c>
      <c r="BD1848">
        <v>9486</v>
      </c>
      <c r="BE1848">
        <v>9222</v>
      </c>
      <c r="BF1848">
        <v>1768</v>
      </c>
      <c r="BG1848">
        <v>20476</v>
      </c>
      <c r="BH1848">
        <v>0</v>
      </c>
      <c r="BI1848">
        <v>0</v>
      </c>
      <c r="BJ1848">
        <v>0</v>
      </c>
      <c r="BK1848">
        <v>0</v>
      </c>
      <c r="BL1848" s="2">
        <v>24.82</v>
      </c>
      <c r="BM1848" s="2">
        <v>42005.095138888886</v>
      </c>
      <c r="BN1848" s="2">
        <v>5.4</v>
      </c>
      <c r="BO1848" s="2">
        <v>42005.092361111114</v>
      </c>
      <c r="BP1848" s="2">
        <v>6.92</v>
      </c>
      <c r="BQ1848" s="2">
        <v>42005.092361111114</v>
      </c>
      <c r="BR1848" s="2">
        <v>11.07</v>
      </c>
      <c r="BS1848" s="2">
        <v>42005.092361111114</v>
      </c>
      <c r="BT1848">
        <v>0</v>
      </c>
      <c r="BU1848">
        <v>0</v>
      </c>
      <c r="BV1848" t="s">
        <v>135</v>
      </c>
      <c r="BW1848">
        <v>0</v>
      </c>
      <c r="BX1848">
        <v>0</v>
      </c>
      <c r="BY1848" t="s">
        <v>135</v>
      </c>
      <c r="BZ1848">
        <v>0</v>
      </c>
      <c r="CA1848">
        <v>0</v>
      </c>
      <c r="CB1848" t="s">
        <v>135</v>
      </c>
      <c r="CH1848" s="2"/>
      <c r="CJ1848" s="2"/>
      <c r="CL1848" s="2"/>
      <c r="CN1848" s="2"/>
      <c r="CQ1848" s="2"/>
      <c r="CT1848" s="2"/>
      <c r="CW1848" s="2"/>
    </row>
    <row r="1849" spans="1:101" x14ac:dyDescent="0.25">
      <c r="A1849" s="1" t="s">
        <v>163</v>
      </c>
      <c r="B1849" s="75" t="s">
        <v>164</v>
      </c>
      <c r="C1849">
        <v>0</v>
      </c>
      <c r="D1849">
        <v>0</v>
      </c>
      <c r="E1849">
        <v>0</v>
      </c>
      <c r="F1849">
        <v>604324.56000000006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3.91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7490</v>
      </c>
      <c r="AW1849">
        <v>3350</v>
      </c>
      <c r="AX1849">
        <v>1219</v>
      </c>
      <c r="AY1849">
        <v>12059</v>
      </c>
      <c r="AZ1849">
        <v>4202</v>
      </c>
      <c r="BA1849">
        <v>7438</v>
      </c>
      <c r="BB1849">
        <v>1432</v>
      </c>
      <c r="BC1849">
        <v>13072</v>
      </c>
      <c r="BD1849">
        <v>9486</v>
      </c>
      <c r="BE1849">
        <v>9222</v>
      </c>
      <c r="BF1849">
        <v>1768</v>
      </c>
      <c r="BG1849">
        <v>20476</v>
      </c>
      <c r="BH1849">
        <v>0</v>
      </c>
      <c r="BI1849">
        <v>0</v>
      </c>
      <c r="BJ1849">
        <v>0</v>
      </c>
      <c r="BK1849">
        <v>0</v>
      </c>
      <c r="BL1849" s="2">
        <v>24.82</v>
      </c>
      <c r="BM1849" s="2">
        <v>42005.095138888886</v>
      </c>
      <c r="BN1849" s="2">
        <v>5.4</v>
      </c>
      <c r="BO1849" s="2">
        <v>42005.092361111114</v>
      </c>
      <c r="BP1849" s="2">
        <v>6.92</v>
      </c>
      <c r="BQ1849" s="2">
        <v>42005.092361111114</v>
      </c>
      <c r="BR1849" s="2">
        <v>11.07</v>
      </c>
      <c r="BS1849" s="2">
        <v>42005.092361111114</v>
      </c>
      <c r="BT1849">
        <v>0</v>
      </c>
      <c r="BU1849">
        <v>0</v>
      </c>
      <c r="BV1849" t="s">
        <v>135</v>
      </c>
      <c r="BW1849">
        <v>0</v>
      </c>
      <c r="BX1849">
        <v>0</v>
      </c>
      <c r="BY1849" t="s">
        <v>135</v>
      </c>
      <c r="BZ1849">
        <v>0</v>
      </c>
      <c r="CA1849">
        <v>0</v>
      </c>
      <c r="CB1849" t="s">
        <v>135</v>
      </c>
      <c r="CH1849" s="2"/>
      <c r="CJ1849" s="2"/>
      <c r="CL1849" s="2"/>
      <c r="CN1849" s="2"/>
      <c r="CQ1849" s="2"/>
      <c r="CT1849" s="2"/>
      <c r="CW1849" s="2"/>
    </row>
    <row r="1850" spans="1:101" x14ac:dyDescent="0.25">
      <c r="A1850" s="1" t="s">
        <v>163</v>
      </c>
      <c r="B1850" s="75" t="s">
        <v>164</v>
      </c>
      <c r="C1850">
        <v>0</v>
      </c>
      <c r="D1850">
        <v>0</v>
      </c>
      <c r="E1850">
        <v>0</v>
      </c>
      <c r="F1850">
        <v>604324.56000000006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3.91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7490</v>
      </c>
      <c r="AW1850">
        <v>3350</v>
      </c>
      <c r="AX1850">
        <v>1219</v>
      </c>
      <c r="AY1850">
        <v>12059</v>
      </c>
      <c r="AZ1850">
        <v>4202</v>
      </c>
      <c r="BA1850">
        <v>7438</v>
      </c>
      <c r="BB1850">
        <v>1432</v>
      </c>
      <c r="BC1850">
        <v>13072</v>
      </c>
      <c r="BD1850">
        <v>9486</v>
      </c>
      <c r="BE1850">
        <v>9222</v>
      </c>
      <c r="BF1850">
        <v>1768</v>
      </c>
      <c r="BG1850">
        <v>20476</v>
      </c>
      <c r="BH1850">
        <v>0</v>
      </c>
      <c r="BI1850">
        <v>0</v>
      </c>
      <c r="BJ1850">
        <v>0</v>
      </c>
      <c r="BK1850">
        <v>0</v>
      </c>
      <c r="BL1850" s="2">
        <v>24.82</v>
      </c>
      <c r="BM1850" s="2">
        <v>42005.095138888886</v>
      </c>
      <c r="BN1850" s="2">
        <v>5.4</v>
      </c>
      <c r="BO1850" s="2">
        <v>42005.092361111114</v>
      </c>
      <c r="BP1850" s="2">
        <v>6.92</v>
      </c>
      <c r="BQ1850" s="2">
        <v>42005.092361111114</v>
      </c>
      <c r="BR1850" s="2">
        <v>11.07</v>
      </c>
      <c r="BS1850" s="2">
        <v>42005.092361111114</v>
      </c>
      <c r="BT1850">
        <v>0</v>
      </c>
      <c r="BU1850">
        <v>0</v>
      </c>
      <c r="BV1850" t="s">
        <v>135</v>
      </c>
      <c r="BW1850">
        <v>0</v>
      </c>
      <c r="BX1850">
        <v>0</v>
      </c>
      <c r="BY1850" t="s">
        <v>135</v>
      </c>
      <c r="BZ1850">
        <v>0</v>
      </c>
      <c r="CA1850">
        <v>0</v>
      </c>
      <c r="CB1850" t="s">
        <v>135</v>
      </c>
      <c r="CH1850" s="2"/>
      <c r="CJ1850" s="2"/>
      <c r="CL1850" s="2"/>
      <c r="CN1850" s="2"/>
      <c r="CQ1850" s="2"/>
      <c r="CT1850" s="2"/>
      <c r="CW1850" s="2"/>
    </row>
    <row r="1851" spans="1:101" x14ac:dyDescent="0.25">
      <c r="A1851" s="1" t="s">
        <v>163</v>
      </c>
      <c r="B1851" s="75" t="s">
        <v>164</v>
      </c>
      <c r="C1851">
        <v>0</v>
      </c>
      <c r="D1851">
        <v>0</v>
      </c>
      <c r="E1851">
        <v>0</v>
      </c>
      <c r="F1851">
        <v>604324.56000000006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3.91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7490</v>
      </c>
      <c r="AW1851">
        <v>3350</v>
      </c>
      <c r="AX1851">
        <v>1219</v>
      </c>
      <c r="AY1851">
        <v>12059</v>
      </c>
      <c r="AZ1851">
        <v>4202</v>
      </c>
      <c r="BA1851">
        <v>7438</v>
      </c>
      <c r="BB1851">
        <v>1432</v>
      </c>
      <c r="BC1851">
        <v>13072</v>
      </c>
      <c r="BD1851">
        <v>9486</v>
      </c>
      <c r="BE1851">
        <v>9222</v>
      </c>
      <c r="BF1851">
        <v>1768</v>
      </c>
      <c r="BG1851">
        <v>20476</v>
      </c>
      <c r="BH1851">
        <v>0</v>
      </c>
      <c r="BI1851">
        <v>0</v>
      </c>
      <c r="BJ1851">
        <v>0</v>
      </c>
      <c r="BK1851">
        <v>0</v>
      </c>
      <c r="BL1851" s="2">
        <v>24.82</v>
      </c>
      <c r="BM1851" s="2">
        <v>42005.095138888886</v>
      </c>
      <c r="BN1851" s="2">
        <v>5.4</v>
      </c>
      <c r="BO1851" s="2">
        <v>42005.092361111114</v>
      </c>
      <c r="BP1851" s="2">
        <v>6.92</v>
      </c>
      <c r="BQ1851" s="2">
        <v>42005.092361111114</v>
      </c>
      <c r="BR1851" s="2">
        <v>11.07</v>
      </c>
      <c r="BS1851" s="2">
        <v>42005.092361111114</v>
      </c>
      <c r="BT1851">
        <v>0</v>
      </c>
      <c r="BU1851">
        <v>0</v>
      </c>
      <c r="BV1851" t="s">
        <v>135</v>
      </c>
      <c r="BW1851">
        <v>0</v>
      </c>
      <c r="BX1851">
        <v>0</v>
      </c>
      <c r="BY1851" t="s">
        <v>135</v>
      </c>
      <c r="BZ1851">
        <v>0</v>
      </c>
      <c r="CA1851">
        <v>0</v>
      </c>
      <c r="CB1851" t="s">
        <v>135</v>
      </c>
      <c r="CH1851" s="2"/>
      <c r="CJ1851" s="2"/>
      <c r="CL1851" s="2"/>
      <c r="CN1851" s="2"/>
      <c r="CQ1851" s="2"/>
      <c r="CT1851" s="2"/>
      <c r="CW1851" s="2"/>
    </row>
    <row r="1852" spans="1:101" x14ac:dyDescent="0.25">
      <c r="A1852" s="1" t="s">
        <v>163</v>
      </c>
      <c r="B1852" s="75" t="s">
        <v>164</v>
      </c>
      <c r="C1852">
        <v>0</v>
      </c>
      <c r="D1852">
        <v>0</v>
      </c>
      <c r="E1852">
        <v>0</v>
      </c>
      <c r="F1852">
        <v>604324.56000000006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3.91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7490</v>
      </c>
      <c r="AW1852">
        <v>3350</v>
      </c>
      <c r="AX1852">
        <v>1219</v>
      </c>
      <c r="AY1852">
        <v>12059</v>
      </c>
      <c r="AZ1852">
        <v>4202</v>
      </c>
      <c r="BA1852">
        <v>7438</v>
      </c>
      <c r="BB1852">
        <v>1432</v>
      </c>
      <c r="BC1852">
        <v>13072</v>
      </c>
      <c r="BD1852">
        <v>9486</v>
      </c>
      <c r="BE1852">
        <v>9222</v>
      </c>
      <c r="BF1852">
        <v>1768</v>
      </c>
      <c r="BG1852">
        <v>20476</v>
      </c>
      <c r="BH1852">
        <v>0</v>
      </c>
      <c r="BI1852">
        <v>0</v>
      </c>
      <c r="BJ1852">
        <v>0</v>
      </c>
      <c r="BK1852">
        <v>0</v>
      </c>
      <c r="BL1852" s="2">
        <v>24.82</v>
      </c>
      <c r="BM1852" s="2">
        <v>42005.095138888886</v>
      </c>
      <c r="BN1852" s="2">
        <v>5.4</v>
      </c>
      <c r="BO1852" s="2">
        <v>42005.092361111114</v>
      </c>
      <c r="BP1852" s="2">
        <v>6.92</v>
      </c>
      <c r="BQ1852" s="2">
        <v>42005.092361111114</v>
      </c>
      <c r="BR1852" s="2">
        <v>11.07</v>
      </c>
      <c r="BS1852" s="2">
        <v>42005.092361111114</v>
      </c>
      <c r="BT1852">
        <v>0</v>
      </c>
      <c r="BU1852">
        <v>0</v>
      </c>
      <c r="BV1852" t="s">
        <v>135</v>
      </c>
      <c r="BW1852">
        <v>0</v>
      </c>
      <c r="BX1852">
        <v>0</v>
      </c>
      <c r="BY1852" t="s">
        <v>135</v>
      </c>
      <c r="BZ1852">
        <v>0</v>
      </c>
      <c r="CA1852">
        <v>0</v>
      </c>
      <c r="CB1852" t="s">
        <v>135</v>
      </c>
      <c r="CH1852" s="2"/>
      <c r="CJ1852" s="2"/>
      <c r="CL1852" s="2"/>
      <c r="CN1852" s="2"/>
      <c r="CQ1852" s="2"/>
      <c r="CT1852" s="2"/>
      <c r="CW1852" s="2"/>
    </row>
    <row r="1853" spans="1:101" x14ac:dyDescent="0.25">
      <c r="A1853" s="1" t="s">
        <v>163</v>
      </c>
      <c r="B1853" s="75" t="s">
        <v>164</v>
      </c>
      <c r="C1853">
        <v>0</v>
      </c>
      <c r="D1853">
        <v>0</v>
      </c>
      <c r="E1853">
        <v>0</v>
      </c>
      <c r="F1853">
        <v>604324.56000000006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3.91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7490</v>
      </c>
      <c r="AW1853">
        <v>3350</v>
      </c>
      <c r="AX1853">
        <v>1219</v>
      </c>
      <c r="AY1853">
        <v>12059</v>
      </c>
      <c r="AZ1853">
        <v>4202</v>
      </c>
      <c r="BA1853">
        <v>7438</v>
      </c>
      <c r="BB1853">
        <v>1432</v>
      </c>
      <c r="BC1853">
        <v>13072</v>
      </c>
      <c r="BD1853">
        <v>9486</v>
      </c>
      <c r="BE1853">
        <v>9222</v>
      </c>
      <c r="BF1853">
        <v>1768</v>
      </c>
      <c r="BG1853">
        <v>20476</v>
      </c>
      <c r="BH1853">
        <v>0</v>
      </c>
      <c r="BI1853">
        <v>0</v>
      </c>
      <c r="BJ1853">
        <v>0</v>
      </c>
      <c r="BK1853">
        <v>0</v>
      </c>
      <c r="BL1853" s="2">
        <v>24.82</v>
      </c>
      <c r="BM1853" s="2">
        <v>42005.095138888886</v>
      </c>
      <c r="BN1853" s="2">
        <v>5.4</v>
      </c>
      <c r="BO1853" s="2">
        <v>42005.092361111114</v>
      </c>
      <c r="BP1853" s="2">
        <v>6.92</v>
      </c>
      <c r="BQ1853" s="2">
        <v>42005.092361111114</v>
      </c>
      <c r="BR1853" s="2">
        <v>11.07</v>
      </c>
      <c r="BS1853" s="2">
        <v>42005.092361111114</v>
      </c>
      <c r="BT1853">
        <v>0</v>
      </c>
      <c r="BU1853">
        <v>0</v>
      </c>
      <c r="BV1853" t="s">
        <v>135</v>
      </c>
      <c r="BW1853">
        <v>0</v>
      </c>
      <c r="BX1853">
        <v>0</v>
      </c>
      <c r="BY1853" t="s">
        <v>135</v>
      </c>
      <c r="BZ1853">
        <v>0</v>
      </c>
      <c r="CA1853">
        <v>0</v>
      </c>
      <c r="CB1853" t="s">
        <v>135</v>
      </c>
      <c r="CH1853" s="2"/>
      <c r="CJ1853" s="2"/>
      <c r="CL1853" s="2"/>
      <c r="CN1853" s="2"/>
      <c r="CQ1853" s="2"/>
      <c r="CT1853" s="2"/>
      <c r="CW1853" s="2"/>
    </row>
    <row r="1854" spans="1:101" x14ac:dyDescent="0.25">
      <c r="A1854" s="1" t="s">
        <v>163</v>
      </c>
      <c r="B1854" s="75" t="s">
        <v>164</v>
      </c>
      <c r="C1854">
        <v>0</v>
      </c>
      <c r="D1854">
        <v>0</v>
      </c>
      <c r="E1854">
        <v>0</v>
      </c>
      <c r="F1854">
        <v>604324.56000000006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3.91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7490</v>
      </c>
      <c r="AW1854">
        <v>3350</v>
      </c>
      <c r="AX1854">
        <v>1219</v>
      </c>
      <c r="AY1854">
        <v>12059</v>
      </c>
      <c r="AZ1854">
        <v>4202</v>
      </c>
      <c r="BA1854">
        <v>7438</v>
      </c>
      <c r="BB1854">
        <v>1432</v>
      </c>
      <c r="BC1854">
        <v>13072</v>
      </c>
      <c r="BD1854">
        <v>9486</v>
      </c>
      <c r="BE1854">
        <v>9222</v>
      </c>
      <c r="BF1854">
        <v>1768</v>
      </c>
      <c r="BG1854">
        <v>20476</v>
      </c>
      <c r="BH1854">
        <v>0</v>
      </c>
      <c r="BI1854">
        <v>0</v>
      </c>
      <c r="BJ1854">
        <v>0</v>
      </c>
      <c r="BK1854">
        <v>0</v>
      </c>
      <c r="BL1854" s="2">
        <v>24.82</v>
      </c>
      <c r="BM1854" s="2">
        <v>42005.095138888886</v>
      </c>
      <c r="BN1854" s="2">
        <v>5.4</v>
      </c>
      <c r="BO1854" s="2">
        <v>42005.092361111114</v>
      </c>
      <c r="BP1854" s="2">
        <v>6.92</v>
      </c>
      <c r="BQ1854" s="2">
        <v>42005.092361111114</v>
      </c>
      <c r="BR1854" s="2">
        <v>11.07</v>
      </c>
      <c r="BS1854" s="2">
        <v>42005.092361111114</v>
      </c>
      <c r="BT1854">
        <v>0</v>
      </c>
      <c r="BU1854">
        <v>0</v>
      </c>
      <c r="BV1854" t="s">
        <v>135</v>
      </c>
      <c r="BW1854">
        <v>0</v>
      </c>
      <c r="BX1854">
        <v>0</v>
      </c>
      <c r="BY1854" t="s">
        <v>135</v>
      </c>
      <c r="BZ1854">
        <v>0</v>
      </c>
      <c r="CA1854">
        <v>0</v>
      </c>
      <c r="CB1854" t="s">
        <v>135</v>
      </c>
      <c r="CH1854" s="2"/>
      <c r="CJ1854" s="2"/>
      <c r="CL1854" s="2"/>
      <c r="CN1854" s="2"/>
      <c r="CQ1854" s="2"/>
      <c r="CT1854" s="2"/>
      <c r="CW1854" s="2"/>
    </row>
    <row r="1855" spans="1:101" x14ac:dyDescent="0.25">
      <c r="A1855" s="1" t="s">
        <v>163</v>
      </c>
      <c r="B1855" s="75" t="s">
        <v>164</v>
      </c>
      <c r="C1855">
        <v>0</v>
      </c>
      <c r="D1855">
        <v>0</v>
      </c>
      <c r="E1855">
        <v>0</v>
      </c>
      <c r="F1855">
        <v>604324.56000000006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3.91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7490</v>
      </c>
      <c r="AW1855">
        <v>3350</v>
      </c>
      <c r="AX1855">
        <v>1219</v>
      </c>
      <c r="AY1855">
        <v>12059</v>
      </c>
      <c r="AZ1855">
        <v>4202</v>
      </c>
      <c r="BA1855">
        <v>7438</v>
      </c>
      <c r="BB1855">
        <v>1432</v>
      </c>
      <c r="BC1855">
        <v>13072</v>
      </c>
      <c r="BD1855">
        <v>9486</v>
      </c>
      <c r="BE1855">
        <v>9222</v>
      </c>
      <c r="BF1855">
        <v>1768</v>
      </c>
      <c r="BG1855">
        <v>20476</v>
      </c>
      <c r="BH1855">
        <v>0</v>
      </c>
      <c r="BI1855">
        <v>0</v>
      </c>
      <c r="BJ1855">
        <v>0</v>
      </c>
      <c r="BK1855">
        <v>0</v>
      </c>
      <c r="BL1855" s="2">
        <v>24.82</v>
      </c>
      <c r="BM1855" s="2">
        <v>42005.095138888886</v>
      </c>
      <c r="BN1855" s="2">
        <v>5.4</v>
      </c>
      <c r="BO1855" s="2">
        <v>42005.092361111114</v>
      </c>
      <c r="BP1855" s="2">
        <v>6.92</v>
      </c>
      <c r="BQ1855" s="2">
        <v>42005.092361111114</v>
      </c>
      <c r="BR1855" s="2">
        <v>11.07</v>
      </c>
      <c r="BS1855" s="2">
        <v>42005.092361111114</v>
      </c>
      <c r="BT1855">
        <v>0</v>
      </c>
      <c r="BU1855">
        <v>0</v>
      </c>
      <c r="BV1855" t="s">
        <v>135</v>
      </c>
      <c r="BW1855">
        <v>0</v>
      </c>
      <c r="BX1855">
        <v>0</v>
      </c>
      <c r="BY1855" t="s">
        <v>135</v>
      </c>
      <c r="BZ1855">
        <v>0</v>
      </c>
      <c r="CA1855">
        <v>0</v>
      </c>
      <c r="CB1855" t="s">
        <v>135</v>
      </c>
      <c r="CH1855" s="2"/>
      <c r="CJ1855" s="2"/>
      <c r="CL1855" s="2"/>
      <c r="CN1855" s="2"/>
      <c r="CQ1855" s="2"/>
      <c r="CT1855" s="2"/>
      <c r="CW1855" s="2"/>
    </row>
    <row r="1856" spans="1:101" x14ac:dyDescent="0.25">
      <c r="A1856" s="1" t="s">
        <v>163</v>
      </c>
      <c r="B1856" s="75" t="s">
        <v>164</v>
      </c>
      <c r="C1856">
        <v>0</v>
      </c>
      <c r="D1856">
        <v>0</v>
      </c>
      <c r="E1856">
        <v>0</v>
      </c>
      <c r="F1856">
        <v>604324.56000000006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3.91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7490</v>
      </c>
      <c r="AW1856">
        <v>3350</v>
      </c>
      <c r="AX1856">
        <v>1219</v>
      </c>
      <c r="AY1856">
        <v>12059</v>
      </c>
      <c r="AZ1856">
        <v>4202</v>
      </c>
      <c r="BA1856">
        <v>7438</v>
      </c>
      <c r="BB1856">
        <v>1432</v>
      </c>
      <c r="BC1856">
        <v>13072</v>
      </c>
      <c r="BD1856">
        <v>9486</v>
      </c>
      <c r="BE1856">
        <v>9222</v>
      </c>
      <c r="BF1856">
        <v>1768</v>
      </c>
      <c r="BG1856">
        <v>20476</v>
      </c>
      <c r="BH1856">
        <v>0</v>
      </c>
      <c r="BI1856">
        <v>0</v>
      </c>
      <c r="BJ1856">
        <v>0</v>
      </c>
      <c r="BK1856">
        <v>0</v>
      </c>
      <c r="BL1856" s="2">
        <v>24.82</v>
      </c>
      <c r="BM1856" s="2">
        <v>42005.095138888886</v>
      </c>
      <c r="BN1856" s="2">
        <v>5.4</v>
      </c>
      <c r="BO1856" s="2">
        <v>42005.092361111114</v>
      </c>
      <c r="BP1856" s="2">
        <v>6.92</v>
      </c>
      <c r="BQ1856" s="2">
        <v>42005.092361111114</v>
      </c>
      <c r="BR1856" s="2">
        <v>11.07</v>
      </c>
      <c r="BS1856" s="2">
        <v>42005.092361111114</v>
      </c>
      <c r="BT1856">
        <v>0</v>
      </c>
      <c r="BU1856">
        <v>0</v>
      </c>
      <c r="BV1856" t="s">
        <v>135</v>
      </c>
      <c r="BW1856">
        <v>0</v>
      </c>
      <c r="BX1856">
        <v>0</v>
      </c>
      <c r="BY1856" t="s">
        <v>135</v>
      </c>
      <c r="BZ1856">
        <v>0</v>
      </c>
      <c r="CA1856">
        <v>0</v>
      </c>
      <c r="CB1856" t="s">
        <v>135</v>
      </c>
      <c r="CH1856" s="2"/>
      <c r="CJ1856" s="2"/>
      <c r="CL1856" s="2"/>
      <c r="CN1856" s="2"/>
      <c r="CQ1856" s="2"/>
      <c r="CT1856" s="2"/>
      <c r="CW1856" s="2"/>
    </row>
    <row r="1857" spans="1:101" x14ac:dyDescent="0.25">
      <c r="A1857" s="1" t="s">
        <v>163</v>
      </c>
      <c r="B1857" s="75" t="s">
        <v>164</v>
      </c>
      <c r="C1857">
        <v>0</v>
      </c>
      <c r="D1857">
        <v>0</v>
      </c>
      <c r="E1857">
        <v>0</v>
      </c>
      <c r="F1857">
        <v>604324.56000000006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3.91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7490</v>
      </c>
      <c r="AW1857">
        <v>3350</v>
      </c>
      <c r="AX1857">
        <v>1219</v>
      </c>
      <c r="AY1857">
        <v>12059</v>
      </c>
      <c r="AZ1857">
        <v>4202</v>
      </c>
      <c r="BA1857">
        <v>7438</v>
      </c>
      <c r="BB1857">
        <v>1432</v>
      </c>
      <c r="BC1857">
        <v>13072</v>
      </c>
      <c r="BD1857">
        <v>9486</v>
      </c>
      <c r="BE1857">
        <v>9222</v>
      </c>
      <c r="BF1857">
        <v>1768</v>
      </c>
      <c r="BG1857">
        <v>20476</v>
      </c>
      <c r="BH1857">
        <v>0</v>
      </c>
      <c r="BI1857">
        <v>0</v>
      </c>
      <c r="BJ1857">
        <v>0</v>
      </c>
      <c r="BK1857">
        <v>0</v>
      </c>
      <c r="BL1857" s="2">
        <v>24.82</v>
      </c>
      <c r="BM1857" s="2">
        <v>42005.095138888886</v>
      </c>
      <c r="BN1857" s="2">
        <v>5.4</v>
      </c>
      <c r="BO1857" s="2">
        <v>42005.092361111114</v>
      </c>
      <c r="BP1857" s="2">
        <v>6.92</v>
      </c>
      <c r="BQ1857" s="2">
        <v>42005.092361111114</v>
      </c>
      <c r="BR1857" s="2">
        <v>11.07</v>
      </c>
      <c r="BS1857" s="2">
        <v>42005.092361111114</v>
      </c>
      <c r="BT1857">
        <v>0</v>
      </c>
      <c r="BU1857">
        <v>0</v>
      </c>
      <c r="BV1857" t="s">
        <v>135</v>
      </c>
      <c r="BW1857">
        <v>0</v>
      </c>
      <c r="BX1857">
        <v>0</v>
      </c>
      <c r="BY1857" t="s">
        <v>135</v>
      </c>
      <c r="BZ1857">
        <v>0</v>
      </c>
      <c r="CA1857">
        <v>0</v>
      </c>
      <c r="CB1857" t="s">
        <v>135</v>
      </c>
      <c r="CH1857" s="2"/>
      <c r="CJ1857" s="2"/>
      <c r="CL1857" s="2"/>
      <c r="CN1857" s="2"/>
      <c r="CQ1857" s="2"/>
      <c r="CT1857" s="2"/>
      <c r="CW1857" s="2"/>
    </row>
    <row r="1858" spans="1:101" x14ac:dyDescent="0.25">
      <c r="A1858" s="1" t="s">
        <v>163</v>
      </c>
      <c r="B1858" s="75" t="s">
        <v>164</v>
      </c>
      <c r="C1858">
        <v>0</v>
      </c>
      <c r="D1858">
        <v>0</v>
      </c>
      <c r="E1858">
        <v>0</v>
      </c>
      <c r="F1858">
        <v>604324.56000000006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3.91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7490</v>
      </c>
      <c r="AW1858">
        <v>3350</v>
      </c>
      <c r="AX1858">
        <v>1219</v>
      </c>
      <c r="AY1858">
        <v>12059</v>
      </c>
      <c r="AZ1858">
        <v>4202</v>
      </c>
      <c r="BA1858">
        <v>7438</v>
      </c>
      <c r="BB1858">
        <v>1432</v>
      </c>
      <c r="BC1858">
        <v>13072</v>
      </c>
      <c r="BD1858">
        <v>9486</v>
      </c>
      <c r="BE1858">
        <v>9222</v>
      </c>
      <c r="BF1858">
        <v>1768</v>
      </c>
      <c r="BG1858">
        <v>20476</v>
      </c>
      <c r="BH1858">
        <v>0</v>
      </c>
      <c r="BI1858">
        <v>0</v>
      </c>
      <c r="BJ1858">
        <v>0</v>
      </c>
      <c r="BK1858">
        <v>0</v>
      </c>
      <c r="BL1858" s="2">
        <v>24.82</v>
      </c>
      <c r="BM1858" s="2">
        <v>42005.095138888886</v>
      </c>
      <c r="BN1858" s="2">
        <v>5.4</v>
      </c>
      <c r="BO1858" s="2">
        <v>42005.092361111114</v>
      </c>
      <c r="BP1858" s="2">
        <v>6.92</v>
      </c>
      <c r="BQ1858" s="2">
        <v>42005.092361111114</v>
      </c>
      <c r="BR1858" s="2">
        <v>11.07</v>
      </c>
      <c r="BS1858" s="2">
        <v>42005.092361111114</v>
      </c>
      <c r="BT1858">
        <v>0</v>
      </c>
      <c r="BU1858">
        <v>0</v>
      </c>
      <c r="BV1858" t="s">
        <v>135</v>
      </c>
      <c r="BW1858">
        <v>0</v>
      </c>
      <c r="BX1858">
        <v>0</v>
      </c>
      <c r="BY1858" t="s">
        <v>135</v>
      </c>
      <c r="BZ1858">
        <v>0</v>
      </c>
      <c r="CA1858">
        <v>0</v>
      </c>
      <c r="CB1858" t="s">
        <v>135</v>
      </c>
      <c r="CH1858" s="2"/>
      <c r="CJ1858" s="2"/>
      <c r="CL1858" s="2"/>
      <c r="CN1858" s="2"/>
      <c r="CQ1858" s="2"/>
      <c r="CT1858" s="2"/>
      <c r="CW1858" s="2"/>
    </row>
    <row r="1859" spans="1:101" x14ac:dyDescent="0.25">
      <c r="A1859" s="1" t="s">
        <v>163</v>
      </c>
      <c r="B1859" s="75" t="s">
        <v>164</v>
      </c>
      <c r="C1859">
        <v>0</v>
      </c>
      <c r="D1859">
        <v>0</v>
      </c>
      <c r="E1859">
        <v>0</v>
      </c>
      <c r="F1859">
        <v>604324.56000000006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3.91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7490</v>
      </c>
      <c r="AW1859">
        <v>3350</v>
      </c>
      <c r="AX1859">
        <v>1219</v>
      </c>
      <c r="AY1859">
        <v>12059</v>
      </c>
      <c r="AZ1859">
        <v>4202</v>
      </c>
      <c r="BA1859">
        <v>7438</v>
      </c>
      <c r="BB1859">
        <v>1432</v>
      </c>
      <c r="BC1859">
        <v>13072</v>
      </c>
      <c r="BD1859">
        <v>9486</v>
      </c>
      <c r="BE1859">
        <v>9222</v>
      </c>
      <c r="BF1859">
        <v>1768</v>
      </c>
      <c r="BG1859">
        <v>20476</v>
      </c>
      <c r="BH1859">
        <v>0</v>
      </c>
      <c r="BI1859">
        <v>0</v>
      </c>
      <c r="BJ1859">
        <v>0</v>
      </c>
      <c r="BK1859">
        <v>0</v>
      </c>
      <c r="BL1859" s="2">
        <v>24.82</v>
      </c>
      <c r="BM1859" s="2">
        <v>42005.095138888886</v>
      </c>
      <c r="BN1859" s="2">
        <v>5.4</v>
      </c>
      <c r="BO1859" s="2">
        <v>42005.092361111114</v>
      </c>
      <c r="BP1859" s="2">
        <v>6.92</v>
      </c>
      <c r="BQ1859" s="2">
        <v>42005.092361111114</v>
      </c>
      <c r="BR1859" s="2">
        <v>11.07</v>
      </c>
      <c r="BS1859" s="2">
        <v>42005.092361111114</v>
      </c>
      <c r="BT1859">
        <v>0</v>
      </c>
      <c r="BU1859">
        <v>0</v>
      </c>
      <c r="BV1859" t="s">
        <v>135</v>
      </c>
      <c r="BW1859">
        <v>0</v>
      </c>
      <c r="BX1859">
        <v>0</v>
      </c>
      <c r="BY1859" t="s">
        <v>135</v>
      </c>
      <c r="BZ1859">
        <v>0</v>
      </c>
      <c r="CA1859">
        <v>0</v>
      </c>
      <c r="CB1859" t="s">
        <v>135</v>
      </c>
      <c r="CH1859" s="2"/>
      <c r="CJ1859" s="2"/>
      <c r="CL1859" s="2"/>
      <c r="CN1859" s="2"/>
      <c r="CQ1859" s="2"/>
      <c r="CT1859" s="2"/>
      <c r="CW1859" s="2"/>
    </row>
    <row r="1860" spans="1:101" x14ac:dyDescent="0.25">
      <c r="A1860" s="1" t="s">
        <v>163</v>
      </c>
      <c r="B1860" s="75" t="s">
        <v>164</v>
      </c>
      <c r="C1860">
        <v>0</v>
      </c>
      <c r="D1860">
        <v>0</v>
      </c>
      <c r="E1860">
        <v>0</v>
      </c>
      <c r="F1860">
        <v>604324.56000000006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3.91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7490</v>
      </c>
      <c r="AW1860">
        <v>3350</v>
      </c>
      <c r="AX1860">
        <v>1219</v>
      </c>
      <c r="AY1860">
        <v>12059</v>
      </c>
      <c r="AZ1860">
        <v>4202</v>
      </c>
      <c r="BA1860">
        <v>7438</v>
      </c>
      <c r="BB1860">
        <v>1432</v>
      </c>
      <c r="BC1860">
        <v>13072</v>
      </c>
      <c r="BD1860">
        <v>9486</v>
      </c>
      <c r="BE1860">
        <v>9222</v>
      </c>
      <c r="BF1860">
        <v>1768</v>
      </c>
      <c r="BG1860">
        <v>20476</v>
      </c>
      <c r="BH1860">
        <v>0</v>
      </c>
      <c r="BI1860">
        <v>0</v>
      </c>
      <c r="BJ1860">
        <v>0</v>
      </c>
      <c r="BK1860">
        <v>0</v>
      </c>
      <c r="BL1860" s="2">
        <v>24.82</v>
      </c>
      <c r="BM1860" s="2">
        <v>42005.095138888886</v>
      </c>
      <c r="BN1860" s="2">
        <v>5.4</v>
      </c>
      <c r="BO1860" s="2">
        <v>42005.092361111114</v>
      </c>
      <c r="BP1860" s="2">
        <v>6.92</v>
      </c>
      <c r="BQ1860" s="2">
        <v>42005.092361111114</v>
      </c>
      <c r="BR1860" s="2">
        <v>11.07</v>
      </c>
      <c r="BS1860" s="2">
        <v>42005.092361111114</v>
      </c>
      <c r="BT1860">
        <v>0</v>
      </c>
      <c r="BU1860">
        <v>0</v>
      </c>
      <c r="BV1860" t="s">
        <v>135</v>
      </c>
      <c r="BW1860">
        <v>0</v>
      </c>
      <c r="BX1860">
        <v>0</v>
      </c>
      <c r="BY1860" t="s">
        <v>135</v>
      </c>
      <c r="BZ1860">
        <v>0</v>
      </c>
      <c r="CA1860">
        <v>0</v>
      </c>
      <c r="CB1860" t="s">
        <v>135</v>
      </c>
      <c r="CH1860" s="2"/>
      <c r="CJ1860" s="2"/>
      <c r="CL1860" s="2"/>
      <c r="CN1860" s="2"/>
      <c r="CQ1860" s="2"/>
      <c r="CT1860" s="2"/>
      <c r="CW1860" s="2"/>
    </row>
    <row r="1861" spans="1:101" x14ac:dyDescent="0.25">
      <c r="A1861" s="1" t="s">
        <v>163</v>
      </c>
      <c r="B1861" s="75" t="s">
        <v>164</v>
      </c>
      <c r="C1861">
        <v>0</v>
      </c>
      <c r="D1861">
        <v>0</v>
      </c>
      <c r="E1861">
        <v>0</v>
      </c>
      <c r="F1861">
        <v>604324.56000000006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3.91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7490</v>
      </c>
      <c r="AW1861">
        <v>3350</v>
      </c>
      <c r="AX1861">
        <v>1219</v>
      </c>
      <c r="AY1861">
        <v>12059</v>
      </c>
      <c r="AZ1861">
        <v>4202</v>
      </c>
      <c r="BA1861">
        <v>7438</v>
      </c>
      <c r="BB1861">
        <v>1432</v>
      </c>
      <c r="BC1861">
        <v>13072</v>
      </c>
      <c r="BD1861">
        <v>9486</v>
      </c>
      <c r="BE1861">
        <v>9222</v>
      </c>
      <c r="BF1861">
        <v>1768</v>
      </c>
      <c r="BG1861">
        <v>20476</v>
      </c>
      <c r="BH1861">
        <v>0</v>
      </c>
      <c r="BI1861">
        <v>0</v>
      </c>
      <c r="BJ1861">
        <v>0</v>
      </c>
      <c r="BK1861">
        <v>0</v>
      </c>
      <c r="BL1861" s="2">
        <v>24.82</v>
      </c>
      <c r="BM1861" s="2">
        <v>42005.095138888886</v>
      </c>
      <c r="BN1861" s="2">
        <v>5.4</v>
      </c>
      <c r="BO1861" s="2">
        <v>42005.092361111114</v>
      </c>
      <c r="BP1861" s="2">
        <v>6.92</v>
      </c>
      <c r="BQ1861" s="2">
        <v>42005.092361111114</v>
      </c>
      <c r="BR1861" s="2">
        <v>11.07</v>
      </c>
      <c r="BS1861" s="2">
        <v>42005.092361111114</v>
      </c>
      <c r="BT1861">
        <v>0</v>
      </c>
      <c r="BU1861">
        <v>0</v>
      </c>
      <c r="BV1861" t="s">
        <v>135</v>
      </c>
      <c r="BW1861">
        <v>0</v>
      </c>
      <c r="BX1861">
        <v>0</v>
      </c>
      <c r="BY1861" t="s">
        <v>135</v>
      </c>
      <c r="BZ1861">
        <v>0</v>
      </c>
      <c r="CA1861">
        <v>0</v>
      </c>
      <c r="CB1861" t="s">
        <v>135</v>
      </c>
      <c r="CH1861" s="2"/>
      <c r="CJ1861" s="2"/>
      <c r="CL1861" s="2"/>
      <c r="CN1861" s="2"/>
      <c r="CQ1861" s="2"/>
      <c r="CT1861" s="2"/>
      <c r="CW1861" s="2"/>
    </row>
    <row r="1862" spans="1:101" x14ac:dyDescent="0.25">
      <c r="A1862" s="1" t="s">
        <v>163</v>
      </c>
      <c r="B1862" s="75" t="s">
        <v>164</v>
      </c>
      <c r="C1862">
        <v>0</v>
      </c>
      <c r="D1862">
        <v>0</v>
      </c>
      <c r="E1862">
        <v>0</v>
      </c>
      <c r="F1862">
        <v>604324.56000000006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3.91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7490</v>
      </c>
      <c r="AW1862">
        <v>3350</v>
      </c>
      <c r="AX1862">
        <v>1219</v>
      </c>
      <c r="AY1862">
        <v>12059</v>
      </c>
      <c r="AZ1862">
        <v>4202</v>
      </c>
      <c r="BA1862">
        <v>7438</v>
      </c>
      <c r="BB1862">
        <v>1432</v>
      </c>
      <c r="BC1862">
        <v>13072</v>
      </c>
      <c r="BD1862">
        <v>9486</v>
      </c>
      <c r="BE1862">
        <v>9222</v>
      </c>
      <c r="BF1862">
        <v>1768</v>
      </c>
      <c r="BG1862">
        <v>20476</v>
      </c>
      <c r="BH1862">
        <v>0</v>
      </c>
      <c r="BI1862">
        <v>0</v>
      </c>
      <c r="BJ1862">
        <v>0</v>
      </c>
      <c r="BK1862">
        <v>0</v>
      </c>
      <c r="BL1862" s="2">
        <v>24.82</v>
      </c>
      <c r="BM1862" s="2">
        <v>42005.095138888886</v>
      </c>
      <c r="BN1862" s="2">
        <v>5.4</v>
      </c>
      <c r="BO1862" s="2">
        <v>42005.092361111114</v>
      </c>
      <c r="BP1862" s="2">
        <v>6.92</v>
      </c>
      <c r="BQ1862" s="2">
        <v>42005.092361111114</v>
      </c>
      <c r="BR1862" s="2">
        <v>11.07</v>
      </c>
      <c r="BS1862" s="2">
        <v>42005.092361111114</v>
      </c>
      <c r="BT1862">
        <v>0</v>
      </c>
      <c r="BU1862">
        <v>0</v>
      </c>
      <c r="BV1862" t="s">
        <v>135</v>
      </c>
      <c r="BW1862">
        <v>0</v>
      </c>
      <c r="BX1862">
        <v>0</v>
      </c>
      <c r="BY1862" t="s">
        <v>135</v>
      </c>
      <c r="BZ1862">
        <v>0</v>
      </c>
      <c r="CA1862">
        <v>0</v>
      </c>
      <c r="CB1862" t="s">
        <v>135</v>
      </c>
      <c r="CH1862" s="2"/>
      <c r="CJ1862" s="2"/>
      <c r="CL1862" s="2"/>
      <c r="CN1862" s="2"/>
      <c r="CQ1862" s="2"/>
      <c r="CT1862" s="2"/>
      <c r="CW1862" s="2"/>
    </row>
    <row r="1863" spans="1:101" x14ac:dyDescent="0.25">
      <c r="A1863" s="1" t="s">
        <v>163</v>
      </c>
      <c r="B1863" s="75" t="s">
        <v>164</v>
      </c>
      <c r="C1863">
        <v>0</v>
      </c>
      <c r="D1863">
        <v>0</v>
      </c>
      <c r="E1863">
        <v>0</v>
      </c>
      <c r="F1863">
        <v>604324.56000000006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3.91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7490</v>
      </c>
      <c r="AW1863">
        <v>3350</v>
      </c>
      <c r="AX1863">
        <v>1219</v>
      </c>
      <c r="AY1863">
        <v>12059</v>
      </c>
      <c r="AZ1863">
        <v>4202</v>
      </c>
      <c r="BA1863">
        <v>7438</v>
      </c>
      <c r="BB1863">
        <v>1432</v>
      </c>
      <c r="BC1863">
        <v>13072</v>
      </c>
      <c r="BD1863">
        <v>9486</v>
      </c>
      <c r="BE1863">
        <v>9222</v>
      </c>
      <c r="BF1863">
        <v>1768</v>
      </c>
      <c r="BG1863">
        <v>20476</v>
      </c>
      <c r="BH1863">
        <v>0</v>
      </c>
      <c r="BI1863">
        <v>0</v>
      </c>
      <c r="BJ1863">
        <v>0</v>
      </c>
      <c r="BK1863">
        <v>0</v>
      </c>
      <c r="BL1863" s="2">
        <v>24.82</v>
      </c>
      <c r="BM1863" s="2">
        <v>42005.095138888886</v>
      </c>
      <c r="BN1863" s="2">
        <v>5.4</v>
      </c>
      <c r="BO1863" s="2">
        <v>42005.092361111114</v>
      </c>
      <c r="BP1863" s="2">
        <v>6.92</v>
      </c>
      <c r="BQ1863" s="2">
        <v>42005.092361111114</v>
      </c>
      <c r="BR1863" s="2">
        <v>11.07</v>
      </c>
      <c r="BS1863" s="2">
        <v>42005.092361111114</v>
      </c>
      <c r="BT1863">
        <v>0</v>
      </c>
      <c r="BU1863">
        <v>0</v>
      </c>
      <c r="BV1863" t="s">
        <v>135</v>
      </c>
      <c r="BW1863">
        <v>0</v>
      </c>
      <c r="BX1863">
        <v>0</v>
      </c>
      <c r="BY1863" t="s">
        <v>135</v>
      </c>
      <c r="BZ1863">
        <v>0</v>
      </c>
      <c r="CA1863">
        <v>0</v>
      </c>
      <c r="CB1863" t="s">
        <v>135</v>
      </c>
      <c r="CH1863" s="2"/>
      <c r="CJ1863" s="2"/>
      <c r="CL1863" s="2"/>
      <c r="CN1863" s="2"/>
      <c r="CQ1863" s="2"/>
      <c r="CT1863" s="2"/>
      <c r="CW1863" s="2"/>
    </row>
    <row r="1864" spans="1:101" x14ac:dyDescent="0.25">
      <c r="A1864" s="1" t="s">
        <v>163</v>
      </c>
      <c r="B1864" s="75" t="s">
        <v>164</v>
      </c>
      <c r="C1864">
        <v>0</v>
      </c>
      <c r="D1864">
        <v>0</v>
      </c>
      <c r="E1864">
        <v>0</v>
      </c>
      <c r="F1864">
        <v>604324.56000000006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3.91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7490</v>
      </c>
      <c r="AW1864">
        <v>3350</v>
      </c>
      <c r="AX1864">
        <v>1219</v>
      </c>
      <c r="AY1864">
        <v>12059</v>
      </c>
      <c r="AZ1864">
        <v>4202</v>
      </c>
      <c r="BA1864">
        <v>7438</v>
      </c>
      <c r="BB1864">
        <v>1432</v>
      </c>
      <c r="BC1864">
        <v>13072</v>
      </c>
      <c r="BD1864">
        <v>9486</v>
      </c>
      <c r="BE1864">
        <v>9222</v>
      </c>
      <c r="BF1864">
        <v>1768</v>
      </c>
      <c r="BG1864">
        <v>20476</v>
      </c>
      <c r="BH1864">
        <v>0</v>
      </c>
      <c r="BI1864">
        <v>0</v>
      </c>
      <c r="BJ1864">
        <v>0</v>
      </c>
      <c r="BK1864">
        <v>0</v>
      </c>
      <c r="BL1864" s="2">
        <v>24.82</v>
      </c>
      <c r="BM1864" s="2">
        <v>42005.095138888886</v>
      </c>
      <c r="BN1864" s="2">
        <v>5.4</v>
      </c>
      <c r="BO1864" s="2">
        <v>42005.092361111114</v>
      </c>
      <c r="BP1864" s="2">
        <v>6.92</v>
      </c>
      <c r="BQ1864" s="2">
        <v>42005.092361111114</v>
      </c>
      <c r="BR1864" s="2">
        <v>11.07</v>
      </c>
      <c r="BS1864" s="2">
        <v>42005.092361111114</v>
      </c>
      <c r="BT1864">
        <v>0</v>
      </c>
      <c r="BU1864">
        <v>0</v>
      </c>
      <c r="BV1864" t="s">
        <v>135</v>
      </c>
      <c r="BW1864">
        <v>0</v>
      </c>
      <c r="BX1864">
        <v>0</v>
      </c>
      <c r="BY1864" t="s">
        <v>135</v>
      </c>
      <c r="BZ1864">
        <v>0</v>
      </c>
      <c r="CA1864">
        <v>0</v>
      </c>
      <c r="CB1864" t="s">
        <v>135</v>
      </c>
      <c r="CH1864" s="2"/>
      <c r="CJ1864" s="2"/>
      <c r="CL1864" s="2"/>
      <c r="CN1864" s="2"/>
      <c r="CQ1864" s="2"/>
      <c r="CT1864" s="2"/>
      <c r="CW1864" s="2"/>
    </row>
    <row r="1865" spans="1:101" x14ac:dyDescent="0.25">
      <c r="A1865" s="1" t="s">
        <v>163</v>
      </c>
      <c r="B1865" s="75" t="s">
        <v>164</v>
      </c>
      <c r="C1865">
        <v>0</v>
      </c>
      <c r="D1865">
        <v>0</v>
      </c>
      <c r="E1865">
        <v>0</v>
      </c>
      <c r="F1865">
        <v>604324.56000000006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3.91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7490</v>
      </c>
      <c r="AW1865">
        <v>3350</v>
      </c>
      <c r="AX1865">
        <v>1219</v>
      </c>
      <c r="AY1865">
        <v>12059</v>
      </c>
      <c r="AZ1865">
        <v>4202</v>
      </c>
      <c r="BA1865">
        <v>7438</v>
      </c>
      <c r="BB1865">
        <v>1432</v>
      </c>
      <c r="BC1865">
        <v>13072</v>
      </c>
      <c r="BD1865">
        <v>9486</v>
      </c>
      <c r="BE1865">
        <v>9222</v>
      </c>
      <c r="BF1865">
        <v>1768</v>
      </c>
      <c r="BG1865">
        <v>20476</v>
      </c>
      <c r="BH1865">
        <v>0</v>
      </c>
      <c r="BI1865">
        <v>0</v>
      </c>
      <c r="BJ1865">
        <v>0</v>
      </c>
      <c r="BK1865">
        <v>0</v>
      </c>
      <c r="BL1865" s="2">
        <v>24.82</v>
      </c>
      <c r="BM1865" s="2">
        <v>42005.095138888886</v>
      </c>
      <c r="BN1865" s="2">
        <v>5.4</v>
      </c>
      <c r="BO1865" s="2">
        <v>42005.092361111114</v>
      </c>
      <c r="BP1865" s="2">
        <v>6.92</v>
      </c>
      <c r="BQ1865" s="2">
        <v>42005.092361111114</v>
      </c>
      <c r="BR1865" s="2">
        <v>11.07</v>
      </c>
      <c r="BS1865" s="2">
        <v>42005.092361111114</v>
      </c>
      <c r="BT1865">
        <v>0</v>
      </c>
      <c r="BU1865">
        <v>0</v>
      </c>
      <c r="BV1865" t="s">
        <v>135</v>
      </c>
      <c r="BW1865">
        <v>0</v>
      </c>
      <c r="BX1865">
        <v>0</v>
      </c>
      <c r="BY1865" t="s">
        <v>135</v>
      </c>
      <c r="BZ1865">
        <v>0</v>
      </c>
      <c r="CA1865">
        <v>0</v>
      </c>
      <c r="CB1865" t="s">
        <v>135</v>
      </c>
      <c r="CH1865" s="2"/>
      <c r="CJ1865" s="2"/>
      <c r="CL1865" s="2"/>
      <c r="CN1865" s="2"/>
      <c r="CQ1865" s="2"/>
      <c r="CT1865" s="2"/>
      <c r="CW1865" s="2"/>
    </row>
    <row r="1866" spans="1:101" x14ac:dyDescent="0.25">
      <c r="A1866" s="1" t="s">
        <v>163</v>
      </c>
      <c r="B1866" s="75" t="s">
        <v>164</v>
      </c>
      <c r="C1866">
        <v>0</v>
      </c>
      <c r="D1866">
        <v>0</v>
      </c>
      <c r="E1866">
        <v>0</v>
      </c>
      <c r="F1866">
        <v>604324.56000000006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3.91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7490</v>
      </c>
      <c r="AW1866">
        <v>3350</v>
      </c>
      <c r="AX1866">
        <v>1219</v>
      </c>
      <c r="AY1866">
        <v>12059</v>
      </c>
      <c r="AZ1866">
        <v>4202</v>
      </c>
      <c r="BA1866">
        <v>7438</v>
      </c>
      <c r="BB1866">
        <v>1432</v>
      </c>
      <c r="BC1866">
        <v>13072</v>
      </c>
      <c r="BD1866">
        <v>9486</v>
      </c>
      <c r="BE1866">
        <v>9222</v>
      </c>
      <c r="BF1866">
        <v>1768</v>
      </c>
      <c r="BG1866">
        <v>20476</v>
      </c>
      <c r="BH1866">
        <v>0</v>
      </c>
      <c r="BI1866">
        <v>0</v>
      </c>
      <c r="BJ1866">
        <v>0</v>
      </c>
      <c r="BK1866">
        <v>0</v>
      </c>
      <c r="BL1866" s="2">
        <v>24.82</v>
      </c>
      <c r="BM1866" s="2">
        <v>42005.095138888886</v>
      </c>
      <c r="BN1866" s="2">
        <v>5.4</v>
      </c>
      <c r="BO1866" s="2">
        <v>42005.092361111114</v>
      </c>
      <c r="BP1866" s="2">
        <v>6.92</v>
      </c>
      <c r="BQ1866" s="2">
        <v>42005.092361111114</v>
      </c>
      <c r="BR1866" s="2">
        <v>11.07</v>
      </c>
      <c r="BS1866" s="2">
        <v>42005.092361111114</v>
      </c>
      <c r="BT1866">
        <v>0</v>
      </c>
      <c r="BU1866">
        <v>0</v>
      </c>
      <c r="BV1866" t="s">
        <v>135</v>
      </c>
      <c r="BW1866">
        <v>0</v>
      </c>
      <c r="BX1866">
        <v>0</v>
      </c>
      <c r="BY1866" t="s">
        <v>135</v>
      </c>
      <c r="BZ1866">
        <v>0</v>
      </c>
      <c r="CA1866">
        <v>0</v>
      </c>
      <c r="CB1866" t="s">
        <v>135</v>
      </c>
      <c r="CH1866" s="2"/>
      <c r="CJ1866" s="2"/>
      <c r="CL1866" s="2"/>
      <c r="CN1866" s="2"/>
      <c r="CQ1866" s="2"/>
      <c r="CT1866" s="2"/>
      <c r="CW1866" s="2"/>
    </row>
    <row r="1867" spans="1:101" x14ac:dyDescent="0.25">
      <c r="A1867" s="1" t="s">
        <v>163</v>
      </c>
      <c r="B1867" s="75" t="s">
        <v>164</v>
      </c>
      <c r="C1867">
        <v>0</v>
      </c>
      <c r="D1867">
        <v>0</v>
      </c>
      <c r="E1867">
        <v>0</v>
      </c>
      <c r="F1867">
        <v>604324.56000000006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3.91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7490</v>
      </c>
      <c r="AW1867">
        <v>3350</v>
      </c>
      <c r="AX1867">
        <v>1219</v>
      </c>
      <c r="AY1867">
        <v>12059</v>
      </c>
      <c r="AZ1867">
        <v>4202</v>
      </c>
      <c r="BA1867">
        <v>7438</v>
      </c>
      <c r="BB1867">
        <v>1432</v>
      </c>
      <c r="BC1867">
        <v>13072</v>
      </c>
      <c r="BD1867">
        <v>9486</v>
      </c>
      <c r="BE1867">
        <v>9222</v>
      </c>
      <c r="BF1867">
        <v>1768</v>
      </c>
      <c r="BG1867">
        <v>20476</v>
      </c>
      <c r="BH1867">
        <v>0</v>
      </c>
      <c r="BI1867">
        <v>0</v>
      </c>
      <c r="BJ1867">
        <v>0</v>
      </c>
      <c r="BK1867">
        <v>0</v>
      </c>
      <c r="BL1867" s="2">
        <v>24.82</v>
      </c>
      <c r="BM1867" s="2">
        <v>42005.095138888886</v>
      </c>
      <c r="BN1867" s="2">
        <v>5.4</v>
      </c>
      <c r="BO1867" s="2">
        <v>42005.092361111114</v>
      </c>
      <c r="BP1867" s="2">
        <v>6.92</v>
      </c>
      <c r="BQ1867" s="2">
        <v>42005.092361111114</v>
      </c>
      <c r="BR1867" s="2">
        <v>11.07</v>
      </c>
      <c r="BS1867" s="2">
        <v>42005.092361111114</v>
      </c>
      <c r="BT1867">
        <v>0</v>
      </c>
      <c r="BU1867">
        <v>0</v>
      </c>
      <c r="BV1867" t="s">
        <v>135</v>
      </c>
      <c r="BW1867">
        <v>0</v>
      </c>
      <c r="BX1867">
        <v>0</v>
      </c>
      <c r="BY1867" t="s">
        <v>135</v>
      </c>
      <c r="BZ1867">
        <v>0</v>
      </c>
      <c r="CA1867">
        <v>0</v>
      </c>
      <c r="CB1867" t="s">
        <v>135</v>
      </c>
      <c r="CH1867" s="2"/>
      <c r="CJ1867" s="2"/>
      <c r="CL1867" s="2"/>
      <c r="CN1867" s="2"/>
      <c r="CQ1867" s="2"/>
      <c r="CT1867" s="2"/>
      <c r="CW1867" s="2"/>
    </row>
    <row r="1868" spans="1:101" x14ac:dyDescent="0.25">
      <c r="A1868" s="1" t="s">
        <v>163</v>
      </c>
      <c r="B1868" s="75" t="s">
        <v>164</v>
      </c>
      <c r="C1868">
        <v>0</v>
      </c>
      <c r="D1868">
        <v>0</v>
      </c>
      <c r="E1868">
        <v>0</v>
      </c>
      <c r="F1868">
        <v>604324.56000000006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3.91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7490</v>
      </c>
      <c r="AW1868">
        <v>3350</v>
      </c>
      <c r="AX1868">
        <v>1219</v>
      </c>
      <c r="AY1868">
        <v>12059</v>
      </c>
      <c r="AZ1868">
        <v>4202</v>
      </c>
      <c r="BA1868">
        <v>7438</v>
      </c>
      <c r="BB1868">
        <v>1432</v>
      </c>
      <c r="BC1868">
        <v>13072</v>
      </c>
      <c r="BD1868">
        <v>9486</v>
      </c>
      <c r="BE1868">
        <v>9222</v>
      </c>
      <c r="BF1868">
        <v>1768</v>
      </c>
      <c r="BG1868">
        <v>20476</v>
      </c>
      <c r="BH1868">
        <v>0</v>
      </c>
      <c r="BI1868">
        <v>0</v>
      </c>
      <c r="BJ1868">
        <v>0</v>
      </c>
      <c r="BK1868">
        <v>0</v>
      </c>
      <c r="BL1868" s="2">
        <v>24.82</v>
      </c>
      <c r="BM1868" s="2">
        <v>42005.095138888886</v>
      </c>
      <c r="BN1868" s="2">
        <v>5.4</v>
      </c>
      <c r="BO1868" s="2">
        <v>42005.092361111114</v>
      </c>
      <c r="BP1868" s="2">
        <v>6.92</v>
      </c>
      <c r="BQ1868" s="2">
        <v>42005.092361111114</v>
      </c>
      <c r="BR1868" s="2">
        <v>11.07</v>
      </c>
      <c r="BS1868" s="2">
        <v>42005.092361111114</v>
      </c>
      <c r="BT1868">
        <v>0</v>
      </c>
      <c r="BU1868">
        <v>0</v>
      </c>
      <c r="BV1868" t="s">
        <v>135</v>
      </c>
      <c r="BW1868">
        <v>0</v>
      </c>
      <c r="BX1868">
        <v>0</v>
      </c>
      <c r="BY1868" t="s">
        <v>135</v>
      </c>
      <c r="BZ1868">
        <v>0</v>
      </c>
      <c r="CA1868">
        <v>0</v>
      </c>
      <c r="CB1868" t="s">
        <v>135</v>
      </c>
      <c r="CH1868" s="2"/>
      <c r="CJ1868" s="2"/>
      <c r="CL1868" s="2"/>
      <c r="CN1868" s="2"/>
      <c r="CQ1868" s="2"/>
      <c r="CT1868" s="2"/>
      <c r="CW1868" s="2"/>
    </row>
    <row r="1869" spans="1:101" x14ac:dyDescent="0.25">
      <c r="A1869" s="1" t="s">
        <v>163</v>
      </c>
      <c r="B1869" s="75" t="s">
        <v>164</v>
      </c>
      <c r="C1869">
        <v>0</v>
      </c>
      <c r="D1869">
        <v>0</v>
      </c>
      <c r="E1869">
        <v>0</v>
      </c>
      <c r="F1869">
        <v>604324.56000000006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3.91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7490</v>
      </c>
      <c r="AW1869">
        <v>3350</v>
      </c>
      <c r="AX1869">
        <v>1219</v>
      </c>
      <c r="AY1869">
        <v>12059</v>
      </c>
      <c r="AZ1869">
        <v>4202</v>
      </c>
      <c r="BA1869">
        <v>7438</v>
      </c>
      <c r="BB1869">
        <v>1432</v>
      </c>
      <c r="BC1869">
        <v>13072</v>
      </c>
      <c r="BD1869">
        <v>9486</v>
      </c>
      <c r="BE1869">
        <v>9222</v>
      </c>
      <c r="BF1869">
        <v>1768</v>
      </c>
      <c r="BG1869">
        <v>20476</v>
      </c>
      <c r="BH1869">
        <v>0</v>
      </c>
      <c r="BI1869">
        <v>0</v>
      </c>
      <c r="BJ1869">
        <v>0</v>
      </c>
      <c r="BK1869">
        <v>0</v>
      </c>
      <c r="BL1869" s="2">
        <v>24.82</v>
      </c>
      <c r="BM1869" s="2">
        <v>42005.095138888886</v>
      </c>
      <c r="BN1869" s="2">
        <v>5.4</v>
      </c>
      <c r="BO1869" s="2">
        <v>42005.092361111114</v>
      </c>
      <c r="BP1869" s="2">
        <v>6.92</v>
      </c>
      <c r="BQ1869" s="2">
        <v>42005.092361111114</v>
      </c>
      <c r="BR1869" s="2">
        <v>11.07</v>
      </c>
      <c r="BS1869" s="2">
        <v>42005.092361111114</v>
      </c>
      <c r="BT1869">
        <v>0</v>
      </c>
      <c r="BU1869">
        <v>0</v>
      </c>
      <c r="BV1869" t="s">
        <v>135</v>
      </c>
      <c r="BW1869">
        <v>0</v>
      </c>
      <c r="BX1869">
        <v>0</v>
      </c>
      <c r="BY1869" t="s">
        <v>135</v>
      </c>
      <c r="BZ1869">
        <v>0</v>
      </c>
      <c r="CA1869">
        <v>0</v>
      </c>
      <c r="CB1869" t="s">
        <v>135</v>
      </c>
      <c r="CH1869" s="2"/>
      <c r="CJ1869" s="2"/>
      <c r="CL1869" s="2"/>
      <c r="CN1869" s="2"/>
      <c r="CQ1869" s="2"/>
      <c r="CT1869" s="2"/>
      <c r="CW1869" s="2"/>
    </row>
    <row r="1870" spans="1:101" x14ac:dyDescent="0.25">
      <c r="A1870" s="1" t="s">
        <v>163</v>
      </c>
      <c r="B1870" s="75" t="s">
        <v>164</v>
      </c>
      <c r="C1870">
        <v>0</v>
      </c>
      <c r="D1870">
        <v>0</v>
      </c>
      <c r="E1870">
        <v>0</v>
      </c>
      <c r="F1870">
        <v>604324.56000000006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3.91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7490</v>
      </c>
      <c r="AW1870">
        <v>3350</v>
      </c>
      <c r="AX1870">
        <v>1219</v>
      </c>
      <c r="AY1870">
        <v>12059</v>
      </c>
      <c r="AZ1870">
        <v>4202</v>
      </c>
      <c r="BA1870">
        <v>7438</v>
      </c>
      <c r="BB1870">
        <v>1432</v>
      </c>
      <c r="BC1870">
        <v>13072</v>
      </c>
      <c r="BD1870">
        <v>9486</v>
      </c>
      <c r="BE1870">
        <v>9222</v>
      </c>
      <c r="BF1870">
        <v>1768</v>
      </c>
      <c r="BG1870">
        <v>20476</v>
      </c>
      <c r="BH1870">
        <v>0</v>
      </c>
      <c r="BI1870">
        <v>0</v>
      </c>
      <c r="BJ1870">
        <v>0</v>
      </c>
      <c r="BK1870">
        <v>0</v>
      </c>
      <c r="BL1870" s="2">
        <v>24.82</v>
      </c>
      <c r="BM1870" s="2">
        <v>42005.095138888886</v>
      </c>
      <c r="BN1870" s="2">
        <v>5.4</v>
      </c>
      <c r="BO1870" s="2">
        <v>42005.092361111114</v>
      </c>
      <c r="BP1870" s="2">
        <v>6.92</v>
      </c>
      <c r="BQ1870" s="2">
        <v>42005.092361111114</v>
      </c>
      <c r="BR1870" s="2">
        <v>11.07</v>
      </c>
      <c r="BS1870" s="2">
        <v>42005.092361111114</v>
      </c>
      <c r="BT1870">
        <v>0</v>
      </c>
      <c r="BU1870">
        <v>0</v>
      </c>
      <c r="BV1870" t="s">
        <v>135</v>
      </c>
      <c r="BW1870">
        <v>0</v>
      </c>
      <c r="BX1870">
        <v>0</v>
      </c>
      <c r="BY1870" t="s">
        <v>135</v>
      </c>
      <c r="BZ1870">
        <v>0</v>
      </c>
      <c r="CA1870">
        <v>0</v>
      </c>
      <c r="CB1870" t="s">
        <v>135</v>
      </c>
      <c r="CH1870" s="2"/>
      <c r="CJ1870" s="2"/>
      <c r="CL1870" s="2"/>
      <c r="CN1870" s="2"/>
      <c r="CQ1870" s="2"/>
      <c r="CT1870" s="2"/>
      <c r="CW1870" s="2"/>
    </row>
    <row r="1871" spans="1:101" x14ac:dyDescent="0.25">
      <c r="A1871" s="1" t="s">
        <v>163</v>
      </c>
      <c r="B1871" s="75" t="s">
        <v>164</v>
      </c>
      <c r="C1871">
        <v>0</v>
      </c>
      <c r="D1871">
        <v>0</v>
      </c>
      <c r="E1871">
        <v>0</v>
      </c>
      <c r="F1871">
        <v>604324.56000000006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3.91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7490</v>
      </c>
      <c r="AW1871">
        <v>3350</v>
      </c>
      <c r="AX1871">
        <v>1219</v>
      </c>
      <c r="AY1871">
        <v>12059</v>
      </c>
      <c r="AZ1871">
        <v>4202</v>
      </c>
      <c r="BA1871">
        <v>7438</v>
      </c>
      <c r="BB1871">
        <v>1432</v>
      </c>
      <c r="BC1871">
        <v>13072</v>
      </c>
      <c r="BD1871">
        <v>9486</v>
      </c>
      <c r="BE1871">
        <v>9222</v>
      </c>
      <c r="BF1871">
        <v>1768</v>
      </c>
      <c r="BG1871">
        <v>20476</v>
      </c>
      <c r="BH1871">
        <v>0</v>
      </c>
      <c r="BI1871">
        <v>0</v>
      </c>
      <c r="BJ1871">
        <v>0</v>
      </c>
      <c r="BK1871">
        <v>0</v>
      </c>
      <c r="BL1871" s="2">
        <v>24.82</v>
      </c>
      <c r="BM1871" s="2">
        <v>42005.095138888886</v>
      </c>
      <c r="BN1871" s="2">
        <v>5.4</v>
      </c>
      <c r="BO1871" s="2">
        <v>42005.092361111114</v>
      </c>
      <c r="BP1871" s="2">
        <v>6.92</v>
      </c>
      <c r="BQ1871" s="2">
        <v>42005.092361111114</v>
      </c>
      <c r="BR1871" s="2">
        <v>11.07</v>
      </c>
      <c r="BS1871" s="2">
        <v>42005.092361111114</v>
      </c>
      <c r="BT1871">
        <v>0</v>
      </c>
      <c r="BU1871">
        <v>0</v>
      </c>
      <c r="BV1871" t="s">
        <v>135</v>
      </c>
      <c r="BW1871">
        <v>0</v>
      </c>
      <c r="BX1871">
        <v>0</v>
      </c>
      <c r="BY1871" t="s">
        <v>135</v>
      </c>
      <c r="BZ1871">
        <v>0</v>
      </c>
      <c r="CA1871">
        <v>0</v>
      </c>
      <c r="CB1871" t="s">
        <v>135</v>
      </c>
      <c r="CH1871" s="2"/>
      <c r="CJ1871" s="2"/>
      <c r="CL1871" s="2"/>
      <c r="CN1871" s="2"/>
      <c r="CQ1871" s="2"/>
      <c r="CT1871" s="2"/>
      <c r="CW1871" s="2"/>
    </row>
    <row r="1872" spans="1:101" x14ac:dyDescent="0.25">
      <c r="A1872" s="1" t="s">
        <v>163</v>
      </c>
      <c r="B1872" s="75" t="s">
        <v>164</v>
      </c>
      <c r="C1872">
        <v>0</v>
      </c>
      <c r="D1872">
        <v>0</v>
      </c>
      <c r="E1872">
        <v>0</v>
      </c>
      <c r="F1872">
        <v>604324.56000000006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3.91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7490</v>
      </c>
      <c r="AW1872">
        <v>3350</v>
      </c>
      <c r="AX1872">
        <v>1219</v>
      </c>
      <c r="AY1872">
        <v>12059</v>
      </c>
      <c r="AZ1872">
        <v>4202</v>
      </c>
      <c r="BA1872">
        <v>7438</v>
      </c>
      <c r="BB1872">
        <v>1432</v>
      </c>
      <c r="BC1872">
        <v>13072</v>
      </c>
      <c r="BD1872">
        <v>9486</v>
      </c>
      <c r="BE1872">
        <v>9222</v>
      </c>
      <c r="BF1872">
        <v>1768</v>
      </c>
      <c r="BG1872">
        <v>20476</v>
      </c>
      <c r="BH1872">
        <v>0</v>
      </c>
      <c r="BI1872">
        <v>0</v>
      </c>
      <c r="BJ1872">
        <v>0</v>
      </c>
      <c r="BK1872">
        <v>0</v>
      </c>
      <c r="BL1872" s="2">
        <v>24.82</v>
      </c>
      <c r="BM1872" s="2">
        <v>42005.095138888886</v>
      </c>
      <c r="BN1872" s="2">
        <v>5.4</v>
      </c>
      <c r="BO1872" s="2">
        <v>42005.092361111114</v>
      </c>
      <c r="BP1872" s="2">
        <v>6.92</v>
      </c>
      <c r="BQ1872" s="2">
        <v>42005.092361111114</v>
      </c>
      <c r="BR1872" s="2">
        <v>11.07</v>
      </c>
      <c r="BS1872" s="2">
        <v>42005.092361111114</v>
      </c>
      <c r="BT1872">
        <v>0</v>
      </c>
      <c r="BU1872">
        <v>0</v>
      </c>
      <c r="BV1872" t="s">
        <v>135</v>
      </c>
      <c r="BW1872">
        <v>0</v>
      </c>
      <c r="BX1872">
        <v>0</v>
      </c>
      <c r="BY1872" t="s">
        <v>135</v>
      </c>
      <c r="BZ1872">
        <v>0</v>
      </c>
      <c r="CA1872">
        <v>0</v>
      </c>
      <c r="CB1872" t="s">
        <v>135</v>
      </c>
      <c r="CH1872" s="2"/>
      <c r="CJ1872" s="2"/>
      <c r="CL1872" s="2"/>
      <c r="CN1872" s="2"/>
      <c r="CQ1872" s="2"/>
      <c r="CT1872" s="2"/>
      <c r="CW1872" s="2"/>
    </row>
    <row r="1873" spans="1:101" x14ac:dyDescent="0.25">
      <c r="A1873" s="1" t="s">
        <v>163</v>
      </c>
      <c r="B1873" s="75" t="s">
        <v>164</v>
      </c>
      <c r="C1873">
        <v>0</v>
      </c>
      <c r="D1873">
        <v>0</v>
      </c>
      <c r="E1873">
        <v>0</v>
      </c>
      <c r="F1873">
        <v>604324.56000000006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3.91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7490</v>
      </c>
      <c r="AW1873">
        <v>3350</v>
      </c>
      <c r="AX1873">
        <v>1219</v>
      </c>
      <c r="AY1873">
        <v>12059</v>
      </c>
      <c r="AZ1873">
        <v>4202</v>
      </c>
      <c r="BA1873">
        <v>7438</v>
      </c>
      <c r="BB1873">
        <v>1432</v>
      </c>
      <c r="BC1873">
        <v>13072</v>
      </c>
      <c r="BD1873">
        <v>9486</v>
      </c>
      <c r="BE1873">
        <v>9222</v>
      </c>
      <c r="BF1873">
        <v>1768</v>
      </c>
      <c r="BG1873">
        <v>20476</v>
      </c>
      <c r="BH1873">
        <v>0</v>
      </c>
      <c r="BI1873">
        <v>0</v>
      </c>
      <c r="BJ1873">
        <v>0</v>
      </c>
      <c r="BK1873">
        <v>0</v>
      </c>
      <c r="BL1873" s="2">
        <v>24.82</v>
      </c>
      <c r="BM1873" s="2">
        <v>42005.095138888886</v>
      </c>
      <c r="BN1873" s="2">
        <v>5.4</v>
      </c>
      <c r="BO1873" s="2">
        <v>42005.092361111114</v>
      </c>
      <c r="BP1873" s="2">
        <v>6.92</v>
      </c>
      <c r="BQ1873" s="2">
        <v>42005.092361111114</v>
      </c>
      <c r="BR1873" s="2">
        <v>11.07</v>
      </c>
      <c r="BS1873" s="2">
        <v>42005.092361111114</v>
      </c>
      <c r="BT1873">
        <v>0</v>
      </c>
      <c r="BU1873">
        <v>0</v>
      </c>
      <c r="BV1873" t="s">
        <v>135</v>
      </c>
      <c r="BW1873">
        <v>0</v>
      </c>
      <c r="BX1873">
        <v>0</v>
      </c>
      <c r="BY1873" t="s">
        <v>135</v>
      </c>
      <c r="BZ1873">
        <v>0</v>
      </c>
      <c r="CA1873">
        <v>0</v>
      </c>
      <c r="CB1873" t="s">
        <v>135</v>
      </c>
      <c r="CH1873" s="2"/>
      <c r="CJ1873" s="2"/>
      <c r="CL1873" s="2"/>
      <c r="CN1873" s="2"/>
      <c r="CQ1873" s="2"/>
      <c r="CT1873" s="2"/>
      <c r="CW1873" s="2"/>
    </row>
    <row r="1874" spans="1:101" x14ac:dyDescent="0.25">
      <c r="A1874" s="1" t="s">
        <v>163</v>
      </c>
      <c r="B1874" s="75" t="s">
        <v>164</v>
      </c>
      <c r="C1874">
        <v>0</v>
      </c>
      <c r="D1874">
        <v>0</v>
      </c>
      <c r="E1874">
        <v>0</v>
      </c>
      <c r="F1874">
        <v>604324.56000000006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3.91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7490</v>
      </c>
      <c r="AW1874">
        <v>3350</v>
      </c>
      <c r="AX1874">
        <v>1219</v>
      </c>
      <c r="AY1874">
        <v>12059</v>
      </c>
      <c r="AZ1874">
        <v>4202</v>
      </c>
      <c r="BA1874">
        <v>7438</v>
      </c>
      <c r="BB1874">
        <v>1432</v>
      </c>
      <c r="BC1874">
        <v>13072</v>
      </c>
      <c r="BD1874">
        <v>9486</v>
      </c>
      <c r="BE1874">
        <v>9222</v>
      </c>
      <c r="BF1874">
        <v>1768</v>
      </c>
      <c r="BG1874">
        <v>20476</v>
      </c>
      <c r="BH1874">
        <v>0</v>
      </c>
      <c r="BI1874">
        <v>0</v>
      </c>
      <c r="BJ1874">
        <v>0</v>
      </c>
      <c r="BK1874">
        <v>0</v>
      </c>
      <c r="BL1874" s="2">
        <v>24.82</v>
      </c>
      <c r="BM1874" s="2">
        <v>42005.095138888886</v>
      </c>
      <c r="BN1874" s="2">
        <v>5.4</v>
      </c>
      <c r="BO1874" s="2">
        <v>42005.092361111114</v>
      </c>
      <c r="BP1874" s="2">
        <v>6.92</v>
      </c>
      <c r="BQ1874" s="2">
        <v>42005.092361111114</v>
      </c>
      <c r="BR1874" s="2">
        <v>11.07</v>
      </c>
      <c r="BS1874" s="2">
        <v>42005.092361111114</v>
      </c>
      <c r="BT1874">
        <v>0</v>
      </c>
      <c r="BU1874">
        <v>0</v>
      </c>
      <c r="BV1874" t="s">
        <v>135</v>
      </c>
      <c r="BW1874">
        <v>0</v>
      </c>
      <c r="BX1874">
        <v>0</v>
      </c>
      <c r="BY1874" t="s">
        <v>135</v>
      </c>
      <c r="BZ1874">
        <v>0</v>
      </c>
      <c r="CA1874">
        <v>0</v>
      </c>
      <c r="CB1874" t="s">
        <v>135</v>
      </c>
      <c r="CH1874" s="2"/>
      <c r="CJ1874" s="2"/>
      <c r="CL1874" s="2"/>
      <c r="CN1874" s="2"/>
      <c r="CQ1874" s="2"/>
      <c r="CT1874" s="2"/>
      <c r="CW1874" s="2"/>
    </row>
    <row r="1875" spans="1:101" x14ac:dyDescent="0.25">
      <c r="A1875" s="1" t="s">
        <v>163</v>
      </c>
      <c r="B1875" s="75" t="s">
        <v>164</v>
      </c>
      <c r="C1875">
        <v>0</v>
      </c>
      <c r="D1875">
        <v>0</v>
      </c>
      <c r="E1875">
        <v>0</v>
      </c>
      <c r="F1875">
        <v>604324.56000000006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3.91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7490</v>
      </c>
      <c r="AW1875">
        <v>3350</v>
      </c>
      <c r="AX1875">
        <v>1219</v>
      </c>
      <c r="AY1875">
        <v>12059</v>
      </c>
      <c r="AZ1875">
        <v>4202</v>
      </c>
      <c r="BA1875">
        <v>7438</v>
      </c>
      <c r="BB1875">
        <v>1432</v>
      </c>
      <c r="BC1875">
        <v>13072</v>
      </c>
      <c r="BD1875">
        <v>9486</v>
      </c>
      <c r="BE1875">
        <v>9222</v>
      </c>
      <c r="BF1875">
        <v>1768</v>
      </c>
      <c r="BG1875">
        <v>20476</v>
      </c>
      <c r="BH1875">
        <v>0</v>
      </c>
      <c r="BI1875">
        <v>0</v>
      </c>
      <c r="BJ1875">
        <v>0</v>
      </c>
      <c r="BK1875">
        <v>0</v>
      </c>
      <c r="BL1875" s="2">
        <v>24.82</v>
      </c>
      <c r="BM1875" s="2">
        <v>42005.095138888886</v>
      </c>
      <c r="BN1875" s="2">
        <v>5.4</v>
      </c>
      <c r="BO1875" s="2">
        <v>42005.092361111114</v>
      </c>
      <c r="BP1875" s="2">
        <v>6.92</v>
      </c>
      <c r="BQ1875" s="2">
        <v>42005.092361111114</v>
      </c>
      <c r="BR1875" s="2">
        <v>11.07</v>
      </c>
      <c r="BS1875" s="2">
        <v>42005.092361111114</v>
      </c>
      <c r="BT1875">
        <v>0</v>
      </c>
      <c r="BU1875">
        <v>0</v>
      </c>
      <c r="BV1875" t="s">
        <v>135</v>
      </c>
      <c r="BW1875">
        <v>0</v>
      </c>
      <c r="BX1875">
        <v>0</v>
      </c>
      <c r="BY1875" t="s">
        <v>135</v>
      </c>
      <c r="BZ1875">
        <v>0</v>
      </c>
      <c r="CA1875">
        <v>0</v>
      </c>
      <c r="CB1875" t="s">
        <v>135</v>
      </c>
      <c r="CH1875" s="2"/>
      <c r="CJ1875" s="2"/>
      <c r="CL1875" s="2"/>
      <c r="CN1875" s="2"/>
      <c r="CQ1875" s="2"/>
      <c r="CT1875" s="2"/>
      <c r="CW1875" s="2"/>
    </row>
    <row r="1876" spans="1:101" x14ac:dyDescent="0.25">
      <c r="A1876" s="1" t="s">
        <v>163</v>
      </c>
      <c r="B1876" s="75" t="s">
        <v>164</v>
      </c>
      <c r="C1876">
        <v>0</v>
      </c>
      <c r="D1876">
        <v>0</v>
      </c>
      <c r="E1876">
        <v>0</v>
      </c>
      <c r="F1876">
        <v>604324.56000000006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3.91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7490</v>
      </c>
      <c r="AW1876">
        <v>3350</v>
      </c>
      <c r="AX1876">
        <v>1219</v>
      </c>
      <c r="AY1876">
        <v>12059</v>
      </c>
      <c r="AZ1876">
        <v>4202</v>
      </c>
      <c r="BA1876">
        <v>7438</v>
      </c>
      <c r="BB1876">
        <v>1432</v>
      </c>
      <c r="BC1876">
        <v>13072</v>
      </c>
      <c r="BD1876">
        <v>9486</v>
      </c>
      <c r="BE1876">
        <v>9222</v>
      </c>
      <c r="BF1876">
        <v>1768</v>
      </c>
      <c r="BG1876">
        <v>20476</v>
      </c>
      <c r="BH1876">
        <v>0</v>
      </c>
      <c r="BI1876">
        <v>0</v>
      </c>
      <c r="BJ1876">
        <v>0</v>
      </c>
      <c r="BK1876">
        <v>0</v>
      </c>
      <c r="BL1876" s="2">
        <v>24.82</v>
      </c>
      <c r="BM1876" s="2">
        <v>42005.095138888886</v>
      </c>
      <c r="BN1876" s="2">
        <v>5.4</v>
      </c>
      <c r="BO1876" s="2">
        <v>42005.092361111114</v>
      </c>
      <c r="BP1876" s="2">
        <v>6.92</v>
      </c>
      <c r="BQ1876" s="2">
        <v>42005.092361111114</v>
      </c>
      <c r="BR1876" s="2">
        <v>11.07</v>
      </c>
      <c r="BS1876" s="2">
        <v>42005.092361111114</v>
      </c>
      <c r="BT1876">
        <v>0</v>
      </c>
      <c r="BU1876">
        <v>0</v>
      </c>
      <c r="BV1876" t="s">
        <v>135</v>
      </c>
      <c r="BW1876">
        <v>0</v>
      </c>
      <c r="BX1876">
        <v>0</v>
      </c>
      <c r="BY1876" t="s">
        <v>135</v>
      </c>
      <c r="BZ1876">
        <v>0</v>
      </c>
      <c r="CA1876">
        <v>0</v>
      </c>
      <c r="CB1876" t="s">
        <v>135</v>
      </c>
      <c r="CH1876" s="2"/>
      <c r="CJ1876" s="2"/>
      <c r="CL1876" s="2"/>
      <c r="CN1876" s="2"/>
      <c r="CQ1876" s="2"/>
      <c r="CT1876" s="2"/>
      <c r="CW1876" s="2"/>
    </row>
    <row r="1877" spans="1:101" x14ac:dyDescent="0.25">
      <c r="A1877" s="1" t="s">
        <v>163</v>
      </c>
      <c r="B1877" s="75" t="s">
        <v>164</v>
      </c>
      <c r="C1877">
        <v>0</v>
      </c>
      <c r="D1877">
        <v>0</v>
      </c>
      <c r="E1877">
        <v>0</v>
      </c>
      <c r="F1877">
        <v>604324.56000000006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3.91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7490</v>
      </c>
      <c r="AW1877">
        <v>3350</v>
      </c>
      <c r="AX1877">
        <v>1219</v>
      </c>
      <c r="AY1877">
        <v>12059</v>
      </c>
      <c r="AZ1877">
        <v>4202</v>
      </c>
      <c r="BA1877">
        <v>7438</v>
      </c>
      <c r="BB1877">
        <v>1432</v>
      </c>
      <c r="BC1877">
        <v>13072</v>
      </c>
      <c r="BD1877">
        <v>9486</v>
      </c>
      <c r="BE1877">
        <v>9222</v>
      </c>
      <c r="BF1877">
        <v>1768</v>
      </c>
      <c r="BG1877">
        <v>20476</v>
      </c>
      <c r="BH1877">
        <v>0</v>
      </c>
      <c r="BI1877">
        <v>0</v>
      </c>
      <c r="BJ1877">
        <v>0</v>
      </c>
      <c r="BK1877">
        <v>0</v>
      </c>
      <c r="BL1877" s="2">
        <v>24.82</v>
      </c>
      <c r="BM1877" s="2">
        <v>42005.095138888886</v>
      </c>
      <c r="BN1877" s="2">
        <v>5.4</v>
      </c>
      <c r="BO1877" s="2">
        <v>42005.092361111114</v>
      </c>
      <c r="BP1877" s="2">
        <v>6.92</v>
      </c>
      <c r="BQ1877" s="2">
        <v>42005.092361111114</v>
      </c>
      <c r="BR1877" s="2">
        <v>11.07</v>
      </c>
      <c r="BS1877" s="2">
        <v>42005.092361111114</v>
      </c>
      <c r="BT1877">
        <v>0</v>
      </c>
      <c r="BU1877">
        <v>0</v>
      </c>
      <c r="BV1877" t="s">
        <v>135</v>
      </c>
      <c r="BW1877">
        <v>0</v>
      </c>
      <c r="BX1877">
        <v>0</v>
      </c>
      <c r="BY1877" t="s">
        <v>135</v>
      </c>
      <c r="BZ1877">
        <v>0</v>
      </c>
      <c r="CA1877">
        <v>0</v>
      </c>
      <c r="CB1877" t="s">
        <v>135</v>
      </c>
      <c r="CH1877" s="2"/>
      <c r="CJ1877" s="2"/>
      <c r="CL1877" s="2"/>
      <c r="CN1877" s="2"/>
      <c r="CQ1877" s="2"/>
      <c r="CT1877" s="2"/>
      <c r="CW1877" s="2"/>
    </row>
    <row r="1878" spans="1:101" x14ac:dyDescent="0.25">
      <c r="A1878" s="1" t="s">
        <v>163</v>
      </c>
      <c r="B1878" s="75" t="s">
        <v>164</v>
      </c>
      <c r="C1878">
        <v>0</v>
      </c>
      <c r="D1878">
        <v>0</v>
      </c>
      <c r="E1878">
        <v>0</v>
      </c>
      <c r="F1878">
        <v>604324.56000000006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3.91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7490</v>
      </c>
      <c r="AW1878">
        <v>3350</v>
      </c>
      <c r="AX1878">
        <v>1219</v>
      </c>
      <c r="AY1878">
        <v>12059</v>
      </c>
      <c r="AZ1878">
        <v>4202</v>
      </c>
      <c r="BA1878">
        <v>7438</v>
      </c>
      <c r="BB1878">
        <v>1432</v>
      </c>
      <c r="BC1878">
        <v>13072</v>
      </c>
      <c r="BD1878">
        <v>9486</v>
      </c>
      <c r="BE1878">
        <v>9222</v>
      </c>
      <c r="BF1878">
        <v>1768</v>
      </c>
      <c r="BG1878">
        <v>20476</v>
      </c>
      <c r="BH1878">
        <v>0</v>
      </c>
      <c r="BI1878">
        <v>0</v>
      </c>
      <c r="BJ1878">
        <v>0</v>
      </c>
      <c r="BK1878">
        <v>0</v>
      </c>
      <c r="BL1878" s="2">
        <v>24.82</v>
      </c>
      <c r="BM1878" s="2">
        <v>42005.095138888886</v>
      </c>
      <c r="BN1878" s="2">
        <v>5.4</v>
      </c>
      <c r="BO1878" s="2">
        <v>42005.092361111114</v>
      </c>
      <c r="BP1878" s="2">
        <v>6.92</v>
      </c>
      <c r="BQ1878" s="2">
        <v>42005.092361111114</v>
      </c>
      <c r="BR1878" s="2">
        <v>11.07</v>
      </c>
      <c r="BS1878" s="2">
        <v>42005.092361111114</v>
      </c>
      <c r="BT1878">
        <v>0</v>
      </c>
      <c r="BU1878">
        <v>0</v>
      </c>
      <c r="BV1878" t="s">
        <v>135</v>
      </c>
      <c r="BW1878">
        <v>0</v>
      </c>
      <c r="BX1878">
        <v>0</v>
      </c>
      <c r="BY1878" t="s">
        <v>135</v>
      </c>
      <c r="BZ1878">
        <v>0</v>
      </c>
      <c r="CA1878">
        <v>0</v>
      </c>
      <c r="CB1878" t="s">
        <v>135</v>
      </c>
      <c r="CH1878" s="2"/>
      <c r="CJ1878" s="2"/>
      <c r="CL1878" s="2"/>
      <c r="CN1878" s="2"/>
      <c r="CQ1878" s="2"/>
      <c r="CT1878" s="2"/>
      <c r="CW1878" s="2"/>
    </row>
    <row r="1879" spans="1:101" x14ac:dyDescent="0.25">
      <c r="A1879" s="1" t="s">
        <v>163</v>
      </c>
      <c r="B1879" s="75" t="s">
        <v>164</v>
      </c>
      <c r="C1879">
        <v>0</v>
      </c>
      <c r="D1879">
        <v>0</v>
      </c>
      <c r="E1879">
        <v>0</v>
      </c>
      <c r="F1879">
        <v>604324.56000000006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3.91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7490</v>
      </c>
      <c r="AW1879">
        <v>3350</v>
      </c>
      <c r="AX1879">
        <v>1219</v>
      </c>
      <c r="AY1879">
        <v>12059</v>
      </c>
      <c r="AZ1879">
        <v>4202</v>
      </c>
      <c r="BA1879">
        <v>7438</v>
      </c>
      <c r="BB1879">
        <v>1432</v>
      </c>
      <c r="BC1879">
        <v>13072</v>
      </c>
      <c r="BD1879">
        <v>9486</v>
      </c>
      <c r="BE1879">
        <v>9222</v>
      </c>
      <c r="BF1879">
        <v>1768</v>
      </c>
      <c r="BG1879">
        <v>20476</v>
      </c>
      <c r="BH1879">
        <v>0</v>
      </c>
      <c r="BI1879">
        <v>0</v>
      </c>
      <c r="BJ1879">
        <v>0</v>
      </c>
      <c r="BK1879">
        <v>0</v>
      </c>
      <c r="BL1879" s="2">
        <v>24.82</v>
      </c>
      <c r="BM1879" s="2">
        <v>42005.095138888886</v>
      </c>
      <c r="BN1879" s="2">
        <v>5.4</v>
      </c>
      <c r="BO1879" s="2">
        <v>42005.092361111114</v>
      </c>
      <c r="BP1879" s="2">
        <v>6.92</v>
      </c>
      <c r="BQ1879" s="2">
        <v>42005.092361111114</v>
      </c>
      <c r="BR1879" s="2">
        <v>11.07</v>
      </c>
      <c r="BS1879" s="2">
        <v>42005.092361111114</v>
      </c>
      <c r="BT1879">
        <v>0</v>
      </c>
      <c r="BU1879">
        <v>0</v>
      </c>
      <c r="BV1879" t="s">
        <v>135</v>
      </c>
      <c r="BW1879">
        <v>0</v>
      </c>
      <c r="BX1879">
        <v>0</v>
      </c>
      <c r="BY1879" t="s">
        <v>135</v>
      </c>
      <c r="BZ1879">
        <v>0</v>
      </c>
      <c r="CA1879">
        <v>0</v>
      </c>
      <c r="CB1879" t="s">
        <v>135</v>
      </c>
      <c r="CH1879" s="2"/>
      <c r="CJ1879" s="2"/>
      <c r="CL1879" s="2"/>
      <c r="CN1879" s="2"/>
      <c r="CQ1879" s="2"/>
      <c r="CT1879" s="2"/>
      <c r="CW1879" s="2"/>
    </row>
    <row r="1880" spans="1:101" x14ac:dyDescent="0.25">
      <c r="A1880" s="1" t="s">
        <v>163</v>
      </c>
      <c r="B1880" s="75" t="s">
        <v>164</v>
      </c>
      <c r="C1880">
        <v>0</v>
      </c>
      <c r="D1880">
        <v>0</v>
      </c>
      <c r="E1880">
        <v>0</v>
      </c>
      <c r="F1880">
        <v>604324.56000000006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3.91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7490</v>
      </c>
      <c r="AW1880">
        <v>3350</v>
      </c>
      <c r="AX1880">
        <v>1219</v>
      </c>
      <c r="AY1880">
        <v>12059</v>
      </c>
      <c r="AZ1880">
        <v>4202</v>
      </c>
      <c r="BA1880">
        <v>7438</v>
      </c>
      <c r="BB1880">
        <v>1432</v>
      </c>
      <c r="BC1880">
        <v>13072</v>
      </c>
      <c r="BD1880">
        <v>9486</v>
      </c>
      <c r="BE1880">
        <v>9222</v>
      </c>
      <c r="BF1880">
        <v>1768</v>
      </c>
      <c r="BG1880">
        <v>20476</v>
      </c>
      <c r="BH1880">
        <v>0</v>
      </c>
      <c r="BI1880">
        <v>0</v>
      </c>
      <c r="BJ1880">
        <v>0</v>
      </c>
      <c r="BK1880">
        <v>0</v>
      </c>
      <c r="BL1880" s="2">
        <v>24.82</v>
      </c>
      <c r="BM1880" s="2">
        <v>42005.095138888886</v>
      </c>
      <c r="BN1880" s="2">
        <v>5.4</v>
      </c>
      <c r="BO1880" s="2">
        <v>42005.092361111114</v>
      </c>
      <c r="BP1880" s="2">
        <v>6.92</v>
      </c>
      <c r="BQ1880" s="2">
        <v>42005.092361111114</v>
      </c>
      <c r="BR1880" s="2">
        <v>11.07</v>
      </c>
      <c r="BS1880" s="2">
        <v>42005.092361111114</v>
      </c>
      <c r="BT1880">
        <v>0</v>
      </c>
      <c r="BU1880">
        <v>0</v>
      </c>
      <c r="BV1880" t="s">
        <v>135</v>
      </c>
      <c r="BW1880">
        <v>0</v>
      </c>
      <c r="BX1880">
        <v>0</v>
      </c>
      <c r="BY1880" t="s">
        <v>135</v>
      </c>
      <c r="BZ1880">
        <v>0</v>
      </c>
      <c r="CA1880">
        <v>0</v>
      </c>
      <c r="CB1880" t="s">
        <v>135</v>
      </c>
      <c r="CH1880" s="2"/>
      <c r="CJ1880" s="2"/>
      <c r="CL1880" s="2"/>
      <c r="CN1880" s="2"/>
      <c r="CQ1880" s="2"/>
      <c r="CT1880" s="2"/>
      <c r="CW1880" s="2"/>
    </row>
    <row r="1881" spans="1:101" x14ac:dyDescent="0.25">
      <c r="A1881" s="1" t="s">
        <v>163</v>
      </c>
      <c r="B1881" s="75" t="s">
        <v>164</v>
      </c>
      <c r="C1881">
        <v>0</v>
      </c>
      <c r="D1881">
        <v>0</v>
      </c>
      <c r="E1881">
        <v>0</v>
      </c>
      <c r="F1881">
        <v>604324.56000000006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3.91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7490</v>
      </c>
      <c r="AW1881">
        <v>3350</v>
      </c>
      <c r="AX1881">
        <v>1219</v>
      </c>
      <c r="AY1881">
        <v>12059</v>
      </c>
      <c r="AZ1881">
        <v>4202</v>
      </c>
      <c r="BA1881">
        <v>7438</v>
      </c>
      <c r="BB1881">
        <v>1432</v>
      </c>
      <c r="BC1881">
        <v>13072</v>
      </c>
      <c r="BD1881">
        <v>9486</v>
      </c>
      <c r="BE1881">
        <v>9222</v>
      </c>
      <c r="BF1881">
        <v>1768</v>
      </c>
      <c r="BG1881">
        <v>20476</v>
      </c>
      <c r="BH1881">
        <v>0</v>
      </c>
      <c r="BI1881">
        <v>0</v>
      </c>
      <c r="BJ1881">
        <v>0</v>
      </c>
      <c r="BK1881">
        <v>0</v>
      </c>
      <c r="BL1881" s="2">
        <v>24.82</v>
      </c>
      <c r="BM1881" s="2">
        <v>42005.095138888886</v>
      </c>
      <c r="BN1881" s="2">
        <v>5.4</v>
      </c>
      <c r="BO1881" s="2">
        <v>42005.092361111114</v>
      </c>
      <c r="BP1881" s="2">
        <v>6.92</v>
      </c>
      <c r="BQ1881" s="2">
        <v>42005.092361111114</v>
      </c>
      <c r="BR1881" s="2">
        <v>11.07</v>
      </c>
      <c r="BS1881" s="2">
        <v>42005.092361111114</v>
      </c>
      <c r="BT1881">
        <v>0</v>
      </c>
      <c r="BU1881">
        <v>0</v>
      </c>
      <c r="BV1881" t="s">
        <v>135</v>
      </c>
      <c r="BW1881">
        <v>0</v>
      </c>
      <c r="BX1881">
        <v>0</v>
      </c>
      <c r="BY1881" t="s">
        <v>135</v>
      </c>
      <c r="BZ1881">
        <v>0</v>
      </c>
      <c r="CA1881">
        <v>0</v>
      </c>
      <c r="CB1881" t="s">
        <v>135</v>
      </c>
      <c r="CH1881" s="2"/>
      <c r="CJ1881" s="2"/>
      <c r="CL1881" s="2"/>
      <c r="CN1881" s="2"/>
      <c r="CQ1881" s="2"/>
      <c r="CT1881" s="2"/>
      <c r="CW1881" s="2"/>
    </row>
    <row r="1882" spans="1:101" x14ac:dyDescent="0.25">
      <c r="A1882" s="1" t="s">
        <v>163</v>
      </c>
      <c r="B1882" s="75" t="s">
        <v>164</v>
      </c>
      <c r="C1882">
        <v>0</v>
      </c>
      <c r="D1882">
        <v>0</v>
      </c>
      <c r="E1882">
        <v>0</v>
      </c>
      <c r="F1882">
        <v>604324.56000000006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3.91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7490</v>
      </c>
      <c r="AW1882">
        <v>3350</v>
      </c>
      <c r="AX1882">
        <v>1219</v>
      </c>
      <c r="AY1882">
        <v>12059</v>
      </c>
      <c r="AZ1882">
        <v>4202</v>
      </c>
      <c r="BA1882">
        <v>7438</v>
      </c>
      <c r="BB1882">
        <v>1432</v>
      </c>
      <c r="BC1882">
        <v>13072</v>
      </c>
      <c r="BD1882">
        <v>9486</v>
      </c>
      <c r="BE1882">
        <v>9222</v>
      </c>
      <c r="BF1882">
        <v>1768</v>
      </c>
      <c r="BG1882">
        <v>20476</v>
      </c>
      <c r="BH1882">
        <v>0</v>
      </c>
      <c r="BI1882">
        <v>0</v>
      </c>
      <c r="BJ1882">
        <v>0</v>
      </c>
      <c r="BK1882">
        <v>0</v>
      </c>
      <c r="BL1882" s="2">
        <v>24.82</v>
      </c>
      <c r="BM1882" s="2">
        <v>42005.095138888886</v>
      </c>
      <c r="BN1882" s="2">
        <v>5.4</v>
      </c>
      <c r="BO1882" s="2">
        <v>42005.092361111114</v>
      </c>
      <c r="BP1882" s="2">
        <v>6.92</v>
      </c>
      <c r="BQ1882" s="2">
        <v>42005.092361111114</v>
      </c>
      <c r="BR1882" s="2">
        <v>11.07</v>
      </c>
      <c r="BS1882" s="2">
        <v>42005.092361111114</v>
      </c>
      <c r="BT1882">
        <v>0</v>
      </c>
      <c r="BU1882">
        <v>0</v>
      </c>
      <c r="BV1882" t="s">
        <v>135</v>
      </c>
      <c r="BW1882">
        <v>0</v>
      </c>
      <c r="BX1882">
        <v>0</v>
      </c>
      <c r="BY1882" t="s">
        <v>135</v>
      </c>
      <c r="BZ1882">
        <v>0</v>
      </c>
      <c r="CA1882">
        <v>0</v>
      </c>
      <c r="CB1882" t="s">
        <v>135</v>
      </c>
      <c r="CH1882" s="2"/>
      <c r="CJ1882" s="2"/>
      <c r="CL1882" s="2"/>
      <c r="CN1882" s="2"/>
      <c r="CQ1882" s="2"/>
      <c r="CT1882" s="2"/>
      <c r="CW1882" s="2"/>
    </row>
    <row r="1883" spans="1:101" x14ac:dyDescent="0.25">
      <c r="A1883" s="1" t="s">
        <v>163</v>
      </c>
      <c r="B1883" s="75" t="s">
        <v>164</v>
      </c>
      <c r="C1883">
        <v>0</v>
      </c>
      <c r="D1883">
        <v>0</v>
      </c>
      <c r="E1883">
        <v>0</v>
      </c>
      <c r="F1883">
        <v>604324.56000000006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3.91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7490</v>
      </c>
      <c r="AW1883">
        <v>3350</v>
      </c>
      <c r="AX1883">
        <v>1219</v>
      </c>
      <c r="AY1883">
        <v>12059</v>
      </c>
      <c r="AZ1883">
        <v>4202</v>
      </c>
      <c r="BA1883">
        <v>7438</v>
      </c>
      <c r="BB1883">
        <v>1432</v>
      </c>
      <c r="BC1883">
        <v>13072</v>
      </c>
      <c r="BD1883">
        <v>9486</v>
      </c>
      <c r="BE1883">
        <v>9222</v>
      </c>
      <c r="BF1883">
        <v>1768</v>
      </c>
      <c r="BG1883">
        <v>20476</v>
      </c>
      <c r="BH1883">
        <v>0</v>
      </c>
      <c r="BI1883">
        <v>0</v>
      </c>
      <c r="BJ1883">
        <v>0</v>
      </c>
      <c r="BK1883">
        <v>0</v>
      </c>
      <c r="BL1883" s="2">
        <v>24.82</v>
      </c>
      <c r="BM1883" s="2">
        <v>42005.095138888886</v>
      </c>
      <c r="BN1883" s="2">
        <v>5.4</v>
      </c>
      <c r="BO1883" s="2">
        <v>42005.092361111114</v>
      </c>
      <c r="BP1883" s="2">
        <v>6.92</v>
      </c>
      <c r="BQ1883" s="2">
        <v>42005.092361111114</v>
      </c>
      <c r="BR1883" s="2">
        <v>11.07</v>
      </c>
      <c r="BS1883" s="2">
        <v>42005.092361111114</v>
      </c>
      <c r="BT1883">
        <v>0</v>
      </c>
      <c r="BU1883">
        <v>0</v>
      </c>
      <c r="BV1883" t="s">
        <v>135</v>
      </c>
      <c r="BW1883">
        <v>0</v>
      </c>
      <c r="BX1883">
        <v>0</v>
      </c>
      <c r="BY1883" t="s">
        <v>135</v>
      </c>
      <c r="BZ1883">
        <v>0</v>
      </c>
      <c r="CA1883">
        <v>0</v>
      </c>
      <c r="CB1883" t="s">
        <v>135</v>
      </c>
      <c r="CH1883" s="2"/>
      <c r="CJ1883" s="2"/>
      <c r="CL1883" s="2"/>
      <c r="CN1883" s="2"/>
      <c r="CQ1883" s="2"/>
      <c r="CT1883" s="2"/>
      <c r="CW1883" s="2"/>
    </row>
    <row r="1884" spans="1:101" x14ac:dyDescent="0.25">
      <c r="A1884" s="1" t="s">
        <v>163</v>
      </c>
      <c r="B1884" s="75" t="s">
        <v>164</v>
      </c>
      <c r="C1884">
        <v>0</v>
      </c>
      <c r="D1884">
        <v>0</v>
      </c>
      <c r="E1884">
        <v>0</v>
      </c>
      <c r="F1884">
        <v>604324.56000000006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3.91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7490</v>
      </c>
      <c r="AW1884">
        <v>3350</v>
      </c>
      <c r="AX1884">
        <v>1219</v>
      </c>
      <c r="AY1884">
        <v>12059</v>
      </c>
      <c r="AZ1884">
        <v>4202</v>
      </c>
      <c r="BA1884">
        <v>7438</v>
      </c>
      <c r="BB1884">
        <v>1432</v>
      </c>
      <c r="BC1884">
        <v>13072</v>
      </c>
      <c r="BD1884">
        <v>9486</v>
      </c>
      <c r="BE1884">
        <v>9222</v>
      </c>
      <c r="BF1884">
        <v>1768</v>
      </c>
      <c r="BG1884">
        <v>20476</v>
      </c>
      <c r="BH1884">
        <v>0</v>
      </c>
      <c r="BI1884">
        <v>0</v>
      </c>
      <c r="BJ1884">
        <v>0</v>
      </c>
      <c r="BK1884">
        <v>0</v>
      </c>
      <c r="BL1884" s="2">
        <v>24.82</v>
      </c>
      <c r="BM1884" s="2">
        <v>42005.095138888886</v>
      </c>
      <c r="BN1884" s="2">
        <v>5.4</v>
      </c>
      <c r="BO1884" s="2">
        <v>42005.092361111114</v>
      </c>
      <c r="BP1884" s="2">
        <v>6.92</v>
      </c>
      <c r="BQ1884" s="2">
        <v>42005.092361111114</v>
      </c>
      <c r="BR1884" s="2">
        <v>11.07</v>
      </c>
      <c r="BS1884" s="2">
        <v>42005.092361111114</v>
      </c>
      <c r="BT1884">
        <v>0</v>
      </c>
      <c r="BU1884">
        <v>0</v>
      </c>
      <c r="BV1884" t="s">
        <v>135</v>
      </c>
      <c r="BW1884">
        <v>0</v>
      </c>
      <c r="BX1884">
        <v>0</v>
      </c>
      <c r="BY1884" t="s">
        <v>135</v>
      </c>
      <c r="BZ1884">
        <v>0</v>
      </c>
      <c r="CA1884">
        <v>0</v>
      </c>
      <c r="CB1884" t="s">
        <v>135</v>
      </c>
      <c r="CH1884" s="2"/>
      <c r="CJ1884" s="2"/>
      <c r="CL1884" s="2"/>
      <c r="CN1884" s="2"/>
      <c r="CQ1884" s="2"/>
      <c r="CT1884" s="2"/>
      <c r="CW1884" s="2"/>
    </row>
    <row r="1885" spans="1:101" x14ac:dyDescent="0.25">
      <c r="A1885" s="1" t="s">
        <v>163</v>
      </c>
      <c r="B1885" s="75" t="s">
        <v>164</v>
      </c>
      <c r="C1885">
        <v>0</v>
      </c>
      <c r="D1885">
        <v>0</v>
      </c>
      <c r="E1885">
        <v>0</v>
      </c>
      <c r="F1885">
        <v>604324.56000000006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3.91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7490</v>
      </c>
      <c r="AW1885">
        <v>3350</v>
      </c>
      <c r="AX1885">
        <v>1219</v>
      </c>
      <c r="AY1885">
        <v>12059</v>
      </c>
      <c r="AZ1885">
        <v>4202</v>
      </c>
      <c r="BA1885">
        <v>7438</v>
      </c>
      <c r="BB1885">
        <v>1432</v>
      </c>
      <c r="BC1885">
        <v>13072</v>
      </c>
      <c r="BD1885">
        <v>9486</v>
      </c>
      <c r="BE1885">
        <v>9222</v>
      </c>
      <c r="BF1885">
        <v>1768</v>
      </c>
      <c r="BG1885">
        <v>20476</v>
      </c>
      <c r="BH1885">
        <v>0</v>
      </c>
      <c r="BI1885">
        <v>0</v>
      </c>
      <c r="BJ1885">
        <v>0</v>
      </c>
      <c r="BK1885">
        <v>0</v>
      </c>
      <c r="BL1885" s="2">
        <v>24.82</v>
      </c>
      <c r="BM1885" s="2">
        <v>42005.095138888886</v>
      </c>
      <c r="BN1885" s="2">
        <v>5.4</v>
      </c>
      <c r="BO1885" s="2">
        <v>42005.092361111114</v>
      </c>
      <c r="BP1885" s="2">
        <v>6.92</v>
      </c>
      <c r="BQ1885" s="2">
        <v>42005.092361111114</v>
      </c>
      <c r="BR1885" s="2">
        <v>11.07</v>
      </c>
      <c r="BS1885" s="2">
        <v>42005.092361111114</v>
      </c>
      <c r="BT1885">
        <v>0</v>
      </c>
      <c r="BU1885">
        <v>0</v>
      </c>
      <c r="BV1885" t="s">
        <v>135</v>
      </c>
      <c r="BW1885">
        <v>0</v>
      </c>
      <c r="BX1885">
        <v>0</v>
      </c>
      <c r="BY1885" t="s">
        <v>135</v>
      </c>
      <c r="BZ1885">
        <v>0</v>
      </c>
      <c r="CA1885">
        <v>0</v>
      </c>
      <c r="CB1885" t="s">
        <v>135</v>
      </c>
      <c r="CH1885" s="2"/>
      <c r="CJ1885" s="2"/>
      <c r="CL1885" s="2"/>
      <c r="CN1885" s="2"/>
      <c r="CQ1885" s="2"/>
      <c r="CT1885" s="2"/>
      <c r="CW1885" s="2"/>
    </row>
    <row r="1886" spans="1:101" x14ac:dyDescent="0.25">
      <c r="A1886" s="1" t="s">
        <v>163</v>
      </c>
      <c r="B1886" s="75" t="s">
        <v>164</v>
      </c>
      <c r="C1886">
        <v>0</v>
      </c>
      <c r="D1886">
        <v>0</v>
      </c>
      <c r="E1886">
        <v>0</v>
      </c>
      <c r="F1886">
        <v>604324.56000000006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3.91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7490</v>
      </c>
      <c r="AW1886">
        <v>3350</v>
      </c>
      <c r="AX1886">
        <v>1219</v>
      </c>
      <c r="AY1886">
        <v>12059</v>
      </c>
      <c r="AZ1886">
        <v>4202</v>
      </c>
      <c r="BA1886">
        <v>7438</v>
      </c>
      <c r="BB1886">
        <v>1432</v>
      </c>
      <c r="BC1886">
        <v>13072</v>
      </c>
      <c r="BD1886">
        <v>9486</v>
      </c>
      <c r="BE1886">
        <v>9222</v>
      </c>
      <c r="BF1886">
        <v>1768</v>
      </c>
      <c r="BG1886">
        <v>20476</v>
      </c>
      <c r="BH1886">
        <v>0</v>
      </c>
      <c r="BI1886">
        <v>0</v>
      </c>
      <c r="BJ1886">
        <v>0</v>
      </c>
      <c r="BK1886">
        <v>0</v>
      </c>
      <c r="BL1886" s="2">
        <v>24.82</v>
      </c>
      <c r="BM1886" s="2">
        <v>42005.095138888886</v>
      </c>
      <c r="BN1886" s="2">
        <v>5.4</v>
      </c>
      <c r="BO1886" s="2">
        <v>42005.092361111114</v>
      </c>
      <c r="BP1886" s="2">
        <v>6.92</v>
      </c>
      <c r="BQ1886" s="2">
        <v>42005.092361111114</v>
      </c>
      <c r="BR1886" s="2">
        <v>11.07</v>
      </c>
      <c r="BS1886" s="2">
        <v>42005.092361111114</v>
      </c>
      <c r="BT1886">
        <v>0</v>
      </c>
      <c r="BU1886">
        <v>0</v>
      </c>
      <c r="BV1886" t="s">
        <v>135</v>
      </c>
      <c r="BW1886">
        <v>0</v>
      </c>
      <c r="BX1886">
        <v>0</v>
      </c>
      <c r="BY1886" t="s">
        <v>135</v>
      </c>
      <c r="BZ1886">
        <v>0</v>
      </c>
      <c r="CA1886">
        <v>0</v>
      </c>
      <c r="CB1886" t="s">
        <v>135</v>
      </c>
      <c r="CH1886" s="2"/>
      <c r="CJ1886" s="2"/>
      <c r="CL1886" s="2"/>
      <c r="CN1886" s="2"/>
      <c r="CQ1886" s="2"/>
      <c r="CT1886" s="2"/>
      <c r="CW1886" s="2"/>
    </row>
    <row r="1887" spans="1:101" x14ac:dyDescent="0.25">
      <c r="A1887" s="1" t="s">
        <v>163</v>
      </c>
      <c r="B1887" s="75" t="s">
        <v>164</v>
      </c>
      <c r="C1887">
        <v>0</v>
      </c>
      <c r="D1887">
        <v>0</v>
      </c>
      <c r="E1887">
        <v>0</v>
      </c>
      <c r="F1887">
        <v>604324.56000000006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3.91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7490</v>
      </c>
      <c r="AW1887">
        <v>3350</v>
      </c>
      <c r="AX1887">
        <v>1219</v>
      </c>
      <c r="AY1887">
        <v>12059</v>
      </c>
      <c r="AZ1887">
        <v>4202</v>
      </c>
      <c r="BA1887">
        <v>7438</v>
      </c>
      <c r="BB1887">
        <v>1432</v>
      </c>
      <c r="BC1887">
        <v>13072</v>
      </c>
      <c r="BD1887">
        <v>9486</v>
      </c>
      <c r="BE1887">
        <v>9222</v>
      </c>
      <c r="BF1887">
        <v>1768</v>
      </c>
      <c r="BG1887">
        <v>20476</v>
      </c>
      <c r="BH1887">
        <v>0</v>
      </c>
      <c r="BI1887">
        <v>0</v>
      </c>
      <c r="BJ1887">
        <v>0</v>
      </c>
      <c r="BK1887">
        <v>0</v>
      </c>
      <c r="BL1887" s="2">
        <v>24.82</v>
      </c>
      <c r="BM1887" s="2">
        <v>42005.095138888886</v>
      </c>
      <c r="BN1887" s="2">
        <v>5.4</v>
      </c>
      <c r="BO1887" s="2">
        <v>42005.092361111114</v>
      </c>
      <c r="BP1887" s="2">
        <v>6.92</v>
      </c>
      <c r="BQ1887" s="2">
        <v>42005.092361111114</v>
      </c>
      <c r="BR1887" s="2">
        <v>11.07</v>
      </c>
      <c r="BS1887" s="2">
        <v>42005.092361111114</v>
      </c>
      <c r="BT1887">
        <v>0</v>
      </c>
      <c r="BU1887">
        <v>0</v>
      </c>
      <c r="BV1887" t="s">
        <v>135</v>
      </c>
      <c r="BW1887">
        <v>0</v>
      </c>
      <c r="BX1887">
        <v>0</v>
      </c>
      <c r="BY1887" t="s">
        <v>135</v>
      </c>
      <c r="BZ1887">
        <v>0</v>
      </c>
      <c r="CA1887">
        <v>0</v>
      </c>
      <c r="CB1887" t="s">
        <v>135</v>
      </c>
      <c r="CH1887" s="2"/>
      <c r="CJ1887" s="2"/>
      <c r="CL1887" s="2"/>
      <c r="CN1887" s="2"/>
      <c r="CQ1887" s="2"/>
      <c r="CT1887" s="2"/>
      <c r="CW1887" s="2"/>
    </row>
    <row r="1888" spans="1:101" x14ac:dyDescent="0.25">
      <c r="A1888" s="1" t="s">
        <v>163</v>
      </c>
      <c r="B1888" s="75" t="s">
        <v>164</v>
      </c>
      <c r="C1888">
        <v>0</v>
      </c>
      <c r="D1888">
        <v>0</v>
      </c>
      <c r="E1888">
        <v>0</v>
      </c>
      <c r="F1888">
        <v>604324.56000000006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3.91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7490</v>
      </c>
      <c r="AW1888">
        <v>3350</v>
      </c>
      <c r="AX1888">
        <v>1219</v>
      </c>
      <c r="AY1888">
        <v>12059</v>
      </c>
      <c r="AZ1888">
        <v>4202</v>
      </c>
      <c r="BA1888">
        <v>7438</v>
      </c>
      <c r="BB1888">
        <v>1432</v>
      </c>
      <c r="BC1888">
        <v>13072</v>
      </c>
      <c r="BD1888">
        <v>9486</v>
      </c>
      <c r="BE1888">
        <v>9222</v>
      </c>
      <c r="BF1888">
        <v>1768</v>
      </c>
      <c r="BG1888">
        <v>20476</v>
      </c>
      <c r="BH1888">
        <v>0</v>
      </c>
      <c r="BI1888">
        <v>0</v>
      </c>
      <c r="BJ1888">
        <v>0</v>
      </c>
      <c r="BK1888">
        <v>0</v>
      </c>
      <c r="BL1888" s="2">
        <v>24.82</v>
      </c>
      <c r="BM1888" s="2">
        <v>42005.095138888886</v>
      </c>
      <c r="BN1888" s="2">
        <v>5.4</v>
      </c>
      <c r="BO1888" s="2">
        <v>42005.092361111114</v>
      </c>
      <c r="BP1888" s="2">
        <v>6.92</v>
      </c>
      <c r="BQ1888" s="2">
        <v>42005.092361111114</v>
      </c>
      <c r="BR1888" s="2">
        <v>11.07</v>
      </c>
      <c r="BS1888" s="2">
        <v>42005.092361111114</v>
      </c>
      <c r="BT1888">
        <v>0</v>
      </c>
      <c r="BU1888">
        <v>0</v>
      </c>
      <c r="BV1888" t="s">
        <v>135</v>
      </c>
      <c r="BW1888">
        <v>0</v>
      </c>
      <c r="BX1888">
        <v>0</v>
      </c>
      <c r="BY1888" t="s">
        <v>135</v>
      </c>
      <c r="BZ1888">
        <v>0</v>
      </c>
      <c r="CA1888">
        <v>0</v>
      </c>
      <c r="CB1888" t="s">
        <v>135</v>
      </c>
      <c r="CH1888" s="2"/>
      <c r="CJ1888" s="2"/>
      <c r="CL1888" s="2"/>
      <c r="CN1888" s="2"/>
      <c r="CQ1888" s="2"/>
      <c r="CT1888" s="2"/>
      <c r="CW1888" s="2"/>
    </row>
    <row r="1889" spans="1:101" x14ac:dyDescent="0.25">
      <c r="A1889" s="1" t="s">
        <v>163</v>
      </c>
      <c r="B1889" s="75" t="s">
        <v>164</v>
      </c>
      <c r="C1889">
        <v>0</v>
      </c>
      <c r="D1889">
        <v>0</v>
      </c>
      <c r="E1889">
        <v>0</v>
      </c>
      <c r="F1889">
        <v>604324.56000000006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3.91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7490</v>
      </c>
      <c r="AW1889">
        <v>3350</v>
      </c>
      <c r="AX1889">
        <v>1219</v>
      </c>
      <c r="AY1889">
        <v>12059</v>
      </c>
      <c r="AZ1889">
        <v>4202</v>
      </c>
      <c r="BA1889">
        <v>7438</v>
      </c>
      <c r="BB1889">
        <v>1432</v>
      </c>
      <c r="BC1889">
        <v>13072</v>
      </c>
      <c r="BD1889">
        <v>9486</v>
      </c>
      <c r="BE1889">
        <v>9222</v>
      </c>
      <c r="BF1889">
        <v>1768</v>
      </c>
      <c r="BG1889">
        <v>20476</v>
      </c>
      <c r="BH1889">
        <v>0</v>
      </c>
      <c r="BI1889">
        <v>0</v>
      </c>
      <c r="BJ1889">
        <v>0</v>
      </c>
      <c r="BK1889">
        <v>0</v>
      </c>
      <c r="BL1889" s="2">
        <v>24.82</v>
      </c>
      <c r="BM1889" s="2">
        <v>42005.095138888886</v>
      </c>
      <c r="BN1889" s="2">
        <v>5.4</v>
      </c>
      <c r="BO1889" s="2">
        <v>42005.092361111114</v>
      </c>
      <c r="BP1889" s="2">
        <v>6.92</v>
      </c>
      <c r="BQ1889" s="2">
        <v>42005.092361111114</v>
      </c>
      <c r="BR1889" s="2">
        <v>11.07</v>
      </c>
      <c r="BS1889" s="2">
        <v>42005.092361111114</v>
      </c>
      <c r="BT1889">
        <v>0</v>
      </c>
      <c r="BU1889">
        <v>0</v>
      </c>
      <c r="BV1889" t="s">
        <v>135</v>
      </c>
      <c r="BW1889">
        <v>0</v>
      </c>
      <c r="BX1889">
        <v>0</v>
      </c>
      <c r="BY1889" t="s">
        <v>135</v>
      </c>
      <c r="BZ1889">
        <v>0</v>
      </c>
      <c r="CA1889">
        <v>0</v>
      </c>
      <c r="CB1889" t="s">
        <v>135</v>
      </c>
      <c r="CH1889" s="2"/>
      <c r="CJ1889" s="2"/>
      <c r="CL1889" s="2"/>
      <c r="CN1889" s="2"/>
      <c r="CQ1889" s="2"/>
      <c r="CT1889" s="2"/>
      <c r="CW1889" s="2"/>
    </row>
    <row r="1890" spans="1:101" x14ac:dyDescent="0.25">
      <c r="A1890" s="1" t="s">
        <v>163</v>
      </c>
      <c r="B1890" s="75" t="s">
        <v>164</v>
      </c>
      <c r="C1890">
        <v>0</v>
      </c>
      <c r="D1890">
        <v>0</v>
      </c>
      <c r="E1890">
        <v>0</v>
      </c>
      <c r="F1890">
        <v>604324.56000000006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3.91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7490</v>
      </c>
      <c r="AW1890">
        <v>3350</v>
      </c>
      <c r="AX1890">
        <v>1219</v>
      </c>
      <c r="AY1890">
        <v>12059</v>
      </c>
      <c r="AZ1890">
        <v>4202</v>
      </c>
      <c r="BA1890">
        <v>7438</v>
      </c>
      <c r="BB1890">
        <v>1432</v>
      </c>
      <c r="BC1890">
        <v>13072</v>
      </c>
      <c r="BD1890">
        <v>9486</v>
      </c>
      <c r="BE1890">
        <v>9222</v>
      </c>
      <c r="BF1890">
        <v>1768</v>
      </c>
      <c r="BG1890">
        <v>20476</v>
      </c>
      <c r="BH1890">
        <v>0</v>
      </c>
      <c r="BI1890">
        <v>0</v>
      </c>
      <c r="BJ1890">
        <v>0</v>
      </c>
      <c r="BK1890">
        <v>0</v>
      </c>
      <c r="BL1890" s="2">
        <v>24.82</v>
      </c>
      <c r="BM1890" s="2">
        <v>42005.095138888886</v>
      </c>
      <c r="BN1890" s="2">
        <v>5.4</v>
      </c>
      <c r="BO1890" s="2">
        <v>42005.092361111114</v>
      </c>
      <c r="BP1890" s="2">
        <v>6.92</v>
      </c>
      <c r="BQ1890" s="2">
        <v>42005.092361111114</v>
      </c>
      <c r="BR1890" s="2">
        <v>11.07</v>
      </c>
      <c r="BS1890" s="2">
        <v>42005.092361111114</v>
      </c>
      <c r="BT1890">
        <v>0</v>
      </c>
      <c r="BU1890">
        <v>0</v>
      </c>
      <c r="BV1890" t="s">
        <v>135</v>
      </c>
      <c r="BW1890">
        <v>0</v>
      </c>
      <c r="BX1890">
        <v>0</v>
      </c>
      <c r="BY1890" t="s">
        <v>135</v>
      </c>
      <c r="BZ1890">
        <v>0</v>
      </c>
      <c r="CA1890">
        <v>0</v>
      </c>
      <c r="CB1890" t="s">
        <v>135</v>
      </c>
      <c r="CH1890" s="2"/>
      <c r="CJ1890" s="2"/>
      <c r="CL1890" s="2"/>
      <c r="CN1890" s="2"/>
      <c r="CQ1890" s="2"/>
      <c r="CT1890" s="2"/>
      <c r="CW1890" s="2"/>
    </row>
    <row r="1891" spans="1:101" x14ac:dyDescent="0.25">
      <c r="A1891" s="1" t="s">
        <v>163</v>
      </c>
      <c r="B1891" s="75" t="s">
        <v>164</v>
      </c>
      <c r="C1891">
        <v>0</v>
      </c>
      <c r="D1891">
        <v>0</v>
      </c>
      <c r="E1891">
        <v>0</v>
      </c>
      <c r="F1891">
        <v>604324.56000000006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3.91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7490</v>
      </c>
      <c r="AW1891">
        <v>3350</v>
      </c>
      <c r="AX1891">
        <v>1219</v>
      </c>
      <c r="AY1891">
        <v>12059</v>
      </c>
      <c r="AZ1891">
        <v>4202</v>
      </c>
      <c r="BA1891">
        <v>7438</v>
      </c>
      <c r="BB1891">
        <v>1432</v>
      </c>
      <c r="BC1891">
        <v>13072</v>
      </c>
      <c r="BD1891">
        <v>9486</v>
      </c>
      <c r="BE1891">
        <v>9222</v>
      </c>
      <c r="BF1891">
        <v>1768</v>
      </c>
      <c r="BG1891">
        <v>20476</v>
      </c>
      <c r="BH1891">
        <v>0</v>
      </c>
      <c r="BI1891">
        <v>0</v>
      </c>
      <c r="BJ1891">
        <v>0</v>
      </c>
      <c r="BK1891">
        <v>0</v>
      </c>
      <c r="BL1891" s="2">
        <v>24.82</v>
      </c>
      <c r="BM1891" s="2">
        <v>42005.095138888886</v>
      </c>
      <c r="BN1891" s="2">
        <v>5.4</v>
      </c>
      <c r="BO1891" s="2">
        <v>42005.092361111114</v>
      </c>
      <c r="BP1891" s="2">
        <v>6.92</v>
      </c>
      <c r="BQ1891" s="2">
        <v>42005.092361111114</v>
      </c>
      <c r="BR1891" s="2">
        <v>11.07</v>
      </c>
      <c r="BS1891" s="2">
        <v>42005.092361111114</v>
      </c>
      <c r="BT1891">
        <v>0</v>
      </c>
      <c r="BU1891">
        <v>0</v>
      </c>
      <c r="BV1891" t="s">
        <v>135</v>
      </c>
      <c r="BW1891">
        <v>0</v>
      </c>
      <c r="BX1891">
        <v>0</v>
      </c>
      <c r="BY1891" t="s">
        <v>135</v>
      </c>
      <c r="BZ1891">
        <v>0</v>
      </c>
      <c r="CA1891">
        <v>0</v>
      </c>
      <c r="CB1891" t="s">
        <v>135</v>
      </c>
      <c r="CH1891" s="2"/>
      <c r="CJ1891" s="2"/>
      <c r="CL1891" s="2"/>
      <c r="CN1891" s="2"/>
      <c r="CQ1891" s="2"/>
      <c r="CT1891" s="2"/>
      <c r="CW1891" s="2"/>
    </row>
    <row r="1892" spans="1:101" x14ac:dyDescent="0.25">
      <c r="A1892" s="1" t="s">
        <v>163</v>
      </c>
      <c r="B1892" s="75" t="s">
        <v>164</v>
      </c>
      <c r="C1892">
        <v>0</v>
      </c>
      <c r="D1892">
        <v>0</v>
      </c>
      <c r="E1892">
        <v>0</v>
      </c>
      <c r="F1892">
        <v>604324.56000000006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3.91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7490</v>
      </c>
      <c r="AW1892">
        <v>3350</v>
      </c>
      <c r="AX1892">
        <v>1219</v>
      </c>
      <c r="AY1892">
        <v>12059</v>
      </c>
      <c r="AZ1892">
        <v>4202</v>
      </c>
      <c r="BA1892">
        <v>7438</v>
      </c>
      <c r="BB1892">
        <v>1432</v>
      </c>
      <c r="BC1892">
        <v>13072</v>
      </c>
      <c r="BD1892">
        <v>9486</v>
      </c>
      <c r="BE1892">
        <v>9222</v>
      </c>
      <c r="BF1892">
        <v>1768</v>
      </c>
      <c r="BG1892">
        <v>20476</v>
      </c>
      <c r="BH1892">
        <v>0</v>
      </c>
      <c r="BI1892">
        <v>0</v>
      </c>
      <c r="BJ1892">
        <v>0</v>
      </c>
      <c r="BK1892">
        <v>0</v>
      </c>
      <c r="BL1892" s="2">
        <v>24.82</v>
      </c>
      <c r="BM1892" s="2">
        <v>42005.095138888886</v>
      </c>
      <c r="BN1892" s="2">
        <v>5.4</v>
      </c>
      <c r="BO1892" s="2">
        <v>42005.092361111114</v>
      </c>
      <c r="BP1892" s="2">
        <v>6.92</v>
      </c>
      <c r="BQ1892" s="2">
        <v>42005.092361111114</v>
      </c>
      <c r="BR1892" s="2">
        <v>11.07</v>
      </c>
      <c r="BS1892" s="2">
        <v>42005.092361111114</v>
      </c>
      <c r="BT1892">
        <v>0</v>
      </c>
      <c r="BU1892">
        <v>0</v>
      </c>
      <c r="BV1892" t="s">
        <v>135</v>
      </c>
      <c r="BW1892">
        <v>0</v>
      </c>
      <c r="BX1892">
        <v>0</v>
      </c>
      <c r="BY1892" t="s">
        <v>135</v>
      </c>
      <c r="BZ1892">
        <v>0</v>
      </c>
      <c r="CA1892">
        <v>0</v>
      </c>
      <c r="CB1892" t="s">
        <v>135</v>
      </c>
      <c r="CH1892" s="2"/>
      <c r="CJ1892" s="2"/>
      <c r="CL1892" s="2"/>
      <c r="CN1892" s="2"/>
      <c r="CQ1892" s="2"/>
      <c r="CT1892" s="2"/>
      <c r="CW1892" s="2"/>
    </row>
    <row r="1893" spans="1:101" x14ac:dyDescent="0.25">
      <c r="A1893" s="1" t="s">
        <v>163</v>
      </c>
      <c r="B1893" s="75" t="s">
        <v>164</v>
      </c>
      <c r="C1893">
        <v>0</v>
      </c>
      <c r="D1893">
        <v>0</v>
      </c>
      <c r="E1893">
        <v>0</v>
      </c>
      <c r="F1893">
        <v>604324.56000000006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3.91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7490</v>
      </c>
      <c r="AW1893">
        <v>3350</v>
      </c>
      <c r="AX1893">
        <v>1219</v>
      </c>
      <c r="AY1893">
        <v>12059</v>
      </c>
      <c r="AZ1893">
        <v>4202</v>
      </c>
      <c r="BA1893">
        <v>7438</v>
      </c>
      <c r="BB1893">
        <v>1432</v>
      </c>
      <c r="BC1893">
        <v>13072</v>
      </c>
      <c r="BD1893">
        <v>9486</v>
      </c>
      <c r="BE1893">
        <v>9222</v>
      </c>
      <c r="BF1893">
        <v>1768</v>
      </c>
      <c r="BG1893">
        <v>20476</v>
      </c>
      <c r="BH1893">
        <v>0</v>
      </c>
      <c r="BI1893">
        <v>0</v>
      </c>
      <c r="BJ1893">
        <v>0</v>
      </c>
      <c r="BK1893">
        <v>0</v>
      </c>
      <c r="BL1893" s="2">
        <v>24.82</v>
      </c>
      <c r="BM1893" s="2">
        <v>42005.095138888886</v>
      </c>
      <c r="BN1893" s="2">
        <v>5.4</v>
      </c>
      <c r="BO1893" s="2">
        <v>42005.092361111114</v>
      </c>
      <c r="BP1893" s="2">
        <v>6.92</v>
      </c>
      <c r="BQ1893" s="2">
        <v>42005.092361111114</v>
      </c>
      <c r="BR1893" s="2">
        <v>11.07</v>
      </c>
      <c r="BS1893" s="2">
        <v>42005.092361111114</v>
      </c>
      <c r="BT1893">
        <v>0</v>
      </c>
      <c r="BU1893">
        <v>0</v>
      </c>
      <c r="BV1893" t="s">
        <v>135</v>
      </c>
      <c r="BW1893">
        <v>0</v>
      </c>
      <c r="BX1893">
        <v>0</v>
      </c>
      <c r="BY1893" t="s">
        <v>135</v>
      </c>
      <c r="BZ1893">
        <v>0</v>
      </c>
      <c r="CA1893">
        <v>0</v>
      </c>
      <c r="CB1893" t="s">
        <v>135</v>
      </c>
      <c r="CH1893" s="2"/>
      <c r="CJ1893" s="2"/>
      <c r="CL1893" s="2"/>
      <c r="CN1893" s="2"/>
      <c r="CQ1893" s="2"/>
      <c r="CT1893" s="2"/>
      <c r="CW1893" s="2"/>
    </row>
    <row r="1894" spans="1:101" x14ac:dyDescent="0.25">
      <c r="A1894" s="1" t="s">
        <v>163</v>
      </c>
      <c r="B1894" s="75" t="s">
        <v>164</v>
      </c>
      <c r="C1894">
        <v>0</v>
      </c>
      <c r="D1894">
        <v>0</v>
      </c>
      <c r="E1894">
        <v>0</v>
      </c>
      <c r="F1894">
        <v>604324.56000000006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3.91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7490</v>
      </c>
      <c r="AW1894">
        <v>3350</v>
      </c>
      <c r="AX1894">
        <v>1219</v>
      </c>
      <c r="AY1894">
        <v>12059</v>
      </c>
      <c r="AZ1894">
        <v>4202</v>
      </c>
      <c r="BA1894">
        <v>7438</v>
      </c>
      <c r="BB1894">
        <v>1432</v>
      </c>
      <c r="BC1894">
        <v>13072</v>
      </c>
      <c r="BD1894">
        <v>9486</v>
      </c>
      <c r="BE1894">
        <v>9222</v>
      </c>
      <c r="BF1894">
        <v>1768</v>
      </c>
      <c r="BG1894">
        <v>20476</v>
      </c>
      <c r="BH1894">
        <v>0</v>
      </c>
      <c r="BI1894">
        <v>0</v>
      </c>
      <c r="BJ1894">
        <v>0</v>
      </c>
      <c r="BK1894">
        <v>0</v>
      </c>
      <c r="BL1894" s="2">
        <v>24.82</v>
      </c>
      <c r="BM1894" s="2">
        <v>42005.095138888886</v>
      </c>
      <c r="BN1894" s="2">
        <v>5.4</v>
      </c>
      <c r="BO1894" s="2">
        <v>42005.092361111114</v>
      </c>
      <c r="BP1894" s="2">
        <v>6.92</v>
      </c>
      <c r="BQ1894" s="2">
        <v>42005.092361111114</v>
      </c>
      <c r="BR1894" s="2">
        <v>11.07</v>
      </c>
      <c r="BS1894" s="2">
        <v>42005.092361111114</v>
      </c>
      <c r="BT1894">
        <v>0</v>
      </c>
      <c r="BU1894">
        <v>0</v>
      </c>
      <c r="BV1894" t="s">
        <v>135</v>
      </c>
      <c r="BW1894">
        <v>0</v>
      </c>
      <c r="BX1894">
        <v>0</v>
      </c>
      <c r="BY1894" t="s">
        <v>135</v>
      </c>
      <c r="BZ1894">
        <v>0</v>
      </c>
      <c r="CA1894">
        <v>0</v>
      </c>
      <c r="CB1894" t="s">
        <v>135</v>
      </c>
      <c r="CH1894" s="2"/>
      <c r="CJ1894" s="2"/>
      <c r="CL1894" s="2"/>
      <c r="CN1894" s="2"/>
      <c r="CQ1894" s="2"/>
      <c r="CT1894" s="2"/>
      <c r="CW1894" s="2"/>
    </row>
    <row r="1895" spans="1:101" x14ac:dyDescent="0.25">
      <c r="A1895" s="1" t="s">
        <v>163</v>
      </c>
      <c r="B1895" s="75" t="s">
        <v>164</v>
      </c>
      <c r="C1895">
        <v>0</v>
      </c>
      <c r="D1895">
        <v>0</v>
      </c>
      <c r="E1895">
        <v>0</v>
      </c>
      <c r="F1895">
        <v>604324.56000000006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3.91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7490</v>
      </c>
      <c r="AW1895">
        <v>3350</v>
      </c>
      <c r="AX1895">
        <v>1219</v>
      </c>
      <c r="AY1895">
        <v>12059</v>
      </c>
      <c r="AZ1895">
        <v>4202</v>
      </c>
      <c r="BA1895">
        <v>7438</v>
      </c>
      <c r="BB1895">
        <v>1432</v>
      </c>
      <c r="BC1895">
        <v>13072</v>
      </c>
      <c r="BD1895">
        <v>9486</v>
      </c>
      <c r="BE1895">
        <v>9222</v>
      </c>
      <c r="BF1895">
        <v>1768</v>
      </c>
      <c r="BG1895">
        <v>20476</v>
      </c>
      <c r="BH1895">
        <v>0</v>
      </c>
      <c r="BI1895">
        <v>0</v>
      </c>
      <c r="BJ1895">
        <v>0</v>
      </c>
      <c r="BK1895">
        <v>0</v>
      </c>
      <c r="BL1895" s="2">
        <v>24.82</v>
      </c>
      <c r="BM1895" s="2">
        <v>42005.095138888886</v>
      </c>
      <c r="BN1895" s="2">
        <v>5.4</v>
      </c>
      <c r="BO1895" s="2">
        <v>42005.092361111114</v>
      </c>
      <c r="BP1895" s="2">
        <v>6.92</v>
      </c>
      <c r="BQ1895" s="2">
        <v>42005.092361111114</v>
      </c>
      <c r="BR1895" s="2">
        <v>11.07</v>
      </c>
      <c r="BS1895" s="2">
        <v>42005.092361111114</v>
      </c>
      <c r="BT1895">
        <v>0</v>
      </c>
      <c r="BU1895">
        <v>0</v>
      </c>
      <c r="BV1895" t="s">
        <v>135</v>
      </c>
      <c r="BW1895">
        <v>0</v>
      </c>
      <c r="BX1895">
        <v>0</v>
      </c>
      <c r="BY1895" t="s">
        <v>135</v>
      </c>
      <c r="BZ1895">
        <v>0</v>
      </c>
      <c r="CA1895">
        <v>0</v>
      </c>
      <c r="CB1895" t="s">
        <v>135</v>
      </c>
      <c r="CH1895" s="2"/>
      <c r="CJ1895" s="2"/>
      <c r="CL1895" s="2"/>
      <c r="CN1895" s="2"/>
      <c r="CQ1895" s="2"/>
      <c r="CT1895" s="2"/>
      <c r="CW1895" s="2"/>
    </row>
    <row r="1896" spans="1:101" x14ac:dyDescent="0.25">
      <c r="A1896" s="1" t="s">
        <v>163</v>
      </c>
      <c r="B1896" s="75" t="s">
        <v>164</v>
      </c>
      <c r="C1896">
        <v>0</v>
      </c>
      <c r="D1896">
        <v>0</v>
      </c>
      <c r="E1896">
        <v>0</v>
      </c>
      <c r="F1896">
        <v>604324.56000000006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3.91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7490</v>
      </c>
      <c r="AW1896">
        <v>3350</v>
      </c>
      <c r="AX1896">
        <v>1219</v>
      </c>
      <c r="AY1896">
        <v>12059</v>
      </c>
      <c r="AZ1896">
        <v>4202</v>
      </c>
      <c r="BA1896">
        <v>7438</v>
      </c>
      <c r="BB1896">
        <v>1432</v>
      </c>
      <c r="BC1896">
        <v>13072</v>
      </c>
      <c r="BD1896">
        <v>9486</v>
      </c>
      <c r="BE1896">
        <v>9222</v>
      </c>
      <c r="BF1896">
        <v>1768</v>
      </c>
      <c r="BG1896">
        <v>20476</v>
      </c>
      <c r="BH1896">
        <v>0</v>
      </c>
      <c r="BI1896">
        <v>0</v>
      </c>
      <c r="BJ1896">
        <v>0</v>
      </c>
      <c r="BK1896">
        <v>0</v>
      </c>
      <c r="BL1896" s="2">
        <v>24.82</v>
      </c>
      <c r="BM1896" s="2">
        <v>42005.095138888886</v>
      </c>
      <c r="BN1896" s="2">
        <v>5.4</v>
      </c>
      <c r="BO1896" s="2">
        <v>42005.092361111114</v>
      </c>
      <c r="BP1896" s="2">
        <v>6.92</v>
      </c>
      <c r="BQ1896" s="2">
        <v>42005.092361111114</v>
      </c>
      <c r="BR1896" s="2">
        <v>11.07</v>
      </c>
      <c r="BS1896" s="2">
        <v>42005.092361111114</v>
      </c>
      <c r="BT1896">
        <v>0</v>
      </c>
      <c r="BU1896">
        <v>0</v>
      </c>
      <c r="BV1896" t="s">
        <v>135</v>
      </c>
      <c r="BW1896">
        <v>0</v>
      </c>
      <c r="BX1896">
        <v>0</v>
      </c>
      <c r="BY1896" t="s">
        <v>135</v>
      </c>
      <c r="BZ1896">
        <v>0</v>
      </c>
      <c r="CA1896">
        <v>0</v>
      </c>
      <c r="CB1896" t="s">
        <v>135</v>
      </c>
      <c r="CH1896" s="2"/>
      <c r="CJ1896" s="2"/>
      <c r="CL1896" s="2"/>
      <c r="CN1896" s="2"/>
      <c r="CQ1896" s="2"/>
      <c r="CT1896" s="2"/>
      <c r="CW1896" s="2"/>
    </row>
    <row r="1897" spans="1:101" x14ac:dyDescent="0.25">
      <c r="A1897" s="1" t="s">
        <v>163</v>
      </c>
      <c r="B1897" s="75" t="s">
        <v>164</v>
      </c>
      <c r="C1897">
        <v>0</v>
      </c>
      <c r="D1897">
        <v>0</v>
      </c>
      <c r="E1897">
        <v>0</v>
      </c>
      <c r="F1897">
        <v>604324.56000000006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3.91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7490</v>
      </c>
      <c r="AW1897">
        <v>3350</v>
      </c>
      <c r="AX1897">
        <v>1219</v>
      </c>
      <c r="AY1897">
        <v>12059</v>
      </c>
      <c r="AZ1897">
        <v>4202</v>
      </c>
      <c r="BA1897">
        <v>7438</v>
      </c>
      <c r="BB1897">
        <v>1432</v>
      </c>
      <c r="BC1897">
        <v>13072</v>
      </c>
      <c r="BD1897">
        <v>9486</v>
      </c>
      <c r="BE1897">
        <v>9222</v>
      </c>
      <c r="BF1897">
        <v>1768</v>
      </c>
      <c r="BG1897">
        <v>20476</v>
      </c>
      <c r="BH1897">
        <v>0</v>
      </c>
      <c r="BI1897">
        <v>0</v>
      </c>
      <c r="BJ1897">
        <v>0</v>
      </c>
      <c r="BK1897">
        <v>0</v>
      </c>
      <c r="BL1897" s="2">
        <v>24.82</v>
      </c>
      <c r="BM1897" s="2">
        <v>42005.095138888886</v>
      </c>
      <c r="BN1897" s="2">
        <v>5.4</v>
      </c>
      <c r="BO1897" s="2">
        <v>42005.092361111114</v>
      </c>
      <c r="BP1897" s="2">
        <v>6.92</v>
      </c>
      <c r="BQ1897" s="2">
        <v>42005.092361111114</v>
      </c>
      <c r="BR1897" s="2">
        <v>11.07</v>
      </c>
      <c r="BS1897" s="2">
        <v>42005.092361111114</v>
      </c>
      <c r="BT1897">
        <v>0</v>
      </c>
      <c r="BU1897">
        <v>0</v>
      </c>
      <c r="BV1897" t="s">
        <v>135</v>
      </c>
      <c r="BW1897">
        <v>0</v>
      </c>
      <c r="BX1897">
        <v>0</v>
      </c>
      <c r="BY1897" t="s">
        <v>135</v>
      </c>
      <c r="BZ1897">
        <v>0</v>
      </c>
      <c r="CA1897">
        <v>0</v>
      </c>
      <c r="CB1897" t="s">
        <v>135</v>
      </c>
      <c r="CH1897" s="2"/>
      <c r="CJ1897" s="2"/>
      <c r="CL1897" s="2"/>
      <c r="CN1897" s="2"/>
      <c r="CQ1897" s="2"/>
      <c r="CT1897" s="2"/>
      <c r="CW1897" s="2"/>
    </row>
    <row r="1898" spans="1:101" x14ac:dyDescent="0.25">
      <c r="A1898" s="1" t="s">
        <v>163</v>
      </c>
      <c r="B1898" s="75" t="s">
        <v>164</v>
      </c>
      <c r="C1898">
        <v>0</v>
      </c>
      <c r="D1898">
        <v>0</v>
      </c>
      <c r="E1898">
        <v>0</v>
      </c>
      <c r="F1898">
        <v>604324.56000000006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3.91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7490</v>
      </c>
      <c r="AW1898">
        <v>3350</v>
      </c>
      <c r="AX1898">
        <v>1219</v>
      </c>
      <c r="AY1898">
        <v>12059</v>
      </c>
      <c r="AZ1898">
        <v>4202</v>
      </c>
      <c r="BA1898">
        <v>7438</v>
      </c>
      <c r="BB1898">
        <v>1432</v>
      </c>
      <c r="BC1898">
        <v>13072</v>
      </c>
      <c r="BD1898">
        <v>9486</v>
      </c>
      <c r="BE1898">
        <v>9222</v>
      </c>
      <c r="BF1898">
        <v>1768</v>
      </c>
      <c r="BG1898">
        <v>20476</v>
      </c>
      <c r="BH1898">
        <v>0</v>
      </c>
      <c r="BI1898">
        <v>0</v>
      </c>
      <c r="BJ1898">
        <v>0</v>
      </c>
      <c r="BK1898">
        <v>0</v>
      </c>
      <c r="BL1898" s="2">
        <v>24.82</v>
      </c>
      <c r="BM1898" s="2">
        <v>42005.095138888886</v>
      </c>
      <c r="BN1898" s="2">
        <v>5.4</v>
      </c>
      <c r="BO1898" s="2">
        <v>42005.092361111114</v>
      </c>
      <c r="BP1898" s="2">
        <v>6.92</v>
      </c>
      <c r="BQ1898" s="2">
        <v>42005.092361111114</v>
      </c>
      <c r="BR1898" s="2">
        <v>11.07</v>
      </c>
      <c r="BS1898" s="2">
        <v>42005.092361111114</v>
      </c>
      <c r="BT1898">
        <v>0</v>
      </c>
      <c r="BU1898">
        <v>0</v>
      </c>
      <c r="BV1898" t="s">
        <v>135</v>
      </c>
      <c r="BW1898">
        <v>0</v>
      </c>
      <c r="BX1898">
        <v>0</v>
      </c>
      <c r="BY1898" t="s">
        <v>135</v>
      </c>
      <c r="BZ1898">
        <v>0</v>
      </c>
      <c r="CA1898">
        <v>0</v>
      </c>
      <c r="CB1898" t="s">
        <v>135</v>
      </c>
      <c r="CH1898" s="2"/>
      <c r="CJ1898" s="2"/>
      <c r="CL1898" s="2"/>
      <c r="CN1898" s="2"/>
      <c r="CQ1898" s="2"/>
      <c r="CT1898" s="2"/>
      <c r="CW1898" s="2"/>
    </row>
    <row r="1899" spans="1:101" x14ac:dyDescent="0.25">
      <c r="A1899" s="1" t="s">
        <v>163</v>
      </c>
      <c r="B1899" s="75" t="s">
        <v>164</v>
      </c>
      <c r="C1899">
        <v>0</v>
      </c>
      <c r="D1899">
        <v>0</v>
      </c>
      <c r="E1899">
        <v>0</v>
      </c>
      <c r="F1899">
        <v>604324.56000000006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3.91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7490</v>
      </c>
      <c r="AW1899">
        <v>3350</v>
      </c>
      <c r="AX1899">
        <v>1219</v>
      </c>
      <c r="AY1899">
        <v>12059</v>
      </c>
      <c r="AZ1899">
        <v>4202</v>
      </c>
      <c r="BA1899">
        <v>7438</v>
      </c>
      <c r="BB1899">
        <v>1432</v>
      </c>
      <c r="BC1899">
        <v>13072</v>
      </c>
      <c r="BD1899">
        <v>9486</v>
      </c>
      <c r="BE1899">
        <v>9222</v>
      </c>
      <c r="BF1899">
        <v>1768</v>
      </c>
      <c r="BG1899">
        <v>20476</v>
      </c>
      <c r="BH1899">
        <v>0</v>
      </c>
      <c r="BI1899">
        <v>0</v>
      </c>
      <c r="BJ1899">
        <v>0</v>
      </c>
      <c r="BK1899">
        <v>0</v>
      </c>
      <c r="BL1899" s="2">
        <v>24.82</v>
      </c>
      <c r="BM1899" s="2">
        <v>42005.095138888886</v>
      </c>
      <c r="BN1899" s="2">
        <v>5.4</v>
      </c>
      <c r="BO1899" s="2">
        <v>42005.092361111114</v>
      </c>
      <c r="BP1899" s="2">
        <v>6.92</v>
      </c>
      <c r="BQ1899" s="2">
        <v>42005.092361111114</v>
      </c>
      <c r="BR1899" s="2">
        <v>11.07</v>
      </c>
      <c r="BS1899" s="2">
        <v>42005.092361111114</v>
      </c>
      <c r="BT1899">
        <v>0</v>
      </c>
      <c r="BU1899">
        <v>0</v>
      </c>
      <c r="BV1899" t="s">
        <v>135</v>
      </c>
      <c r="BW1899">
        <v>0</v>
      </c>
      <c r="BX1899">
        <v>0</v>
      </c>
      <c r="BY1899" t="s">
        <v>135</v>
      </c>
      <c r="BZ1899">
        <v>0</v>
      </c>
      <c r="CA1899">
        <v>0</v>
      </c>
      <c r="CB1899" t="s">
        <v>135</v>
      </c>
      <c r="CH1899" s="2"/>
      <c r="CJ1899" s="2"/>
      <c r="CL1899" s="2"/>
      <c r="CN1899" s="2"/>
      <c r="CQ1899" s="2"/>
      <c r="CT1899" s="2"/>
      <c r="CW1899" s="2"/>
    </row>
    <row r="1900" spans="1:101" x14ac:dyDescent="0.25">
      <c r="A1900" s="1" t="s">
        <v>163</v>
      </c>
      <c r="B1900" s="75" t="s">
        <v>164</v>
      </c>
      <c r="C1900">
        <v>0</v>
      </c>
      <c r="D1900">
        <v>0</v>
      </c>
      <c r="E1900">
        <v>0</v>
      </c>
      <c r="F1900">
        <v>604324.56000000006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3.91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7490</v>
      </c>
      <c r="AW1900">
        <v>3350</v>
      </c>
      <c r="AX1900">
        <v>1219</v>
      </c>
      <c r="AY1900">
        <v>12059</v>
      </c>
      <c r="AZ1900">
        <v>4202</v>
      </c>
      <c r="BA1900">
        <v>7438</v>
      </c>
      <c r="BB1900">
        <v>1432</v>
      </c>
      <c r="BC1900">
        <v>13072</v>
      </c>
      <c r="BD1900">
        <v>9486</v>
      </c>
      <c r="BE1900">
        <v>9222</v>
      </c>
      <c r="BF1900">
        <v>1768</v>
      </c>
      <c r="BG1900">
        <v>20476</v>
      </c>
      <c r="BH1900">
        <v>0</v>
      </c>
      <c r="BI1900">
        <v>0</v>
      </c>
      <c r="BJ1900">
        <v>0</v>
      </c>
      <c r="BK1900">
        <v>0</v>
      </c>
      <c r="BL1900" s="2">
        <v>24.82</v>
      </c>
      <c r="BM1900" s="2">
        <v>42005.095138888886</v>
      </c>
      <c r="BN1900" s="2">
        <v>5.4</v>
      </c>
      <c r="BO1900" s="2">
        <v>42005.092361111114</v>
      </c>
      <c r="BP1900" s="2">
        <v>6.92</v>
      </c>
      <c r="BQ1900" s="2">
        <v>42005.092361111114</v>
      </c>
      <c r="BR1900" s="2">
        <v>11.07</v>
      </c>
      <c r="BS1900" s="2">
        <v>42005.092361111114</v>
      </c>
      <c r="BT1900">
        <v>0</v>
      </c>
      <c r="BU1900">
        <v>0</v>
      </c>
      <c r="BV1900" t="s">
        <v>135</v>
      </c>
      <c r="BW1900">
        <v>0</v>
      </c>
      <c r="BX1900">
        <v>0</v>
      </c>
      <c r="BY1900" t="s">
        <v>135</v>
      </c>
      <c r="BZ1900">
        <v>0</v>
      </c>
      <c r="CA1900">
        <v>0</v>
      </c>
      <c r="CB1900" t="s">
        <v>135</v>
      </c>
      <c r="CH1900" s="2"/>
      <c r="CJ1900" s="2"/>
      <c r="CL1900" s="2"/>
      <c r="CN1900" s="2"/>
      <c r="CQ1900" s="2"/>
      <c r="CT1900" s="2"/>
      <c r="CW1900" s="2"/>
    </row>
    <row r="1901" spans="1:101" x14ac:dyDescent="0.25">
      <c r="A1901" s="1" t="s">
        <v>163</v>
      </c>
      <c r="B1901" s="75" t="s">
        <v>164</v>
      </c>
      <c r="C1901">
        <v>0</v>
      </c>
      <c r="D1901">
        <v>0</v>
      </c>
      <c r="E1901">
        <v>0</v>
      </c>
      <c r="F1901">
        <v>604324.56000000006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3.91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7490</v>
      </c>
      <c r="AW1901">
        <v>3350</v>
      </c>
      <c r="AX1901">
        <v>1219</v>
      </c>
      <c r="AY1901">
        <v>12059</v>
      </c>
      <c r="AZ1901">
        <v>4202</v>
      </c>
      <c r="BA1901">
        <v>7438</v>
      </c>
      <c r="BB1901">
        <v>1432</v>
      </c>
      <c r="BC1901">
        <v>13072</v>
      </c>
      <c r="BD1901">
        <v>9486</v>
      </c>
      <c r="BE1901">
        <v>9222</v>
      </c>
      <c r="BF1901">
        <v>1768</v>
      </c>
      <c r="BG1901">
        <v>20476</v>
      </c>
      <c r="BH1901">
        <v>0</v>
      </c>
      <c r="BI1901">
        <v>0</v>
      </c>
      <c r="BJ1901">
        <v>0</v>
      </c>
      <c r="BK1901">
        <v>0</v>
      </c>
      <c r="BL1901" s="2">
        <v>24.82</v>
      </c>
      <c r="BM1901" s="2">
        <v>42005.095138888886</v>
      </c>
      <c r="BN1901" s="2">
        <v>5.4</v>
      </c>
      <c r="BO1901" s="2">
        <v>42005.092361111114</v>
      </c>
      <c r="BP1901" s="2">
        <v>6.92</v>
      </c>
      <c r="BQ1901" s="2">
        <v>42005.092361111114</v>
      </c>
      <c r="BR1901" s="2">
        <v>11.07</v>
      </c>
      <c r="BS1901" s="2">
        <v>42005.092361111114</v>
      </c>
      <c r="BT1901">
        <v>0</v>
      </c>
      <c r="BU1901">
        <v>0</v>
      </c>
      <c r="BV1901" t="s">
        <v>135</v>
      </c>
      <c r="BW1901">
        <v>0</v>
      </c>
      <c r="BX1901">
        <v>0</v>
      </c>
      <c r="BY1901" t="s">
        <v>135</v>
      </c>
      <c r="BZ1901">
        <v>0</v>
      </c>
      <c r="CA1901">
        <v>0</v>
      </c>
      <c r="CB1901" t="s">
        <v>135</v>
      </c>
      <c r="CH1901" s="2"/>
      <c r="CJ1901" s="2"/>
      <c r="CL1901" s="2"/>
      <c r="CN1901" s="2"/>
      <c r="CQ1901" s="2"/>
      <c r="CT1901" s="2"/>
      <c r="CW1901" s="2"/>
    </row>
    <row r="1902" spans="1:101" x14ac:dyDescent="0.25">
      <c r="A1902" s="1" t="s">
        <v>163</v>
      </c>
      <c r="B1902" s="75" t="s">
        <v>164</v>
      </c>
      <c r="C1902">
        <v>0</v>
      </c>
      <c r="D1902">
        <v>0</v>
      </c>
      <c r="E1902">
        <v>0</v>
      </c>
      <c r="F1902">
        <v>604324.56000000006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3.91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7490</v>
      </c>
      <c r="AW1902">
        <v>3350</v>
      </c>
      <c r="AX1902">
        <v>1219</v>
      </c>
      <c r="AY1902">
        <v>12059</v>
      </c>
      <c r="AZ1902">
        <v>4202</v>
      </c>
      <c r="BA1902">
        <v>7438</v>
      </c>
      <c r="BB1902">
        <v>1432</v>
      </c>
      <c r="BC1902">
        <v>13072</v>
      </c>
      <c r="BD1902">
        <v>9486</v>
      </c>
      <c r="BE1902">
        <v>9222</v>
      </c>
      <c r="BF1902">
        <v>1768</v>
      </c>
      <c r="BG1902">
        <v>20476</v>
      </c>
      <c r="BH1902">
        <v>0</v>
      </c>
      <c r="BI1902">
        <v>0</v>
      </c>
      <c r="BJ1902">
        <v>0</v>
      </c>
      <c r="BK1902">
        <v>0</v>
      </c>
      <c r="BL1902" s="2">
        <v>24.82</v>
      </c>
      <c r="BM1902" s="2">
        <v>42005.095138888886</v>
      </c>
      <c r="BN1902" s="2">
        <v>5.4</v>
      </c>
      <c r="BO1902" s="2">
        <v>42005.092361111114</v>
      </c>
      <c r="BP1902" s="2">
        <v>6.92</v>
      </c>
      <c r="BQ1902" s="2">
        <v>42005.092361111114</v>
      </c>
      <c r="BR1902" s="2">
        <v>11.07</v>
      </c>
      <c r="BS1902" s="2">
        <v>42005.092361111114</v>
      </c>
      <c r="BT1902">
        <v>0</v>
      </c>
      <c r="BU1902">
        <v>0</v>
      </c>
      <c r="BV1902" t="s">
        <v>135</v>
      </c>
      <c r="BW1902">
        <v>0</v>
      </c>
      <c r="BX1902">
        <v>0</v>
      </c>
      <c r="BY1902" t="s">
        <v>135</v>
      </c>
      <c r="BZ1902">
        <v>0</v>
      </c>
      <c r="CA1902">
        <v>0</v>
      </c>
      <c r="CB1902" t="s">
        <v>135</v>
      </c>
      <c r="CH1902" s="2"/>
      <c r="CJ1902" s="2"/>
      <c r="CL1902" s="2"/>
      <c r="CN1902" s="2"/>
      <c r="CQ1902" s="2"/>
      <c r="CT1902" s="2"/>
      <c r="CW1902" s="2"/>
    </row>
    <row r="1903" spans="1:101" x14ac:dyDescent="0.25">
      <c r="A1903" s="1" t="s">
        <v>163</v>
      </c>
      <c r="B1903" s="75" t="s">
        <v>164</v>
      </c>
      <c r="C1903">
        <v>0</v>
      </c>
      <c r="D1903">
        <v>0</v>
      </c>
      <c r="E1903">
        <v>0</v>
      </c>
      <c r="F1903">
        <v>604324.56000000006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3.91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7490</v>
      </c>
      <c r="AW1903">
        <v>3350</v>
      </c>
      <c r="AX1903">
        <v>1219</v>
      </c>
      <c r="AY1903">
        <v>12059</v>
      </c>
      <c r="AZ1903">
        <v>4202</v>
      </c>
      <c r="BA1903">
        <v>7438</v>
      </c>
      <c r="BB1903">
        <v>1432</v>
      </c>
      <c r="BC1903">
        <v>13072</v>
      </c>
      <c r="BD1903">
        <v>9486</v>
      </c>
      <c r="BE1903">
        <v>9222</v>
      </c>
      <c r="BF1903">
        <v>1768</v>
      </c>
      <c r="BG1903">
        <v>20476</v>
      </c>
      <c r="BH1903">
        <v>0</v>
      </c>
      <c r="BI1903">
        <v>0</v>
      </c>
      <c r="BJ1903">
        <v>0</v>
      </c>
      <c r="BK1903">
        <v>0</v>
      </c>
      <c r="BL1903" s="2">
        <v>24.82</v>
      </c>
      <c r="BM1903" s="2">
        <v>42005.095138888886</v>
      </c>
      <c r="BN1903" s="2">
        <v>5.4</v>
      </c>
      <c r="BO1903" s="2">
        <v>42005.092361111114</v>
      </c>
      <c r="BP1903" s="2">
        <v>6.92</v>
      </c>
      <c r="BQ1903" s="2">
        <v>42005.092361111114</v>
      </c>
      <c r="BR1903" s="2">
        <v>11.07</v>
      </c>
      <c r="BS1903" s="2">
        <v>42005.092361111114</v>
      </c>
      <c r="BT1903">
        <v>0</v>
      </c>
      <c r="BU1903">
        <v>0</v>
      </c>
      <c r="BV1903" t="s">
        <v>135</v>
      </c>
      <c r="BW1903">
        <v>0</v>
      </c>
      <c r="BX1903">
        <v>0</v>
      </c>
      <c r="BY1903" t="s">
        <v>135</v>
      </c>
      <c r="BZ1903">
        <v>0</v>
      </c>
      <c r="CA1903">
        <v>0</v>
      </c>
      <c r="CB1903" t="s">
        <v>135</v>
      </c>
      <c r="CH1903" s="2"/>
      <c r="CJ1903" s="2"/>
      <c r="CL1903" s="2"/>
      <c r="CN1903" s="2"/>
      <c r="CQ1903" s="2"/>
      <c r="CT1903" s="2"/>
      <c r="CW1903" s="2"/>
    </row>
    <row r="1904" spans="1:101" x14ac:dyDescent="0.25">
      <c r="A1904" s="1" t="s">
        <v>163</v>
      </c>
      <c r="B1904" s="75" t="s">
        <v>164</v>
      </c>
      <c r="C1904">
        <v>0</v>
      </c>
      <c r="D1904">
        <v>0</v>
      </c>
      <c r="E1904">
        <v>0</v>
      </c>
      <c r="F1904">
        <v>604324.56000000006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3.91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7490</v>
      </c>
      <c r="AW1904">
        <v>3350</v>
      </c>
      <c r="AX1904">
        <v>1219</v>
      </c>
      <c r="AY1904">
        <v>12059</v>
      </c>
      <c r="AZ1904">
        <v>4202</v>
      </c>
      <c r="BA1904">
        <v>7438</v>
      </c>
      <c r="BB1904">
        <v>1432</v>
      </c>
      <c r="BC1904">
        <v>13072</v>
      </c>
      <c r="BD1904">
        <v>9486</v>
      </c>
      <c r="BE1904">
        <v>9222</v>
      </c>
      <c r="BF1904">
        <v>1768</v>
      </c>
      <c r="BG1904">
        <v>20476</v>
      </c>
      <c r="BH1904">
        <v>0</v>
      </c>
      <c r="BI1904">
        <v>0</v>
      </c>
      <c r="BJ1904">
        <v>0</v>
      </c>
      <c r="BK1904">
        <v>0</v>
      </c>
      <c r="BL1904" s="2">
        <v>24.82</v>
      </c>
      <c r="BM1904" s="2">
        <v>42005.095138888886</v>
      </c>
      <c r="BN1904" s="2">
        <v>5.4</v>
      </c>
      <c r="BO1904" s="2">
        <v>42005.092361111114</v>
      </c>
      <c r="BP1904" s="2">
        <v>6.92</v>
      </c>
      <c r="BQ1904" s="2">
        <v>42005.092361111114</v>
      </c>
      <c r="BR1904" s="2">
        <v>11.07</v>
      </c>
      <c r="BS1904" s="2">
        <v>42005.092361111114</v>
      </c>
      <c r="BT1904">
        <v>0</v>
      </c>
      <c r="BU1904">
        <v>0</v>
      </c>
      <c r="BV1904" t="s">
        <v>135</v>
      </c>
      <c r="BW1904">
        <v>0</v>
      </c>
      <c r="BX1904">
        <v>0</v>
      </c>
      <c r="BY1904" t="s">
        <v>135</v>
      </c>
      <c r="BZ1904">
        <v>0</v>
      </c>
      <c r="CA1904">
        <v>0</v>
      </c>
      <c r="CB1904" t="s">
        <v>135</v>
      </c>
      <c r="CH1904" s="2"/>
      <c r="CJ1904" s="2"/>
      <c r="CL1904" s="2"/>
      <c r="CN1904" s="2"/>
      <c r="CQ1904" s="2"/>
      <c r="CT1904" s="2"/>
      <c r="CW1904" s="2"/>
    </row>
    <row r="1905" spans="1:101" x14ac:dyDescent="0.25">
      <c r="A1905" s="1" t="s">
        <v>163</v>
      </c>
      <c r="B1905" s="75" t="s">
        <v>164</v>
      </c>
      <c r="C1905">
        <v>0</v>
      </c>
      <c r="D1905">
        <v>0</v>
      </c>
      <c r="E1905">
        <v>0</v>
      </c>
      <c r="F1905">
        <v>604324.56000000006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3.91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7490</v>
      </c>
      <c r="AW1905">
        <v>3350</v>
      </c>
      <c r="AX1905">
        <v>1219</v>
      </c>
      <c r="AY1905">
        <v>12059</v>
      </c>
      <c r="AZ1905">
        <v>4202</v>
      </c>
      <c r="BA1905">
        <v>7438</v>
      </c>
      <c r="BB1905">
        <v>1432</v>
      </c>
      <c r="BC1905">
        <v>13072</v>
      </c>
      <c r="BD1905">
        <v>9486</v>
      </c>
      <c r="BE1905">
        <v>9222</v>
      </c>
      <c r="BF1905">
        <v>1768</v>
      </c>
      <c r="BG1905">
        <v>20476</v>
      </c>
      <c r="BH1905">
        <v>0</v>
      </c>
      <c r="BI1905">
        <v>0</v>
      </c>
      <c r="BJ1905">
        <v>0</v>
      </c>
      <c r="BK1905">
        <v>0</v>
      </c>
      <c r="BL1905" s="2">
        <v>24.82</v>
      </c>
      <c r="BM1905" s="2">
        <v>42005.095138888886</v>
      </c>
      <c r="BN1905" s="2">
        <v>5.4</v>
      </c>
      <c r="BO1905" s="2">
        <v>42005.092361111114</v>
      </c>
      <c r="BP1905" s="2">
        <v>6.92</v>
      </c>
      <c r="BQ1905" s="2">
        <v>42005.092361111114</v>
      </c>
      <c r="BR1905" s="2">
        <v>11.07</v>
      </c>
      <c r="BS1905" s="2">
        <v>42005.092361111114</v>
      </c>
      <c r="BT1905">
        <v>0</v>
      </c>
      <c r="BU1905">
        <v>0</v>
      </c>
      <c r="BV1905" t="s">
        <v>135</v>
      </c>
      <c r="BW1905">
        <v>0</v>
      </c>
      <c r="BX1905">
        <v>0</v>
      </c>
      <c r="BY1905" t="s">
        <v>135</v>
      </c>
      <c r="BZ1905">
        <v>0</v>
      </c>
      <c r="CA1905">
        <v>0</v>
      </c>
      <c r="CB1905" t="s">
        <v>135</v>
      </c>
      <c r="CH1905" s="2"/>
      <c r="CJ1905" s="2"/>
      <c r="CL1905" s="2"/>
      <c r="CN1905" s="2"/>
      <c r="CQ1905" s="2"/>
      <c r="CT1905" s="2"/>
      <c r="CW1905" s="2"/>
    </row>
    <row r="1906" spans="1:101" x14ac:dyDescent="0.25">
      <c r="A1906" s="1" t="s">
        <v>163</v>
      </c>
      <c r="B1906" s="75" t="s">
        <v>164</v>
      </c>
      <c r="C1906">
        <v>0</v>
      </c>
      <c r="D1906">
        <v>0</v>
      </c>
      <c r="E1906">
        <v>0</v>
      </c>
      <c r="F1906">
        <v>604324.56000000006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3.91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7490</v>
      </c>
      <c r="AW1906">
        <v>3350</v>
      </c>
      <c r="AX1906">
        <v>1219</v>
      </c>
      <c r="AY1906">
        <v>12059</v>
      </c>
      <c r="AZ1906">
        <v>4202</v>
      </c>
      <c r="BA1906">
        <v>7438</v>
      </c>
      <c r="BB1906">
        <v>1432</v>
      </c>
      <c r="BC1906">
        <v>13072</v>
      </c>
      <c r="BD1906">
        <v>9486</v>
      </c>
      <c r="BE1906">
        <v>9222</v>
      </c>
      <c r="BF1906">
        <v>1768</v>
      </c>
      <c r="BG1906">
        <v>20476</v>
      </c>
      <c r="BH1906">
        <v>0</v>
      </c>
      <c r="BI1906">
        <v>0</v>
      </c>
      <c r="BJ1906">
        <v>0</v>
      </c>
      <c r="BK1906">
        <v>0</v>
      </c>
      <c r="BL1906" s="2">
        <v>24.82</v>
      </c>
      <c r="BM1906" s="2">
        <v>42005.095138888886</v>
      </c>
      <c r="BN1906" s="2">
        <v>5.4</v>
      </c>
      <c r="BO1906" s="2">
        <v>42005.092361111114</v>
      </c>
      <c r="BP1906" s="2">
        <v>6.92</v>
      </c>
      <c r="BQ1906" s="2">
        <v>42005.092361111114</v>
      </c>
      <c r="BR1906" s="2">
        <v>11.07</v>
      </c>
      <c r="BS1906" s="2">
        <v>42005.092361111114</v>
      </c>
      <c r="BT1906">
        <v>0</v>
      </c>
      <c r="BU1906">
        <v>0</v>
      </c>
      <c r="BV1906" t="s">
        <v>135</v>
      </c>
      <c r="BW1906">
        <v>0</v>
      </c>
      <c r="BX1906">
        <v>0</v>
      </c>
      <c r="BY1906" t="s">
        <v>135</v>
      </c>
      <c r="BZ1906">
        <v>0</v>
      </c>
      <c r="CA1906">
        <v>0</v>
      </c>
      <c r="CB1906" t="s">
        <v>135</v>
      </c>
      <c r="CH1906" s="2"/>
      <c r="CJ1906" s="2"/>
      <c r="CL1906" s="2"/>
      <c r="CN1906" s="2"/>
      <c r="CQ1906" s="2"/>
      <c r="CT1906" s="2"/>
      <c r="CW1906" s="2"/>
    </row>
    <row r="1907" spans="1:101" x14ac:dyDescent="0.25">
      <c r="A1907" s="1" t="s">
        <v>163</v>
      </c>
      <c r="B1907" s="75" t="s">
        <v>164</v>
      </c>
      <c r="C1907">
        <v>0</v>
      </c>
      <c r="D1907">
        <v>0</v>
      </c>
      <c r="E1907">
        <v>0</v>
      </c>
      <c r="F1907">
        <v>604324.56000000006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3.91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7490</v>
      </c>
      <c r="AW1907">
        <v>3350</v>
      </c>
      <c r="AX1907">
        <v>1219</v>
      </c>
      <c r="AY1907">
        <v>12059</v>
      </c>
      <c r="AZ1907">
        <v>4202</v>
      </c>
      <c r="BA1907">
        <v>7438</v>
      </c>
      <c r="BB1907">
        <v>1432</v>
      </c>
      <c r="BC1907">
        <v>13072</v>
      </c>
      <c r="BD1907">
        <v>9486</v>
      </c>
      <c r="BE1907">
        <v>9222</v>
      </c>
      <c r="BF1907">
        <v>1768</v>
      </c>
      <c r="BG1907">
        <v>20476</v>
      </c>
      <c r="BH1907">
        <v>0</v>
      </c>
      <c r="BI1907">
        <v>0</v>
      </c>
      <c r="BJ1907">
        <v>0</v>
      </c>
      <c r="BK1907">
        <v>0</v>
      </c>
      <c r="BL1907" s="2">
        <v>24.82</v>
      </c>
      <c r="BM1907" s="2">
        <v>42005.095138888886</v>
      </c>
      <c r="BN1907" s="2">
        <v>5.4</v>
      </c>
      <c r="BO1907" s="2">
        <v>42005.092361111114</v>
      </c>
      <c r="BP1907" s="2">
        <v>6.92</v>
      </c>
      <c r="BQ1907" s="2">
        <v>42005.092361111114</v>
      </c>
      <c r="BR1907" s="2">
        <v>11.07</v>
      </c>
      <c r="BS1907" s="2">
        <v>42005.092361111114</v>
      </c>
      <c r="BT1907">
        <v>0</v>
      </c>
      <c r="BU1907">
        <v>0</v>
      </c>
      <c r="BV1907" t="s">
        <v>135</v>
      </c>
      <c r="BW1907">
        <v>0</v>
      </c>
      <c r="BX1907">
        <v>0</v>
      </c>
      <c r="BY1907" t="s">
        <v>135</v>
      </c>
      <c r="BZ1907">
        <v>0</v>
      </c>
      <c r="CA1907">
        <v>0</v>
      </c>
      <c r="CB1907" t="s">
        <v>135</v>
      </c>
      <c r="CH1907" s="2"/>
      <c r="CJ1907" s="2"/>
      <c r="CL1907" s="2"/>
      <c r="CN1907" s="2"/>
      <c r="CQ1907" s="2"/>
      <c r="CT1907" s="2"/>
      <c r="CW1907" s="2"/>
    </row>
    <row r="1908" spans="1:101" x14ac:dyDescent="0.25">
      <c r="A1908" s="1" t="s">
        <v>163</v>
      </c>
      <c r="B1908" s="75" t="s">
        <v>164</v>
      </c>
      <c r="C1908">
        <v>0</v>
      </c>
      <c r="D1908">
        <v>0</v>
      </c>
      <c r="E1908">
        <v>0</v>
      </c>
      <c r="F1908">
        <v>604324.56000000006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3.91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7490</v>
      </c>
      <c r="AW1908">
        <v>3350</v>
      </c>
      <c r="AX1908">
        <v>1219</v>
      </c>
      <c r="AY1908">
        <v>12059</v>
      </c>
      <c r="AZ1908">
        <v>4202</v>
      </c>
      <c r="BA1908">
        <v>7438</v>
      </c>
      <c r="BB1908">
        <v>1432</v>
      </c>
      <c r="BC1908">
        <v>13072</v>
      </c>
      <c r="BD1908">
        <v>9486</v>
      </c>
      <c r="BE1908">
        <v>9222</v>
      </c>
      <c r="BF1908">
        <v>1768</v>
      </c>
      <c r="BG1908">
        <v>20476</v>
      </c>
      <c r="BH1908">
        <v>0</v>
      </c>
      <c r="BI1908">
        <v>0</v>
      </c>
      <c r="BJ1908">
        <v>0</v>
      </c>
      <c r="BK1908">
        <v>0</v>
      </c>
      <c r="BL1908" s="2">
        <v>24.82</v>
      </c>
      <c r="BM1908" s="2">
        <v>42005.095138888886</v>
      </c>
      <c r="BN1908" s="2">
        <v>5.4</v>
      </c>
      <c r="BO1908" s="2">
        <v>42005.092361111114</v>
      </c>
      <c r="BP1908" s="2">
        <v>6.92</v>
      </c>
      <c r="BQ1908" s="2">
        <v>42005.092361111114</v>
      </c>
      <c r="BR1908" s="2">
        <v>11.07</v>
      </c>
      <c r="BS1908" s="2">
        <v>42005.092361111114</v>
      </c>
      <c r="BT1908">
        <v>0</v>
      </c>
      <c r="BU1908">
        <v>0</v>
      </c>
      <c r="BV1908" t="s">
        <v>135</v>
      </c>
      <c r="BW1908">
        <v>0</v>
      </c>
      <c r="BX1908">
        <v>0</v>
      </c>
      <c r="BY1908" t="s">
        <v>135</v>
      </c>
      <c r="BZ1908">
        <v>0</v>
      </c>
      <c r="CA1908">
        <v>0</v>
      </c>
      <c r="CB1908" t="s">
        <v>135</v>
      </c>
      <c r="CH1908" s="2"/>
      <c r="CJ1908" s="2"/>
      <c r="CL1908" s="2"/>
      <c r="CN1908" s="2"/>
      <c r="CQ1908" s="2"/>
      <c r="CT1908" s="2"/>
      <c r="CW1908" s="2"/>
    </row>
    <row r="1909" spans="1:101" x14ac:dyDescent="0.25">
      <c r="A1909" s="1" t="s">
        <v>163</v>
      </c>
      <c r="B1909" s="75" t="s">
        <v>164</v>
      </c>
      <c r="C1909">
        <v>0</v>
      </c>
      <c r="D1909">
        <v>0</v>
      </c>
      <c r="E1909">
        <v>0</v>
      </c>
      <c r="F1909">
        <v>604324.56000000006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3.91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7490</v>
      </c>
      <c r="AW1909">
        <v>3350</v>
      </c>
      <c r="AX1909">
        <v>1219</v>
      </c>
      <c r="AY1909">
        <v>12059</v>
      </c>
      <c r="AZ1909">
        <v>4202</v>
      </c>
      <c r="BA1909">
        <v>7438</v>
      </c>
      <c r="BB1909">
        <v>1432</v>
      </c>
      <c r="BC1909">
        <v>13072</v>
      </c>
      <c r="BD1909">
        <v>9486</v>
      </c>
      <c r="BE1909">
        <v>9222</v>
      </c>
      <c r="BF1909">
        <v>1768</v>
      </c>
      <c r="BG1909">
        <v>20476</v>
      </c>
      <c r="BH1909">
        <v>0</v>
      </c>
      <c r="BI1909">
        <v>0</v>
      </c>
      <c r="BJ1909">
        <v>0</v>
      </c>
      <c r="BK1909">
        <v>0</v>
      </c>
      <c r="BL1909" s="2">
        <v>24.82</v>
      </c>
      <c r="BM1909" s="2">
        <v>42005.095138888886</v>
      </c>
      <c r="BN1909" s="2">
        <v>5.4</v>
      </c>
      <c r="BO1909" s="2">
        <v>42005.092361111114</v>
      </c>
      <c r="BP1909" s="2">
        <v>6.92</v>
      </c>
      <c r="BQ1909" s="2">
        <v>42005.092361111114</v>
      </c>
      <c r="BR1909" s="2">
        <v>11.07</v>
      </c>
      <c r="BS1909" s="2">
        <v>42005.092361111114</v>
      </c>
      <c r="BT1909">
        <v>0</v>
      </c>
      <c r="BU1909">
        <v>0</v>
      </c>
      <c r="BV1909" t="s">
        <v>135</v>
      </c>
      <c r="BW1909">
        <v>0</v>
      </c>
      <c r="BX1909">
        <v>0</v>
      </c>
      <c r="BY1909" t="s">
        <v>135</v>
      </c>
      <c r="BZ1909">
        <v>0</v>
      </c>
      <c r="CA1909">
        <v>0</v>
      </c>
      <c r="CB1909" t="s">
        <v>135</v>
      </c>
      <c r="CH1909" s="2"/>
      <c r="CJ1909" s="2"/>
      <c r="CL1909" s="2"/>
      <c r="CN1909" s="2"/>
      <c r="CQ1909" s="2"/>
      <c r="CT1909" s="2"/>
      <c r="CW1909" s="2"/>
    </row>
    <row r="1910" spans="1:101" x14ac:dyDescent="0.25">
      <c r="A1910" s="1" t="s">
        <v>163</v>
      </c>
      <c r="B1910" s="75" t="s">
        <v>164</v>
      </c>
      <c r="C1910">
        <v>0</v>
      </c>
      <c r="D1910">
        <v>0</v>
      </c>
      <c r="E1910">
        <v>0</v>
      </c>
      <c r="F1910">
        <v>604324.56000000006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3.91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7490</v>
      </c>
      <c r="AW1910">
        <v>3350</v>
      </c>
      <c r="AX1910">
        <v>1219</v>
      </c>
      <c r="AY1910">
        <v>12059</v>
      </c>
      <c r="AZ1910">
        <v>4202</v>
      </c>
      <c r="BA1910">
        <v>7438</v>
      </c>
      <c r="BB1910">
        <v>1432</v>
      </c>
      <c r="BC1910">
        <v>13072</v>
      </c>
      <c r="BD1910">
        <v>9486</v>
      </c>
      <c r="BE1910">
        <v>9222</v>
      </c>
      <c r="BF1910">
        <v>1768</v>
      </c>
      <c r="BG1910">
        <v>20476</v>
      </c>
      <c r="BH1910">
        <v>0</v>
      </c>
      <c r="BI1910">
        <v>0</v>
      </c>
      <c r="BJ1910">
        <v>0</v>
      </c>
      <c r="BK1910">
        <v>0</v>
      </c>
      <c r="BL1910" s="2">
        <v>24.82</v>
      </c>
      <c r="BM1910" s="2">
        <v>42005.095138888886</v>
      </c>
      <c r="BN1910" s="2">
        <v>5.4</v>
      </c>
      <c r="BO1910" s="2">
        <v>42005.092361111114</v>
      </c>
      <c r="BP1910" s="2">
        <v>6.92</v>
      </c>
      <c r="BQ1910" s="2">
        <v>42005.092361111114</v>
      </c>
      <c r="BR1910" s="2">
        <v>11.07</v>
      </c>
      <c r="BS1910" s="2">
        <v>42005.092361111114</v>
      </c>
      <c r="BT1910">
        <v>0</v>
      </c>
      <c r="BU1910">
        <v>0</v>
      </c>
      <c r="BV1910" t="s">
        <v>135</v>
      </c>
      <c r="BW1910">
        <v>0</v>
      </c>
      <c r="BX1910">
        <v>0</v>
      </c>
      <c r="BY1910" t="s">
        <v>135</v>
      </c>
      <c r="BZ1910">
        <v>0</v>
      </c>
      <c r="CA1910">
        <v>0</v>
      </c>
      <c r="CB1910" t="s">
        <v>135</v>
      </c>
      <c r="CH1910" s="2"/>
      <c r="CJ1910" s="2"/>
      <c r="CL1910" s="2"/>
      <c r="CN1910" s="2"/>
      <c r="CQ1910" s="2"/>
      <c r="CT1910" s="2"/>
      <c r="CW1910" s="2"/>
    </row>
    <row r="1911" spans="1:101" x14ac:dyDescent="0.25">
      <c r="A1911" s="1" t="s">
        <v>163</v>
      </c>
      <c r="B1911" s="75" t="s">
        <v>164</v>
      </c>
      <c r="C1911">
        <v>0</v>
      </c>
      <c r="D1911">
        <v>0</v>
      </c>
      <c r="E1911">
        <v>0</v>
      </c>
      <c r="F1911">
        <v>604324.56000000006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3.91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7490</v>
      </c>
      <c r="AW1911">
        <v>3350</v>
      </c>
      <c r="AX1911">
        <v>1219</v>
      </c>
      <c r="AY1911">
        <v>12059</v>
      </c>
      <c r="AZ1911">
        <v>4202</v>
      </c>
      <c r="BA1911">
        <v>7438</v>
      </c>
      <c r="BB1911">
        <v>1432</v>
      </c>
      <c r="BC1911">
        <v>13072</v>
      </c>
      <c r="BD1911">
        <v>9486</v>
      </c>
      <c r="BE1911">
        <v>9222</v>
      </c>
      <c r="BF1911">
        <v>1768</v>
      </c>
      <c r="BG1911">
        <v>20476</v>
      </c>
      <c r="BH1911">
        <v>0</v>
      </c>
      <c r="BI1911">
        <v>0</v>
      </c>
      <c r="BJ1911">
        <v>0</v>
      </c>
      <c r="BK1911">
        <v>0</v>
      </c>
      <c r="BL1911" s="2">
        <v>24.82</v>
      </c>
      <c r="BM1911" s="2">
        <v>42005.095138888886</v>
      </c>
      <c r="BN1911" s="2">
        <v>5.4</v>
      </c>
      <c r="BO1911" s="2">
        <v>42005.092361111114</v>
      </c>
      <c r="BP1911" s="2">
        <v>6.92</v>
      </c>
      <c r="BQ1911" s="2">
        <v>42005.092361111114</v>
      </c>
      <c r="BR1911" s="2">
        <v>11.07</v>
      </c>
      <c r="BS1911" s="2">
        <v>42005.092361111114</v>
      </c>
      <c r="BT1911">
        <v>0</v>
      </c>
      <c r="BU1911">
        <v>0</v>
      </c>
      <c r="BV1911" t="s">
        <v>135</v>
      </c>
      <c r="BW1911">
        <v>0</v>
      </c>
      <c r="BX1911">
        <v>0</v>
      </c>
      <c r="BY1911" t="s">
        <v>135</v>
      </c>
      <c r="BZ1911">
        <v>0</v>
      </c>
      <c r="CA1911">
        <v>0</v>
      </c>
      <c r="CB1911" t="s">
        <v>135</v>
      </c>
      <c r="CH1911" s="2"/>
      <c r="CJ1911" s="2"/>
      <c r="CL1911" s="2"/>
      <c r="CN1911" s="2"/>
      <c r="CQ1911" s="2"/>
      <c r="CT1911" s="2"/>
      <c r="CW1911" s="2"/>
    </row>
    <row r="1912" spans="1:101" x14ac:dyDescent="0.25">
      <c r="A1912" s="1" t="s">
        <v>163</v>
      </c>
      <c r="B1912" s="75" t="s">
        <v>164</v>
      </c>
      <c r="C1912">
        <v>0</v>
      </c>
      <c r="D1912">
        <v>0</v>
      </c>
      <c r="E1912">
        <v>0</v>
      </c>
      <c r="F1912">
        <v>604324.56000000006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3.91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7490</v>
      </c>
      <c r="AW1912">
        <v>3350</v>
      </c>
      <c r="AX1912">
        <v>1219</v>
      </c>
      <c r="AY1912">
        <v>12059</v>
      </c>
      <c r="AZ1912">
        <v>4202</v>
      </c>
      <c r="BA1912">
        <v>7438</v>
      </c>
      <c r="BB1912">
        <v>1432</v>
      </c>
      <c r="BC1912">
        <v>13072</v>
      </c>
      <c r="BD1912">
        <v>9486</v>
      </c>
      <c r="BE1912">
        <v>9222</v>
      </c>
      <c r="BF1912">
        <v>1768</v>
      </c>
      <c r="BG1912">
        <v>20476</v>
      </c>
      <c r="BH1912">
        <v>0</v>
      </c>
      <c r="BI1912">
        <v>0</v>
      </c>
      <c r="BJ1912">
        <v>0</v>
      </c>
      <c r="BK1912">
        <v>0</v>
      </c>
      <c r="BL1912" s="2">
        <v>24.82</v>
      </c>
      <c r="BM1912" s="2">
        <v>42005.095138888886</v>
      </c>
      <c r="BN1912" s="2">
        <v>5.4</v>
      </c>
      <c r="BO1912" s="2">
        <v>42005.092361111114</v>
      </c>
      <c r="BP1912" s="2">
        <v>6.92</v>
      </c>
      <c r="BQ1912" s="2">
        <v>42005.092361111114</v>
      </c>
      <c r="BR1912" s="2">
        <v>11.07</v>
      </c>
      <c r="BS1912" s="2">
        <v>42005.092361111114</v>
      </c>
      <c r="BT1912">
        <v>0</v>
      </c>
      <c r="BU1912">
        <v>0</v>
      </c>
      <c r="BV1912" t="s">
        <v>135</v>
      </c>
      <c r="BW1912">
        <v>0</v>
      </c>
      <c r="BX1912">
        <v>0</v>
      </c>
      <c r="BY1912" t="s">
        <v>135</v>
      </c>
      <c r="BZ1912">
        <v>0</v>
      </c>
      <c r="CA1912">
        <v>0</v>
      </c>
      <c r="CB1912" t="s">
        <v>135</v>
      </c>
      <c r="CH1912" s="2"/>
      <c r="CJ1912" s="2"/>
      <c r="CL1912" s="2"/>
      <c r="CN1912" s="2"/>
      <c r="CQ1912" s="2"/>
      <c r="CT1912" s="2"/>
      <c r="CW1912" s="2"/>
    </row>
    <row r="1913" spans="1:101" x14ac:dyDescent="0.25">
      <c r="A1913" s="1" t="s">
        <v>163</v>
      </c>
      <c r="B1913" s="75" t="s">
        <v>164</v>
      </c>
      <c r="C1913">
        <v>0</v>
      </c>
      <c r="D1913">
        <v>0</v>
      </c>
      <c r="E1913">
        <v>0</v>
      </c>
      <c r="F1913">
        <v>604324.56000000006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3.91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7490</v>
      </c>
      <c r="AW1913">
        <v>3350</v>
      </c>
      <c r="AX1913">
        <v>1219</v>
      </c>
      <c r="AY1913">
        <v>12059</v>
      </c>
      <c r="AZ1913">
        <v>4202</v>
      </c>
      <c r="BA1913">
        <v>7438</v>
      </c>
      <c r="BB1913">
        <v>1432</v>
      </c>
      <c r="BC1913">
        <v>13072</v>
      </c>
      <c r="BD1913">
        <v>9486</v>
      </c>
      <c r="BE1913">
        <v>9222</v>
      </c>
      <c r="BF1913">
        <v>1768</v>
      </c>
      <c r="BG1913">
        <v>20476</v>
      </c>
      <c r="BH1913">
        <v>0</v>
      </c>
      <c r="BI1913">
        <v>0</v>
      </c>
      <c r="BJ1913">
        <v>0</v>
      </c>
      <c r="BK1913">
        <v>0</v>
      </c>
      <c r="BL1913" s="2">
        <v>24.82</v>
      </c>
      <c r="BM1913" s="2">
        <v>42005.095138888886</v>
      </c>
      <c r="BN1913" s="2">
        <v>5.4</v>
      </c>
      <c r="BO1913" s="2">
        <v>42005.092361111114</v>
      </c>
      <c r="BP1913" s="2">
        <v>6.92</v>
      </c>
      <c r="BQ1913" s="2">
        <v>42005.092361111114</v>
      </c>
      <c r="BR1913" s="2">
        <v>11.07</v>
      </c>
      <c r="BS1913" s="2">
        <v>42005.092361111114</v>
      </c>
      <c r="BT1913">
        <v>0</v>
      </c>
      <c r="BU1913">
        <v>0</v>
      </c>
      <c r="BV1913" t="s">
        <v>135</v>
      </c>
      <c r="BW1913">
        <v>0</v>
      </c>
      <c r="BX1913">
        <v>0</v>
      </c>
      <c r="BY1913" t="s">
        <v>135</v>
      </c>
      <c r="BZ1913">
        <v>0</v>
      </c>
      <c r="CA1913">
        <v>0</v>
      </c>
      <c r="CB1913" t="s">
        <v>135</v>
      </c>
      <c r="CH1913" s="2"/>
      <c r="CJ1913" s="2"/>
      <c r="CL1913" s="2"/>
      <c r="CN1913" s="2"/>
      <c r="CQ1913" s="2"/>
      <c r="CT1913" s="2"/>
      <c r="CW1913" s="2"/>
    </row>
    <row r="1914" spans="1:101" x14ac:dyDescent="0.25">
      <c r="A1914" s="1" t="s">
        <v>163</v>
      </c>
      <c r="B1914" s="75" t="s">
        <v>164</v>
      </c>
      <c r="C1914">
        <v>0</v>
      </c>
      <c r="D1914">
        <v>0</v>
      </c>
      <c r="E1914">
        <v>0</v>
      </c>
      <c r="F1914">
        <v>604324.56000000006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3.91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7490</v>
      </c>
      <c r="AW1914">
        <v>3350</v>
      </c>
      <c r="AX1914">
        <v>1219</v>
      </c>
      <c r="AY1914">
        <v>12059</v>
      </c>
      <c r="AZ1914">
        <v>4202</v>
      </c>
      <c r="BA1914">
        <v>7438</v>
      </c>
      <c r="BB1914">
        <v>1432</v>
      </c>
      <c r="BC1914">
        <v>13072</v>
      </c>
      <c r="BD1914">
        <v>9486</v>
      </c>
      <c r="BE1914">
        <v>9222</v>
      </c>
      <c r="BF1914">
        <v>1768</v>
      </c>
      <c r="BG1914">
        <v>20476</v>
      </c>
      <c r="BH1914">
        <v>0</v>
      </c>
      <c r="BI1914">
        <v>0</v>
      </c>
      <c r="BJ1914">
        <v>0</v>
      </c>
      <c r="BK1914">
        <v>0</v>
      </c>
      <c r="BL1914" s="2">
        <v>24.82</v>
      </c>
      <c r="BM1914" s="2">
        <v>42005.095138888886</v>
      </c>
      <c r="BN1914" s="2">
        <v>5.4</v>
      </c>
      <c r="BO1914" s="2">
        <v>42005.092361111114</v>
      </c>
      <c r="BP1914" s="2">
        <v>6.92</v>
      </c>
      <c r="BQ1914" s="2">
        <v>42005.092361111114</v>
      </c>
      <c r="BR1914" s="2">
        <v>11.07</v>
      </c>
      <c r="BS1914" s="2">
        <v>42005.092361111114</v>
      </c>
      <c r="BT1914">
        <v>0</v>
      </c>
      <c r="BU1914">
        <v>0</v>
      </c>
      <c r="BV1914" t="s">
        <v>135</v>
      </c>
      <c r="BW1914">
        <v>0</v>
      </c>
      <c r="BX1914">
        <v>0</v>
      </c>
      <c r="BY1914" t="s">
        <v>135</v>
      </c>
      <c r="BZ1914">
        <v>0</v>
      </c>
      <c r="CA1914">
        <v>0</v>
      </c>
      <c r="CB1914" t="s">
        <v>135</v>
      </c>
      <c r="CH1914" s="2"/>
      <c r="CJ1914" s="2"/>
      <c r="CL1914" s="2"/>
      <c r="CN1914" s="2"/>
      <c r="CQ1914" s="2"/>
      <c r="CT1914" s="2"/>
      <c r="CW1914" s="2"/>
    </row>
    <row r="1915" spans="1:101" x14ac:dyDescent="0.25">
      <c r="A1915" s="1" t="s">
        <v>163</v>
      </c>
      <c r="B1915" s="75" t="s">
        <v>164</v>
      </c>
      <c r="C1915">
        <v>0</v>
      </c>
      <c r="D1915">
        <v>0</v>
      </c>
      <c r="E1915">
        <v>0</v>
      </c>
      <c r="F1915">
        <v>604324.56000000006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3.91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7490</v>
      </c>
      <c r="AW1915">
        <v>3350</v>
      </c>
      <c r="AX1915">
        <v>1219</v>
      </c>
      <c r="AY1915">
        <v>12059</v>
      </c>
      <c r="AZ1915">
        <v>4202</v>
      </c>
      <c r="BA1915">
        <v>7438</v>
      </c>
      <c r="BB1915">
        <v>1432</v>
      </c>
      <c r="BC1915">
        <v>13072</v>
      </c>
      <c r="BD1915">
        <v>9486</v>
      </c>
      <c r="BE1915">
        <v>9222</v>
      </c>
      <c r="BF1915">
        <v>1768</v>
      </c>
      <c r="BG1915">
        <v>20476</v>
      </c>
      <c r="BH1915">
        <v>0</v>
      </c>
      <c r="BI1915">
        <v>0</v>
      </c>
      <c r="BJ1915">
        <v>0</v>
      </c>
      <c r="BK1915">
        <v>0</v>
      </c>
      <c r="BL1915" s="2">
        <v>24.82</v>
      </c>
      <c r="BM1915" s="2">
        <v>42005.095138888886</v>
      </c>
      <c r="BN1915" s="2">
        <v>5.4</v>
      </c>
      <c r="BO1915" s="2">
        <v>42005.092361111114</v>
      </c>
      <c r="BP1915" s="2">
        <v>6.92</v>
      </c>
      <c r="BQ1915" s="2">
        <v>42005.092361111114</v>
      </c>
      <c r="BR1915" s="2">
        <v>11.07</v>
      </c>
      <c r="BS1915" s="2">
        <v>42005.092361111114</v>
      </c>
      <c r="BT1915">
        <v>0</v>
      </c>
      <c r="BU1915">
        <v>0</v>
      </c>
      <c r="BV1915" t="s">
        <v>135</v>
      </c>
      <c r="BW1915">
        <v>0</v>
      </c>
      <c r="BX1915">
        <v>0</v>
      </c>
      <c r="BY1915" t="s">
        <v>135</v>
      </c>
      <c r="BZ1915">
        <v>0</v>
      </c>
      <c r="CA1915">
        <v>0</v>
      </c>
      <c r="CB1915" t="s">
        <v>135</v>
      </c>
      <c r="CH1915" s="2"/>
      <c r="CJ1915" s="2"/>
      <c r="CL1915" s="2"/>
      <c r="CN1915" s="2"/>
      <c r="CQ1915" s="2"/>
      <c r="CT1915" s="2"/>
      <c r="CW1915" s="2"/>
    </row>
    <row r="1916" spans="1:101" x14ac:dyDescent="0.25">
      <c r="A1916" s="1" t="s">
        <v>163</v>
      </c>
      <c r="B1916" s="75" t="s">
        <v>164</v>
      </c>
      <c r="C1916">
        <v>0</v>
      </c>
      <c r="D1916">
        <v>0</v>
      </c>
      <c r="E1916">
        <v>0</v>
      </c>
      <c r="F1916">
        <v>604324.56000000006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3.91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7490</v>
      </c>
      <c r="AW1916">
        <v>3350</v>
      </c>
      <c r="AX1916">
        <v>1219</v>
      </c>
      <c r="AY1916">
        <v>12059</v>
      </c>
      <c r="AZ1916">
        <v>4202</v>
      </c>
      <c r="BA1916">
        <v>7438</v>
      </c>
      <c r="BB1916">
        <v>1432</v>
      </c>
      <c r="BC1916">
        <v>13072</v>
      </c>
      <c r="BD1916">
        <v>9486</v>
      </c>
      <c r="BE1916">
        <v>9222</v>
      </c>
      <c r="BF1916">
        <v>1768</v>
      </c>
      <c r="BG1916">
        <v>20476</v>
      </c>
      <c r="BH1916">
        <v>0</v>
      </c>
      <c r="BI1916">
        <v>0</v>
      </c>
      <c r="BJ1916">
        <v>0</v>
      </c>
      <c r="BK1916">
        <v>0</v>
      </c>
      <c r="BL1916" s="2">
        <v>24.82</v>
      </c>
      <c r="BM1916" s="2">
        <v>42005.095138888886</v>
      </c>
      <c r="BN1916" s="2">
        <v>5.4</v>
      </c>
      <c r="BO1916" s="2">
        <v>42005.092361111114</v>
      </c>
      <c r="BP1916" s="2">
        <v>6.92</v>
      </c>
      <c r="BQ1916" s="2">
        <v>42005.092361111114</v>
      </c>
      <c r="BR1916" s="2">
        <v>11.07</v>
      </c>
      <c r="BS1916" s="2">
        <v>42005.092361111114</v>
      </c>
      <c r="BT1916">
        <v>0</v>
      </c>
      <c r="BU1916">
        <v>0</v>
      </c>
      <c r="BV1916" t="s">
        <v>135</v>
      </c>
      <c r="BW1916">
        <v>0</v>
      </c>
      <c r="BX1916">
        <v>0</v>
      </c>
      <c r="BY1916" t="s">
        <v>135</v>
      </c>
      <c r="BZ1916">
        <v>0</v>
      </c>
      <c r="CA1916">
        <v>0</v>
      </c>
      <c r="CB1916" t="s">
        <v>135</v>
      </c>
      <c r="CH1916" s="2"/>
      <c r="CJ1916" s="2"/>
      <c r="CL1916" s="2"/>
      <c r="CN1916" s="2"/>
      <c r="CQ1916" s="2"/>
      <c r="CT1916" s="2"/>
      <c r="CW1916" s="2"/>
    </row>
    <row r="1917" spans="1:101" x14ac:dyDescent="0.25">
      <c r="A1917" s="1" t="s">
        <v>163</v>
      </c>
      <c r="B1917" s="75" t="s">
        <v>164</v>
      </c>
      <c r="C1917">
        <v>0</v>
      </c>
      <c r="D1917">
        <v>0</v>
      </c>
      <c r="E1917">
        <v>0</v>
      </c>
      <c r="F1917">
        <v>604324.56000000006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3.91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7490</v>
      </c>
      <c r="AW1917">
        <v>3350</v>
      </c>
      <c r="AX1917">
        <v>1219</v>
      </c>
      <c r="AY1917">
        <v>12059</v>
      </c>
      <c r="AZ1917">
        <v>4202</v>
      </c>
      <c r="BA1917">
        <v>7438</v>
      </c>
      <c r="BB1917">
        <v>1432</v>
      </c>
      <c r="BC1917">
        <v>13072</v>
      </c>
      <c r="BD1917">
        <v>9486</v>
      </c>
      <c r="BE1917">
        <v>9222</v>
      </c>
      <c r="BF1917">
        <v>1768</v>
      </c>
      <c r="BG1917">
        <v>20476</v>
      </c>
      <c r="BH1917">
        <v>0</v>
      </c>
      <c r="BI1917">
        <v>0</v>
      </c>
      <c r="BJ1917">
        <v>0</v>
      </c>
      <c r="BK1917">
        <v>0</v>
      </c>
      <c r="BL1917" s="2">
        <v>24.82</v>
      </c>
      <c r="BM1917" s="2">
        <v>42005.095138888886</v>
      </c>
      <c r="BN1917" s="2">
        <v>5.4</v>
      </c>
      <c r="BO1917" s="2">
        <v>42005.092361111114</v>
      </c>
      <c r="BP1917" s="2">
        <v>6.92</v>
      </c>
      <c r="BQ1917" s="2">
        <v>42005.092361111114</v>
      </c>
      <c r="BR1917" s="2">
        <v>11.07</v>
      </c>
      <c r="BS1917" s="2">
        <v>42005.092361111114</v>
      </c>
      <c r="BT1917">
        <v>0</v>
      </c>
      <c r="BU1917">
        <v>0</v>
      </c>
      <c r="BV1917" t="s">
        <v>135</v>
      </c>
      <c r="BW1917">
        <v>0</v>
      </c>
      <c r="BX1917">
        <v>0</v>
      </c>
      <c r="BY1917" t="s">
        <v>135</v>
      </c>
      <c r="BZ1917">
        <v>0</v>
      </c>
      <c r="CA1917">
        <v>0</v>
      </c>
      <c r="CB1917" t="s">
        <v>135</v>
      </c>
      <c r="CH1917" s="2"/>
      <c r="CJ1917" s="2"/>
      <c r="CL1917" s="2"/>
      <c r="CN1917" s="2"/>
      <c r="CQ1917" s="2"/>
      <c r="CT1917" s="2"/>
      <c r="CW1917" s="2"/>
    </row>
    <row r="1918" spans="1:101" x14ac:dyDescent="0.25">
      <c r="A1918" s="1" t="s">
        <v>163</v>
      </c>
      <c r="B1918" s="75" t="s">
        <v>164</v>
      </c>
      <c r="C1918">
        <v>0</v>
      </c>
      <c r="D1918">
        <v>0</v>
      </c>
      <c r="E1918">
        <v>0</v>
      </c>
      <c r="F1918">
        <v>604324.56000000006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3.91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7490</v>
      </c>
      <c r="AW1918">
        <v>3350</v>
      </c>
      <c r="AX1918">
        <v>1219</v>
      </c>
      <c r="AY1918">
        <v>12059</v>
      </c>
      <c r="AZ1918">
        <v>4202</v>
      </c>
      <c r="BA1918">
        <v>7438</v>
      </c>
      <c r="BB1918">
        <v>1432</v>
      </c>
      <c r="BC1918">
        <v>13072</v>
      </c>
      <c r="BD1918">
        <v>9486</v>
      </c>
      <c r="BE1918">
        <v>9222</v>
      </c>
      <c r="BF1918">
        <v>1768</v>
      </c>
      <c r="BG1918">
        <v>20476</v>
      </c>
      <c r="BH1918">
        <v>0</v>
      </c>
      <c r="BI1918">
        <v>0</v>
      </c>
      <c r="BJ1918">
        <v>0</v>
      </c>
      <c r="BK1918">
        <v>0</v>
      </c>
      <c r="BL1918" s="2">
        <v>24.82</v>
      </c>
      <c r="BM1918" s="2">
        <v>42005.095138888886</v>
      </c>
      <c r="BN1918" s="2">
        <v>5.4</v>
      </c>
      <c r="BO1918" s="2">
        <v>42005.092361111114</v>
      </c>
      <c r="BP1918" s="2">
        <v>6.92</v>
      </c>
      <c r="BQ1918" s="2">
        <v>42005.092361111114</v>
      </c>
      <c r="BR1918" s="2">
        <v>11.07</v>
      </c>
      <c r="BS1918" s="2">
        <v>42005.092361111114</v>
      </c>
      <c r="BT1918">
        <v>0</v>
      </c>
      <c r="BU1918">
        <v>0</v>
      </c>
      <c r="BV1918" t="s">
        <v>135</v>
      </c>
      <c r="BW1918">
        <v>0</v>
      </c>
      <c r="BX1918">
        <v>0</v>
      </c>
      <c r="BY1918" t="s">
        <v>135</v>
      </c>
      <c r="BZ1918">
        <v>0</v>
      </c>
      <c r="CA1918">
        <v>0</v>
      </c>
      <c r="CB1918" t="s">
        <v>135</v>
      </c>
      <c r="CH1918" s="2"/>
      <c r="CJ1918" s="2"/>
      <c r="CL1918" s="2"/>
      <c r="CN1918" s="2"/>
      <c r="CQ1918" s="2"/>
      <c r="CT1918" s="2"/>
      <c r="CW1918" s="2"/>
    </row>
    <row r="1919" spans="1:101" x14ac:dyDescent="0.25">
      <c r="A1919" s="1" t="s">
        <v>163</v>
      </c>
      <c r="B1919" s="75" t="s">
        <v>164</v>
      </c>
      <c r="C1919">
        <v>0</v>
      </c>
      <c r="D1919">
        <v>0</v>
      </c>
      <c r="E1919">
        <v>0</v>
      </c>
      <c r="F1919">
        <v>604324.56000000006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3.91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7490</v>
      </c>
      <c r="AW1919">
        <v>3350</v>
      </c>
      <c r="AX1919">
        <v>1219</v>
      </c>
      <c r="AY1919">
        <v>12059</v>
      </c>
      <c r="AZ1919">
        <v>4202</v>
      </c>
      <c r="BA1919">
        <v>7438</v>
      </c>
      <c r="BB1919">
        <v>1432</v>
      </c>
      <c r="BC1919">
        <v>13072</v>
      </c>
      <c r="BD1919">
        <v>9486</v>
      </c>
      <c r="BE1919">
        <v>9222</v>
      </c>
      <c r="BF1919">
        <v>1768</v>
      </c>
      <c r="BG1919">
        <v>20476</v>
      </c>
      <c r="BH1919">
        <v>0</v>
      </c>
      <c r="BI1919">
        <v>0</v>
      </c>
      <c r="BJ1919">
        <v>0</v>
      </c>
      <c r="BK1919">
        <v>0</v>
      </c>
      <c r="BL1919" s="2">
        <v>24.82</v>
      </c>
      <c r="BM1919" s="2">
        <v>42005.095138888886</v>
      </c>
      <c r="BN1919" s="2">
        <v>5.4</v>
      </c>
      <c r="BO1919" s="2">
        <v>42005.092361111114</v>
      </c>
      <c r="BP1919" s="2">
        <v>6.92</v>
      </c>
      <c r="BQ1919" s="2">
        <v>42005.092361111114</v>
      </c>
      <c r="BR1919" s="2">
        <v>11.07</v>
      </c>
      <c r="BS1919" s="2">
        <v>42005.092361111114</v>
      </c>
      <c r="BT1919">
        <v>0</v>
      </c>
      <c r="BU1919">
        <v>0</v>
      </c>
      <c r="BV1919" t="s">
        <v>135</v>
      </c>
      <c r="BW1919">
        <v>0</v>
      </c>
      <c r="BX1919">
        <v>0</v>
      </c>
      <c r="BY1919" t="s">
        <v>135</v>
      </c>
      <c r="BZ1919">
        <v>0</v>
      </c>
      <c r="CA1919">
        <v>0</v>
      </c>
      <c r="CB1919" t="s">
        <v>135</v>
      </c>
      <c r="CH1919" s="2"/>
      <c r="CJ1919" s="2"/>
      <c r="CL1919" s="2"/>
      <c r="CN1919" s="2"/>
      <c r="CQ1919" s="2"/>
      <c r="CT1919" s="2"/>
      <c r="CW1919" s="2"/>
    </row>
    <row r="1920" spans="1:101" x14ac:dyDescent="0.25">
      <c r="A1920" s="1" t="s">
        <v>163</v>
      </c>
      <c r="B1920" s="75" t="s">
        <v>164</v>
      </c>
      <c r="C1920">
        <v>0</v>
      </c>
      <c r="D1920">
        <v>0</v>
      </c>
      <c r="E1920">
        <v>0</v>
      </c>
      <c r="F1920">
        <v>604324.56000000006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3.91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7490</v>
      </c>
      <c r="AW1920">
        <v>3350</v>
      </c>
      <c r="AX1920">
        <v>1219</v>
      </c>
      <c r="AY1920">
        <v>12059</v>
      </c>
      <c r="AZ1920">
        <v>4202</v>
      </c>
      <c r="BA1920">
        <v>7438</v>
      </c>
      <c r="BB1920">
        <v>1432</v>
      </c>
      <c r="BC1920">
        <v>13072</v>
      </c>
      <c r="BD1920">
        <v>9486</v>
      </c>
      <c r="BE1920">
        <v>9222</v>
      </c>
      <c r="BF1920">
        <v>1768</v>
      </c>
      <c r="BG1920">
        <v>20476</v>
      </c>
      <c r="BH1920">
        <v>0</v>
      </c>
      <c r="BI1920">
        <v>0</v>
      </c>
      <c r="BJ1920">
        <v>0</v>
      </c>
      <c r="BK1920">
        <v>0</v>
      </c>
      <c r="BL1920" s="2">
        <v>24.82</v>
      </c>
      <c r="BM1920" s="2">
        <v>42005.095138888886</v>
      </c>
      <c r="BN1920" s="2">
        <v>5.4</v>
      </c>
      <c r="BO1920" s="2">
        <v>42005.092361111114</v>
      </c>
      <c r="BP1920" s="2">
        <v>6.92</v>
      </c>
      <c r="BQ1920" s="2">
        <v>42005.092361111114</v>
      </c>
      <c r="BR1920" s="2">
        <v>11.07</v>
      </c>
      <c r="BS1920" s="2">
        <v>42005.092361111114</v>
      </c>
      <c r="BT1920">
        <v>0</v>
      </c>
      <c r="BU1920">
        <v>0</v>
      </c>
      <c r="BV1920" t="s">
        <v>135</v>
      </c>
      <c r="BW1920">
        <v>0</v>
      </c>
      <c r="BX1920">
        <v>0</v>
      </c>
      <c r="BY1920" t="s">
        <v>135</v>
      </c>
      <c r="BZ1920">
        <v>0</v>
      </c>
      <c r="CA1920">
        <v>0</v>
      </c>
      <c r="CB1920" t="s">
        <v>135</v>
      </c>
      <c r="CH1920" s="2"/>
      <c r="CJ1920" s="2"/>
      <c r="CL1920" s="2"/>
      <c r="CN1920" s="2"/>
      <c r="CQ1920" s="2"/>
      <c r="CT1920" s="2"/>
      <c r="CW1920" s="2"/>
    </row>
    <row r="1921" spans="1:101" x14ac:dyDescent="0.25">
      <c r="A1921" s="1" t="s">
        <v>163</v>
      </c>
      <c r="B1921" s="75" t="s">
        <v>164</v>
      </c>
      <c r="C1921">
        <v>0</v>
      </c>
      <c r="D1921">
        <v>0</v>
      </c>
      <c r="E1921">
        <v>0</v>
      </c>
      <c r="F1921">
        <v>604324.56000000006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3.91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7490</v>
      </c>
      <c r="AW1921">
        <v>3350</v>
      </c>
      <c r="AX1921">
        <v>1219</v>
      </c>
      <c r="AY1921">
        <v>12059</v>
      </c>
      <c r="AZ1921">
        <v>4202</v>
      </c>
      <c r="BA1921">
        <v>7438</v>
      </c>
      <c r="BB1921">
        <v>1432</v>
      </c>
      <c r="BC1921">
        <v>13072</v>
      </c>
      <c r="BD1921">
        <v>9486</v>
      </c>
      <c r="BE1921">
        <v>9222</v>
      </c>
      <c r="BF1921">
        <v>1768</v>
      </c>
      <c r="BG1921">
        <v>20476</v>
      </c>
      <c r="BH1921">
        <v>0</v>
      </c>
      <c r="BI1921">
        <v>0</v>
      </c>
      <c r="BJ1921">
        <v>0</v>
      </c>
      <c r="BK1921">
        <v>0</v>
      </c>
      <c r="BL1921" s="2">
        <v>24.82</v>
      </c>
      <c r="BM1921" s="2">
        <v>42005.095138888886</v>
      </c>
      <c r="BN1921" s="2">
        <v>5.4</v>
      </c>
      <c r="BO1921" s="2">
        <v>42005.092361111114</v>
      </c>
      <c r="BP1921" s="2">
        <v>6.92</v>
      </c>
      <c r="BQ1921" s="2">
        <v>42005.092361111114</v>
      </c>
      <c r="BR1921" s="2">
        <v>11.07</v>
      </c>
      <c r="BS1921" s="2">
        <v>42005.092361111114</v>
      </c>
      <c r="BT1921">
        <v>0</v>
      </c>
      <c r="BU1921">
        <v>0</v>
      </c>
      <c r="BV1921" t="s">
        <v>135</v>
      </c>
      <c r="BW1921">
        <v>0</v>
      </c>
      <c r="BX1921">
        <v>0</v>
      </c>
      <c r="BY1921" t="s">
        <v>135</v>
      </c>
      <c r="BZ1921">
        <v>0</v>
      </c>
      <c r="CA1921">
        <v>0</v>
      </c>
      <c r="CB1921" t="s">
        <v>135</v>
      </c>
      <c r="CH1921" s="2"/>
      <c r="CJ1921" s="2"/>
      <c r="CL1921" s="2"/>
      <c r="CN1921" s="2"/>
      <c r="CQ1921" s="2"/>
      <c r="CT1921" s="2"/>
      <c r="CW1921" s="2"/>
    </row>
    <row r="1922" spans="1:101" x14ac:dyDescent="0.25">
      <c r="A1922" s="1" t="s">
        <v>163</v>
      </c>
      <c r="B1922" s="75" t="s">
        <v>164</v>
      </c>
      <c r="C1922">
        <v>0</v>
      </c>
      <c r="D1922">
        <v>0</v>
      </c>
      <c r="E1922">
        <v>0</v>
      </c>
      <c r="F1922">
        <v>604324.56000000006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3.91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7490</v>
      </c>
      <c r="AW1922">
        <v>3350</v>
      </c>
      <c r="AX1922">
        <v>1219</v>
      </c>
      <c r="AY1922">
        <v>12059</v>
      </c>
      <c r="AZ1922">
        <v>4202</v>
      </c>
      <c r="BA1922">
        <v>7438</v>
      </c>
      <c r="BB1922">
        <v>1432</v>
      </c>
      <c r="BC1922">
        <v>13072</v>
      </c>
      <c r="BD1922">
        <v>9486</v>
      </c>
      <c r="BE1922">
        <v>9222</v>
      </c>
      <c r="BF1922">
        <v>1768</v>
      </c>
      <c r="BG1922">
        <v>20476</v>
      </c>
      <c r="BH1922">
        <v>0</v>
      </c>
      <c r="BI1922">
        <v>0</v>
      </c>
      <c r="BJ1922">
        <v>0</v>
      </c>
      <c r="BK1922">
        <v>0</v>
      </c>
      <c r="BL1922" s="2">
        <v>24.82</v>
      </c>
      <c r="BM1922" s="2">
        <v>42005.095138888886</v>
      </c>
      <c r="BN1922" s="2">
        <v>5.4</v>
      </c>
      <c r="BO1922" s="2">
        <v>42005.092361111114</v>
      </c>
      <c r="BP1922" s="2">
        <v>6.92</v>
      </c>
      <c r="BQ1922" s="2">
        <v>42005.092361111114</v>
      </c>
      <c r="BR1922" s="2">
        <v>11.07</v>
      </c>
      <c r="BS1922" s="2">
        <v>42005.092361111114</v>
      </c>
      <c r="BT1922">
        <v>0</v>
      </c>
      <c r="BU1922">
        <v>0</v>
      </c>
      <c r="BV1922" t="s">
        <v>135</v>
      </c>
      <c r="BW1922">
        <v>0</v>
      </c>
      <c r="BX1922">
        <v>0</v>
      </c>
      <c r="BY1922" t="s">
        <v>135</v>
      </c>
      <c r="BZ1922">
        <v>0</v>
      </c>
      <c r="CA1922">
        <v>0</v>
      </c>
      <c r="CB1922" t="s">
        <v>135</v>
      </c>
      <c r="CH1922" s="2"/>
      <c r="CJ1922" s="2"/>
      <c r="CL1922" s="2"/>
      <c r="CN1922" s="2"/>
      <c r="CQ1922" s="2"/>
      <c r="CT1922" s="2"/>
      <c r="CW1922" s="2"/>
    </row>
    <row r="1923" spans="1:101" x14ac:dyDescent="0.25">
      <c r="A1923" s="1" t="s">
        <v>163</v>
      </c>
      <c r="B1923" s="75" t="s">
        <v>164</v>
      </c>
      <c r="C1923">
        <v>0</v>
      </c>
      <c r="D1923">
        <v>0</v>
      </c>
      <c r="E1923">
        <v>0</v>
      </c>
      <c r="F1923">
        <v>604324.56000000006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3.91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7490</v>
      </c>
      <c r="AW1923">
        <v>3350</v>
      </c>
      <c r="AX1923">
        <v>1219</v>
      </c>
      <c r="AY1923">
        <v>12059</v>
      </c>
      <c r="AZ1923">
        <v>4202</v>
      </c>
      <c r="BA1923">
        <v>7438</v>
      </c>
      <c r="BB1923">
        <v>1432</v>
      </c>
      <c r="BC1923">
        <v>13072</v>
      </c>
      <c r="BD1923">
        <v>9486</v>
      </c>
      <c r="BE1923">
        <v>9222</v>
      </c>
      <c r="BF1923">
        <v>1768</v>
      </c>
      <c r="BG1923">
        <v>20476</v>
      </c>
      <c r="BH1923">
        <v>0</v>
      </c>
      <c r="BI1923">
        <v>0</v>
      </c>
      <c r="BJ1923">
        <v>0</v>
      </c>
      <c r="BK1923">
        <v>0</v>
      </c>
      <c r="BL1923" s="2">
        <v>24.82</v>
      </c>
      <c r="BM1923" s="2">
        <v>42005.095138888886</v>
      </c>
      <c r="BN1923" s="2">
        <v>5.4</v>
      </c>
      <c r="BO1923" s="2">
        <v>42005.092361111114</v>
      </c>
      <c r="BP1923" s="2">
        <v>6.92</v>
      </c>
      <c r="BQ1923" s="2">
        <v>42005.092361111114</v>
      </c>
      <c r="BR1923" s="2">
        <v>11.07</v>
      </c>
      <c r="BS1923" s="2">
        <v>42005.092361111114</v>
      </c>
      <c r="BT1923">
        <v>0</v>
      </c>
      <c r="BU1923">
        <v>0</v>
      </c>
      <c r="BV1923" t="s">
        <v>135</v>
      </c>
      <c r="BW1923">
        <v>0</v>
      </c>
      <c r="BX1923">
        <v>0</v>
      </c>
      <c r="BY1923" t="s">
        <v>135</v>
      </c>
      <c r="BZ1923">
        <v>0</v>
      </c>
      <c r="CA1923">
        <v>0</v>
      </c>
      <c r="CB1923" t="s">
        <v>135</v>
      </c>
      <c r="CH1923" s="2"/>
      <c r="CJ1923" s="2"/>
      <c r="CL1923" s="2"/>
      <c r="CN1923" s="2"/>
      <c r="CQ1923" s="2"/>
      <c r="CT1923" s="2"/>
      <c r="CW1923" s="2"/>
    </row>
    <row r="1924" spans="1:101" x14ac:dyDescent="0.25">
      <c r="A1924" s="1" t="s">
        <v>163</v>
      </c>
      <c r="B1924" s="75" t="s">
        <v>164</v>
      </c>
      <c r="C1924">
        <v>0</v>
      </c>
      <c r="D1924">
        <v>0</v>
      </c>
      <c r="E1924">
        <v>0</v>
      </c>
      <c r="F1924">
        <v>604324.56000000006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3.91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7490</v>
      </c>
      <c r="AW1924">
        <v>3350</v>
      </c>
      <c r="AX1924">
        <v>1219</v>
      </c>
      <c r="AY1924">
        <v>12059</v>
      </c>
      <c r="AZ1924">
        <v>4202</v>
      </c>
      <c r="BA1924">
        <v>7438</v>
      </c>
      <c r="BB1924">
        <v>1432</v>
      </c>
      <c r="BC1924">
        <v>13072</v>
      </c>
      <c r="BD1924">
        <v>9486</v>
      </c>
      <c r="BE1924">
        <v>9222</v>
      </c>
      <c r="BF1924">
        <v>1768</v>
      </c>
      <c r="BG1924">
        <v>20476</v>
      </c>
      <c r="BH1924">
        <v>0</v>
      </c>
      <c r="BI1924">
        <v>0</v>
      </c>
      <c r="BJ1924">
        <v>0</v>
      </c>
      <c r="BK1924">
        <v>0</v>
      </c>
      <c r="BL1924" s="2">
        <v>24.82</v>
      </c>
      <c r="BM1924" s="2">
        <v>42005.095138888886</v>
      </c>
      <c r="BN1924" s="2">
        <v>5.4</v>
      </c>
      <c r="BO1924" s="2">
        <v>42005.092361111114</v>
      </c>
      <c r="BP1924" s="2">
        <v>6.92</v>
      </c>
      <c r="BQ1924" s="2">
        <v>42005.092361111114</v>
      </c>
      <c r="BR1924" s="2">
        <v>11.07</v>
      </c>
      <c r="BS1924" s="2">
        <v>42005.092361111114</v>
      </c>
      <c r="BT1924">
        <v>0</v>
      </c>
      <c r="BU1924">
        <v>0</v>
      </c>
      <c r="BV1924" t="s">
        <v>135</v>
      </c>
      <c r="BW1924">
        <v>0</v>
      </c>
      <c r="BX1924">
        <v>0</v>
      </c>
      <c r="BY1924" t="s">
        <v>135</v>
      </c>
      <c r="BZ1924">
        <v>0</v>
      </c>
      <c r="CA1924">
        <v>0</v>
      </c>
      <c r="CB1924" t="s">
        <v>135</v>
      </c>
      <c r="CH1924" s="2"/>
      <c r="CJ1924" s="2"/>
      <c r="CL1924" s="2"/>
      <c r="CN1924" s="2"/>
      <c r="CQ1924" s="2"/>
      <c r="CT1924" s="2"/>
      <c r="CW1924" s="2"/>
    </row>
    <row r="1925" spans="1:101" x14ac:dyDescent="0.25">
      <c r="A1925" s="1" t="s">
        <v>163</v>
      </c>
      <c r="B1925" s="75" t="s">
        <v>164</v>
      </c>
      <c r="C1925">
        <v>0</v>
      </c>
      <c r="D1925">
        <v>0</v>
      </c>
      <c r="E1925">
        <v>0</v>
      </c>
      <c r="F1925">
        <v>604324.56000000006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3.91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7490</v>
      </c>
      <c r="AW1925">
        <v>3350</v>
      </c>
      <c r="AX1925">
        <v>1219</v>
      </c>
      <c r="AY1925">
        <v>12059</v>
      </c>
      <c r="AZ1925">
        <v>4202</v>
      </c>
      <c r="BA1925">
        <v>7438</v>
      </c>
      <c r="BB1925">
        <v>1432</v>
      </c>
      <c r="BC1925">
        <v>13072</v>
      </c>
      <c r="BD1925">
        <v>9486</v>
      </c>
      <c r="BE1925">
        <v>9222</v>
      </c>
      <c r="BF1925">
        <v>1768</v>
      </c>
      <c r="BG1925">
        <v>20476</v>
      </c>
      <c r="BH1925">
        <v>0</v>
      </c>
      <c r="BI1925">
        <v>0</v>
      </c>
      <c r="BJ1925">
        <v>0</v>
      </c>
      <c r="BK1925">
        <v>0</v>
      </c>
      <c r="BL1925" s="2">
        <v>24.82</v>
      </c>
      <c r="BM1925" s="2">
        <v>42005.095138888886</v>
      </c>
      <c r="BN1925" s="2">
        <v>5.4</v>
      </c>
      <c r="BO1925" s="2">
        <v>42005.092361111114</v>
      </c>
      <c r="BP1925" s="2">
        <v>6.92</v>
      </c>
      <c r="BQ1925" s="2">
        <v>42005.092361111114</v>
      </c>
      <c r="BR1925" s="2">
        <v>11.07</v>
      </c>
      <c r="BS1925" s="2">
        <v>42005.092361111114</v>
      </c>
      <c r="BT1925">
        <v>0</v>
      </c>
      <c r="BU1925">
        <v>0</v>
      </c>
      <c r="BV1925" t="s">
        <v>135</v>
      </c>
      <c r="BW1925">
        <v>0</v>
      </c>
      <c r="BX1925">
        <v>0</v>
      </c>
      <c r="BY1925" t="s">
        <v>135</v>
      </c>
      <c r="BZ1925">
        <v>0</v>
      </c>
      <c r="CA1925">
        <v>0</v>
      </c>
      <c r="CB1925" t="s">
        <v>135</v>
      </c>
      <c r="CH1925" s="2"/>
      <c r="CJ1925" s="2"/>
      <c r="CL1925" s="2"/>
      <c r="CN1925" s="2"/>
      <c r="CQ1925" s="2"/>
      <c r="CT1925" s="2"/>
      <c r="CW1925" s="2"/>
    </row>
    <row r="1926" spans="1:101" x14ac:dyDescent="0.25">
      <c r="A1926" s="1" t="s">
        <v>163</v>
      </c>
      <c r="B1926" s="75" t="s">
        <v>164</v>
      </c>
      <c r="C1926">
        <v>0</v>
      </c>
      <c r="D1926">
        <v>0</v>
      </c>
      <c r="E1926">
        <v>0</v>
      </c>
      <c r="F1926">
        <v>604324.56000000006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3.91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7490</v>
      </c>
      <c r="AW1926">
        <v>3350</v>
      </c>
      <c r="AX1926">
        <v>1219</v>
      </c>
      <c r="AY1926">
        <v>12059</v>
      </c>
      <c r="AZ1926">
        <v>4202</v>
      </c>
      <c r="BA1926">
        <v>7438</v>
      </c>
      <c r="BB1926">
        <v>1432</v>
      </c>
      <c r="BC1926">
        <v>13072</v>
      </c>
      <c r="BD1926">
        <v>9486</v>
      </c>
      <c r="BE1926">
        <v>9222</v>
      </c>
      <c r="BF1926">
        <v>1768</v>
      </c>
      <c r="BG1926">
        <v>20476</v>
      </c>
      <c r="BH1926">
        <v>0</v>
      </c>
      <c r="BI1926">
        <v>0</v>
      </c>
      <c r="BJ1926">
        <v>0</v>
      </c>
      <c r="BK1926">
        <v>0</v>
      </c>
      <c r="BL1926" s="2">
        <v>24.82</v>
      </c>
      <c r="BM1926" s="2">
        <v>42005.095138888886</v>
      </c>
      <c r="BN1926" s="2">
        <v>5.4</v>
      </c>
      <c r="BO1926" s="2">
        <v>42005.092361111114</v>
      </c>
      <c r="BP1926" s="2">
        <v>6.92</v>
      </c>
      <c r="BQ1926" s="2">
        <v>42005.092361111114</v>
      </c>
      <c r="BR1926" s="2">
        <v>11.07</v>
      </c>
      <c r="BS1926" s="2">
        <v>42005.092361111114</v>
      </c>
      <c r="BT1926">
        <v>0</v>
      </c>
      <c r="BU1926">
        <v>0</v>
      </c>
      <c r="BV1926" t="s">
        <v>135</v>
      </c>
      <c r="BW1926">
        <v>0</v>
      </c>
      <c r="BX1926">
        <v>0</v>
      </c>
      <c r="BY1926" t="s">
        <v>135</v>
      </c>
      <c r="BZ1926">
        <v>0</v>
      </c>
      <c r="CA1926">
        <v>0</v>
      </c>
      <c r="CB1926" t="s">
        <v>135</v>
      </c>
      <c r="CH1926" s="2"/>
      <c r="CJ1926" s="2"/>
      <c r="CL1926" s="2"/>
      <c r="CN1926" s="2"/>
      <c r="CQ1926" s="2"/>
      <c r="CT1926" s="2"/>
      <c r="CW1926" s="2"/>
    </row>
    <row r="1927" spans="1:101" x14ac:dyDescent="0.25">
      <c r="A1927" s="1" t="s">
        <v>163</v>
      </c>
      <c r="B1927" s="75" t="s">
        <v>164</v>
      </c>
      <c r="C1927">
        <v>0</v>
      </c>
      <c r="D1927">
        <v>0</v>
      </c>
      <c r="E1927">
        <v>0</v>
      </c>
      <c r="F1927">
        <v>604324.56000000006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3.91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7490</v>
      </c>
      <c r="AW1927">
        <v>3350</v>
      </c>
      <c r="AX1927">
        <v>1219</v>
      </c>
      <c r="AY1927">
        <v>12059</v>
      </c>
      <c r="AZ1927">
        <v>4202</v>
      </c>
      <c r="BA1927">
        <v>7438</v>
      </c>
      <c r="BB1927">
        <v>1432</v>
      </c>
      <c r="BC1927">
        <v>13072</v>
      </c>
      <c r="BD1927">
        <v>9486</v>
      </c>
      <c r="BE1927">
        <v>9222</v>
      </c>
      <c r="BF1927">
        <v>1768</v>
      </c>
      <c r="BG1927">
        <v>20476</v>
      </c>
      <c r="BH1927">
        <v>0</v>
      </c>
      <c r="BI1927">
        <v>0</v>
      </c>
      <c r="BJ1927">
        <v>0</v>
      </c>
      <c r="BK1927">
        <v>0</v>
      </c>
      <c r="BL1927" s="2">
        <v>24.82</v>
      </c>
      <c r="BM1927" s="2">
        <v>42005.095138888886</v>
      </c>
      <c r="BN1927" s="2">
        <v>5.4</v>
      </c>
      <c r="BO1927" s="2">
        <v>42005.092361111114</v>
      </c>
      <c r="BP1927" s="2">
        <v>6.92</v>
      </c>
      <c r="BQ1927" s="2">
        <v>42005.092361111114</v>
      </c>
      <c r="BR1927" s="2">
        <v>11.07</v>
      </c>
      <c r="BS1927" s="2">
        <v>42005.092361111114</v>
      </c>
      <c r="BT1927">
        <v>0</v>
      </c>
      <c r="BU1927">
        <v>0</v>
      </c>
      <c r="BV1927" t="s">
        <v>135</v>
      </c>
      <c r="BW1927">
        <v>0</v>
      </c>
      <c r="BX1927">
        <v>0</v>
      </c>
      <c r="BY1927" t="s">
        <v>135</v>
      </c>
      <c r="BZ1927">
        <v>0</v>
      </c>
      <c r="CA1927">
        <v>0</v>
      </c>
      <c r="CB1927" t="s">
        <v>135</v>
      </c>
      <c r="CH1927" s="2"/>
      <c r="CJ1927" s="2"/>
      <c r="CL1927" s="2"/>
      <c r="CN1927" s="2"/>
      <c r="CQ1927" s="2"/>
      <c r="CT1927" s="2"/>
      <c r="CW1927" s="2"/>
    </row>
    <row r="1928" spans="1:101" x14ac:dyDescent="0.25">
      <c r="A1928" s="1" t="s">
        <v>163</v>
      </c>
      <c r="B1928" s="75" t="s">
        <v>164</v>
      </c>
      <c r="C1928">
        <v>0</v>
      </c>
      <c r="D1928">
        <v>0</v>
      </c>
      <c r="E1928">
        <v>0</v>
      </c>
      <c r="F1928">
        <v>604324.56000000006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3.91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7490</v>
      </c>
      <c r="AW1928">
        <v>3350</v>
      </c>
      <c r="AX1928">
        <v>1219</v>
      </c>
      <c r="AY1928">
        <v>12059</v>
      </c>
      <c r="AZ1928">
        <v>4202</v>
      </c>
      <c r="BA1928">
        <v>7438</v>
      </c>
      <c r="BB1928">
        <v>1432</v>
      </c>
      <c r="BC1928">
        <v>13072</v>
      </c>
      <c r="BD1928">
        <v>9486</v>
      </c>
      <c r="BE1928">
        <v>9222</v>
      </c>
      <c r="BF1928">
        <v>1768</v>
      </c>
      <c r="BG1928">
        <v>20476</v>
      </c>
      <c r="BH1928">
        <v>0</v>
      </c>
      <c r="BI1928">
        <v>0</v>
      </c>
      <c r="BJ1928">
        <v>0</v>
      </c>
      <c r="BK1928">
        <v>0</v>
      </c>
      <c r="BL1928" s="2">
        <v>24.82</v>
      </c>
      <c r="BM1928" s="2">
        <v>42005.095138888886</v>
      </c>
      <c r="BN1928" s="2">
        <v>5.4</v>
      </c>
      <c r="BO1928" s="2">
        <v>42005.092361111114</v>
      </c>
      <c r="BP1928" s="2">
        <v>6.92</v>
      </c>
      <c r="BQ1928" s="2">
        <v>42005.092361111114</v>
      </c>
      <c r="BR1928" s="2">
        <v>11.07</v>
      </c>
      <c r="BS1928" s="2">
        <v>42005.092361111114</v>
      </c>
      <c r="BT1928">
        <v>0</v>
      </c>
      <c r="BU1928">
        <v>0</v>
      </c>
      <c r="BV1928" t="s">
        <v>135</v>
      </c>
      <c r="BW1928">
        <v>0</v>
      </c>
      <c r="BX1928">
        <v>0</v>
      </c>
      <c r="BY1928" t="s">
        <v>135</v>
      </c>
      <c r="BZ1928">
        <v>0</v>
      </c>
      <c r="CA1928">
        <v>0</v>
      </c>
      <c r="CB1928" t="s">
        <v>135</v>
      </c>
      <c r="CH1928" s="2"/>
      <c r="CJ1928" s="2"/>
      <c r="CL1928" s="2"/>
      <c r="CN1928" s="2"/>
      <c r="CQ1928" s="2"/>
      <c r="CT1928" s="2"/>
      <c r="CW1928" s="2"/>
    </row>
    <row r="1929" spans="1:101" x14ac:dyDescent="0.25">
      <c r="A1929" s="1" t="s">
        <v>163</v>
      </c>
      <c r="B1929" s="75" t="s">
        <v>164</v>
      </c>
      <c r="C1929">
        <v>0</v>
      </c>
      <c r="D1929">
        <v>0</v>
      </c>
      <c r="E1929">
        <v>0</v>
      </c>
      <c r="F1929">
        <v>604324.56000000006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3.91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7490</v>
      </c>
      <c r="AW1929">
        <v>3350</v>
      </c>
      <c r="AX1929">
        <v>1219</v>
      </c>
      <c r="AY1929">
        <v>12059</v>
      </c>
      <c r="AZ1929">
        <v>4202</v>
      </c>
      <c r="BA1929">
        <v>7438</v>
      </c>
      <c r="BB1929">
        <v>1432</v>
      </c>
      <c r="BC1929">
        <v>13072</v>
      </c>
      <c r="BD1929">
        <v>9486</v>
      </c>
      <c r="BE1929">
        <v>9222</v>
      </c>
      <c r="BF1929">
        <v>1768</v>
      </c>
      <c r="BG1929">
        <v>20476</v>
      </c>
      <c r="BH1929">
        <v>0</v>
      </c>
      <c r="BI1929">
        <v>0</v>
      </c>
      <c r="BJ1929">
        <v>0</v>
      </c>
      <c r="BK1929">
        <v>0</v>
      </c>
      <c r="BL1929" s="2">
        <v>24.82</v>
      </c>
      <c r="BM1929" s="2">
        <v>42005.095138888886</v>
      </c>
      <c r="BN1929" s="2">
        <v>5.4</v>
      </c>
      <c r="BO1929" s="2">
        <v>42005.092361111114</v>
      </c>
      <c r="BP1929" s="2">
        <v>6.92</v>
      </c>
      <c r="BQ1929" s="2">
        <v>42005.092361111114</v>
      </c>
      <c r="BR1929" s="2">
        <v>11.07</v>
      </c>
      <c r="BS1929" s="2">
        <v>42005.092361111114</v>
      </c>
      <c r="BT1929">
        <v>0</v>
      </c>
      <c r="BU1929">
        <v>0</v>
      </c>
      <c r="BV1929" t="s">
        <v>135</v>
      </c>
      <c r="BW1929">
        <v>0</v>
      </c>
      <c r="BX1929">
        <v>0</v>
      </c>
      <c r="BY1929" t="s">
        <v>135</v>
      </c>
      <c r="BZ1929">
        <v>0</v>
      </c>
      <c r="CA1929">
        <v>0</v>
      </c>
      <c r="CB1929" t="s">
        <v>135</v>
      </c>
      <c r="CH1929" s="2"/>
      <c r="CJ1929" s="2"/>
      <c r="CL1929" s="2"/>
      <c r="CN1929" s="2"/>
      <c r="CQ1929" s="2"/>
      <c r="CT1929" s="2"/>
      <c r="CW1929" s="2"/>
    </row>
    <row r="1930" spans="1:101" x14ac:dyDescent="0.25">
      <c r="A1930" s="1" t="s">
        <v>163</v>
      </c>
      <c r="B1930" s="75" t="s">
        <v>164</v>
      </c>
      <c r="C1930">
        <v>0</v>
      </c>
      <c r="D1930">
        <v>0</v>
      </c>
      <c r="E1930">
        <v>0</v>
      </c>
      <c r="F1930">
        <v>604324.56000000006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3.91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7490</v>
      </c>
      <c r="AW1930">
        <v>3350</v>
      </c>
      <c r="AX1930">
        <v>1219</v>
      </c>
      <c r="AY1930">
        <v>12059</v>
      </c>
      <c r="AZ1930">
        <v>4202</v>
      </c>
      <c r="BA1930">
        <v>7438</v>
      </c>
      <c r="BB1930">
        <v>1432</v>
      </c>
      <c r="BC1930">
        <v>13072</v>
      </c>
      <c r="BD1930">
        <v>9486</v>
      </c>
      <c r="BE1930">
        <v>9222</v>
      </c>
      <c r="BF1930">
        <v>1768</v>
      </c>
      <c r="BG1930">
        <v>20476</v>
      </c>
      <c r="BH1930">
        <v>0</v>
      </c>
      <c r="BI1930">
        <v>0</v>
      </c>
      <c r="BJ1930">
        <v>0</v>
      </c>
      <c r="BK1930">
        <v>0</v>
      </c>
      <c r="BL1930" s="2">
        <v>24.82</v>
      </c>
      <c r="BM1930" s="2">
        <v>42005.095138888886</v>
      </c>
      <c r="BN1930" s="2">
        <v>5.4</v>
      </c>
      <c r="BO1930" s="2">
        <v>42005.092361111114</v>
      </c>
      <c r="BP1930" s="2">
        <v>6.92</v>
      </c>
      <c r="BQ1930" s="2">
        <v>42005.092361111114</v>
      </c>
      <c r="BR1930" s="2">
        <v>11.07</v>
      </c>
      <c r="BS1930" s="2">
        <v>42005.092361111114</v>
      </c>
      <c r="BT1930">
        <v>0</v>
      </c>
      <c r="BU1930">
        <v>0</v>
      </c>
      <c r="BV1930" t="s">
        <v>135</v>
      </c>
      <c r="BW1930">
        <v>0</v>
      </c>
      <c r="BX1930">
        <v>0</v>
      </c>
      <c r="BY1930" t="s">
        <v>135</v>
      </c>
      <c r="BZ1930">
        <v>0</v>
      </c>
      <c r="CA1930">
        <v>0</v>
      </c>
      <c r="CB1930" t="s">
        <v>135</v>
      </c>
      <c r="CH1930" s="2"/>
      <c r="CJ1930" s="2"/>
      <c r="CL1930" s="2"/>
      <c r="CN1930" s="2"/>
      <c r="CQ1930" s="2"/>
      <c r="CT1930" s="2"/>
      <c r="CW1930" s="2"/>
    </row>
    <row r="1931" spans="1:101" x14ac:dyDescent="0.25">
      <c r="A1931" s="1" t="s">
        <v>163</v>
      </c>
      <c r="B1931" s="75" t="s">
        <v>164</v>
      </c>
      <c r="C1931">
        <v>0</v>
      </c>
      <c r="D1931">
        <v>0</v>
      </c>
      <c r="E1931">
        <v>0</v>
      </c>
      <c r="F1931">
        <v>604324.56000000006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3.91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7490</v>
      </c>
      <c r="AW1931">
        <v>3350</v>
      </c>
      <c r="AX1931">
        <v>1219</v>
      </c>
      <c r="AY1931">
        <v>12059</v>
      </c>
      <c r="AZ1931">
        <v>4202</v>
      </c>
      <c r="BA1931">
        <v>7438</v>
      </c>
      <c r="BB1931">
        <v>1432</v>
      </c>
      <c r="BC1931">
        <v>13072</v>
      </c>
      <c r="BD1931">
        <v>9486</v>
      </c>
      <c r="BE1931">
        <v>9222</v>
      </c>
      <c r="BF1931">
        <v>1768</v>
      </c>
      <c r="BG1931">
        <v>20476</v>
      </c>
      <c r="BH1931">
        <v>0</v>
      </c>
      <c r="BI1931">
        <v>0</v>
      </c>
      <c r="BJ1931">
        <v>0</v>
      </c>
      <c r="BK1931">
        <v>0</v>
      </c>
      <c r="BL1931" s="2">
        <v>24.82</v>
      </c>
      <c r="BM1931" s="2">
        <v>42005.095138888886</v>
      </c>
      <c r="BN1931" s="2">
        <v>5.4</v>
      </c>
      <c r="BO1931" s="2">
        <v>42005.092361111114</v>
      </c>
      <c r="BP1931" s="2">
        <v>6.92</v>
      </c>
      <c r="BQ1931" s="2">
        <v>42005.092361111114</v>
      </c>
      <c r="BR1931" s="2">
        <v>11.07</v>
      </c>
      <c r="BS1931" s="2">
        <v>42005.092361111114</v>
      </c>
      <c r="BT1931">
        <v>0</v>
      </c>
      <c r="BU1931">
        <v>0</v>
      </c>
      <c r="BV1931" t="s">
        <v>135</v>
      </c>
      <c r="BW1931">
        <v>0</v>
      </c>
      <c r="BX1931">
        <v>0</v>
      </c>
      <c r="BY1931" t="s">
        <v>135</v>
      </c>
      <c r="BZ1931">
        <v>0</v>
      </c>
      <c r="CA1931">
        <v>0</v>
      </c>
      <c r="CB1931" t="s">
        <v>135</v>
      </c>
      <c r="CH1931" s="2"/>
      <c r="CJ1931" s="2"/>
      <c r="CL1931" s="2"/>
      <c r="CN1931" s="2"/>
      <c r="CQ1931" s="2"/>
      <c r="CT1931" s="2"/>
      <c r="CW1931" s="2"/>
    </row>
    <row r="1932" spans="1:101" x14ac:dyDescent="0.25">
      <c r="A1932" s="1" t="s">
        <v>163</v>
      </c>
      <c r="B1932" s="75" t="s">
        <v>164</v>
      </c>
      <c r="C1932">
        <v>0</v>
      </c>
      <c r="D1932">
        <v>0</v>
      </c>
      <c r="E1932">
        <v>0</v>
      </c>
      <c r="F1932">
        <v>604324.56000000006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3.91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7490</v>
      </c>
      <c r="AW1932">
        <v>3350</v>
      </c>
      <c r="AX1932">
        <v>1219</v>
      </c>
      <c r="AY1932">
        <v>12059</v>
      </c>
      <c r="AZ1932">
        <v>4202</v>
      </c>
      <c r="BA1932">
        <v>7438</v>
      </c>
      <c r="BB1932">
        <v>1432</v>
      </c>
      <c r="BC1932">
        <v>13072</v>
      </c>
      <c r="BD1932">
        <v>9486</v>
      </c>
      <c r="BE1932">
        <v>9222</v>
      </c>
      <c r="BF1932">
        <v>1768</v>
      </c>
      <c r="BG1932">
        <v>20476</v>
      </c>
      <c r="BH1932">
        <v>0</v>
      </c>
      <c r="BI1932">
        <v>0</v>
      </c>
      <c r="BJ1932">
        <v>0</v>
      </c>
      <c r="BK1932">
        <v>0</v>
      </c>
      <c r="BL1932" s="2">
        <v>24.82</v>
      </c>
      <c r="BM1932" s="2">
        <v>42005.095138888886</v>
      </c>
      <c r="BN1932" s="2">
        <v>5.4</v>
      </c>
      <c r="BO1932" s="2">
        <v>42005.092361111114</v>
      </c>
      <c r="BP1932" s="2">
        <v>6.92</v>
      </c>
      <c r="BQ1932" s="2">
        <v>42005.092361111114</v>
      </c>
      <c r="BR1932" s="2">
        <v>11.07</v>
      </c>
      <c r="BS1932" s="2">
        <v>42005.092361111114</v>
      </c>
      <c r="BT1932">
        <v>0</v>
      </c>
      <c r="BU1932">
        <v>0</v>
      </c>
      <c r="BV1932" t="s">
        <v>135</v>
      </c>
      <c r="BW1932">
        <v>0</v>
      </c>
      <c r="BX1932">
        <v>0</v>
      </c>
      <c r="BY1932" t="s">
        <v>135</v>
      </c>
      <c r="BZ1932">
        <v>0</v>
      </c>
      <c r="CA1932">
        <v>0</v>
      </c>
      <c r="CB1932" t="s">
        <v>135</v>
      </c>
      <c r="CH1932" s="2"/>
      <c r="CJ1932" s="2"/>
      <c r="CL1932" s="2"/>
      <c r="CN1932" s="2"/>
      <c r="CQ1932" s="2"/>
      <c r="CT1932" s="2"/>
      <c r="CW1932" s="2"/>
    </row>
    <row r="1933" spans="1:101" x14ac:dyDescent="0.25">
      <c r="A1933" s="1" t="s">
        <v>163</v>
      </c>
      <c r="B1933" s="75" t="s">
        <v>164</v>
      </c>
      <c r="C1933">
        <v>0</v>
      </c>
      <c r="D1933">
        <v>0</v>
      </c>
      <c r="E1933">
        <v>0</v>
      </c>
      <c r="F1933">
        <v>604324.56000000006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3.91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7490</v>
      </c>
      <c r="AW1933">
        <v>3350</v>
      </c>
      <c r="AX1933">
        <v>1219</v>
      </c>
      <c r="AY1933">
        <v>12059</v>
      </c>
      <c r="AZ1933">
        <v>4202</v>
      </c>
      <c r="BA1933">
        <v>7438</v>
      </c>
      <c r="BB1933">
        <v>1432</v>
      </c>
      <c r="BC1933">
        <v>13072</v>
      </c>
      <c r="BD1933">
        <v>9486</v>
      </c>
      <c r="BE1933">
        <v>9222</v>
      </c>
      <c r="BF1933">
        <v>1768</v>
      </c>
      <c r="BG1933">
        <v>20476</v>
      </c>
      <c r="BH1933">
        <v>0</v>
      </c>
      <c r="BI1933">
        <v>0</v>
      </c>
      <c r="BJ1933">
        <v>0</v>
      </c>
      <c r="BK1933">
        <v>0</v>
      </c>
      <c r="BL1933" s="2">
        <v>24.82</v>
      </c>
      <c r="BM1933" s="2">
        <v>42005.095138888886</v>
      </c>
      <c r="BN1933" s="2">
        <v>5.4</v>
      </c>
      <c r="BO1933" s="2">
        <v>42005.092361111114</v>
      </c>
      <c r="BP1933" s="2">
        <v>6.92</v>
      </c>
      <c r="BQ1933" s="2">
        <v>42005.092361111114</v>
      </c>
      <c r="BR1933" s="2">
        <v>11.07</v>
      </c>
      <c r="BS1933" s="2">
        <v>42005.092361111114</v>
      </c>
      <c r="BT1933">
        <v>0</v>
      </c>
      <c r="BU1933">
        <v>0</v>
      </c>
      <c r="BV1933" t="s">
        <v>135</v>
      </c>
      <c r="BW1933">
        <v>0</v>
      </c>
      <c r="BX1933">
        <v>0</v>
      </c>
      <c r="BY1933" t="s">
        <v>135</v>
      </c>
      <c r="BZ1933">
        <v>0</v>
      </c>
      <c r="CA1933">
        <v>0</v>
      </c>
      <c r="CB1933" t="s">
        <v>135</v>
      </c>
      <c r="CH1933" s="2"/>
      <c r="CJ1933" s="2"/>
      <c r="CL1933" s="2"/>
      <c r="CN1933" s="2"/>
      <c r="CQ1933" s="2"/>
      <c r="CT1933" s="2"/>
      <c r="CW1933" s="2"/>
    </row>
    <row r="1934" spans="1:101" x14ac:dyDescent="0.25">
      <c r="A1934" s="1" t="s">
        <v>163</v>
      </c>
      <c r="B1934" s="75" t="s">
        <v>164</v>
      </c>
      <c r="C1934">
        <v>0</v>
      </c>
      <c r="D1934">
        <v>0</v>
      </c>
      <c r="E1934">
        <v>0</v>
      </c>
      <c r="F1934">
        <v>604324.56000000006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3.91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7490</v>
      </c>
      <c r="AW1934">
        <v>3350</v>
      </c>
      <c r="AX1934">
        <v>1219</v>
      </c>
      <c r="AY1934">
        <v>12059</v>
      </c>
      <c r="AZ1934">
        <v>4202</v>
      </c>
      <c r="BA1934">
        <v>7438</v>
      </c>
      <c r="BB1934">
        <v>1432</v>
      </c>
      <c r="BC1934">
        <v>13072</v>
      </c>
      <c r="BD1934">
        <v>9486</v>
      </c>
      <c r="BE1934">
        <v>9222</v>
      </c>
      <c r="BF1934">
        <v>1768</v>
      </c>
      <c r="BG1934">
        <v>20476</v>
      </c>
      <c r="BH1934">
        <v>0</v>
      </c>
      <c r="BI1934">
        <v>0</v>
      </c>
      <c r="BJ1934">
        <v>0</v>
      </c>
      <c r="BK1934">
        <v>0</v>
      </c>
      <c r="BL1934" s="2">
        <v>24.82</v>
      </c>
      <c r="BM1934" s="2">
        <v>42005.095138888886</v>
      </c>
      <c r="BN1934" s="2">
        <v>5.4</v>
      </c>
      <c r="BO1934" s="2">
        <v>42005.092361111114</v>
      </c>
      <c r="BP1934" s="2">
        <v>6.92</v>
      </c>
      <c r="BQ1934" s="2">
        <v>42005.092361111114</v>
      </c>
      <c r="BR1934" s="2">
        <v>11.07</v>
      </c>
      <c r="BS1934" s="2">
        <v>42005.092361111114</v>
      </c>
      <c r="BT1934">
        <v>0</v>
      </c>
      <c r="BU1934">
        <v>0</v>
      </c>
      <c r="BV1934" t="s">
        <v>135</v>
      </c>
      <c r="BW1934">
        <v>0</v>
      </c>
      <c r="BX1934">
        <v>0</v>
      </c>
      <c r="BY1934" t="s">
        <v>135</v>
      </c>
      <c r="BZ1934">
        <v>0</v>
      </c>
      <c r="CA1934">
        <v>0</v>
      </c>
      <c r="CB1934" t="s">
        <v>135</v>
      </c>
      <c r="CH1934" s="2"/>
      <c r="CJ1934" s="2"/>
      <c r="CL1934" s="2"/>
      <c r="CN1934" s="2"/>
      <c r="CQ1934" s="2"/>
      <c r="CT1934" s="2"/>
      <c r="CW1934" s="2"/>
    </row>
    <row r="1935" spans="1:101" x14ac:dyDescent="0.25">
      <c r="A1935" s="1" t="s">
        <v>163</v>
      </c>
      <c r="B1935" s="75" t="s">
        <v>164</v>
      </c>
      <c r="C1935">
        <v>0</v>
      </c>
      <c r="D1935">
        <v>0</v>
      </c>
      <c r="E1935">
        <v>0</v>
      </c>
      <c r="F1935">
        <v>604324.56000000006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3.91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7490</v>
      </c>
      <c r="AW1935">
        <v>3350</v>
      </c>
      <c r="AX1935">
        <v>1219</v>
      </c>
      <c r="AY1935">
        <v>12059</v>
      </c>
      <c r="AZ1935">
        <v>4202</v>
      </c>
      <c r="BA1935">
        <v>7438</v>
      </c>
      <c r="BB1935">
        <v>1432</v>
      </c>
      <c r="BC1935">
        <v>13072</v>
      </c>
      <c r="BD1935">
        <v>9486</v>
      </c>
      <c r="BE1935">
        <v>9222</v>
      </c>
      <c r="BF1935">
        <v>1768</v>
      </c>
      <c r="BG1935">
        <v>20476</v>
      </c>
      <c r="BH1935">
        <v>0</v>
      </c>
      <c r="BI1935">
        <v>0</v>
      </c>
      <c r="BJ1935">
        <v>0</v>
      </c>
      <c r="BK1935">
        <v>0</v>
      </c>
      <c r="BL1935" s="2">
        <v>24.82</v>
      </c>
      <c r="BM1935" s="2">
        <v>42005.095138888886</v>
      </c>
      <c r="BN1935" s="2">
        <v>5.4</v>
      </c>
      <c r="BO1935" s="2">
        <v>42005.092361111114</v>
      </c>
      <c r="BP1935" s="2">
        <v>6.92</v>
      </c>
      <c r="BQ1935" s="2">
        <v>42005.092361111114</v>
      </c>
      <c r="BR1935" s="2">
        <v>11.07</v>
      </c>
      <c r="BS1935" s="2">
        <v>42005.092361111114</v>
      </c>
      <c r="BT1935">
        <v>0</v>
      </c>
      <c r="BU1935">
        <v>0</v>
      </c>
      <c r="BV1935" t="s">
        <v>135</v>
      </c>
      <c r="BW1935">
        <v>0</v>
      </c>
      <c r="BX1935">
        <v>0</v>
      </c>
      <c r="BY1935" t="s">
        <v>135</v>
      </c>
      <c r="BZ1935">
        <v>0</v>
      </c>
      <c r="CA1935">
        <v>0</v>
      </c>
      <c r="CB1935" t="s">
        <v>135</v>
      </c>
      <c r="CH1935" s="2"/>
      <c r="CJ1935" s="2"/>
      <c r="CL1935" s="2"/>
      <c r="CN1935" s="2"/>
      <c r="CQ1935" s="2"/>
      <c r="CT1935" s="2"/>
      <c r="CW1935" s="2"/>
    </row>
    <row r="1936" spans="1:101" x14ac:dyDescent="0.25">
      <c r="A1936" s="1" t="s">
        <v>163</v>
      </c>
      <c r="B1936" s="75" t="s">
        <v>164</v>
      </c>
      <c r="C1936">
        <v>0</v>
      </c>
      <c r="D1936">
        <v>0</v>
      </c>
      <c r="E1936">
        <v>0</v>
      </c>
      <c r="F1936">
        <v>604324.56000000006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3.91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7490</v>
      </c>
      <c r="AW1936">
        <v>3350</v>
      </c>
      <c r="AX1936">
        <v>1219</v>
      </c>
      <c r="AY1936">
        <v>12059</v>
      </c>
      <c r="AZ1936">
        <v>4202</v>
      </c>
      <c r="BA1936">
        <v>7438</v>
      </c>
      <c r="BB1936">
        <v>1432</v>
      </c>
      <c r="BC1936">
        <v>13072</v>
      </c>
      <c r="BD1936">
        <v>9486</v>
      </c>
      <c r="BE1936">
        <v>9222</v>
      </c>
      <c r="BF1936">
        <v>1768</v>
      </c>
      <c r="BG1936">
        <v>20476</v>
      </c>
      <c r="BH1936">
        <v>0</v>
      </c>
      <c r="BI1936">
        <v>0</v>
      </c>
      <c r="BJ1936">
        <v>0</v>
      </c>
      <c r="BK1936">
        <v>0</v>
      </c>
      <c r="BL1936" s="2">
        <v>24.82</v>
      </c>
      <c r="BM1936" s="2">
        <v>42005.095138888886</v>
      </c>
      <c r="BN1936" s="2">
        <v>5.4</v>
      </c>
      <c r="BO1936" s="2">
        <v>42005.092361111114</v>
      </c>
      <c r="BP1936" s="2">
        <v>6.92</v>
      </c>
      <c r="BQ1936" s="2">
        <v>42005.092361111114</v>
      </c>
      <c r="BR1936" s="2">
        <v>11.07</v>
      </c>
      <c r="BS1936" s="2">
        <v>42005.092361111114</v>
      </c>
      <c r="BT1936">
        <v>0</v>
      </c>
      <c r="BU1936">
        <v>0</v>
      </c>
      <c r="BV1936" t="s">
        <v>135</v>
      </c>
      <c r="BW1936">
        <v>0</v>
      </c>
      <c r="BX1936">
        <v>0</v>
      </c>
      <c r="BY1936" t="s">
        <v>135</v>
      </c>
      <c r="BZ1936">
        <v>0</v>
      </c>
      <c r="CA1936">
        <v>0</v>
      </c>
      <c r="CB1936" t="s">
        <v>135</v>
      </c>
      <c r="CH1936" s="2"/>
      <c r="CJ1936" s="2"/>
      <c r="CL1936" s="2"/>
      <c r="CN1936" s="2"/>
      <c r="CQ1936" s="2"/>
      <c r="CT1936" s="2"/>
      <c r="CW1936" s="2"/>
    </row>
    <row r="1937" spans="1:101" x14ac:dyDescent="0.25">
      <c r="A1937" s="1" t="s">
        <v>163</v>
      </c>
      <c r="B1937" s="75" t="s">
        <v>164</v>
      </c>
      <c r="C1937">
        <v>0</v>
      </c>
      <c r="D1937">
        <v>0</v>
      </c>
      <c r="E1937">
        <v>0</v>
      </c>
      <c r="F1937">
        <v>604324.56000000006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3.91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7490</v>
      </c>
      <c r="AW1937">
        <v>3350</v>
      </c>
      <c r="AX1937">
        <v>1219</v>
      </c>
      <c r="AY1937">
        <v>12059</v>
      </c>
      <c r="AZ1937">
        <v>4202</v>
      </c>
      <c r="BA1937">
        <v>7438</v>
      </c>
      <c r="BB1937">
        <v>1432</v>
      </c>
      <c r="BC1937">
        <v>13072</v>
      </c>
      <c r="BD1937">
        <v>9486</v>
      </c>
      <c r="BE1937">
        <v>9222</v>
      </c>
      <c r="BF1937">
        <v>1768</v>
      </c>
      <c r="BG1937">
        <v>20476</v>
      </c>
      <c r="BH1937">
        <v>0</v>
      </c>
      <c r="BI1937">
        <v>0</v>
      </c>
      <c r="BJ1937">
        <v>0</v>
      </c>
      <c r="BK1937">
        <v>0</v>
      </c>
      <c r="BL1937" s="2">
        <v>24.82</v>
      </c>
      <c r="BM1937" s="2">
        <v>42005.095138888886</v>
      </c>
      <c r="BN1937" s="2">
        <v>5.4</v>
      </c>
      <c r="BO1937" s="2">
        <v>42005.092361111114</v>
      </c>
      <c r="BP1937" s="2">
        <v>6.92</v>
      </c>
      <c r="BQ1937" s="2">
        <v>42005.092361111114</v>
      </c>
      <c r="BR1937" s="2">
        <v>11.07</v>
      </c>
      <c r="BS1937" s="2">
        <v>42005.092361111114</v>
      </c>
      <c r="BT1937">
        <v>0</v>
      </c>
      <c r="BU1937">
        <v>0</v>
      </c>
      <c r="BV1937" t="s">
        <v>135</v>
      </c>
      <c r="BW1937">
        <v>0</v>
      </c>
      <c r="BX1937">
        <v>0</v>
      </c>
      <c r="BY1937" t="s">
        <v>135</v>
      </c>
      <c r="BZ1937">
        <v>0</v>
      </c>
      <c r="CA1937">
        <v>0</v>
      </c>
      <c r="CB1937" t="s">
        <v>135</v>
      </c>
      <c r="CH1937" s="2"/>
      <c r="CJ1937" s="2"/>
      <c r="CL1937" s="2"/>
      <c r="CN1937" s="2"/>
      <c r="CQ1937" s="2"/>
      <c r="CT1937" s="2"/>
      <c r="CW1937" s="2"/>
    </row>
    <row r="1938" spans="1:101" x14ac:dyDescent="0.25">
      <c r="A1938" s="1" t="s">
        <v>163</v>
      </c>
      <c r="B1938" s="75" t="s">
        <v>164</v>
      </c>
      <c r="C1938">
        <v>0</v>
      </c>
      <c r="D1938">
        <v>0</v>
      </c>
      <c r="E1938">
        <v>0</v>
      </c>
      <c r="F1938">
        <v>604324.56000000006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3.91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7490</v>
      </c>
      <c r="AW1938">
        <v>3350</v>
      </c>
      <c r="AX1938">
        <v>1219</v>
      </c>
      <c r="AY1938">
        <v>12059</v>
      </c>
      <c r="AZ1938">
        <v>4202</v>
      </c>
      <c r="BA1938">
        <v>7438</v>
      </c>
      <c r="BB1938">
        <v>1432</v>
      </c>
      <c r="BC1938">
        <v>13072</v>
      </c>
      <c r="BD1938">
        <v>9486</v>
      </c>
      <c r="BE1938">
        <v>9222</v>
      </c>
      <c r="BF1938">
        <v>1768</v>
      </c>
      <c r="BG1938">
        <v>20476</v>
      </c>
      <c r="BH1938">
        <v>0</v>
      </c>
      <c r="BI1938">
        <v>0</v>
      </c>
      <c r="BJ1938">
        <v>0</v>
      </c>
      <c r="BK1938">
        <v>0</v>
      </c>
      <c r="BL1938" s="2">
        <v>24.82</v>
      </c>
      <c r="BM1938" s="2">
        <v>42005.095138888886</v>
      </c>
      <c r="BN1938" s="2">
        <v>5.4</v>
      </c>
      <c r="BO1938" s="2">
        <v>42005.092361111114</v>
      </c>
      <c r="BP1938" s="2">
        <v>6.92</v>
      </c>
      <c r="BQ1938" s="2">
        <v>42005.092361111114</v>
      </c>
      <c r="BR1938" s="2">
        <v>11.07</v>
      </c>
      <c r="BS1938" s="2">
        <v>42005.092361111114</v>
      </c>
      <c r="BT1938">
        <v>0</v>
      </c>
      <c r="BU1938">
        <v>0</v>
      </c>
      <c r="BV1938" t="s">
        <v>135</v>
      </c>
      <c r="BW1938">
        <v>0</v>
      </c>
      <c r="BX1938">
        <v>0</v>
      </c>
      <c r="BY1938" t="s">
        <v>135</v>
      </c>
      <c r="BZ1938">
        <v>0</v>
      </c>
      <c r="CA1938">
        <v>0</v>
      </c>
      <c r="CB1938" t="s">
        <v>135</v>
      </c>
      <c r="CH1938" s="2"/>
      <c r="CJ1938" s="2"/>
      <c r="CL1938" s="2"/>
      <c r="CN1938" s="2"/>
      <c r="CQ1938" s="2"/>
      <c r="CT1938" s="2"/>
      <c r="CW1938" s="2"/>
    </row>
    <row r="1939" spans="1:101" x14ac:dyDescent="0.25">
      <c r="A1939" s="1" t="s">
        <v>163</v>
      </c>
      <c r="B1939" s="75" t="s">
        <v>164</v>
      </c>
      <c r="C1939">
        <v>0</v>
      </c>
      <c r="D1939">
        <v>0</v>
      </c>
      <c r="E1939">
        <v>0</v>
      </c>
      <c r="F1939">
        <v>604324.56000000006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3.91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7490</v>
      </c>
      <c r="AW1939">
        <v>3350</v>
      </c>
      <c r="AX1939">
        <v>1219</v>
      </c>
      <c r="AY1939">
        <v>12059</v>
      </c>
      <c r="AZ1939">
        <v>4202</v>
      </c>
      <c r="BA1939">
        <v>7438</v>
      </c>
      <c r="BB1939">
        <v>1432</v>
      </c>
      <c r="BC1939">
        <v>13072</v>
      </c>
      <c r="BD1939">
        <v>9486</v>
      </c>
      <c r="BE1939">
        <v>9222</v>
      </c>
      <c r="BF1939">
        <v>1768</v>
      </c>
      <c r="BG1939">
        <v>20476</v>
      </c>
      <c r="BH1939">
        <v>0</v>
      </c>
      <c r="BI1939">
        <v>0</v>
      </c>
      <c r="BJ1939">
        <v>0</v>
      </c>
      <c r="BK1939">
        <v>0</v>
      </c>
      <c r="BL1939" s="2">
        <v>24.82</v>
      </c>
      <c r="BM1939" s="2">
        <v>42005.095138888886</v>
      </c>
      <c r="BN1939" s="2">
        <v>5.4</v>
      </c>
      <c r="BO1939" s="2">
        <v>42005.092361111114</v>
      </c>
      <c r="BP1939" s="2">
        <v>6.92</v>
      </c>
      <c r="BQ1939" s="2">
        <v>42005.092361111114</v>
      </c>
      <c r="BR1939" s="2">
        <v>11.07</v>
      </c>
      <c r="BS1939" s="2">
        <v>42005.092361111114</v>
      </c>
      <c r="BT1939">
        <v>0</v>
      </c>
      <c r="BU1939">
        <v>0</v>
      </c>
      <c r="BV1939" t="s">
        <v>135</v>
      </c>
      <c r="BW1939">
        <v>0</v>
      </c>
      <c r="BX1939">
        <v>0</v>
      </c>
      <c r="BY1939" t="s">
        <v>135</v>
      </c>
      <c r="BZ1939">
        <v>0</v>
      </c>
      <c r="CA1939">
        <v>0</v>
      </c>
      <c r="CB1939" t="s">
        <v>135</v>
      </c>
      <c r="CH1939" s="2"/>
      <c r="CJ1939" s="2"/>
      <c r="CL1939" s="2"/>
      <c r="CN1939" s="2"/>
      <c r="CQ1939" s="2"/>
      <c r="CT1939" s="2"/>
      <c r="CW1939" s="2"/>
    </row>
    <row r="1940" spans="1:101" x14ac:dyDescent="0.25">
      <c r="A1940" s="1" t="s">
        <v>163</v>
      </c>
      <c r="B1940" s="75" t="s">
        <v>164</v>
      </c>
      <c r="C1940">
        <v>0</v>
      </c>
      <c r="D1940">
        <v>0</v>
      </c>
      <c r="E1940">
        <v>0</v>
      </c>
      <c r="F1940">
        <v>604324.56000000006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3.91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7490</v>
      </c>
      <c r="AW1940">
        <v>3350</v>
      </c>
      <c r="AX1940">
        <v>1219</v>
      </c>
      <c r="AY1940">
        <v>12059</v>
      </c>
      <c r="AZ1940">
        <v>4202</v>
      </c>
      <c r="BA1940">
        <v>7438</v>
      </c>
      <c r="BB1940">
        <v>1432</v>
      </c>
      <c r="BC1940">
        <v>13072</v>
      </c>
      <c r="BD1940">
        <v>9486</v>
      </c>
      <c r="BE1940">
        <v>9222</v>
      </c>
      <c r="BF1940">
        <v>1768</v>
      </c>
      <c r="BG1940">
        <v>20476</v>
      </c>
      <c r="BH1940">
        <v>0</v>
      </c>
      <c r="BI1940">
        <v>0</v>
      </c>
      <c r="BJ1940">
        <v>0</v>
      </c>
      <c r="BK1940">
        <v>0</v>
      </c>
      <c r="BL1940" s="2">
        <v>24.82</v>
      </c>
      <c r="BM1940" s="2">
        <v>42005.095138888886</v>
      </c>
      <c r="BN1940" s="2">
        <v>5.4</v>
      </c>
      <c r="BO1940" s="2">
        <v>42005.092361111114</v>
      </c>
      <c r="BP1940" s="2">
        <v>6.92</v>
      </c>
      <c r="BQ1940" s="2">
        <v>42005.092361111114</v>
      </c>
      <c r="BR1940" s="2">
        <v>11.07</v>
      </c>
      <c r="BS1940" s="2">
        <v>42005.092361111114</v>
      </c>
      <c r="BT1940">
        <v>0</v>
      </c>
      <c r="BU1940">
        <v>0</v>
      </c>
      <c r="BV1940" t="s">
        <v>135</v>
      </c>
      <c r="BW1940">
        <v>0</v>
      </c>
      <c r="BX1940">
        <v>0</v>
      </c>
      <c r="BY1940" t="s">
        <v>135</v>
      </c>
      <c r="BZ1940">
        <v>0</v>
      </c>
      <c r="CA1940">
        <v>0</v>
      </c>
      <c r="CB1940" t="s">
        <v>135</v>
      </c>
      <c r="CH1940" s="2"/>
      <c r="CJ1940" s="2"/>
      <c r="CL1940" s="2"/>
      <c r="CN1940" s="2"/>
      <c r="CQ1940" s="2"/>
      <c r="CT1940" s="2"/>
      <c r="CW1940" s="2"/>
    </row>
    <row r="1941" spans="1:101" x14ac:dyDescent="0.25">
      <c r="A1941" s="1" t="s">
        <v>163</v>
      </c>
      <c r="B1941" s="75" t="s">
        <v>164</v>
      </c>
      <c r="C1941">
        <v>0</v>
      </c>
      <c r="D1941">
        <v>0</v>
      </c>
      <c r="E1941">
        <v>0</v>
      </c>
      <c r="F1941">
        <v>604324.56000000006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3.91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7490</v>
      </c>
      <c r="AW1941">
        <v>3350</v>
      </c>
      <c r="AX1941">
        <v>1219</v>
      </c>
      <c r="AY1941">
        <v>12059</v>
      </c>
      <c r="AZ1941">
        <v>4202</v>
      </c>
      <c r="BA1941">
        <v>7438</v>
      </c>
      <c r="BB1941">
        <v>1432</v>
      </c>
      <c r="BC1941">
        <v>13072</v>
      </c>
      <c r="BD1941">
        <v>9486</v>
      </c>
      <c r="BE1941">
        <v>9222</v>
      </c>
      <c r="BF1941">
        <v>1768</v>
      </c>
      <c r="BG1941">
        <v>20476</v>
      </c>
      <c r="BH1941">
        <v>0</v>
      </c>
      <c r="BI1941">
        <v>0</v>
      </c>
      <c r="BJ1941">
        <v>0</v>
      </c>
      <c r="BK1941">
        <v>0</v>
      </c>
      <c r="BL1941" s="2">
        <v>24.82</v>
      </c>
      <c r="BM1941" s="2">
        <v>42005.095138888886</v>
      </c>
      <c r="BN1941" s="2">
        <v>5.4</v>
      </c>
      <c r="BO1941" s="2">
        <v>42005.092361111114</v>
      </c>
      <c r="BP1941" s="2">
        <v>6.92</v>
      </c>
      <c r="BQ1941" s="2">
        <v>42005.092361111114</v>
      </c>
      <c r="BR1941" s="2">
        <v>11.07</v>
      </c>
      <c r="BS1941" s="2">
        <v>42005.092361111114</v>
      </c>
      <c r="BT1941">
        <v>0</v>
      </c>
      <c r="BU1941">
        <v>0</v>
      </c>
      <c r="BV1941" t="s">
        <v>135</v>
      </c>
      <c r="BW1941">
        <v>0</v>
      </c>
      <c r="BX1941">
        <v>0</v>
      </c>
      <c r="BY1941" t="s">
        <v>135</v>
      </c>
      <c r="BZ1941">
        <v>0</v>
      </c>
      <c r="CA1941">
        <v>0</v>
      </c>
      <c r="CB1941" t="s">
        <v>135</v>
      </c>
      <c r="CH1941" s="2"/>
      <c r="CJ1941" s="2"/>
      <c r="CL1941" s="2"/>
      <c r="CN1941" s="2"/>
      <c r="CQ1941" s="2"/>
      <c r="CT1941" s="2"/>
      <c r="CW1941" s="2"/>
    </row>
    <row r="1942" spans="1:101" x14ac:dyDescent="0.25">
      <c r="A1942" s="1" t="s">
        <v>163</v>
      </c>
      <c r="B1942" s="75" t="s">
        <v>164</v>
      </c>
      <c r="C1942">
        <v>0</v>
      </c>
      <c r="D1942">
        <v>0</v>
      </c>
      <c r="E1942">
        <v>0</v>
      </c>
      <c r="F1942">
        <v>604324.56000000006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3.91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7490</v>
      </c>
      <c r="AW1942">
        <v>3350</v>
      </c>
      <c r="AX1942">
        <v>1219</v>
      </c>
      <c r="AY1942">
        <v>12059</v>
      </c>
      <c r="AZ1942">
        <v>4202</v>
      </c>
      <c r="BA1942">
        <v>7438</v>
      </c>
      <c r="BB1942">
        <v>1432</v>
      </c>
      <c r="BC1942">
        <v>13072</v>
      </c>
      <c r="BD1942">
        <v>9486</v>
      </c>
      <c r="BE1942">
        <v>9222</v>
      </c>
      <c r="BF1942">
        <v>1768</v>
      </c>
      <c r="BG1942">
        <v>20476</v>
      </c>
      <c r="BH1942">
        <v>0</v>
      </c>
      <c r="BI1942">
        <v>0</v>
      </c>
      <c r="BJ1942">
        <v>0</v>
      </c>
      <c r="BK1942">
        <v>0</v>
      </c>
      <c r="BL1942" s="2">
        <v>24.82</v>
      </c>
      <c r="BM1942" s="2">
        <v>42005.095138888886</v>
      </c>
      <c r="BN1942" s="2">
        <v>5.4</v>
      </c>
      <c r="BO1942" s="2">
        <v>42005.092361111114</v>
      </c>
      <c r="BP1942" s="2">
        <v>6.92</v>
      </c>
      <c r="BQ1942" s="2">
        <v>42005.092361111114</v>
      </c>
      <c r="BR1942" s="2">
        <v>11.07</v>
      </c>
      <c r="BS1942" s="2">
        <v>42005.092361111114</v>
      </c>
      <c r="BT1942">
        <v>0</v>
      </c>
      <c r="BU1942">
        <v>0</v>
      </c>
      <c r="BV1942" t="s">
        <v>135</v>
      </c>
      <c r="BW1942">
        <v>0</v>
      </c>
      <c r="BX1942">
        <v>0</v>
      </c>
      <c r="BY1942" t="s">
        <v>135</v>
      </c>
      <c r="BZ1942">
        <v>0</v>
      </c>
      <c r="CA1942">
        <v>0</v>
      </c>
      <c r="CB1942" t="s">
        <v>135</v>
      </c>
      <c r="CH1942" s="2"/>
      <c r="CJ1942" s="2"/>
      <c r="CL1942" s="2"/>
      <c r="CN1942" s="2"/>
      <c r="CQ1942" s="2"/>
      <c r="CT1942" s="2"/>
      <c r="CW1942" s="2"/>
    </row>
    <row r="1943" spans="1:101" x14ac:dyDescent="0.25">
      <c r="A1943" s="1" t="s">
        <v>163</v>
      </c>
      <c r="B1943" s="75" t="s">
        <v>164</v>
      </c>
      <c r="C1943">
        <v>0</v>
      </c>
      <c r="D1943">
        <v>0</v>
      </c>
      <c r="E1943">
        <v>0</v>
      </c>
      <c r="F1943">
        <v>604324.56000000006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3.91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7490</v>
      </c>
      <c r="AW1943">
        <v>3350</v>
      </c>
      <c r="AX1943">
        <v>1219</v>
      </c>
      <c r="AY1943">
        <v>12059</v>
      </c>
      <c r="AZ1943">
        <v>4202</v>
      </c>
      <c r="BA1943">
        <v>7438</v>
      </c>
      <c r="BB1943">
        <v>1432</v>
      </c>
      <c r="BC1943">
        <v>13072</v>
      </c>
      <c r="BD1943">
        <v>9486</v>
      </c>
      <c r="BE1943">
        <v>9222</v>
      </c>
      <c r="BF1943">
        <v>1768</v>
      </c>
      <c r="BG1943">
        <v>20476</v>
      </c>
      <c r="BH1943">
        <v>0</v>
      </c>
      <c r="BI1943">
        <v>0</v>
      </c>
      <c r="BJ1943">
        <v>0</v>
      </c>
      <c r="BK1943">
        <v>0</v>
      </c>
      <c r="BL1943" s="2">
        <v>24.82</v>
      </c>
      <c r="BM1943" s="2">
        <v>42005.095138888886</v>
      </c>
      <c r="BN1943" s="2">
        <v>5.4</v>
      </c>
      <c r="BO1943" s="2">
        <v>42005.092361111114</v>
      </c>
      <c r="BP1943" s="2">
        <v>6.92</v>
      </c>
      <c r="BQ1943" s="2">
        <v>42005.092361111114</v>
      </c>
      <c r="BR1943" s="2">
        <v>11.07</v>
      </c>
      <c r="BS1943" s="2">
        <v>42005.092361111114</v>
      </c>
      <c r="BT1943">
        <v>0</v>
      </c>
      <c r="BU1943">
        <v>0</v>
      </c>
      <c r="BV1943" t="s">
        <v>135</v>
      </c>
      <c r="BW1943">
        <v>0</v>
      </c>
      <c r="BX1943">
        <v>0</v>
      </c>
      <c r="BY1943" t="s">
        <v>135</v>
      </c>
      <c r="BZ1943">
        <v>0</v>
      </c>
      <c r="CA1943">
        <v>0</v>
      </c>
      <c r="CB1943" t="s">
        <v>135</v>
      </c>
      <c r="CH1943" s="2"/>
      <c r="CJ1943" s="2"/>
      <c r="CL1943" s="2"/>
      <c r="CN1943" s="2"/>
      <c r="CQ1943" s="2"/>
      <c r="CT1943" s="2"/>
      <c r="CW1943" s="2"/>
    </row>
    <row r="1944" spans="1:101" x14ac:dyDescent="0.25">
      <c r="A1944" s="1" t="s">
        <v>163</v>
      </c>
      <c r="B1944" s="75" t="s">
        <v>164</v>
      </c>
      <c r="C1944">
        <v>0</v>
      </c>
      <c r="D1944">
        <v>0</v>
      </c>
      <c r="E1944">
        <v>0</v>
      </c>
      <c r="F1944">
        <v>604324.56000000006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3.91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7490</v>
      </c>
      <c r="AW1944">
        <v>3350</v>
      </c>
      <c r="AX1944">
        <v>1219</v>
      </c>
      <c r="AY1944">
        <v>12059</v>
      </c>
      <c r="AZ1944">
        <v>4202</v>
      </c>
      <c r="BA1944">
        <v>7438</v>
      </c>
      <c r="BB1944">
        <v>1432</v>
      </c>
      <c r="BC1944">
        <v>13072</v>
      </c>
      <c r="BD1944">
        <v>9486</v>
      </c>
      <c r="BE1944">
        <v>9222</v>
      </c>
      <c r="BF1944">
        <v>1768</v>
      </c>
      <c r="BG1944">
        <v>20476</v>
      </c>
      <c r="BH1944">
        <v>0</v>
      </c>
      <c r="BI1944">
        <v>0</v>
      </c>
      <c r="BJ1944">
        <v>0</v>
      </c>
      <c r="BK1944">
        <v>0</v>
      </c>
      <c r="BL1944" s="2">
        <v>24.82</v>
      </c>
      <c r="BM1944" s="2">
        <v>42005.095138888886</v>
      </c>
      <c r="BN1944" s="2">
        <v>5.4</v>
      </c>
      <c r="BO1944" s="2">
        <v>42005.092361111114</v>
      </c>
      <c r="BP1944" s="2">
        <v>6.92</v>
      </c>
      <c r="BQ1944" s="2">
        <v>42005.092361111114</v>
      </c>
      <c r="BR1944" s="2">
        <v>11.07</v>
      </c>
      <c r="BS1944" s="2">
        <v>42005.092361111114</v>
      </c>
      <c r="BT1944">
        <v>0</v>
      </c>
      <c r="BU1944">
        <v>0</v>
      </c>
      <c r="BV1944" t="s">
        <v>135</v>
      </c>
      <c r="BW1944">
        <v>0</v>
      </c>
      <c r="BX1944">
        <v>0</v>
      </c>
      <c r="BY1944" t="s">
        <v>135</v>
      </c>
      <c r="BZ1944">
        <v>0</v>
      </c>
      <c r="CA1944">
        <v>0</v>
      </c>
      <c r="CB1944" t="s">
        <v>135</v>
      </c>
      <c r="CH1944" s="2"/>
      <c r="CJ1944" s="2"/>
      <c r="CL1944" s="2"/>
      <c r="CN1944" s="2"/>
      <c r="CQ1944" s="2"/>
      <c r="CT1944" s="2"/>
      <c r="CW1944" s="2"/>
    </row>
    <row r="1945" spans="1:101" x14ac:dyDescent="0.25">
      <c r="A1945" s="1" t="s">
        <v>163</v>
      </c>
      <c r="B1945" s="75" t="s">
        <v>164</v>
      </c>
      <c r="C1945">
        <v>0</v>
      </c>
      <c r="D1945">
        <v>0</v>
      </c>
      <c r="E1945">
        <v>0</v>
      </c>
      <c r="F1945">
        <v>604324.56000000006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3.91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7490</v>
      </c>
      <c r="AW1945">
        <v>3350</v>
      </c>
      <c r="AX1945">
        <v>1219</v>
      </c>
      <c r="AY1945">
        <v>12059</v>
      </c>
      <c r="AZ1945">
        <v>4202</v>
      </c>
      <c r="BA1945">
        <v>7438</v>
      </c>
      <c r="BB1945">
        <v>1432</v>
      </c>
      <c r="BC1945">
        <v>13072</v>
      </c>
      <c r="BD1945">
        <v>9486</v>
      </c>
      <c r="BE1945">
        <v>9222</v>
      </c>
      <c r="BF1945">
        <v>1768</v>
      </c>
      <c r="BG1945">
        <v>20476</v>
      </c>
      <c r="BH1945">
        <v>0</v>
      </c>
      <c r="BI1945">
        <v>0</v>
      </c>
      <c r="BJ1945">
        <v>0</v>
      </c>
      <c r="BK1945">
        <v>0</v>
      </c>
      <c r="BL1945" s="2">
        <v>24.82</v>
      </c>
      <c r="BM1945" s="2">
        <v>42005.095138888886</v>
      </c>
      <c r="BN1945" s="2">
        <v>5.4</v>
      </c>
      <c r="BO1945" s="2">
        <v>42005.092361111114</v>
      </c>
      <c r="BP1945" s="2">
        <v>6.92</v>
      </c>
      <c r="BQ1945" s="2">
        <v>42005.092361111114</v>
      </c>
      <c r="BR1945" s="2">
        <v>11.07</v>
      </c>
      <c r="BS1945" s="2">
        <v>42005.092361111114</v>
      </c>
      <c r="BT1945">
        <v>0</v>
      </c>
      <c r="BU1945">
        <v>0</v>
      </c>
      <c r="BV1945" t="s">
        <v>135</v>
      </c>
      <c r="BW1945">
        <v>0</v>
      </c>
      <c r="BX1945">
        <v>0</v>
      </c>
      <c r="BY1945" t="s">
        <v>135</v>
      </c>
      <c r="BZ1945">
        <v>0</v>
      </c>
      <c r="CA1945">
        <v>0</v>
      </c>
      <c r="CB1945" t="s">
        <v>135</v>
      </c>
      <c r="CH1945" s="2"/>
      <c r="CJ1945" s="2"/>
      <c r="CL1945" s="2"/>
      <c r="CN1945" s="2"/>
      <c r="CQ1945" s="2"/>
      <c r="CT1945" s="2"/>
      <c r="CW1945" s="2"/>
    </row>
    <row r="1946" spans="1:101" x14ac:dyDescent="0.25">
      <c r="A1946" s="1" t="s">
        <v>163</v>
      </c>
      <c r="B1946" s="75" t="s">
        <v>164</v>
      </c>
      <c r="C1946">
        <v>0</v>
      </c>
      <c r="D1946">
        <v>0</v>
      </c>
      <c r="E1946">
        <v>0</v>
      </c>
      <c r="F1946">
        <v>604324.56000000006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3.91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7490</v>
      </c>
      <c r="AW1946">
        <v>3350</v>
      </c>
      <c r="AX1946">
        <v>1219</v>
      </c>
      <c r="AY1946">
        <v>12059</v>
      </c>
      <c r="AZ1946">
        <v>4202</v>
      </c>
      <c r="BA1946">
        <v>7438</v>
      </c>
      <c r="BB1946">
        <v>1432</v>
      </c>
      <c r="BC1946">
        <v>13072</v>
      </c>
      <c r="BD1946">
        <v>9486</v>
      </c>
      <c r="BE1946">
        <v>9222</v>
      </c>
      <c r="BF1946">
        <v>1768</v>
      </c>
      <c r="BG1946">
        <v>20476</v>
      </c>
      <c r="BH1946">
        <v>0</v>
      </c>
      <c r="BI1946">
        <v>0</v>
      </c>
      <c r="BJ1946">
        <v>0</v>
      </c>
      <c r="BK1946">
        <v>0</v>
      </c>
      <c r="BL1946" s="2">
        <v>24.82</v>
      </c>
      <c r="BM1946" s="2">
        <v>42005.095138888886</v>
      </c>
      <c r="BN1946" s="2">
        <v>5.4</v>
      </c>
      <c r="BO1946" s="2">
        <v>42005.092361111114</v>
      </c>
      <c r="BP1946" s="2">
        <v>6.92</v>
      </c>
      <c r="BQ1946" s="2">
        <v>42005.092361111114</v>
      </c>
      <c r="BR1946" s="2">
        <v>11.07</v>
      </c>
      <c r="BS1946" s="2">
        <v>42005.092361111114</v>
      </c>
      <c r="BT1946">
        <v>0</v>
      </c>
      <c r="BU1946">
        <v>0</v>
      </c>
      <c r="BV1946" t="s">
        <v>135</v>
      </c>
      <c r="BW1946">
        <v>0</v>
      </c>
      <c r="BX1946">
        <v>0</v>
      </c>
      <c r="BY1946" t="s">
        <v>135</v>
      </c>
      <c r="BZ1946">
        <v>0</v>
      </c>
      <c r="CA1946">
        <v>0</v>
      </c>
      <c r="CB1946" t="s">
        <v>135</v>
      </c>
      <c r="CH1946" s="2"/>
      <c r="CJ1946" s="2"/>
      <c r="CL1946" s="2"/>
      <c r="CN1946" s="2"/>
      <c r="CQ1946" s="2"/>
      <c r="CT1946" s="2"/>
      <c r="CW1946" s="2"/>
    </row>
    <row r="1947" spans="1:101" x14ac:dyDescent="0.25">
      <c r="A1947" s="1" t="s">
        <v>163</v>
      </c>
      <c r="B1947" s="75" t="s">
        <v>164</v>
      </c>
      <c r="C1947">
        <v>0</v>
      </c>
      <c r="D1947">
        <v>0</v>
      </c>
      <c r="E1947">
        <v>0</v>
      </c>
      <c r="F1947">
        <v>604324.56000000006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3.91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7490</v>
      </c>
      <c r="AW1947">
        <v>3350</v>
      </c>
      <c r="AX1947">
        <v>1219</v>
      </c>
      <c r="AY1947">
        <v>12059</v>
      </c>
      <c r="AZ1947">
        <v>4202</v>
      </c>
      <c r="BA1947">
        <v>7438</v>
      </c>
      <c r="BB1947">
        <v>1432</v>
      </c>
      <c r="BC1947">
        <v>13072</v>
      </c>
      <c r="BD1947">
        <v>9486</v>
      </c>
      <c r="BE1947">
        <v>9222</v>
      </c>
      <c r="BF1947">
        <v>1768</v>
      </c>
      <c r="BG1947">
        <v>20476</v>
      </c>
      <c r="BH1947">
        <v>0</v>
      </c>
      <c r="BI1947">
        <v>0</v>
      </c>
      <c r="BJ1947">
        <v>0</v>
      </c>
      <c r="BK1947">
        <v>0</v>
      </c>
      <c r="BL1947" s="2">
        <v>24.82</v>
      </c>
      <c r="BM1947" s="2">
        <v>42005.095138888886</v>
      </c>
      <c r="BN1947" s="2">
        <v>5.4</v>
      </c>
      <c r="BO1947" s="2">
        <v>42005.092361111114</v>
      </c>
      <c r="BP1947" s="2">
        <v>6.92</v>
      </c>
      <c r="BQ1947" s="2">
        <v>42005.092361111114</v>
      </c>
      <c r="BR1947" s="2">
        <v>11.07</v>
      </c>
      <c r="BS1947" s="2">
        <v>42005.092361111114</v>
      </c>
      <c r="BT1947">
        <v>0</v>
      </c>
      <c r="BU1947">
        <v>0</v>
      </c>
      <c r="BV1947" t="s">
        <v>135</v>
      </c>
      <c r="BW1947">
        <v>0</v>
      </c>
      <c r="BX1947">
        <v>0</v>
      </c>
      <c r="BY1947" t="s">
        <v>135</v>
      </c>
      <c r="BZ1947">
        <v>0</v>
      </c>
      <c r="CA1947">
        <v>0</v>
      </c>
      <c r="CB1947" t="s">
        <v>135</v>
      </c>
      <c r="CH1947" s="2"/>
      <c r="CJ1947" s="2"/>
      <c r="CL1947" s="2"/>
      <c r="CN1947" s="2"/>
      <c r="CQ1947" s="2"/>
      <c r="CT1947" s="2"/>
      <c r="CW1947" s="2"/>
    </row>
    <row r="1948" spans="1:101" x14ac:dyDescent="0.25">
      <c r="A1948" s="1" t="s">
        <v>163</v>
      </c>
      <c r="B1948" s="75" t="s">
        <v>164</v>
      </c>
      <c r="C1948">
        <v>0</v>
      </c>
      <c r="D1948">
        <v>0</v>
      </c>
      <c r="E1948">
        <v>0</v>
      </c>
      <c r="F1948">
        <v>604324.56000000006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3.91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7490</v>
      </c>
      <c r="AW1948">
        <v>3350</v>
      </c>
      <c r="AX1948">
        <v>1219</v>
      </c>
      <c r="AY1948">
        <v>12059</v>
      </c>
      <c r="AZ1948">
        <v>4202</v>
      </c>
      <c r="BA1948">
        <v>7438</v>
      </c>
      <c r="BB1948">
        <v>1432</v>
      </c>
      <c r="BC1948">
        <v>13072</v>
      </c>
      <c r="BD1948">
        <v>9486</v>
      </c>
      <c r="BE1948">
        <v>9222</v>
      </c>
      <c r="BF1948">
        <v>1768</v>
      </c>
      <c r="BG1948">
        <v>20476</v>
      </c>
      <c r="BH1948">
        <v>0</v>
      </c>
      <c r="BI1948">
        <v>0</v>
      </c>
      <c r="BJ1948">
        <v>0</v>
      </c>
      <c r="BK1948">
        <v>0</v>
      </c>
      <c r="BL1948" s="2">
        <v>24.82</v>
      </c>
      <c r="BM1948" s="2">
        <v>42005.095138888886</v>
      </c>
      <c r="BN1948" s="2">
        <v>5.4</v>
      </c>
      <c r="BO1948" s="2">
        <v>42005.092361111114</v>
      </c>
      <c r="BP1948" s="2">
        <v>6.92</v>
      </c>
      <c r="BQ1948" s="2">
        <v>42005.092361111114</v>
      </c>
      <c r="BR1948" s="2">
        <v>11.07</v>
      </c>
      <c r="BS1948" s="2">
        <v>42005.092361111114</v>
      </c>
      <c r="BT1948">
        <v>0</v>
      </c>
      <c r="BU1948">
        <v>0</v>
      </c>
      <c r="BV1948" t="s">
        <v>135</v>
      </c>
      <c r="BW1948">
        <v>0</v>
      </c>
      <c r="BX1948">
        <v>0</v>
      </c>
      <c r="BY1948" t="s">
        <v>135</v>
      </c>
      <c r="BZ1948">
        <v>0</v>
      </c>
      <c r="CA1948">
        <v>0</v>
      </c>
      <c r="CB1948" t="s">
        <v>135</v>
      </c>
      <c r="CH1948" s="2"/>
      <c r="CJ1948" s="2"/>
      <c r="CL1948" s="2"/>
      <c r="CN1948" s="2"/>
      <c r="CQ1948" s="2"/>
      <c r="CT1948" s="2"/>
      <c r="CW1948" s="2"/>
    </row>
    <row r="1949" spans="1:101" x14ac:dyDescent="0.25">
      <c r="A1949" s="1" t="s">
        <v>163</v>
      </c>
      <c r="B1949" s="75" t="s">
        <v>164</v>
      </c>
      <c r="C1949">
        <v>0</v>
      </c>
      <c r="D1949">
        <v>0</v>
      </c>
      <c r="E1949">
        <v>0</v>
      </c>
      <c r="F1949">
        <v>604324.56000000006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3.91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7490</v>
      </c>
      <c r="AW1949">
        <v>3350</v>
      </c>
      <c r="AX1949">
        <v>1219</v>
      </c>
      <c r="AY1949">
        <v>12059</v>
      </c>
      <c r="AZ1949">
        <v>4202</v>
      </c>
      <c r="BA1949">
        <v>7438</v>
      </c>
      <c r="BB1949">
        <v>1432</v>
      </c>
      <c r="BC1949">
        <v>13072</v>
      </c>
      <c r="BD1949">
        <v>9486</v>
      </c>
      <c r="BE1949">
        <v>9222</v>
      </c>
      <c r="BF1949">
        <v>1768</v>
      </c>
      <c r="BG1949">
        <v>20476</v>
      </c>
      <c r="BH1949">
        <v>0</v>
      </c>
      <c r="BI1949">
        <v>0</v>
      </c>
      <c r="BJ1949">
        <v>0</v>
      </c>
      <c r="BK1949">
        <v>0</v>
      </c>
      <c r="BL1949" s="2">
        <v>24.82</v>
      </c>
      <c r="BM1949" s="2">
        <v>42005.095138888886</v>
      </c>
      <c r="BN1949" s="2">
        <v>5.4</v>
      </c>
      <c r="BO1949" s="2">
        <v>42005.092361111114</v>
      </c>
      <c r="BP1949" s="2">
        <v>6.92</v>
      </c>
      <c r="BQ1949" s="2">
        <v>42005.092361111114</v>
      </c>
      <c r="BR1949" s="2">
        <v>11.07</v>
      </c>
      <c r="BS1949" s="2">
        <v>42005.092361111114</v>
      </c>
      <c r="BT1949">
        <v>0</v>
      </c>
      <c r="BU1949">
        <v>0</v>
      </c>
      <c r="BV1949" t="s">
        <v>135</v>
      </c>
      <c r="BW1949">
        <v>0</v>
      </c>
      <c r="BX1949">
        <v>0</v>
      </c>
      <c r="BY1949" t="s">
        <v>135</v>
      </c>
      <c r="BZ1949">
        <v>0</v>
      </c>
      <c r="CA1949">
        <v>0</v>
      </c>
      <c r="CB1949" t="s">
        <v>135</v>
      </c>
      <c r="CH1949" s="2"/>
      <c r="CJ1949" s="2"/>
      <c r="CL1949" s="2"/>
      <c r="CN1949" s="2"/>
      <c r="CQ1949" s="2"/>
      <c r="CT1949" s="2"/>
      <c r="CW1949" s="2"/>
    </row>
    <row r="1950" spans="1:101" x14ac:dyDescent="0.25">
      <c r="A1950" s="1" t="s">
        <v>163</v>
      </c>
      <c r="B1950" s="75" t="s">
        <v>164</v>
      </c>
      <c r="C1950">
        <v>0</v>
      </c>
      <c r="D1950">
        <v>0</v>
      </c>
      <c r="E1950">
        <v>0</v>
      </c>
      <c r="F1950">
        <v>604324.56000000006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3.91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7490</v>
      </c>
      <c r="AW1950">
        <v>3350</v>
      </c>
      <c r="AX1950">
        <v>1219</v>
      </c>
      <c r="AY1950">
        <v>12059</v>
      </c>
      <c r="AZ1950">
        <v>4202</v>
      </c>
      <c r="BA1950">
        <v>7438</v>
      </c>
      <c r="BB1950">
        <v>1432</v>
      </c>
      <c r="BC1950">
        <v>13072</v>
      </c>
      <c r="BD1950">
        <v>9486</v>
      </c>
      <c r="BE1950">
        <v>9222</v>
      </c>
      <c r="BF1950">
        <v>1768</v>
      </c>
      <c r="BG1950">
        <v>20476</v>
      </c>
      <c r="BH1950">
        <v>0</v>
      </c>
      <c r="BI1950">
        <v>0</v>
      </c>
      <c r="BJ1950">
        <v>0</v>
      </c>
      <c r="BK1950">
        <v>0</v>
      </c>
      <c r="BL1950" s="2">
        <v>24.82</v>
      </c>
      <c r="BM1950" s="2">
        <v>42005.095138888886</v>
      </c>
      <c r="BN1950" s="2">
        <v>5.4</v>
      </c>
      <c r="BO1950" s="2">
        <v>42005.092361111114</v>
      </c>
      <c r="BP1950" s="2">
        <v>6.92</v>
      </c>
      <c r="BQ1950" s="2">
        <v>42005.092361111114</v>
      </c>
      <c r="BR1950" s="2">
        <v>11.07</v>
      </c>
      <c r="BS1950" s="2">
        <v>42005.092361111114</v>
      </c>
      <c r="BT1950">
        <v>0</v>
      </c>
      <c r="BU1950">
        <v>0</v>
      </c>
      <c r="BV1950" t="s">
        <v>135</v>
      </c>
      <c r="BW1950">
        <v>0</v>
      </c>
      <c r="BX1950">
        <v>0</v>
      </c>
      <c r="BY1950" t="s">
        <v>135</v>
      </c>
      <c r="BZ1950">
        <v>0</v>
      </c>
      <c r="CA1950">
        <v>0</v>
      </c>
      <c r="CB1950" t="s">
        <v>135</v>
      </c>
      <c r="CH1950" s="2"/>
      <c r="CJ1950" s="2"/>
      <c r="CL1950" s="2"/>
      <c r="CN1950" s="2"/>
      <c r="CQ1950" s="2"/>
      <c r="CT1950" s="2"/>
      <c r="CW1950" s="2"/>
    </row>
    <row r="1951" spans="1:101" x14ac:dyDescent="0.25">
      <c r="A1951" s="1" t="s">
        <v>163</v>
      </c>
      <c r="B1951" s="75" t="s">
        <v>164</v>
      </c>
      <c r="C1951">
        <v>0</v>
      </c>
      <c r="D1951">
        <v>0</v>
      </c>
      <c r="E1951">
        <v>0</v>
      </c>
      <c r="F1951">
        <v>604324.56000000006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3.91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7490</v>
      </c>
      <c r="AW1951">
        <v>3350</v>
      </c>
      <c r="AX1951">
        <v>1219</v>
      </c>
      <c r="AY1951">
        <v>12059</v>
      </c>
      <c r="AZ1951">
        <v>4202</v>
      </c>
      <c r="BA1951">
        <v>7438</v>
      </c>
      <c r="BB1951">
        <v>1432</v>
      </c>
      <c r="BC1951">
        <v>13072</v>
      </c>
      <c r="BD1951">
        <v>9486</v>
      </c>
      <c r="BE1951">
        <v>9222</v>
      </c>
      <c r="BF1951">
        <v>1768</v>
      </c>
      <c r="BG1951">
        <v>20476</v>
      </c>
      <c r="BH1951">
        <v>0</v>
      </c>
      <c r="BI1951">
        <v>0</v>
      </c>
      <c r="BJ1951">
        <v>0</v>
      </c>
      <c r="BK1951">
        <v>0</v>
      </c>
      <c r="BL1951" s="2">
        <v>24.82</v>
      </c>
      <c r="BM1951" s="2">
        <v>42005.095138888886</v>
      </c>
      <c r="BN1951" s="2">
        <v>5.4</v>
      </c>
      <c r="BO1951" s="2">
        <v>42005.092361111114</v>
      </c>
      <c r="BP1951" s="2">
        <v>6.92</v>
      </c>
      <c r="BQ1951" s="2">
        <v>42005.092361111114</v>
      </c>
      <c r="BR1951" s="2">
        <v>11.07</v>
      </c>
      <c r="BS1951" s="2">
        <v>42005.092361111114</v>
      </c>
      <c r="BT1951">
        <v>0</v>
      </c>
      <c r="BU1951">
        <v>0</v>
      </c>
      <c r="BV1951" t="s">
        <v>135</v>
      </c>
      <c r="BW1951">
        <v>0</v>
      </c>
      <c r="BX1951">
        <v>0</v>
      </c>
      <c r="BY1951" t="s">
        <v>135</v>
      </c>
      <c r="BZ1951">
        <v>0</v>
      </c>
      <c r="CA1951">
        <v>0</v>
      </c>
      <c r="CB1951" t="s">
        <v>135</v>
      </c>
      <c r="CH1951" s="2"/>
      <c r="CJ1951" s="2"/>
      <c r="CL1951" s="2"/>
      <c r="CN1951" s="2"/>
      <c r="CQ1951" s="2"/>
      <c r="CT1951" s="2"/>
      <c r="CW1951" s="2"/>
    </row>
    <row r="1952" spans="1:101" x14ac:dyDescent="0.25">
      <c r="A1952" s="1" t="s">
        <v>163</v>
      </c>
      <c r="B1952" s="75" t="s">
        <v>164</v>
      </c>
      <c r="C1952">
        <v>0</v>
      </c>
      <c r="D1952">
        <v>0</v>
      </c>
      <c r="E1952">
        <v>0</v>
      </c>
      <c r="F1952">
        <v>604324.56000000006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3.91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7490</v>
      </c>
      <c r="AW1952">
        <v>3350</v>
      </c>
      <c r="AX1952">
        <v>1219</v>
      </c>
      <c r="AY1952">
        <v>12059</v>
      </c>
      <c r="AZ1952">
        <v>4202</v>
      </c>
      <c r="BA1952">
        <v>7438</v>
      </c>
      <c r="BB1952">
        <v>1432</v>
      </c>
      <c r="BC1952">
        <v>13072</v>
      </c>
      <c r="BD1952">
        <v>9486</v>
      </c>
      <c r="BE1952">
        <v>9222</v>
      </c>
      <c r="BF1952">
        <v>1768</v>
      </c>
      <c r="BG1952">
        <v>20476</v>
      </c>
      <c r="BH1952">
        <v>0</v>
      </c>
      <c r="BI1952">
        <v>0</v>
      </c>
      <c r="BJ1952">
        <v>0</v>
      </c>
      <c r="BK1952">
        <v>0</v>
      </c>
      <c r="BL1952" s="2">
        <v>24.82</v>
      </c>
      <c r="BM1952" s="2">
        <v>42005.095138888886</v>
      </c>
      <c r="BN1952" s="2">
        <v>5.4</v>
      </c>
      <c r="BO1952" s="2">
        <v>42005.092361111114</v>
      </c>
      <c r="BP1952" s="2">
        <v>6.92</v>
      </c>
      <c r="BQ1952" s="2">
        <v>42005.092361111114</v>
      </c>
      <c r="BR1952" s="2">
        <v>11.07</v>
      </c>
      <c r="BS1952" s="2">
        <v>42005.092361111114</v>
      </c>
      <c r="BT1952">
        <v>0</v>
      </c>
      <c r="BU1952">
        <v>0</v>
      </c>
      <c r="BV1952" t="s">
        <v>135</v>
      </c>
      <c r="BW1952">
        <v>0</v>
      </c>
      <c r="BX1952">
        <v>0</v>
      </c>
      <c r="BY1952" t="s">
        <v>135</v>
      </c>
      <c r="BZ1952">
        <v>0</v>
      </c>
      <c r="CA1952">
        <v>0</v>
      </c>
      <c r="CB1952" t="s">
        <v>135</v>
      </c>
      <c r="CH1952" s="2"/>
      <c r="CJ1952" s="2"/>
      <c r="CL1952" s="2"/>
      <c r="CN1952" s="2"/>
      <c r="CQ1952" s="2"/>
      <c r="CT1952" s="2"/>
      <c r="CW1952" s="2"/>
    </row>
    <row r="1953" spans="1:101" x14ac:dyDescent="0.25">
      <c r="A1953" s="1" t="s">
        <v>163</v>
      </c>
      <c r="B1953" s="75" t="s">
        <v>164</v>
      </c>
      <c r="C1953">
        <v>0</v>
      </c>
      <c r="D1953">
        <v>0</v>
      </c>
      <c r="E1953">
        <v>0</v>
      </c>
      <c r="F1953">
        <v>604324.56000000006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3.91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7490</v>
      </c>
      <c r="AW1953">
        <v>3350</v>
      </c>
      <c r="AX1953">
        <v>1219</v>
      </c>
      <c r="AY1953">
        <v>12059</v>
      </c>
      <c r="AZ1953">
        <v>4202</v>
      </c>
      <c r="BA1953">
        <v>7438</v>
      </c>
      <c r="BB1953">
        <v>1432</v>
      </c>
      <c r="BC1953">
        <v>13072</v>
      </c>
      <c r="BD1953">
        <v>9486</v>
      </c>
      <c r="BE1953">
        <v>9222</v>
      </c>
      <c r="BF1953">
        <v>1768</v>
      </c>
      <c r="BG1953">
        <v>20476</v>
      </c>
      <c r="BH1953">
        <v>0</v>
      </c>
      <c r="BI1953">
        <v>0</v>
      </c>
      <c r="BJ1953">
        <v>0</v>
      </c>
      <c r="BK1953">
        <v>0</v>
      </c>
      <c r="BL1953" s="2">
        <v>24.82</v>
      </c>
      <c r="BM1953" s="2">
        <v>42005.095138888886</v>
      </c>
      <c r="BN1953" s="2">
        <v>5.4</v>
      </c>
      <c r="BO1953" s="2">
        <v>42005.092361111114</v>
      </c>
      <c r="BP1953" s="2">
        <v>6.92</v>
      </c>
      <c r="BQ1953" s="2">
        <v>42005.092361111114</v>
      </c>
      <c r="BR1953" s="2">
        <v>11.07</v>
      </c>
      <c r="BS1953" s="2">
        <v>42005.092361111114</v>
      </c>
      <c r="BT1953">
        <v>0</v>
      </c>
      <c r="BU1953">
        <v>0</v>
      </c>
      <c r="BV1953" t="s">
        <v>135</v>
      </c>
      <c r="BW1953">
        <v>0</v>
      </c>
      <c r="BX1953">
        <v>0</v>
      </c>
      <c r="BY1953" t="s">
        <v>135</v>
      </c>
      <c r="BZ1953">
        <v>0</v>
      </c>
      <c r="CA1953">
        <v>0</v>
      </c>
      <c r="CB1953" t="s">
        <v>135</v>
      </c>
      <c r="CH1953" s="2"/>
      <c r="CJ1953" s="2"/>
      <c r="CL1953" s="2"/>
      <c r="CN1953" s="2"/>
      <c r="CQ1953" s="2"/>
      <c r="CT1953" s="2"/>
      <c r="CW1953" s="2"/>
    </row>
    <row r="1954" spans="1:101" x14ac:dyDescent="0.25">
      <c r="A1954" s="1" t="s">
        <v>163</v>
      </c>
      <c r="B1954" s="75" t="s">
        <v>164</v>
      </c>
      <c r="C1954">
        <v>0</v>
      </c>
      <c r="D1954">
        <v>0</v>
      </c>
      <c r="E1954">
        <v>0</v>
      </c>
      <c r="F1954">
        <v>604324.56000000006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3.91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7490</v>
      </c>
      <c r="AW1954">
        <v>3350</v>
      </c>
      <c r="AX1954">
        <v>1219</v>
      </c>
      <c r="AY1954">
        <v>12059</v>
      </c>
      <c r="AZ1954">
        <v>4202</v>
      </c>
      <c r="BA1954">
        <v>7438</v>
      </c>
      <c r="BB1954">
        <v>1432</v>
      </c>
      <c r="BC1954">
        <v>13072</v>
      </c>
      <c r="BD1954">
        <v>9486</v>
      </c>
      <c r="BE1954">
        <v>9222</v>
      </c>
      <c r="BF1954">
        <v>1768</v>
      </c>
      <c r="BG1954">
        <v>20476</v>
      </c>
      <c r="BH1954">
        <v>0</v>
      </c>
      <c r="BI1954">
        <v>0</v>
      </c>
      <c r="BJ1954">
        <v>0</v>
      </c>
      <c r="BK1954">
        <v>0</v>
      </c>
      <c r="BL1954" s="2">
        <v>24.82</v>
      </c>
      <c r="BM1954" s="2">
        <v>42005.095138888886</v>
      </c>
      <c r="BN1954" s="2">
        <v>5.4</v>
      </c>
      <c r="BO1954" s="2">
        <v>42005.092361111114</v>
      </c>
      <c r="BP1954" s="2">
        <v>6.92</v>
      </c>
      <c r="BQ1954" s="2">
        <v>42005.092361111114</v>
      </c>
      <c r="BR1954" s="2">
        <v>11.07</v>
      </c>
      <c r="BS1954" s="2">
        <v>42005.092361111114</v>
      </c>
      <c r="BT1954">
        <v>0</v>
      </c>
      <c r="BU1954">
        <v>0</v>
      </c>
      <c r="BV1954" t="s">
        <v>135</v>
      </c>
      <c r="BW1954">
        <v>0</v>
      </c>
      <c r="BX1954">
        <v>0</v>
      </c>
      <c r="BY1954" t="s">
        <v>135</v>
      </c>
      <c r="BZ1954">
        <v>0</v>
      </c>
      <c r="CA1954">
        <v>0</v>
      </c>
      <c r="CB1954" t="s">
        <v>135</v>
      </c>
      <c r="CH1954" s="2"/>
      <c r="CJ1954" s="2"/>
      <c r="CL1954" s="2"/>
      <c r="CN1954" s="2"/>
      <c r="CQ1954" s="2"/>
      <c r="CT1954" s="2"/>
      <c r="CW1954" s="2"/>
    </row>
    <row r="1955" spans="1:101" x14ac:dyDescent="0.25">
      <c r="A1955" s="1" t="s">
        <v>163</v>
      </c>
      <c r="B1955" s="75" t="s">
        <v>164</v>
      </c>
      <c r="C1955">
        <v>0</v>
      </c>
      <c r="D1955">
        <v>0</v>
      </c>
      <c r="E1955">
        <v>0</v>
      </c>
      <c r="F1955">
        <v>604324.56000000006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3.91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7490</v>
      </c>
      <c r="AW1955">
        <v>3350</v>
      </c>
      <c r="AX1955">
        <v>1219</v>
      </c>
      <c r="AY1955">
        <v>12059</v>
      </c>
      <c r="AZ1955">
        <v>4202</v>
      </c>
      <c r="BA1955">
        <v>7438</v>
      </c>
      <c r="BB1955">
        <v>1432</v>
      </c>
      <c r="BC1955">
        <v>13072</v>
      </c>
      <c r="BD1955">
        <v>9486</v>
      </c>
      <c r="BE1955">
        <v>9222</v>
      </c>
      <c r="BF1955">
        <v>1768</v>
      </c>
      <c r="BG1955">
        <v>20476</v>
      </c>
      <c r="BH1955">
        <v>0</v>
      </c>
      <c r="BI1955">
        <v>0</v>
      </c>
      <c r="BJ1955">
        <v>0</v>
      </c>
      <c r="BK1955">
        <v>0</v>
      </c>
      <c r="BL1955" s="2">
        <v>24.82</v>
      </c>
      <c r="BM1955" s="2">
        <v>42005.095138888886</v>
      </c>
      <c r="BN1955" s="2">
        <v>5.4</v>
      </c>
      <c r="BO1955" s="2">
        <v>42005.092361111114</v>
      </c>
      <c r="BP1955" s="2">
        <v>6.92</v>
      </c>
      <c r="BQ1955" s="2">
        <v>42005.092361111114</v>
      </c>
      <c r="BR1955" s="2">
        <v>11.07</v>
      </c>
      <c r="BS1955" s="2">
        <v>42005.092361111114</v>
      </c>
      <c r="BT1955">
        <v>0</v>
      </c>
      <c r="BU1955">
        <v>0</v>
      </c>
      <c r="BV1955" t="s">
        <v>135</v>
      </c>
      <c r="BW1955">
        <v>0</v>
      </c>
      <c r="BX1955">
        <v>0</v>
      </c>
      <c r="BY1955" t="s">
        <v>135</v>
      </c>
      <c r="BZ1955">
        <v>0</v>
      </c>
      <c r="CA1955">
        <v>0</v>
      </c>
      <c r="CB1955" t="s">
        <v>135</v>
      </c>
      <c r="CH1955" s="2"/>
      <c r="CJ1955" s="2"/>
      <c r="CL1955" s="2"/>
      <c r="CN1955" s="2"/>
      <c r="CQ1955" s="2"/>
      <c r="CT1955" s="2"/>
      <c r="CW1955" s="2"/>
    </row>
    <row r="1956" spans="1:101" x14ac:dyDescent="0.25">
      <c r="A1956" s="1" t="s">
        <v>163</v>
      </c>
      <c r="B1956" s="75" t="s">
        <v>164</v>
      </c>
      <c r="C1956">
        <v>0</v>
      </c>
      <c r="D1956">
        <v>0</v>
      </c>
      <c r="E1956">
        <v>0</v>
      </c>
      <c r="F1956">
        <v>604324.56000000006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3.91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7490</v>
      </c>
      <c r="AW1956">
        <v>3350</v>
      </c>
      <c r="AX1956">
        <v>1219</v>
      </c>
      <c r="AY1956">
        <v>12059</v>
      </c>
      <c r="AZ1956">
        <v>4202</v>
      </c>
      <c r="BA1956">
        <v>7438</v>
      </c>
      <c r="BB1956">
        <v>1432</v>
      </c>
      <c r="BC1956">
        <v>13072</v>
      </c>
      <c r="BD1956">
        <v>9486</v>
      </c>
      <c r="BE1956">
        <v>9222</v>
      </c>
      <c r="BF1956">
        <v>1768</v>
      </c>
      <c r="BG1956">
        <v>20476</v>
      </c>
      <c r="BH1956">
        <v>0</v>
      </c>
      <c r="BI1956">
        <v>0</v>
      </c>
      <c r="BJ1956">
        <v>0</v>
      </c>
      <c r="BK1956">
        <v>0</v>
      </c>
      <c r="BL1956" s="2">
        <v>24.82</v>
      </c>
      <c r="BM1956" s="2">
        <v>42005.095138888886</v>
      </c>
      <c r="BN1956" s="2">
        <v>5.4</v>
      </c>
      <c r="BO1956" s="2">
        <v>42005.092361111114</v>
      </c>
      <c r="BP1956" s="2">
        <v>6.92</v>
      </c>
      <c r="BQ1956" s="2">
        <v>42005.092361111114</v>
      </c>
      <c r="BR1956" s="2">
        <v>11.07</v>
      </c>
      <c r="BS1956" s="2">
        <v>42005.092361111114</v>
      </c>
      <c r="BT1956">
        <v>0</v>
      </c>
      <c r="BU1956">
        <v>0</v>
      </c>
      <c r="BV1956" t="s">
        <v>135</v>
      </c>
      <c r="BW1956">
        <v>0</v>
      </c>
      <c r="BX1956">
        <v>0</v>
      </c>
      <c r="BY1956" t="s">
        <v>135</v>
      </c>
      <c r="BZ1956">
        <v>0</v>
      </c>
      <c r="CA1956">
        <v>0</v>
      </c>
      <c r="CB1956" t="s">
        <v>135</v>
      </c>
      <c r="CH1956" s="2"/>
      <c r="CJ1956" s="2"/>
      <c r="CL1956" s="2"/>
      <c r="CN1956" s="2"/>
      <c r="CQ1956" s="2"/>
      <c r="CT1956" s="2"/>
      <c r="CW1956" s="2"/>
    </row>
    <row r="1957" spans="1:101" x14ac:dyDescent="0.25">
      <c r="A1957" s="1" t="s">
        <v>163</v>
      </c>
      <c r="B1957" s="75" t="s">
        <v>164</v>
      </c>
      <c r="C1957">
        <v>0</v>
      </c>
      <c r="D1957">
        <v>0</v>
      </c>
      <c r="E1957">
        <v>0</v>
      </c>
      <c r="F1957">
        <v>604324.56000000006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3.91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7490</v>
      </c>
      <c r="AW1957">
        <v>3350</v>
      </c>
      <c r="AX1957">
        <v>1219</v>
      </c>
      <c r="AY1957">
        <v>12059</v>
      </c>
      <c r="AZ1957">
        <v>4202</v>
      </c>
      <c r="BA1957">
        <v>7438</v>
      </c>
      <c r="BB1957">
        <v>1432</v>
      </c>
      <c r="BC1957">
        <v>13072</v>
      </c>
      <c r="BD1957">
        <v>9486</v>
      </c>
      <c r="BE1957">
        <v>9222</v>
      </c>
      <c r="BF1957">
        <v>1768</v>
      </c>
      <c r="BG1957">
        <v>20476</v>
      </c>
      <c r="BH1957">
        <v>0</v>
      </c>
      <c r="BI1957">
        <v>0</v>
      </c>
      <c r="BJ1957">
        <v>0</v>
      </c>
      <c r="BK1957">
        <v>0</v>
      </c>
      <c r="BL1957" s="2">
        <v>24.82</v>
      </c>
      <c r="BM1957" s="2">
        <v>42005.095138888886</v>
      </c>
      <c r="BN1957" s="2">
        <v>5.4</v>
      </c>
      <c r="BO1957" s="2">
        <v>42005.092361111114</v>
      </c>
      <c r="BP1957" s="2">
        <v>6.92</v>
      </c>
      <c r="BQ1957" s="2">
        <v>42005.092361111114</v>
      </c>
      <c r="BR1957" s="2">
        <v>11.07</v>
      </c>
      <c r="BS1957" s="2">
        <v>42005.092361111114</v>
      </c>
      <c r="BT1957">
        <v>0</v>
      </c>
      <c r="BU1957">
        <v>0</v>
      </c>
      <c r="BV1957" t="s">
        <v>135</v>
      </c>
      <c r="BW1957">
        <v>0</v>
      </c>
      <c r="BX1957">
        <v>0</v>
      </c>
      <c r="BY1957" t="s">
        <v>135</v>
      </c>
      <c r="BZ1957">
        <v>0</v>
      </c>
      <c r="CA1957">
        <v>0</v>
      </c>
      <c r="CB1957" t="s">
        <v>135</v>
      </c>
      <c r="CH1957" s="2"/>
      <c r="CJ1957" s="2"/>
      <c r="CL1957" s="2"/>
      <c r="CN1957" s="2"/>
      <c r="CQ1957" s="2"/>
      <c r="CT1957" s="2"/>
      <c r="CW1957" s="2"/>
    </row>
    <row r="1958" spans="1:101" x14ac:dyDescent="0.25">
      <c r="A1958" s="1" t="s">
        <v>163</v>
      </c>
      <c r="B1958" s="75" t="s">
        <v>164</v>
      </c>
      <c r="C1958">
        <v>0</v>
      </c>
      <c r="D1958">
        <v>0</v>
      </c>
      <c r="E1958">
        <v>0</v>
      </c>
      <c r="F1958">
        <v>604324.56000000006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3.91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7490</v>
      </c>
      <c r="AW1958">
        <v>3350</v>
      </c>
      <c r="AX1958">
        <v>1219</v>
      </c>
      <c r="AY1958">
        <v>12059</v>
      </c>
      <c r="AZ1958">
        <v>4202</v>
      </c>
      <c r="BA1958">
        <v>7438</v>
      </c>
      <c r="BB1958">
        <v>1432</v>
      </c>
      <c r="BC1958">
        <v>13072</v>
      </c>
      <c r="BD1958">
        <v>9486</v>
      </c>
      <c r="BE1958">
        <v>9222</v>
      </c>
      <c r="BF1958">
        <v>1768</v>
      </c>
      <c r="BG1958">
        <v>20476</v>
      </c>
      <c r="BH1958">
        <v>0</v>
      </c>
      <c r="BI1958">
        <v>0</v>
      </c>
      <c r="BJ1958">
        <v>0</v>
      </c>
      <c r="BK1958">
        <v>0</v>
      </c>
      <c r="BL1958" s="2">
        <v>24.82</v>
      </c>
      <c r="BM1958" s="2">
        <v>42005.095138888886</v>
      </c>
      <c r="BN1958" s="2">
        <v>5.4</v>
      </c>
      <c r="BO1958" s="2">
        <v>42005.092361111114</v>
      </c>
      <c r="BP1958" s="2">
        <v>6.92</v>
      </c>
      <c r="BQ1958" s="2">
        <v>42005.092361111114</v>
      </c>
      <c r="BR1958" s="2">
        <v>11.07</v>
      </c>
      <c r="BS1958" s="2">
        <v>42005.092361111114</v>
      </c>
      <c r="BT1958">
        <v>0</v>
      </c>
      <c r="BU1958">
        <v>0</v>
      </c>
      <c r="BV1958" t="s">
        <v>135</v>
      </c>
      <c r="BW1958">
        <v>0</v>
      </c>
      <c r="BX1958">
        <v>0</v>
      </c>
      <c r="BY1958" t="s">
        <v>135</v>
      </c>
      <c r="BZ1958">
        <v>0</v>
      </c>
      <c r="CA1958">
        <v>0</v>
      </c>
      <c r="CB1958" t="s">
        <v>135</v>
      </c>
      <c r="CH1958" s="2"/>
      <c r="CJ1958" s="2"/>
      <c r="CL1958" s="2"/>
      <c r="CN1958" s="2"/>
      <c r="CQ1958" s="2"/>
      <c r="CT1958" s="2"/>
      <c r="CW1958" s="2"/>
    </row>
    <row r="1959" spans="1:101" x14ac:dyDescent="0.25">
      <c r="A1959" s="1" t="s">
        <v>163</v>
      </c>
      <c r="B1959" s="75" t="s">
        <v>164</v>
      </c>
      <c r="C1959">
        <v>0</v>
      </c>
      <c r="D1959">
        <v>0</v>
      </c>
      <c r="E1959">
        <v>0</v>
      </c>
      <c r="F1959">
        <v>604324.56000000006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3.91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7490</v>
      </c>
      <c r="AW1959">
        <v>3350</v>
      </c>
      <c r="AX1959">
        <v>1219</v>
      </c>
      <c r="AY1959">
        <v>12059</v>
      </c>
      <c r="AZ1959">
        <v>4202</v>
      </c>
      <c r="BA1959">
        <v>7438</v>
      </c>
      <c r="BB1959">
        <v>1432</v>
      </c>
      <c r="BC1959">
        <v>13072</v>
      </c>
      <c r="BD1959">
        <v>9486</v>
      </c>
      <c r="BE1959">
        <v>9222</v>
      </c>
      <c r="BF1959">
        <v>1768</v>
      </c>
      <c r="BG1959">
        <v>20476</v>
      </c>
      <c r="BH1959">
        <v>0</v>
      </c>
      <c r="BI1959">
        <v>0</v>
      </c>
      <c r="BJ1959">
        <v>0</v>
      </c>
      <c r="BK1959">
        <v>0</v>
      </c>
      <c r="BL1959" s="2">
        <v>24.82</v>
      </c>
      <c r="BM1959" s="2">
        <v>42005.095138888886</v>
      </c>
      <c r="BN1959" s="2">
        <v>5.4</v>
      </c>
      <c r="BO1959" s="2">
        <v>42005.092361111114</v>
      </c>
      <c r="BP1959" s="2">
        <v>6.92</v>
      </c>
      <c r="BQ1959" s="2">
        <v>42005.092361111114</v>
      </c>
      <c r="BR1959" s="2">
        <v>11.07</v>
      </c>
      <c r="BS1959" s="2">
        <v>42005.092361111114</v>
      </c>
      <c r="BT1959">
        <v>0</v>
      </c>
      <c r="BU1959">
        <v>0</v>
      </c>
      <c r="BV1959" t="s">
        <v>135</v>
      </c>
      <c r="BW1959">
        <v>0</v>
      </c>
      <c r="BX1959">
        <v>0</v>
      </c>
      <c r="BY1959" t="s">
        <v>135</v>
      </c>
      <c r="BZ1959">
        <v>0</v>
      </c>
      <c r="CA1959">
        <v>0</v>
      </c>
      <c r="CB1959" t="s">
        <v>135</v>
      </c>
      <c r="CH1959" s="2"/>
      <c r="CJ1959" s="2"/>
      <c r="CL1959" s="2"/>
      <c r="CN1959" s="2"/>
      <c r="CQ1959" s="2"/>
      <c r="CT1959" s="2"/>
      <c r="CW1959" s="2"/>
    </row>
    <row r="1960" spans="1:101" x14ac:dyDescent="0.25">
      <c r="A1960" s="1" t="s">
        <v>163</v>
      </c>
      <c r="B1960" s="75" t="s">
        <v>164</v>
      </c>
      <c r="C1960">
        <v>0</v>
      </c>
      <c r="D1960">
        <v>0</v>
      </c>
      <c r="E1960">
        <v>0</v>
      </c>
      <c r="F1960">
        <v>604324.56000000006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3.91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7490</v>
      </c>
      <c r="AW1960">
        <v>3350</v>
      </c>
      <c r="AX1960">
        <v>1219</v>
      </c>
      <c r="AY1960">
        <v>12059</v>
      </c>
      <c r="AZ1960">
        <v>4202</v>
      </c>
      <c r="BA1960">
        <v>7438</v>
      </c>
      <c r="BB1960">
        <v>1432</v>
      </c>
      <c r="BC1960">
        <v>13072</v>
      </c>
      <c r="BD1960">
        <v>9486</v>
      </c>
      <c r="BE1960">
        <v>9222</v>
      </c>
      <c r="BF1960">
        <v>1768</v>
      </c>
      <c r="BG1960">
        <v>20476</v>
      </c>
      <c r="BH1960">
        <v>0</v>
      </c>
      <c r="BI1960">
        <v>0</v>
      </c>
      <c r="BJ1960">
        <v>0</v>
      </c>
      <c r="BK1960">
        <v>0</v>
      </c>
      <c r="BL1960" s="2">
        <v>24.82</v>
      </c>
      <c r="BM1960" s="2">
        <v>42005.095138888886</v>
      </c>
      <c r="BN1960" s="2">
        <v>5.4</v>
      </c>
      <c r="BO1960" s="2">
        <v>42005.092361111114</v>
      </c>
      <c r="BP1960" s="2">
        <v>6.92</v>
      </c>
      <c r="BQ1960" s="2">
        <v>42005.092361111114</v>
      </c>
      <c r="BR1960" s="2">
        <v>11.07</v>
      </c>
      <c r="BS1960" s="2">
        <v>42005.092361111114</v>
      </c>
      <c r="BT1960">
        <v>0</v>
      </c>
      <c r="BU1960">
        <v>0</v>
      </c>
      <c r="BV1960" t="s">
        <v>135</v>
      </c>
      <c r="BW1960">
        <v>0</v>
      </c>
      <c r="BX1960">
        <v>0</v>
      </c>
      <c r="BY1960" t="s">
        <v>135</v>
      </c>
      <c r="BZ1960">
        <v>0</v>
      </c>
      <c r="CA1960">
        <v>0</v>
      </c>
      <c r="CB1960" t="s">
        <v>135</v>
      </c>
      <c r="CH1960" s="2"/>
      <c r="CJ1960" s="2"/>
      <c r="CL1960" s="2"/>
      <c r="CN1960" s="2"/>
      <c r="CQ1960" s="2"/>
      <c r="CT1960" s="2"/>
      <c r="CW1960" s="2"/>
    </row>
    <row r="1961" spans="1:101" x14ac:dyDescent="0.25">
      <c r="A1961" s="1" t="s">
        <v>163</v>
      </c>
      <c r="B1961" s="75" t="s">
        <v>164</v>
      </c>
      <c r="C1961">
        <v>0</v>
      </c>
      <c r="D1961">
        <v>0</v>
      </c>
      <c r="E1961">
        <v>0</v>
      </c>
      <c r="F1961">
        <v>604324.56000000006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3.91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7490</v>
      </c>
      <c r="AW1961">
        <v>3350</v>
      </c>
      <c r="AX1961">
        <v>1219</v>
      </c>
      <c r="AY1961">
        <v>12059</v>
      </c>
      <c r="AZ1961">
        <v>4202</v>
      </c>
      <c r="BA1961">
        <v>7438</v>
      </c>
      <c r="BB1961">
        <v>1432</v>
      </c>
      <c r="BC1961">
        <v>13072</v>
      </c>
      <c r="BD1961">
        <v>9486</v>
      </c>
      <c r="BE1961">
        <v>9222</v>
      </c>
      <c r="BF1961">
        <v>1768</v>
      </c>
      <c r="BG1961">
        <v>20476</v>
      </c>
      <c r="BH1961">
        <v>0</v>
      </c>
      <c r="BI1961">
        <v>0</v>
      </c>
      <c r="BJ1961">
        <v>0</v>
      </c>
      <c r="BK1961">
        <v>0</v>
      </c>
      <c r="BL1961" s="2">
        <v>24.82</v>
      </c>
      <c r="BM1961" s="2">
        <v>42005.095138888886</v>
      </c>
      <c r="BN1961" s="2">
        <v>5.4</v>
      </c>
      <c r="BO1961" s="2">
        <v>42005.092361111114</v>
      </c>
      <c r="BP1961" s="2">
        <v>6.92</v>
      </c>
      <c r="BQ1961" s="2">
        <v>42005.092361111114</v>
      </c>
      <c r="BR1961" s="2">
        <v>11.07</v>
      </c>
      <c r="BS1961" s="2">
        <v>42005.092361111114</v>
      </c>
      <c r="BT1961">
        <v>0</v>
      </c>
      <c r="BU1961">
        <v>0</v>
      </c>
      <c r="BV1961" t="s">
        <v>135</v>
      </c>
      <c r="BW1961">
        <v>0</v>
      </c>
      <c r="BX1961">
        <v>0</v>
      </c>
      <c r="BY1961" t="s">
        <v>135</v>
      </c>
      <c r="BZ1961">
        <v>0</v>
      </c>
      <c r="CA1961">
        <v>0</v>
      </c>
      <c r="CB1961" t="s">
        <v>135</v>
      </c>
      <c r="CH1961" s="2"/>
      <c r="CJ1961" s="2"/>
      <c r="CL1961" s="2"/>
      <c r="CN1961" s="2"/>
      <c r="CQ1961" s="2"/>
      <c r="CT1961" s="2"/>
      <c r="CW1961" s="2"/>
    </row>
    <row r="1962" spans="1:101" x14ac:dyDescent="0.25">
      <c r="A1962" s="1" t="s">
        <v>163</v>
      </c>
      <c r="B1962" s="75" t="s">
        <v>164</v>
      </c>
      <c r="C1962">
        <v>0</v>
      </c>
      <c r="D1962">
        <v>0</v>
      </c>
      <c r="E1962">
        <v>0</v>
      </c>
      <c r="F1962">
        <v>604324.56000000006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3.91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7490</v>
      </c>
      <c r="AW1962">
        <v>3350</v>
      </c>
      <c r="AX1962">
        <v>1219</v>
      </c>
      <c r="AY1962">
        <v>12059</v>
      </c>
      <c r="AZ1962">
        <v>4202</v>
      </c>
      <c r="BA1962">
        <v>7438</v>
      </c>
      <c r="BB1962">
        <v>1432</v>
      </c>
      <c r="BC1962">
        <v>13072</v>
      </c>
      <c r="BD1962">
        <v>9486</v>
      </c>
      <c r="BE1962">
        <v>9222</v>
      </c>
      <c r="BF1962">
        <v>1768</v>
      </c>
      <c r="BG1962">
        <v>20476</v>
      </c>
      <c r="BH1962">
        <v>0</v>
      </c>
      <c r="BI1962">
        <v>0</v>
      </c>
      <c r="BJ1962">
        <v>0</v>
      </c>
      <c r="BK1962">
        <v>0</v>
      </c>
      <c r="BL1962" s="2">
        <v>24.82</v>
      </c>
      <c r="BM1962" s="2">
        <v>42005.095138888886</v>
      </c>
      <c r="BN1962" s="2">
        <v>5.4</v>
      </c>
      <c r="BO1962" s="2">
        <v>42005.092361111114</v>
      </c>
      <c r="BP1962" s="2">
        <v>6.92</v>
      </c>
      <c r="BQ1962" s="2">
        <v>42005.092361111114</v>
      </c>
      <c r="BR1962" s="2">
        <v>11.07</v>
      </c>
      <c r="BS1962" s="2">
        <v>42005.092361111114</v>
      </c>
      <c r="BT1962">
        <v>0</v>
      </c>
      <c r="BU1962">
        <v>0</v>
      </c>
      <c r="BV1962" t="s">
        <v>135</v>
      </c>
      <c r="BW1962">
        <v>0</v>
      </c>
      <c r="BX1962">
        <v>0</v>
      </c>
      <c r="BY1962" t="s">
        <v>135</v>
      </c>
      <c r="BZ1962">
        <v>0</v>
      </c>
      <c r="CA1962">
        <v>0</v>
      </c>
      <c r="CB1962" t="s">
        <v>135</v>
      </c>
      <c r="CH1962" s="2"/>
      <c r="CJ1962" s="2"/>
      <c r="CL1962" s="2"/>
      <c r="CN1962" s="2"/>
      <c r="CQ1962" s="2"/>
      <c r="CT1962" s="2"/>
      <c r="CW1962" s="2"/>
    </row>
    <row r="1963" spans="1:101" x14ac:dyDescent="0.25">
      <c r="A1963" s="1" t="s">
        <v>163</v>
      </c>
      <c r="B1963" s="75" t="s">
        <v>164</v>
      </c>
      <c r="C1963">
        <v>0</v>
      </c>
      <c r="D1963">
        <v>0</v>
      </c>
      <c r="E1963">
        <v>0</v>
      </c>
      <c r="F1963">
        <v>604324.56000000006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3.91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7490</v>
      </c>
      <c r="AW1963">
        <v>3350</v>
      </c>
      <c r="AX1963">
        <v>1219</v>
      </c>
      <c r="AY1963">
        <v>12059</v>
      </c>
      <c r="AZ1963">
        <v>4202</v>
      </c>
      <c r="BA1963">
        <v>7438</v>
      </c>
      <c r="BB1963">
        <v>1432</v>
      </c>
      <c r="BC1963">
        <v>13072</v>
      </c>
      <c r="BD1963">
        <v>9486</v>
      </c>
      <c r="BE1963">
        <v>9222</v>
      </c>
      <c r="BF1963">
        <v>1768</v>
      </c>
      <c r="BG1963">
        <v>20476</v>
      </c>
      <c r="BH1963">
        <v>0</v>
      </c>
      <c r="BI1963">
        <v>0</v>
      </c>
      <c r="BJ1963">
        <v>0</v>
      </c>
      <c r="BK1963">
        <v>0</v>
      </c>
      <c r="BL1963" s="2">
        <v>24.82</v>
      </c>
      <c r="BM1963" s="2">
        <v>42005.095138888886</v>
      </c>
      <c r="BN1963" s="2">
        <v>5.4</v>
      </c>
      <c r="BO1963" s="2">
        <v>42005.092361111114</v>
      </c>
      <c r="BP1963" s="2">
        <v>6.92</v>
      </c>
      <c r="BQ1963" s="2">
        <v>42005.092361111114</v>
      </c>
      <c r="BR1963" s="2">
        <v>11.07</v>
      </c>
      <c r="BS1963" s="2">
        <v>42005.092361111114</v>
      </c>
      <c r="BT1963">
        <v>0</v>
      </c>
      <c r="BU1963">
        <v>0</v>
      </c>
      <c r="BV1963" t="s">
        <v>135</v>
      </c>
      <c r="BW1963">
        <v>0</v>
      </c>
      <c r="BX1963">
        <v>0</v>
      </c>
      <c r="BY1963" t="s">
        <v>135</v>
      </c>
      <c r="BZ1963">
        <v>0</v>
      </c>
      <c r="CA1963">
        <v>0</v>
      </c>
      <c r="CB1963" t="s">
        <v>135</v>
      </c>
      <c r="CH1963" s="2"/>
      <c r="CJ1963" s="2"/>
      <c r="CL1963" s="2"/>
      <c r="CN1963" s="2"/>
      <c r="CQ1963" s="2"/>
      <c r="CT1963" s="2"/>
      <c r="CW1963" s="2"/>
    </row>
    <row r="1964" spans="1:101" x14ac:dyDescent="0.25">
      <c r="A1964" s="1" t="s">
        <v>163</v>
      </c>
      <c r="B1964" s="75" t="s">
        <v>164</v>
      </c>
      <c r="C1964">
        <v>0</v>
      </c>
      <c r="D1964">
        <v>0</v>
      </c>
      <c r="E1964">
        <v>0</v>
      </c>
      <c r="F1964">
        <v>604324.56000000006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3.91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7490</v>
      </c>
      <c r="AW1964">
        <v>3350</v>
      </c>
      <c r="AX1964">
        <v>1219</v>
      </c>
      <c r="AY1964">
        <v>12059</v>
      </c>
      <c r="AZ1964">
        <v>4202</v>
      </c>
      <c r="BA1964">
        <v>7438</v>
      </c>
      <c r="BB1964">
        <v>1432</v>
      </c>
      <c r="BC1964">
        <v>13072</v>
      </c>
      <c r="BD1964">
        <v>9486</v>
      </c>
      <c r="BE1964">
        <v>9222</v>
      </c>
      <c r="BF1964">
        <v>1768</v>
      </c>
      <c r="BG1964">
        <v>20476</v>
      </c>
      <c r="BH1964">
        <v>0</v>
      </c>
      <c r="BI1964">
        <v>0</v>
      </c>
      <c r="BJ1964">
        <v>0</v>
      </c>
      <c r="BK1964">
        <v>0</v>
      </c>
      <c r="BL1964" s="2">
        <v>24.82</v>
      </c>
      <c r="BM1964" s="2">
        <v>42005.095138888886</v>
      </c>
      <c r="BN1964" s="2">
        <v>5.4</v>
      </c>
      <c r="BO1964" s="2">
        <v>42005.092361111114</v>
      </c>
      <c r="BP1964" s="2">
        <v>6.92</v>
      </c>
      <c r="BQ1964" s="2">
        <v>42005.092361111114</v>
      </c>
      <c r="BR1964" s="2">
        <v>11.07</v>
      </c>
      <c r="BS1964" s="2">
        <v>42005.092361111114</v>
      </c>
      <c r="BT1964">
        <v>0</v>
      </c>
      <c r="BU1964">
        <v>0</v>
      </c>
      <c r="BV1964" t="s">
        <v>135</v>
      </c>
      <c r="BW1964">
        <v>0</v>
      </c>
      <c r="BX1964">
        <v>0</v>
      </c>
      <c r="BY1964" t="s">
        <v>135</v>
      </c>
      <c r="BZ1964">
        <v>0</v>
      </c>
      <c r="CA1964">
        <v>0</v>
      </c>
      <c r="CB1964" t="s">
        <v>135</v>
      </c>
      <c r="CH1964" s="2"/>
      <c r="CJ1964" s="2"/>
      <c r="CL1964" s="2"/>
      <c r="CN1964" s="2"/>
      <c r="CQ1964" s="2"/>
      <c r="CT1964" s="2"/>
      <c r="CW1964" s="2"/>
    </row>
    <row r="1965" spans="1:101" x14ac:dyDescent="0.25">
      <c r="A1965" s="1" t="s">
        <v>163</v>
      </c>
      <c r="B1965" s="75" t="s">
        <v>164</v>
      </c>
      <c r="C1965">
        <v>0</v>
      </c>
      <c r="D1965">
        <v>0</v>
      </c>
      <c r="E1965">
        <v>0</v>
      </c>
      <c r="F1965">
        <v>604324.56000000006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3.91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7490</v>
      </c>
      <c r="AW1965">
        <v>3350</v>
      </c>
      <c r="AX1965">
        <v>1219</v>
      </c>
      <c r="AY1965">
        <v>12059</v>
      </c>
      <c r="AZ1965">
        <v>4202</v>
      </c>
      <c r="BA1965">
        <v>7438</v>
      </c>
      <c r="BB1965">
        <v>1432</v>
      </c>
      <c r="BC1965">
        <v>13072</v>
      </c>
      <c r="BD1965">
        <v>9486</v>
      </c>
      <c r="BE1965">
        <v>9222</v>
      </c>
      <c r="BF1965">
        <v>1768</v>
      </c>
      <c r="BG1965">
        <v>20476</v>
      </c>
      <c r="BH1965">
        <v>0</v>
      </c>
      <c r="BI1965">
        <v>0</v>
      </c>
      <c r="BJ1965">
        <v>0</v>
      </c>
      <c r="BK1965">
        <v>0</v>
      </c>
      <c r="BL1965" s="2">
        <v>24.82</v>
      </c>
      <c r="BM1965" s="2">
        <v>42005.095138888886</v>
      </c>
      <c r="BN1965" s="2">
        <v>5.4</v>
      </c>
      <c r="BO1965" s="2">
        <v>42005.092361111114</v>
      </c>
      <c r="BP1965" s="2">
        <v>6.92</v>
      </c>
      <c r="BQ1965" s="2">
        <v>42005.092361111114</v>
      </c>
      <c r="BR1965" s="2">
        <v>11.07</v>
      </c>
      <c r="BS1965" s="2">
        <v>42005.092361111114</v>
      </c>
      <c r="BT1965">
        <v>0</v>
      </c>
      <c r="BU1965">
        <v>0</v>
      </c>
      <c r="BV1965" t="s">
        <v>135</v>
      </c>
      <c r="BW1965">
        <v>0</v>
      </c>
      <c r="BX1965">
        <v>0</v>
      </c>
      <c r="BY1965" t="s">
        <v>135</v>
      </c>
      <c r="BZ1965">
        <v>0</v>
      </c>
      <c r="CA1965">
        <v>0</v>
      </c>
      <c r="CB1965" t="s">
        <v>135</v>
      </c>
      <c r="CH1965" s="2"/>
      <c r="CJ1965" s="2"/>
      <c r="CL1965" s="2"/>
      <c r="CN1965" s="2"/>
      <c r="CQ1965" s="2"/>
      <c r="CT1965" s="2"/>
      <c r="CW1965" s="2"/>
    </row>
    <row r="1966" spans="1:101" x14ac:dyDescent="0.25">
      <c r="A1966" s="1" t="s">
        <v>163</v>
      </c>
      <c r="B1966" s="75" t="s">
        <v>164</v>
      </c>
      <c r="C1966">
        <v>0</v>
      </c>
      <c r="D1966">
        <v>0</v>
      </c>
      <c r="E1966">
        <v>0</v>
      </c>
      <c r="F1966">
        <v>604324.56000000006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3.91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7490</v>
      </c>
      <c r="AW1966">
        <v>3350</v>
      </c>
      <c r="AX1966">
        <v>1219</v>
      </c>
      <c r="AY1966">
        <v>12059</v>
      </c>
      <c r="AZ1966">
        <v>4202</v>
      </c>
      <c r="BA1966">
        <v>7438</v>
      </c>
      <c r="BB1966">
        <v>1432</v>
      </c>
      <c r="BC1966">
        <v>13072</v>
      </c>
      <c r="BD1966">
        <v>9486</v>
      </c>
      <c r="BE1966">
        <v>9222</v>
      </c>
      <c r="BF1966">
        <v>1768</v>
      </c>
      <c r="BG1966">
        <v>20476</v>
      </c>
      <c r="BH1966">
        <v>0</v>
      </c>
      <c r="BI1966">
        <v>0</v>
      </c>
      <c r="BJ1966">
        <v>0</v>
      </c>
      <c r="BK1966">
        <v>0</v>
      </c>
      <c r="BL1966" s="2">
        <v>24.82</v>
      </c>
      <c r="BM1966" s="2">
        <v>42005.095138888886</v>
      </c>
      <c r="BN1966" s="2">
        <v>5.4</v>
      </c>
      <c r="BO1966" s="2">
        <v>42005.092361111114</v>
      </c>
      <c r="BP1966" s="2">
        <v>6.92</v>
      </c>
      <c r="BQ1966" s="2">
        <v>42005.092361111114</v>
      </c>
      <c r="BR1966" s="2">
        <v>11.07</v>
      </c>
      <c r="BS1966" s="2">
        <v>42005.092361111114</v>
      </c>
      <c r="BT1966">
        <v>0</v>
      </c>
      <c r="BU1966">
        <v>0</v>
      </c>
      <c r="BV1966" t="s">
        <v>135</v>
      </c>
      <c r="BW1966">
        <v>0</v>
      </c>
      <c r="BX1966">
        <v>0</v>
      </c>
      <c r="BY1966" t="s">
        <v>135</v>
      </c>
      <c r="BZ1966">
        <v>0</v>
      </c>
      <c r="CA1966">
        <v>0</v>
      </c>
      <c r="CB1966" t="s">
        <v>135</v>
      </c>
      <c r="CH1966" s="2"/>
      <c r="CJ1966" s="2"/>
      <c r="CL1966" s="2"/>
      <c r="CN1966" s="2"/>
      <c r="CQ1966" s="2"/>
      <c r="CT1966" s="2"/>
      <c r="CW1966" s="2"/>
    </row>
    <row r="1967" spans="1:101" x14ac:dyDescent="0.25">
      <c r="A1967" s="1" t="s">
        <v>163</v>
      </c>
      <c r="B1967" s="75" t="s">
        <v>164</v>
      </c>
      <c r="C1967">
        <v>0</v>
      </c>
      <c r="D1967">
        <v>0</v>
      </c>
      <c r="E1967">
        <v>0</v>
      </c>
      <c r="F1967">
        <v>604324.56000000006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3.91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7490</v>
      </c>
      <c r="AW1967">
        <v>3350</v>
      </c>
      <c r="AX1967">
        <v>1219</v>
      </c>
      <c r="AY1967">
        <v>12059</v>
      </c>
      <c r="AZ1967">
        <v>4202</v>
      </c>
      <c r="BA1967">
        <v>7438</v>
      </c>
      <c r="BB1967">
        <v>1432</v>
      </c>
      <c r="BC1967">
        <v>13072</v>
      </c>
      <c r="BD1967">
        <v>9486</v>
      </c>
      <c r="BE1967">
        <v>9222</v>
      </c>
      <c r="BF1967">
        <v>1768</v>
      </c>
      <c r="BG1967">
        <v>20476</v>
      </c>
      <c r="BH1967">
        <v>0</v>
      </c>
      <c r="BI1967">
        <v>0</v>
      </c>
      <c r="BJ1967">
        <v>0</v>
      </c>
      <c r="BK1967">
        <v>0</v>
      </c>
      <c r="BL1967" s="2">
        <v>24.82</v>
      </c>
      <c r="BM1967" s="2">
        <v>42005.095138888886</v>
      </c>
      <c r="BN1967" s="2">
        <v>5.4</v>
      </c>
      <c r="BO1967" s="2">
        <v>42005.092361111114</v>
      </c>
      <c r="BP1967" s="2">
        <v>6.92</v>
      </c>
      <c r="BQ1967" s="2">
        <v>42005.092361111114</v>
      </c>
      <c r="BR1967" s="2">
        <v>11.07</v>
      </c>
      <c r="BS1967" s="2">
        <v>42005.092361111114</v>
      </c>
      <c r="BT1967">
        <v>0</v>
      </c>
      <c r="BU1967">
        <v>0</v>
      </c>
      <c r="BV1967" t="s">
        <v>135</v>
      </c>
      <c r="BW1967">
        <v>0</v>
      </c>
      <c r="BX1967">
        <v>0</v>
      </c>
      <c r="BY1967" t="s">
        <v>135</v>
      </c>
      <c r="BZ1967">
        <v>0</v>
      </c>
      <c r="CA1967">
        <v>0</v>
      </c>
      <c r="CB1967" t="s">
        <v>135</v>
      </c>
      <c r="CH1967" s="2"/>
      <c r="CJ1967" s="2"/>
      <c r="CL1967" s="2"/>
      <c r="CN1967" s="2"/>
      <c r="CQ1967" s="2"/>
      <c r="CT1967" s="2"/>
      <c r="CW1967" s="2"/>
    </row>
    <row r="1968" spans="1:101" x14ac:dyDescent="0.25">
      <c r="A1968" s="1" t="s">
        <v>163</v>
      </c>
      <c r="B1968" s="75" t="s">
        <v>164</v>
      </c>
      <c r="C1968">
        <v>0</v>
      </c>
      <c r="D1968">
        <v>0</v>
      </c>
      <c r="E1968">
        <v>0</v>
      </c>
      <c r="F1968">
        <v>604324.56000000006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3.91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7490</v>
      </c>
      <c r="AW1968">
        <v>3350</v>
      </c>
      <c r="AX1968">
        <v>1219</v>
      </c>
      <c r="AY1968">
        <v>12059</v>
      </c>
      <c r="AZ1968">
        <v>4202</v>
      </c>
      <c r="BA1968">
        <v>7438</v>
      </c>
      <c r="BB1968">
        <v>1432</v>
      </c>
      <c r="BC1968">
        <v>13072</v>
      </c>
      <c r="BD1968">
        <v>9486</v>
      </c>
      <c r="BE1968">
        <v>9222</v>
      </c>
      <c r="BF1968">
        <v>1768</v>
      </c>
      <c r="BG1968">
        <v>20476</v>
      </c>
      <c r="BH1968">
        <v>0</v>
      </c>
      <c r="BI1968">
        <v>0</v>
      </c>
      <c r="BJ1968">
        <v>0</v>
      </c>
      <c r="BK1968">
        <v>0</v>
      </c>
      <c r="BL1968" s="2">
        <v>24.82</v>
      </c>
      <c r="BM1968" s="2">
        <v>42005.095138888886</v>
      </c>
      <c r="BN1968" s="2">
        <v>5.4</v>
      </c>
      <c r="BO1968" s="2">
        <v>42005.092361111114</v>
      </c>
      <c r="BP1968" s="2">
        <v>6.92</v>
      </c>
      <c r="BQ1968" s="2">
        <v>42005.092361111114</v>
      </c>
      <c r="BR1968" s="2">
        <v>11.07</v>
      </c>
      <c r="BS1968" s="2">
        <v>42005.092361111114</v>
      </c>
      <c r="BT1968">
        <v>0</v>
      </c>
      <c r="BU1968">
        <v>0</v>
      </c>
      <c r="BV1968" t="s">
        <v>135</v>
      </c>
      <c r="BW1968">
        <v>0</v>
      </c>
      <c r="BX1968">
        <v>0</v>
      </c>
      <c r="BY1968" t="s">
        <v>135</v>
      </c>
      <c r="BZ1968">
        <v>0</v>
      </c>
      <c r="CA1968">
        <v>0</v>
      </c>
      <c r="CB1968" t="s">
        <v>135</v>
      </c>
      <c r="CH1968" s="2"/>
      <c r="CJ1968" s="2"/>
      <c r="CL1968" s="2"/>
      <c r="CN1968" s="2"/>
      <c r="CQ1968" s="2"/>
      <c r="CT1968" s="2"/>
      <c r="CW1968" s="2"/>
    </row>
    <row r="1969" spans="1:101" x14ac:dyDescent="0.25">
      <c r="A1969" s="1" t="s">
        <v>163</v>
      </c>
      <c r="B1969" s="75" t="s">
        <v>164</v>
      </c>
      <c r="C1969">
        <v>0</v>
      </c>
      <c r="D1969">
        <v>0</v>
      </c>
      <c r="E1969">
        <v>0</v>
      </c>
      <c r="F1969">
        <v>604324.56000000006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3.91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7490</v>
      </c>
      <c r="AW1969">
        <v>3350</v>
      </c>
      <c r="AX1969">
        <v>1219</v>
      </c>
      <c r="AY1969">
        <v>12059</v>
      </c>
      <c r="AZ1969">
        <v>4202</v>
      </c>
      <c r="BA1969">
        <v>7438</v>
      </c>
      <c r="BB1969">
        <v>1432</v>
      </c>
      <c r="BC1969">
        <v>13072</v>
      </c>
      <c r="BD1969">
        <v>9486</v>
      </c>
      <c r="BE1969">
        <v>9222</v>
      </c>
      <c r="BF1969">
        <v>1768</v>
      </c>
      <c r="BG1969">
        <v>20476</v>
      </c>
      <c r="BH1969">
        <v>0</v>
      </c>
      <c r="BI1969">
        <v>0</v>
      </c>
      <c r="BJ1969">
        <v>0</v>
      </c>
      <c r="BK1969">
        <v>0</v>
      </c>
      <c r="BL1969" s="2">
        <v>24.82</v>
      </c>
      <c r="BM1969" s="2">
        <v>42005.095138888886</v>
      </c>
      <c r="BN1969" s="2">
        <v>5.4</v>
      </c>
      <c r="BO1969" s="2">
        <v>42005.092361111114</v>
      </c>
      <c r="BP1969" s="2">
        <v>6.92</v>
      </c>
      <c r="BQ1969" s="2">
        <v>42005.092361111114</v>
      </c>
      <c r="BR1969" s="2">
        <v>11.07</v>
      </c>
      <c r="BS1969" s="2">
        <v>42005.092361111114</v>
      </c>
      <c r="BT1969">
        <v>0</v>
      </c>
      <c r="BU1969">
        <v>0</v>
      </c>
      <c r="BV1969" t="s">
        <v>135</v>
      </c>
      <c r="BW1969">
        <v>0</v>
      </c>
      <c r="BX1969">
        <v>0</v>
      </c>
      <c r="BY1969" t="s">
        <v>135</v>
      </c>
      <c r="BZ1969">
        <v>0</v>
      </c>
      <c r="CA1969">
        <v>0</v>
      </c>
      <c r="CB1969" t="s">
        <v>135</v>
      </c>
      <c r="CH1969" s="2"/>
      <c r="CJ1969" s="2"/>
      <c r="CL1969" s="2"/>
      <c r="CN1969" s="2"/>
      <c r="CQ1969" s="2"/>
      <c r="CT1969" s="2"/>
      <c r="CW1969" s="2"/>
    </row>
    <row r="1970" spans="1:101" x14ac:dyDescent="0.25">
      <c r="A1970" s="1" t="s">
        <v>163</v>
      </c>
      <c r="B1970" s="75" t="s">
        <v>164</v>
      </c>
      <c r="C1970">
        <v>0</v>
      </c>
      <c r="D1970">
        <v>0</v>
      </c>
      <c r="E1970">
        <v>0</v>
      </c>
      <c r="F1970">
        <v>604324.56000000006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3.91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7490</v>
      </c>
      <c r="AW1970">
        <v>3350</v>
      </c>
      <c r="AX1970">
        <v>1219</v>
      </c>
      <c r="AY1970">
        <v>12059</v>
      </c>
      <c r="AZ1970">
        <v>4202</v>
      </c>
      <c r="BA1970">
        <v>7438</v>
      </c>
      <c r="BB1970">
        <v>1432</v>
      </c>
      <c r="BC1970">
        <v>13072</v>
      </c>
      <c r="BD1970">
        <v>9486</v>
      </c>
      <c r="BE1970">
        <v>9222</v>
      </c>
      <c r="BF1970">
        <v>1768</v>
      </c>
      <c r="BG1970">
        <v>20476</v>
      </c>
      <c r="BH1970">
        <v>0</v>
      </c>
      <c r="BI1970">
        <v>0</v>
      </c>
      <c r="BJ1970">
        <v>0</v>
      </c>
      <c r="BK1970">
        <v>0</v>
      </c>
      <c r="BL1970" s="2">
        <v>24.82</v>
      </c>
      <c r="BM1970" s="2">
        <v>42005.095138888886</v>
      </c>
      <c r="BN1970" s="2">
        <v>5.4</v>
      </c>
      <c r="BO1970" s="2">
        <v>42005.092361111114</v>
      </c>
      <c r="BP1970" s="2">
        <v>6.92</v>
      </c>
      <c r="BQ1970" s="2">
        <v>42005.092361111114</v>
      </c>
      <c r="BR1970" s="2">
        <v>11.07</v>
      </c>
      <c r="BS1970" s="2">
        <v>42005.092361111114</v>
      </c>
      <c r="BT1970">
        <v>0</v>
      </c>
      <c r="BU1970">
        <v>0</v>
      </c>
      <c r="BV1970" t="s">
        <v>135</v>
      </c>
      <c r="BW1970">
        <v>0</v>
      </c>
      <c r="BX1970">
        <v>0</v>
      </c>
      <c r="BY1970" t="s">
        <v>135</v>
      </c>
      <c r="BZ1970">
        <v>0</v>
      </c>
      <c r="CA1970">
        <v>0</v>
      </c>
      <c r="CB1970" t="s">
        <v>135</v>
      </c>
      <c r="CH1970" s="2"/>
      <c r="CJ1970" s="2"/>
      <c r="CL1970" s="2"/>
      <c r="CN1970" s="2"/>
      <c r="CQ1970" s="2"/>
      <c r="CT1970" s="2"/>
      <c r="CW1970" s="2"/>
    </row>
    <row r="1971" spans="1:101" x14ac:dyDescent="0.25">
      <c r="A1971" s="1" t="s">
        <v>163</v>
      </c>
      <c r="B1971" s="75" t="s">
        <v>164</v>
      </c>
      <c r="C1971">
        <v>0</v>
      </c>
      <c r="D1971">
        <v>0</v>
      </c>
      <c r="E1971">
        <v>0</v>
      </c>
      <c r="F1971">
        <v>604324.56000000006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3.91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7490</v>
      </c>
      <c r="AW1971">
        <v>3350</v>
      </c>
      <c r="AX1971">
        <v>1219</v>
      </c>
      <c r="AY1971">
        <v>12059</v>
      </c>
      <c r="AZ1971">
        <v>4202</v>
      </c>
      <c r="BA1971">
        <v>7438</v>
      </c>
      <c r="BB1971">
        <v>1432</v>
      </c>
      <c r="BC1971">
        <v>13072</v>
      </c>
      <c r="BD1971">
        <v>9486</v>
      </c>
      <c r="BE1971">
        <v>9222</v>
      </c>
      <c r="BF1971">
        <v>1768</v>
      </c>
      <c r="BG1971">
        <v>20476</v>
      </c>
      <c r="BH1971">
        <v>0</v>
      </c>
      <c r="BI1971">
        <v>0</v>
      </c>
      <c r="BJ1971">
        <v>0</v>
      </c>
      <c r="BK1971">
        <v>0</v>
      </c>
      <c r="BL1971" s="2">
        <v>24.82</v>
      </c>
      <c r="BM1971" s="2">
        <v>42005.095138888886</v>
      </c>
      <c r="BN1971" s="2">
        <v>5.4</v>
      </c>
      <c r="BO1971" s="2">
        <v>42005.092361111114</v>
      </c>
      <c r="BP1971" s="2">
        <v>6.92</v>
      </c>
      <c r="BQ1971" s="2">
        <v>42005.092361111114</v>
      </c>
      <c r="BR1971" s="2">
        <v>11.07</v>
      </c>
      <c r="BS1971" s="2">
        <v>42005.092361111114</v>
      </c>
      <c r="BT1971">
        <v>0</v>
      </c>
      <c r="BU1971">
        <v>0</v>
      </c>
      <c r="BV1971" t="s">
        <v>135</v>
      </c>
      <c r="BW1971">
        <v>0</v>
      </c>
      <c r="BX1971">
        <v>0</v>
      </c>
      <c r="BY1971" t="s">
        <v>135</v>
      </c>
      <c r="BZ1971">
        <v>0</v>
      </c>
      <c r="CA1971">
        <v>0</v>
      </c>
      <c r="CB1971" t="s">
        <v>135</v>
      </c>
      <c r="CH1971" s="2"/>
      <c r="CJ1971" s="2"/>
      <c r="CL1971" s="2"/>
      <c r="CN1971" s="2"/>
      <c r="CQ1971" s="2"/>
      <c r="CT1971" s="2"/>
      <c r="CW1971" s="2"/>
    </row>
    <row r="1972" spans="1:101" x14ac:dyDescent="0.25">
      <c r="A1972" s="1" t="s">
        <v>163</v>
      </c>
      <c r="B1972" s="75" t="s">
        <v>164</v>
      </c>
      <c r="C1972">
        <v>0</v>
      </c>
      <c r="D1972">
        <v>0</v>
      </c>
      <c r="E1972">
        <v>0</v>
      </c>
      <c r="F1972">
        <v>604324.56000000006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3.91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7490</v>
      </c>
      <c r="AW1972">
        <v>3350</v>
      </c>
      <c r="AX1972">
        <v>1219</v>
      </c>
      <c r="AY1972">
        <v>12059</v>
      </c>
      <c r="AZ1972">
        <v>4202</v>
      </c>
      <c r="BA1972">
        <v>7438</v>
      </c>
      <c r="BB1972">
        <v>1432</v>
      </c>
      <c r="BC1972">
        <v>13072</v>
      </c>
      <c r="BD1972">
        <v>9486</v>
      </c>
      <c r="BE1972">
        <v>9222</v>
      </c>
      <c r="BF1972">
        <v>1768</v>
      </c>
      <c r="BG1972">
        <v>20476</v>
      </c>
      <c r="BH1972">
        <v>0</v>
      </c>
      <c r="BI1972">
        <v>0</v>
      </c>
      <c r="BJ1972">
        <v>0</v>
      </c>
      <c r="BK1972">
        <v>0</v>
      </c>
      <c r="BL1972" s="2">
        <v>24.82</v>
      </c>
      <c r="BM1972" s="2">
        <v>42005.095138888886</v>
      </c>
      <c r="BN1972" s="2">
        <v>5.4</v>
      </c>
      <c r="BO1972" s="2">
        <v>42005.092361111114</v>
      </c>
      <c r="BP1972" s="2">
        <v>6.92</v>
      </c>
      <c r="BQ1972" s="2">
        <v>42005.092361111114</v>
      </c>
      <c r="BR1972" s="2">
        <v>11.07</v>
      </c>
      <c r="BS1972" s="2">
        <v>42005.092361111114</v>
      </c>
      <c r="BT1972">
        <v>0</v>
      </c>
      <c r="BU1972">
        <v>0</v>
      </c>
      <c r="BV1972" t="s">
        <v>135</v>
      </c>
      <c r="BW1972">
        <v>0</v>
      </c>
      <c r="BX1972">
        <v>0</v>
      </c>
      <c r="BY1972" t="s">
        <v>135</v>
      </c>
      <c r="BZ1972">
        <v>0</v>
      </c>
      <c r="CA1972">
        <v>0</v>
      </c>
      <c r="CB1972" t="s">
        <v>135</v>
      </c>
      <c r="CH1972" s="2"/>
      <c r="CJ1972" s="2"/>
      <c r="CL1972" s="2"/>
      <c r="CN1972" s="2"/>
      <c r="CQ1972" s="2"/>
      <c r="CT1972" s="2"/>
      <c r="CW1972" s="2"/>
    </row>
    <row r="1973" spans="1:101" x14ac:dyDescent="0.25">
      <c r="A1973" s="1" t="s">
        <v>163</v>
      </c>
      <c r="B1973" s="75" t="s">
        <v>164</v>
      </c>
      <c r="C1973">
        <v>0</v>
      </c>
      <c r="D1973">
        <v>0</v>
      </c>
      <c r="E1973">
        <v>0</v>
      </c>
      <c r="F1973">
        <v>604324.56000000006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3.91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7490</v>
      </c>
      <c r="AW1973">
        <v>3350</v>
      </c>
      <c r="AX1973">
        <v>1219</v>
      </c>
      <c r="AY1973">
        <v>12059</v>
      </c>
      <c r="AZ1973">
        <v>4202</v>
      </c>
      <c r="BA1973">
        <v>7438</v>
      </c>
      <c r="BB1973">
        <v>1432</v>
      </c>
      <c r="BC1973">
        <v>13072</v>
      </c>
      <c r="BD1973">
        <v>9486</v>
      </c>
      <c r="BE1973">
        <v>9222</v>
      </c>
      <c r="BF1973">
        <v>1768</v>
      </c>
      <c r="BG1973">
        <v>20476</v>
      </c>
      <c r="BH1973">
        <v>0</v>
      </c>
      <c r="BI1973">
        <v>0</v>
      </c>
      <c r="BJ1973">
        <v>0</v>
      </c>
      <c r="BK1973">
        <v>0</v>
      </c>
      <c r="BL1973" s="2">
        <v>24.82</v>
      </c>
      <c r="BM1973" s="2">
        <v>42005.095138888886</v>
      </c>
      <c r="BN1973" s="2">
        <v>5.4</v>
      </c>
      <c r="BO1973" s="2">
        <v>42005.092361111114</v>
      </c>
      <c r="BP1973" s="2">
        <v>6.92</v>
      </c>
      <c r="BQ1973" s="2">
        <v>42005.092361111114</v>
      </c>
      <c r="BR1973" s="2">
        <v>11.07</v>
      </c>
      <c r="BS1973" s="2">
        <v>42005.092361111114</v>
      </c>
      <c r="BT1973">
        <v>0</v>
      </c>
      <c r="BU1973">
        <v>0</v>
      </c>
      <c r="BV1973" t="s">
        <v>135</v>
      </c>
      <c r="BW1973">
        <v>0</v>
      </c>
      <c r="BX1973">
        <v>0</v>
      </c>
      <c r="BY1973" t="s">
        <v>135</v>
      </c>
      <c r="BZ1973">
        <v>0</v>
      </c>
      <c r="CA1973">
        <v>0</v>
      </c>
      <c r="CB1973" t="s">
        <v>135</v>
      </c>
      <c r="CH1973" s="2"/>
      <c r="CJ1973" s="2"/>
      <c r="CL1973" s="2"/>
      <c r="CN1973" s="2"/>
      <c r="CQ1973" s="2"/>
      <c r="CT1973" s="2"/>
      <c r="CW1973" s="2"/>
    </row>
    <row r="1974" spans="1:101" x14ac:dyDescent="0.25">
      <c r="A1974" s="1" t="s">
        <v>163</v>
      </c>
      <c r="B1974" s="75" t="s">
        <v>164</v>
      </c>
      <c r="C1974">
        <v>0</v>
      </c>
      <c r="D1974">
        <v>0</v>
      </c>
      <c r="E1974">
        <v>0</v>
      </c>
      <c r="F1974">
        <v>604324.56000000006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3.91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7490</v>
      </c>
      <c r="AW1974">
        <v>3350</v>
      </c>
      <c r="AX1974">
        <v>1219</v>
      </c>
      <c r="AY1974">
        <v>12059</v>
      </c>
      <c r="AZ1974">
        <v>4202</v>
      </c>
      <c r="BA1974">
        <v>7438</v>
      </c>
      <c r="BB1974">
        <v>1432</v>
      </c>
      <c r="BC1974">
        <v>13072</v>
      </c>
      <c r="BD1974">
        <v>9486</v>
      </c>
      <c r="BE1974">
        <v>9222</v>
      </c>
      <c r="BF1974">
        <v>1768</v>
      </c>
      <c r="BG1974">
        <v>20476</v>
      </c>
      <c r="BH1974">
        <v>0</v>
      </c>
      <c r="BI1974">
        <v>0</v>
      </c>
      <c r="BJ1974">
        <v>0</v>
      </c>
      <c r="BK1974">
        <v>0</v>
      </c>
      <c r="BL1974" s="2">
        <v>24.82</v>
      </c>
      <c r="BM1974" s="2">
        <v>42005.095138888886</v>
      </c>
      <c r="BN1974" s="2">
        <v>5.4</v>
      </c>
      <c r="BO1974" s="2">
        <v>42005.092361111114</v>
      </c>
      <c r="BP1974" s="2">
        <v>6.92</v>
      </c>
      <c r="BQ1974" s="2">
        <v>42005.092361111114</v>
      </c>
      <c r="BR1974" s="2">
        <v>11.07</v>
      </c>
      <c r="BS1974" s="2">
        <v>42005.092361111114</v>
      </c>
      <c r="BT1974">
        <v>0</v>
      </c>
      <c r="BU1974">
        <v>0</v>
      </c>
      <c r="BV1974" t="s">
        <v>135</v>
      </c>
      <c r="BW1974">
        <v>0</v>
      </c>
      <c r="BX1974">
        <v>0</v>
      </c>
      <c r="BY1974" t="s">
        <v>135</v>
      </c>
      <c r="BZ1974">
        <v>0</v>
      </c>
      <c r="CA1974">
        <v>0</v>
      </c>
      <c r="CB1974" t="s">
        <v>135</v>
      </c>
      <c r="CH1974" s="2"/>
      <c r="CJ1974" s="2"/>
      <c r="CL1974" s="2"/>
      <c r="CN1974" s="2"/>
      <c r="CQ1974" s="2"/>
      <c r="CT1974" s="2"/>
      <c r="CW1974" s="2"/>
    </row>
    <row r="1975" spans="1:101" x14ac:dyDescent="0.25">
      <c r="A1975" s="1" t="s">
        <v>163</v>
      </c>
      <c r="B1975" s="75" t="s">
        <v>164</v>
      </c>
      <c r="C1975">
        <v>0</v>
      </c>
      <c r="D1975">
        <v>0</v>
      </c>
      <c r="E1975">
        <v>0</v>
      </c>
      <c r="F1975">
        <v>604324.56000000006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3.91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7490</v>
      </c>
      <c r="AW1975">
        <v>3350</v>
      </c>
      <c r="AX1975">
        <v>1219</v>
      </c>
      <c r="AY1975">
        <v>12059</v>
      </c>
      <c r="AZ1975">
        <v>4202</v>
      </c>
      <c r="BA1975">
        <v>7438</v>
      </c>
      <c r="BB1975">
        <v>1432</v>
      </c>
      <c r="BC1975">
        <v>13072</v>
      </c>
      <c r="BD1975">
        <v>9486</v>
      </c>
      <c r="BE1975">
        <v>9222</v>
      </c>
      <c r="BF1975">
        <v>1768</v>
      </c>
      <c r="BG1975">
        <v>20476</v>
      </c>
      <c r="BH1975">
        <v>0</v>
      </c>
      <c r="BI1975">
        <v>0</v>
      </c>
      <c r="BJ1975">
        <v>0</v>
      </c>
      <c r="BK1975">
        <v>0</v>
      </c>
      <c r="BL1975" s="2">
        <v>24.82</v>
      </c>
      <c r="BM1975" s="2">
        <v>42005.095138888886</v>
      </c>
      <c r="BN1975" s="2">
        <v>5.4</v>
      </c>
      <c r="BO1975" s="2">
        <v>42005.092361111114</v>
      </c>
      <c r="BP1975" s="2">
        <v>6.92</v>
      </c>
      <c r="BQ1975" s="2">
        <v>42005.092361111114</v>
      </c>
      <c r="BR1975" s="2">
        <v>11.07</v>
      </c>
      <c r="BS1975" s="2">
        <v>42005.092361111114</v>
      </c>
      <c r="BT1975">
        <v>0</v>
      </c>
      <c r="BU1975">
        <v>0</v>
      </c>
      <c r="BV1975" t="s">
        <v>135</v>
      </c>
      <c r="BW1975">
        <v>0</v>
      </c>
      <c r="BX1975">
        <v>0</v>
      </c>
      <c r="BY1975" t="s">
        <v>135</v>
      </c>
      <c r="BZ1975">
        <v>0</v>
      </c>
      <c r="CA1975">
        <v>0</v>
      </c>
      <c r="CB1975" t="s">
        <v>135</v>
      </c>
      <c r="CH1975" s="2"/>
      <c r="CJ1975" s="2"/>
      <c r="CL1975" s="2"/>
      <c r="CN1975" s="2"/>
      <c r="CQ1975" s="2"/>
      <c r="CT1975" s="2"/>
      <c r="CW1975" s="2"/>
    </row>
    <row r="1976" spans="1:101" x14ac:dyDescent="0.25">
      <c r="A1976" s="1" t="s">
        <v>163</v>
      </c>
      <c r="B1976" s="75" t="s">
        <v>164</v>
      </c>
      <c r="C1976">
        <v>0</v>
      </c>
      <c r="D1976">
        <v>0</v>
      </c>
      <c r="E1976">
        <v>0</v>
      </c>
      <c r="F1976">
        <v>604324.56000000006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3.91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7490</v>
      </c>
      <c r="AW1976">
        <v>3350</v>
      </c>
      <c r="AX1976">
        <v>1219</v>
      </c>
      <c r="AY1976">
        <v>12059</v>
      </c>
      <c r="AZ1976">
        <v>4202</v>
      </c>
      <c r="BA1976">
        <v>7438</v>
      </c>
      <c r="BB1976">
        <v>1432</v>
      </c>
      <c r="BC1976">
        <v>13072</v>
      </c>
      <c r="BD1976">
        <v>9486</v>
      </c>
      <c r="BE1976">
        <v>9222</v>
      </c>
      <c r="BF1976">
        <v>1768</v>
      </c>
      <c r="BG1976">
        <v>20476</v>
      </c>
      <c r="BH1976">
        <v>0</v>
      </c>
      <c r="BI1976">
        <v>0</v>
      </c>
      <c r="BJ1976">
        <v>0</v>
      </c>
      <c r="BK1976">
        <v>0</v>
      </c>
      <c r="BL1976" s="2">
        <v>24.82</v>
      </c>
      <c r="BM1976" s="2">
        <v>42005.095138888886</v>
      </c>
      <c r="BN1976" s="2">
        <v>5.4</v>
      </c>
      <c r="BO1976" s="2">
        <v>42005.092361111114</v>
      </c>
      <c r="BP1976" s="2">
        <v>6.92</v>
      </c>
      <c r="BQ1976" s="2">
        <v>42005.092361111114</v>
      </c>
      <c r="BR1976" s="2">
        <v>11.07</v>
      </c>
      <c r="BS1976" s="2">
        <v>42005.092361111114</v>
      </c>
      <c r="BT1976">
        <v>0</v>
      </c>
      <c r="BU1976">
        <v>0</v>
      </c>
      <c r="BV1976" t="s">
        <v>135</v>
      </c>
      <c r="BW1976">
        <v>0</v>
      </c>
      <c r="BX1976">
        <v>0</v>
      </c>
      <c r="BY1976" t="s">
        <v>135</v>
      </c>
      <c r="BZ1976">
        <v>0</v>
      </c>
      <c r="CA1976">
        <v>0</v>
      </c>
      <c r="CB1976" t="s">
        <v>135</v>
      </c>
      <c r="CH1976" s="2"/>
      <c r="CJ1976" s="2"/>
      <c r="CL1976" s="2"/>
      <c r="CN1976" s="2"/>
      <c r="CQ1976" s="2"/>
      <c r="CT1976" s="2"/>
      <c r="CW1976" s="2"/>
    </row>
    <row r="1977" spans="1:101" x14ac:dyDescent="0.25">
      <c r="A1977" s="1" t="s">
        <v>163</v>
      </c>
      <c r="B1977" s="75" t="s">
        <v>164</v>
      </c>
      <c r="C1977">
        <v>0</v>
      </c>
      <c r="D1977">
        <v>0</v>
      </c>
      <c r="E1977">
        <v>0</v>
      </c>
      <c r="F1977">
        <v>604324.56000000006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3.91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7490</v>
      </c>
      <c r="AW1977">
        <v>3350</v>
      </c>
      <c r="AX1977">
        <v>1219</v>
      </c>
      <c r="AY1977">
        <v>12059</v>
      </c>
      <c r="AZ1977">
        <v>4202</v>
      </c>
      <c r="BA1977">
        <v>7438</v>
      </c>
      <c r="BB1977">
        <v>1432</v>
      </c>
      <c r="BC1977">
        <v>13072</v>
      </c>
      <c r="BD1977">
        <v>9486</v>
      </c>
      <c r="BE1977">
        <v>9222</v>
      </c>
      <c r="BF1977">
        <v>1768</v>
      </c>
      <c r="BG1977">
        <v>20476</v>
      </c>
      <c r="BH1977">
        <v>0</v>
      </c>
      <c r="BI1977">
        <v>0</v>
      </c>
      <c r="BJ1977">
        <v>0</v>
      </c>
      <c r="BK1977">
        <v>0</v>
      </c>
      <c r="BL1977" s="2">
        <v>24.82</v>
      </c>
      <c r="BM1977" s="2">
        <v>42005.095138888886</v>
      </c>
      <c r="BN1977" s="2">
        <v>5.4</v>
      </c>
      <c r="BO1977" s="2">
        <v>42005.092361111114</v>
      </c>
      <c r="BP1977" s="2">
        <v>6.92</v>
      </c>
      <c r="BQ1977" s="2">
        <v>42005.092361111114</v>
      </c>
      <c r="BR1977" s="2">
        <v>11.07</v>
      </c>
      <c r="BS1977" s="2">
        <v>42005.092361111114</v>
      </c>
      <c r="BT1977">
        <v>0</v>
      </c>
      <c r="BU1977">
        <v>0</v>
      </c>
      <c r="BV1977" t="s">
        <v>135</v>
      </c>
      <c r="BW1977">
        <v>0</v>
      </c>
      <c r="BX1977">
        <v>0</v>
      </c>
      <c r="BY1977" t="s">
        <v>135</v>
      </c>
      <c r="BZ1977">
        <v>0</v>
      </c>
      <c r="CA1977">
        <v>0</v>
      </c>
      <c r="CB1977" t="s">
        <v>135</v>
      </c>
      <c r="CH1977" s="2"/>
      <c r="CJ1977" s="2"/>
      <c r="CL1977" s="2"/>
      <c r="CN1977" s="2"/>
      <c r="CQ1977" s="2"/>
      <c r="CT1977" s="2"/>
      <c r="CW1977" s="2"/>
    </row>
    <row r="1978" spans="1:101" x14ac:dyDescent="0.25">
      <c r="A1978" s="1" t="s">
        <v>163</v>
      </c>
      <c r="B1978" s="75" t="s">
        <v>164</v>
      </c>
      <c r="C1978">
        <v>0</v>
      </c>
      <c r="D1978">
        <v>0</v>
      </c>
      <c r="E1978">
        <v>0</v>
      </c>
      <c r="F1978">
        <v>604324.56000000006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3.91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7490</v>
      </c>
      <c r="AW1978">
        <v>3350</v>
      </c>
      <c r="AX1978">
        <v>1219</v>
      </c>
      <c r="AY1978">
        <v>12059</v>
      </c>
      <c r="AZ1978">
        <v>4202</v>
      </c>
      <c r="BA1978">
        <v>7438</v>
      </c>
      <c r="BB1978">
        <v>1432</v>
      </c>
      <c r="BC1978">
        <v>13072</v>
      </c>
      <c r="BD1978">
        <v>9486</v>
      </c>
      <c r="BE1978">
        <v>9222</v>
      </c>
      <c r="BF1978">
        <v>1768</v>
      </c>
      <c r="BG1978">
        <v>20476</v>
      </c>
      <c r="BH1978">
        <v>0</v>
      </c>
      <c r="BI1978">
        <v>0</v>
      </c>
      <c r="BJ1978">
        <v>0</v>
      </c>
      <c r="BK1978">
        <v>0</v>
      </c>
      <c r="BL1978" s="2">
        <v>24.82</v>
      </c>
      <c r="BM1978" s="2">
        <v>42005.095138888886</v>
      </c>
      <c r="BN1978" s="2">
        <v>5.4</v>
      </c>
      <c r="BO1978" s="2">
        <v>42005.092361111114</v>
      </c>
      <c r="BP1978" s="2">
        <v>6.92</v>
      </c>
      <c r="BQ1978" s="2">
        <v>42005.092361111114</v>
      </c>
      <c r="BR1978" s="2">
        <v>11.07</v>
      </c>
      <c r="BS1978" s="2">
        <v>42005.092361111114</v>
      </c>
      <c r="BT1978">
        <v>0</v>
      </c>
      <c r="BU1978">
        <v>0</v>
      </c>
      <c r="BV1978" t="s">
        <v>135</v>
      </c>
      <c r="BW1978">
        <v>0</v>
      </c>
      <c r="BX1978">
        <v>0</v>
      </c>
      <c r="BY1978" t="s">
        <v>135</v>
      </c>
      <c r="BZ1978">
        <v>0</v>
      </c>
      <c r="CA1978">
        <v>0</v>
      </c>
      <c r="CB1978" t="s">
        <v>135</v>
      </c>
      <c r="CH1978" s="2"/>
      <c r="CJ1978" s="2"/>
      <c r="CL1978" s="2"/>
      <c r="CN1978" s="2"/>
      <c r="CQ1978" s="2"/>
      <c r="CT1978" s="2"/>
      <c r="CW1978" s="2"/>
    </row>
    <row r="1979" spans="1:101" x14ac:dyDescent="0.25">
      <c r="A1979" s="1" t="s">
        <v>163</v>
      </c>
      <c r="B1979" s="75" t="s">
        <v>164</v>
      </c>
      <c r="C1979">
        <v>0</v>
      </c>
      <c r="D1979">
        <v>0</v>
      </c>
      <c r="E1979">
        <v>0</v>
      </c>
      <c r="F1979">
        <v>604324.56000000006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3.91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7490</v>
      </c>
      <c r="AW1979">
        <v>3350</v>
      </c>
      <c r="AX1979">
        <v>1219</v>
      </c>
      <c r="AY1979">
        <v>12059</v>
      </c>
      <c r="AZ1979">
        <v>4202</v>
      </c>
      <c r="BA1979">
        <v>7438</v>
      </c>
      <c r="BB1979">
        <v>1432</v>
      </c>
      <c r="BC1979">
        <v>13072</v>
      </c>
      <c r="BD1979">
        <v>9486</v>
      </c>
      <c r="BE1979">
        <v>9222</v>
      </c>
      <c r="BF1979">
        <v>1768</v>
      </c>
      <c r="BG1979">
        <v>20476</v>
      </c>
      <c r="BH1979">
        <v>0</v>
      </c>
      <c r="BI1979">
        <v>0</v>
      </c>
      <c r="BJ1979">
        <v>0</v>
      </c>
      <c r="BK1979">
        <v>0</v>
      </c>
      <c r="BL1979" s="2">
        <v>24.82</v>
      </c>
      <c r="BM1979" s="2">
        <v>42005.095138888886</v>
      </c>
      <c r="BN1979" s="2">
        <v>5.4</v>
      </c>
      <c r="BO1979" s="2">
        <v>42005.092361111114</v>
      </c>
      <c r="BP1979" s="2">
        <v>6.92</v>
      </c>
      <c r="BQ1979" s="2">
        <v>42005.092361111114</v>
      </c>
      <c r="BR1979" s="2">
        <v>11.07</v>
      </c>
      <c r="BS1979" s="2">
        <v>42005.092361111114</v>
      </c>
      <c r="BT1979">
        <v>0</v>
      </c>
      <c r="BU1979">
        <v>0</v>
      </c>
      <c r="BV1979" t="s">
        <v>135</v>
      </c>
      <c r="BW1979">
        <v>0</v>
      </c>
      <c r="BX1979">
        <v>0</v>
      </c>
      <c r="BY1979" t="s">
        <v>135</v>
      </c>
      <c r="BZ1979">
        <v>0</v>
      </c>
      <c r="CA1979">
        <v>0</v>
      </c>
      <c r="CB1979" t="s">
        <v>135</v>
      </c>
      <c r="CH1979" s="2"/>
      <c r="CJ1979" s="2"/>
      <c r="CL1979" s="2"/>
      <c r="CN1979" s="2"/>
      <c r="CQ1979" s="2"/>
      <c r="CT1979" s="2"/>
      <c r="CW1979" s="2"/>
    </row>
    <row r="1980" spans="1:101" x14ac:dyDescent="0.25">
      <c r="A1980" s="1" t="s">
        <v>163</v>
      </c>
      <c r="B1980" s="75" t="s">
        <v>164</v>
      </c>
      <c r="C1980">
        <v>0</v>
      </c>
      <c r="D1980">
        <v>0</v>
      </c>
      <c r="E1980">
        <v>0</v>
      </c>
      <c r="F1980">
        <v>604324.56000000006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3.91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7490</v>
      </c>
      <c r="AW1980">
        <v>3350</v>
      </c>
      <c r="AX1980">
        <v>1219</v>
      </c>
      <c r="AY1980">
        <v>12059</v>
      </c>
      <c r="AZ1980">
        <v>4202</v>
      </c>
      <c r="BA1980">
        <v>7438</v>
      </c>
      <c r="BB1980">
        <v>1432</v>
      </c>
      <c r="BC1980">
        <v>13072</v>
      </c>
      <c r="BD1980">
        <v>9486</v>
      </c>
      <c r="BE1980">
        <v>9222</v>
      </c>
      <c r="BF1980">
        <v>1768</v>
      </c>
      <c r="BG1980">
        <v>20476</v>
      </c>
      <c r="BH1980">
        <v>0</v>
      </c>
      <c r="BI1980">
        <v>0</v>
      </c>
      <c r="BJ1980">
        <v>0</v>
      </c>
      <c r="BK1980">
        <v>0</v>
      </c>
      <c r="BL1980" s="2">
        <v>24.82</v>
      </c>
      <c r="BM1980" s="2">
        <v>42005.095138888886</v>
      </c>
      <c r="BN1980" s="2">
        <v>5.4</v>
      </c>
      <c r="BO1980" s="2">
        <v>42005.092361111114</v>
      </c>
      <c r="BP1980" s="2">
        <v>6.92</v>
      </c>
      <c r="BQ1980" s="2">
        <v>42005.092361111114</v>
      </c>
      <c r="BR1980" s="2">
        <v>11.07</v>
      </c>
      <c r="BS1980" s="2">
        <v>42005.092361111114</v>
      </c>
      <c r="BT1980">
        <v>0</v>
      </c>
      <c r="BU1980">
        <v>0</v>
      </c>
      <c r="BV1980" t="s">
        <v>135</v>
      </c>
      <c r="BW1980">
        <v>0</v>
      </c>
      <c r="BX1980">
        <v>0</v>
      </c>
      <c r="BY1980" t="s">
        <v>135</v>
      </c>
      <c r="BZ1980">
        <v>0</v>
      </c>
      <c r="CA1980">
        <v>0</v>
      </c>
      <c r="CB1980" t="s">
        <v>135</v>
      </c>
      <c r="CH1980" s="2"/>
      <c r="CJ1980" s="2"/>
      <c r="CL1980" s="2"/>
      <c r="CN1980" s="2"/>
      <c r="CQ1980" s="2"/>
      <c r="CT1980" s="2"/>
      <c r="CW1980" s="2"/>
    </row>
    <row r="1981" spans="1:101" x14ac:dyDescent="0.25">
      <c r="A1981" s="1" t="s">
        <v>163</v>
      </c>
      <c r="B1981" s="75" t="s">
        <v>164</v>
      </c>
      <c r="C1981">
        <v>0</v>
      </c>
      <c r="D1981">
        <v>0</v>
      </c>
      <c r="E1981">
        <v>0</v>
      </c>
      <c r="F1981">
        <v>604324.56000000006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3.91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7490</v>
      </c>
      <c r="AW1981">
        <v>3350</v>
      </c>
      <c r="AX1981">
        <v>1219</v>
      </c>
      <c r="AY1981">
        <v>12059</v>
      </c>
      <c r="AZ1981">
        <v>4202</v>
      </c>
      <c r="BA1981">
        <v>7438</v>
      </c>
      <c r="BB1981">
        <v>1432</v>
      </c>
      <c r="BC1981">
        <v>13072</v>
      </c>
      <c r="BD1981">
        <v>9486</v>
      </c>
      <c r="BE1981">
        <v>9222</v>
      </c>
      <c r="BF1981">
        <v>1768</v>
      </c>
      <c r="BG1981">
        <v>20476</v>
      </c>
      <c r="BH1981">
        <v>0</v>
      </c>
      <c r="BI1981">
        <v>0</v>
      </c>
      <c r="BJ1981">
        <v>0</v>
      </c>
      <c r="BK1981">
        <v>0</v>
      </c>
      <c r="BL1981" s="2">
        <v>24.82</v>
      </c>
      <c r="BM1981" s="2">
        <v>42005.095138888886</v>
      </c>
      <c r="BN1981" s="2">
        <v>5.4</v>
      </c>
      <c r="BO1981" s="2">
        <v>42005.092361111114</v>
      </c>
      <c r="BP1981" s="2">
        <v>6.92</v>
      </c>
      <c r="BQ1981" s="2">
        <v>42005.092361111114</v>
      </c>
      <c r="BR1981" s="2">
        <v>11.07</v>
      </c>
      <c r="BS1981" s="2">
        <v>42005.092361111114</v>
      </c>
      <c r="BT1981">
        <v>0</v>
      </c>
      <c r="BU1981">
        <v>0</v>
      </c>
      <c r="BV1981" t="s">
        <v>135</v>
      </c>
      <c r="BW1981">
        <v>0</v>
      </c>
      <c r="BX1981">
        <v>0</v>
      </c>
      <c r="BY1981" t="s">
        <v>135</v>
      </c>
      <c r="BZ1981">
        <v>0</v>
      </c>
      <c r="CA1981">
        <v>0</v>
      </c>
      <c r="CB1981" t="s">
        <v>135</v>
      </c>
      <c r="CH1981" s="2"/>
      <c r="CJ1981" s="2"/>
      <c r="CL1981" s="2"/>
      <c r="CN1981" s="2"/>
      <c r="CQ1981" s="2"/>
      <c r="CT1981" s="2"/>
      <c r="CW1981" s="2"/>
    </row>
    <row r="1982" spans="1:101" x14ac:dyDescent="0.25">
      <c r="A1982" s="1" t="s">
        <v>163</v>
      </c>
      <c r="B1982" s="75" t="s">
        <v>164</v>
      </c>
      <c r="C1982">
        <v>0</v>
      </c>
      <c r="D1982">
        <v>0</v>
      </c>
      <c r="E1982">
        <v>0</v>
      </c>
      <c r="F1982">
        <v>604324.56000000006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3.91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7490</v>
      </c>
      <c r="AW1982">
        <v>3350</v>
      </c>
      <c r="AX1982">
        <v>1219</v>
      </c>
      <c r="AY1982">
        <v>12059</v>
      </c>
      <c r="AZ1982">
        <v>4202</v>
      </c>
      <c r="BA1982">
        <v>7438</v>
      </c>
      <c r="BB1982">
        <v>1432</v>
      </c>
      <c r="BC1982">
        <v>13072</v>
      </c>
      <c r="BD1982">
        <v>9486</v>
      </c>
      <c r="BE1982">
        <v>9222</v>
      </c>
      <c r="BF1982">
        <v>1768</v>
      </c>
      <c r="BG1982">
        <v>20476</v>
      </c>
      <c r="BH1982">
        <v>0</v>
      </c>
      <c r="BI1982">
        <v>0</v>
      </c>
      <c r="BJ1982">
        <v>0</v>
      </c>
      <c r="BK1982">
        <v>0</v>
      </c>
      <c r="BL1982" s="2">
        <v>24.82</v>
      </c>
      <c r="BM1982" s="2">
        <v>42005.095138888886</v>
      </c>
      <c r="BN1982" s="2">
        <v>5.4</v>
      </c>
      <c r="BO1982" s="2">
        <v>42005.092361111114</v>
      </c>
      <c r="BP1982" s="2">
        <v>6.92</v>
      </c>
      <c r="BQ1982" s="2">
        <v>42005.092361111114</v>
      </c>
      <c r="BR1982" s="2">
        <v>11.07</v>
      </c>
      <c r="BS1982" s="2">
        <v>42005.092361111114</v>
      </c>
      <c r="BT1982">
        <v>0</v>
      </c>
      <c r="BU1982">
        <v>0</v>
      </c>
      <c r="BV1982" t="s">
        <v>135</v>
      </c>
      <c r="BW1982">
        <v>0</v>
      </c>
      <c r="BX1982">
        <v>0</v>
      </c>
      <c r="BY1982" t="s">
        <v>135</v>
      </c>
      <c r="BZ1982">
        <v>0</v>
      </c>
      <c r="CA1982">
        <v>0</v>
      </c>
      <c r="CB1982" t="s">
        <v>135</v>
      </c>
      <c r="CH1982" s="2"/>
      <c r="CJ1982" s="2"/>
      <c r="CL1982" s="2"/>
      <c r="CN1982" s="2"/>
      <c r="CQ1982" s="2"/>
      <c r="CT1982" s="2"/>
      <c r="CW1982" s="2"/>
    </row>
    <row r="1983" spans="1:101" x14ac:dyDescent="0.25">
      <c r="A1983" s="1" t="s">
        <v>163</v>
      </c>
      <c r="B1983" s="75" t="s">
        <v>164</v>
      </c>
      <c r="C1983">
        <v>0</v>
      </c>
      <c r="D1983">
        <v>0</v>
      </c>
      <c r="E1983">
        <v>0</v>
      </c>
      <c r="F1983">
        <v>604324.56000000006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3.91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7490</v>
      </c>
      <c r="AW1983">
        <v>3350</v>
      </c>
      <c r="AX1983">
        <v>1219</v>
      </c>
      <c r="AY1983">
        <v>12059</v>
      </c>
      <c r="AZ1983">
        <v>4202</v>
      </c>
      <c r="BA1983">
        <v>7438</v>
      </c>
      <c r="BB1983">
        <v>1432</v>
      </c>
      <c r="BC1983">
        <v>13072</v>
      </c>
      <c r="BD1983">
        <v>9486</v>
      </c>
      <c r="BE1983">
        <v>9222</v>
      </c>
      <c r="BF1983">
        <v>1768</v>
      </c>
      <c r="BG1983">
        <v>20476</v>
      </c>
      <c r="BH1983">
        <v>0</v>
      </c>
      <c r="BI1983">
        <v>0</v>
      </c>
      <c r="BJ1983">
        <v>0</v>
      </c>
      <c r="BK1983">
        <v>0</v>
      </c>
      <c r="BL1983" s="2">
        <v>24.82</v>
      </c>
      <c r="BM1983" s="2">
        <v>42005.095138888886</v>
      </c>
      <c r="BN1983" s="2">
        <v>5.4</v>
      </c>
      <c r="BO1983" s="2">
        <v>42005.092361111114</v>
      </c>
      <c r="BP1983" s="2">
        <v>6.92</v>
      </c>
      <c r="BQ1983" s="2">
        <v>42005.092361111114</v>
      </c>
      <c r="BR1983" s="2">
        <v>11.07</v>
      </c>
      <c r="BS1983" s="2">
        <v>42005.092361111114</v>
      </c>
      <c r="BT1983">
        <v>0</v>
      </c>
      <c r="BU1983">
        <v>0</v>
      </c>
      <c r="BV1983" t="s">
        <v>135</v>
      </c>
      <c r="BW1983">
        <v>0</v>
      </c>
      <c r="BX1983">
        <v>0</v>
      </c>
      <c r="BY1983" t="s">
        <v>135</v>
      </c>
      <c r="BZ1983">
        <v>0</v>
      </c>
      <c r="CA1983">
        <v>0</v>
      </c>
      <c r="CB1983" t="s">
        <v>135</v>
      </c>
      <c r="CH1983" s="2"/>
      <c r="CJ1983" s="2"/>
      <c r="CL1983" s="2"/>
      <c r="CN1983" s="2"/>
      <c r="CQ1983" s="2"/>
      <c r="CT1983" s="2"/>
      <c r="CW1983" s="2"/>
    </row>
    <row r="1984" spans="1:101" x14ac:dyDescent="0.25">
      <c r="A1984" s="1" t="s">
        <v>163</v>
      </c>
      <c r="B1984" s="75" t="s">
        <v>164</v>
      </c>
      <c r="C1984">
        <v>0</v>
      </c>
      <c r="D1984">
        <v>0</v>
      </c>
      <c r="E1984">
        <v>0</v>
      </c>
      <c r="F1984">
        <v>604324.56000000006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3.91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7490</v>
      </c>
      <c r="AW1984">
        <v>3350</v>
      </c>
      <c r="AX1984">
        <v>1219</v>
      </c>
      <c r="AY1984">
        <v>12059</v>
      </c>
      <c r="AZ1984">
        <v>4202</v>
      </c>
      <c r="BA1984">
        <v>7438</v>
      </c>
      <c r="BB1984">
        <v>1432</v>
      </c>
      <c r="BC1984">
        <v>13072</v>
      </c>
      <c r="BD1984">
        <v>9486</v>
      </c>
      <c r="BE1984">
        <v>9222</v>
      </c>
      <c r="BF1984">
        <v>1768</v>
      </c>
      <c r="BG1984">
        <v>20476</v>
      </c>
      <c r="BH1984">
        <v>0</v>
      </c>
      <c r="BI1984">
        <v>0</v>
      </c>
      <c r="BJ1984">
        <v>0</v>
      </c>
      <c r="BK1984">
        <v>0</v>
      </c>
      <c r="BL1984" s="2">
        <v>24.82</v>
      </c>
      <c r="BM1984" s="2">
        <v>42005.095138888886</v>
      </c>
      <c r="BN1984" s="2">
        <v>5.4</v>
      </c>
      <c r="BO1984" s="2">
        <v>42005.092361111114</v>
      </c>
      <c r="BP1984" s="2">
        <v>6.92</v>
      </c>
      <c r="BQ1984" s="2">
        <v>42005.092361111114</v>
      </c>
      <c r="BR1984" s="2">
        <v>11.07</v>
      </c>
      <c r="BS1984" s="2">
        <v>42005.092361111114</v>
      </c>
      <c r="BT1984">
        <v>0</v>
      </c>
      <c r="BU1984">
        <v>0</v>
      </c>
      <c r="BV1984" t="s">
        <v>135</v>
      </c>
      <c r="BW1984">
        <v>0</v>
      </c>
      <c r="BX1984">
        <v>0</v>
      </c>
      <c r="BY1984" t="s">
        <v>135</v>
      </c>
      <c r="BZ1984">
        <v>0</v>
      </c>
      <c r="CA1984">
        <v>0</v>
      </c>
      <c r="CB1984" t="s">
        <v>135</v>
      </c>
      <c r="CH1984" s="2"/>
      <c r="CJ1984" s="2"/>
      <c r="CL1984" s="2"/>
      <c r="CN1984" s="2"/>
      <c r="CQ1984" s="2"/>
      <c r="CT1984" s="2"/>
      <c r="CW1984" s="2"/>
    </row>
    <row r="1985" spans="1:101" x14ac:dyDescent="0.25">
      <c r="A1985" s="1" t="s">
        <v>163</v>
      </c>
      <c r="B1985" s="75" t="s">
        <v>164</v>
      </c>
      <c r="C1985">
        <v>0</v>
      </c>
      <c r="D1985">
        <v>0</v>
      </c>
      <c r="E1985">
        <v>0</v>
      </c>
      <c r="F1985">
        <v>604324.56000000006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3.91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7490</v>
      </c>
      <c r="AW1985">
        <v>3350</v>
      </c>
      <c r="AX1985">
        <v>1219</v>
      </c>
      <c r="AY1985">
        <v>12059</v>
      </c>
      <c r="AZ1985">
        <v>4202</v>
      </c>
      <c r="BA1985">
        <v>7438</v>
      </c>
      <c r="BB1985">
        <v>1432</v>
      </c>
      <c r="BC1985">
        <v>13072</v>
      </c>
      <c r="BD1985">
        <v>9486</v>
      </c>
      <c r="BE1985">
        <v>9222</v>
      </c>
      <c r="BF1985">
        <v>1768</v>
      </c>
      <c r="BG1985">
        <v>20476</v>
      </c>
      <c r="BH1985">
        <v>0</v>
      </c>
      <c r="BI1985">
        <v>0</v>
      </c>
      <c r="BJ1985">
        <v>0</v>
      </c>
      <c r="BK1985">
        <v>0</v>
      </c>
      <c r="BL1985" s="2">
        <v>24.82</v>
      </c>
      <c r="BM1985" s="2">
        <v>42005.095138888886</v>
      </c>
      <c r="BN1985" s="2">
        <v>5.4</v>
      </c>
      <c r="BO1985" s="2">
        <v>42005.092361111114</v>
      </c>
      <c r="BP1985" s="2">
        <v>6.92</v>
      </c>
      <c r="BQ1985" s="2">
        <v>42005.092361111114</v>
      </c>
      <c r="BR1985" s="2">
        <v>11.07</v>
      </c>
      <c r="BS1985" s="2">
        <v>42005.092361111114</v>
      </c>
      <c r="BT1985">
        <v>0</v>
      </c>
      <c r="BU1985">
        <v>0</v>
      </c>
      <c r="BV1985" t="s">
        <v>135</v>
      </c>
      <c r="BW1985">
        <v>0</v>
      </c>
      <c r="BX1985">
        <v>0</v>
      </c>
      <c r="BY1985" t="s">
        <v>135</v>
      </c>
      <c r="BZ1985">
        <v>0</v>
      </c>
      <c r="CA1985">
        <v>0</v>
      </c>
      <c r="CB1985" t="s">
        <v>135</v>
      </c>
      <c r="CH1985" s="2"/>
      <c r="CJ1985" s="2"/>
      <c r="CL1985" s="2"/>
      <c r="CN1985" s="2"/>
      <c r="CQ1985" s="2"/>
      <c r="CT1985" s="2"/>
      <c r="CW1985" s="2"/>
    </row>
    <row r="1986" spans="1:101" x14ac:dyDescent="0.25">
      <c r="A1986" s="1" t="s">
        <v>163</v>
      </c>
      <c r="B1986" s="75" t="s">
        <v>164</v>
      </c>
      <c r="C1986">
        <v>0</v>
      </c>
      <c r="D1986">
        <v>0</v>
      </c>
      <c r="E1986">
        <v>0</v>
      </c>
      <c r="F1986">
        <v>604324.56000000006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3.91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7490</v>
      </c>
      <c r="AW1986">
        <v>3350</v>
      </c>
      <c r="AX1986">
        <v>1219</v>
      </c>
      <c r="AY1986">
        <v>12059</v>
      </c>
      <c r="AZ1986">
        <v>4202</v>
      </c>
      <c r="BA1986">
        <v>7438</v>
      </c>
      <c r="BB1986">
        <v>1432</v>
      </c>
      <c r="BC1986">
        <v>13072</v>
      </c>
      <c r="BD1986">
        <v>9486</v>
      </c>
      <c r="BE1986">
        <v>9222</v>
      </c>
      <c r="BF1986">
        <v>1768</v>
      </c>
      <c r="BG1986">
        <v>20476</v>
      </c>
      <c r="BH1986">
        <v>0</v>
      </c>
      <c r="BI1986">
        <v>0</v>
      </c>
      <c r="BJ1986">
        <v>0</v>
      </c>
      <c r="BK1986">
        <v>0</v>
      </c>
      <c r="BL1986" s="2">
        <v>24.82</v>
      </c>
      <c r="BM1986" s="2">
        <v>42005.095138888886</v>
      </c>
      <c r="BN1986" s="2">
        <v>5.4</v>
      </c>
      <c r="BO1986" s="2">
        <v>42005.092361111114</v>
      </c>
      <c r="BP1986" s="2">
        <v>6.92</v>
      </c>
      <c r="BQ1986" s="2">
        <v>42005.092361111114</v>
      </c>
      <c r="BR1986" s="2">
        <v>11.07</v>
      </c>
      <c r="BS1986" s="2">
        <v>42005.092361111114</v>
      </c>
      <c r="BT1986">
        <v>0</v>
      </c>
      <c r="BU1986">
        <v>0</v>
      </c>
      <c r="BV1986" t="s">
        <v>135</v>
      </c>
      <c r="BW1986">
        <v>0</v>
      </c>
      <c r="BX1986">
        <v>0</v>
      </c>
      <c r="BY1986" t="s">
        <v>135</v>
      </c>
      <c r="BZ1986">
        <v>0</v>
      </c>
      <c r="CA1986">
        <v>0</v>
      </c>
      <c r="CB1986" t="s">
        <v>135</v>
      </c>
      <c r="CH1986" s="2"/>
      <c r="CJ1986" s="2"/>
      <c r="CL1986" s="2"/>
      <c r="CN1986" s="2"/>
      <c r="CQ1986" s="2"/>
      <c r="CT1986" s="2"/>
      <c r="CW1986" s="2"/>
    </row>
    <row r="1987" spans="1:101" x14ac:dyDescent="0.25">
      <c r="A1987" s="1" t="s">
        <v>163</v>
      </c>
      <c r="B1987" s="75" t="s">
        <v>164</v>
      </c>
      <c r="C1987">
        <v>0</v>
      </c>
      <c r="D1987">
        <v>0</v>
      </c>
      <c r="E1987">
        <v>0</v>
      </c>
      <c r="F1987">
        <v>604324.56000000006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3.91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7490</v>
      </c>
      <c r="AW1987">
        <v>3350</v>
      </c>
      <c r="AX1987">
        <v>1219</v>
      </c>
      <c r="AY1987">
        <v>12059</v>
      </c>
      <c r="AZ1987">
        <v>4202</v>
      </c>
      <c r="BA1987">
        <v>7438</v>
      </c>
      <c r="BB1987">
        <v>1432</v>
      </c>
      <c r="BC1987">
        <v>13072</v>
      </c>
      <c r="BD1987">
        <v>9486</v>
      </c>
      <c r="BE1987">
        <v>9222</v>
      </c>
      <c r="BF1987">
        <v>1768</v>
      </c>
      <c r="BG1987">
        <v>20476</v>
      </c>
      <c r="BH1987">
        <v>0</v>
      </c>
      <c r="BI1987">
        <v>0</v>
      </c>
      <c r="BJ1987">
        <v>0</v>
      </c>
      <c r="BK1987">
        <v>0</v>
      </c>
      <c r="BL1987" s="2">
        <v>24.82</v>
      </c>
      <c r="BM1987" s="2">
        <v>42005.095138888886</v>
      </c>
      <c r="BN1987" s="2">
        <v>5.4</v>
      </c>
      <c r="BO1987" s="2">
        <v>42005.092361111114</v>
      </c>
      <c r="BP1987" s="2">
        <v>6.92</v>
      </c>
      <c r="BQ1987" s="2">
        <v>42005.092361111114</v>
      </c>
      <c r="BR1987" s="2">
        <v>11.07</v>
      </c>
      <c r="BS1987" s="2">
        <v>42005.092361111114</v>
      </c>
      <c r="BT1987">
        <v>0</v>
      </c>
      <c r="BU1987">
        <v>0</v>
      </c>
      <c r="BV1987" t="s">
        <v>135</v>
      </c>
      <c r="BW1987">
        <v>0</v>
      </c>
      <c r="BX1987">
        <v>0</v>
      </c>
      <c r="BY1987" t="s">
        <v>135</v>
      </c>
      <c r="BZ1987">
        <v>0</v>
      </c>
      <c r="CA1987">
        <v>0</v>
      </c>
      <c r="CB1987" t="s">
        <v>135</v>
      </c>
      <c r="CH1987" s="2"/>
      <c r="CJ1987" s="2"/>
      <c r="CL1987" s="2"/>
      <c r="CN1987" s="2"/>
      <c r="CQ1987" s="2"/>
      <c r="CT1987" s="2"/>
      <c r="CW1987" s="2"/>
    </row>
    <row r="1988" spans="1:101" x14ac:dyDescent="0.25">
      <c r="A1988" s="1" t="s">
        <v>163</v>
      </c>
      <c r="B1988" s="75" t="s">
        <v>164</v>
      </c>
      <c r="C1988">
        <v>0</v>
      </c>
      <c r="D1988">
        <v>0</v>
      </c>
      <c r="E1988">
        <v>0</v>
      </c>
      <c r="F1988">
        <v>604324.56000000006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3.91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7490</v>
      </c>
      <c r="AW1988">
        <v>3350</v>
      </c>
      <c r="AX1988">
        <v>1219</v>
      </c>
      <c r="AY1988">
        <v>12059</v>
      </c>
      <c r="AZ1988">
        <v>4202</v>
      </c>
      <c r="BA1988">
        <v>7438</v>
      </c>
      <c r="BB1988">
        <v>1432</v>
      </c>
      <c r="BC1988">
        <v>13072</v>
      </c>
      <c r="BD1988">
        <v>9486</v>
      </c>
      <c r="BE1988">
        <v>9222</v>
      </c>
      <c r="BF1988">
        <v>1768</v>
      </c>
      <c r="BG1988">
        <v>20476</v>
      </c>
      <c r="BH1988">
        <v>0</v>
      </c>
      <c r="BI1988">
        <v>0</v>
      </c>
      <c r="BJ1988">
        <v>0</v>
      </c>
      <c r="BK1988">
        <v>0</v>
      </c>
      <c r="BL1988" s="2">
        <v>24.82</v>
      </c>
      <c r="BM1988" s="2">
        <v>42005.095138888886</v>
      </c>
      <c r="BN1988" s="2">
        <v>5.4</v>
      </c>
      <c r="BO1988" s="2">
        <v>42005.092361111114</v>
      </c>
      <c r="BP1988" s="2">
        <v>6.92</v>
      </c>
      <c r="BQ1988" s="2">
        <v>42005.092361111114</v>
      </c>
      <c r="BR1988" s="2">
        <v>11.07</v>
      </c>
      <c r="BS1988" s="2">
        <v>42005.092361111114</v>
      </c>
      <c r="BT1988">
        <v>0</v>
      </c>
      <c r="BU1988">
        <v>0</v>
      </c>
      <c r="BV1988" t="s">
        <v>135</v>
      </c>
      <c r="BW1988">
        <v>0</v>
      </c>
      <c r="BX1988">
        <v>0</v>
      </c>
      <c r="BY1988" t="s">
        <v>135</v>
      </c>
      <c r="BZ1988">
        <v>0</v>
      </c>
      <c r="CA1988">
        <v>0</v>
      </c>
      <c r="CB1988" t="s">
        <v>135</v>
      </c>
      <c r="CH1988" s="2"/>
      <c r="CJ1988" s="2"/>
      <c r="CL1988" s="2"/>
      <c r="CN1988" s="2"/>
      <c r="CQ1988" s="2"/>
      <c r="CT1988" s="2"/>
      <c r="CW1988" s="2"/>
    </row>
    <row r="1989" spans="1:101" x14ac:dyDescent="0.25">
      <c r="A1989" s="1" t="s">
        <v>163</v>
      </c>
      <c r="B1989" s="75" t="s">
        <v>164</v>
      </c>
      <c r="C1989">
        <v>0</v>
      </c>
      <c r="D1989">
        <v>0</v>
      </c>
      <c r="E1989">
        <v>0</v>
      </c>
      <c r="F1989">
        <v>604324.56000000006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3.91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7490</v>
      </c>
      <c r="AW1989">
        <v>3350</v>
      </c>
      <c r="AX1989">
        <v>1219</v>
      </c>
      <c r="AY1989">
        <v>12059</v>
      </c>
      <c r="AZ1989">
        <v>4202</v>
      </c>
      <c r="BA1989">
        <v>7438</v>
      </c>
      <c r="BB1989">
        <v>1432</v>
      </c>
      <c r="BC1989">
        <v>13072</v>
      </c>
      <c r="BD1989">
        <v>9486</v>
      </c>
      <c r="BE1989">
        <v>9222</v>
      </c>
      <c r="BF1989">
        <v>1768</v>
      </c>
      <c r="BG1989">
        <v>20476</v>
      </c>
      <c r="BH1989">
        <v>0</v>
      </c>
      <c r="BI1989">
        <v>0</v>
      </c>
      <c r="BJ1989">
        <v>0</v>
      </c>
      <c r="BK1989">
        <v>0</v>
      </c>
      <c r="BL1989" s="2">
        <v>24.82</v>
      </c>
      <c r="BM1989" s="2">
        <v>42005.095138888886</v>
      </c>
      <c r="BN1989" s="2">
        <v>5.4</v>
      </c>
      <c r="BO1989" s="2">
        <v>42005.092361111114</v>
      </c>
      <c r="BP1989" s="2">
        <v>6.92</v>
      </c>
      <c r="BQ1989" s="2">
        <v>42005.092361111114</v>
      </c>
      <c r="BR1989" s="2">
        <v>11.07</v>
      </c>
      <c r="BS1989" s="2">
        <v>42005.092361111114</v>
      </c>
      <c r="BT1989">
        <v>0</v>
      </c>
      <c r="BU1989">
        <v>0</v>
      </c>
      <c r="BV1989" t="s">
        <v>135</v>
      </c>
      <c r="BW1989">
        <v>0</v>
      </c>
      <c r="BX1989">
        <v>0</v>
      </c>
      <c r="BY1989" t="s">
        <v>135</v>
      </c>
      <c r="BZ1989">
        <v>0</v>
      </c>
      <c r="CA1989">
        <v>0</v>
      </c>
      <c r="CB1989" t="s">
        <v>135</v>
      </c>
      <c r="CH1989" s="2"/>
      <c r="CJ1989" s="2"/>
      <c r="CL1989" s="2"/>
      <c r="CN1989" s="2"/>
      <c r="CQ1989" s="2"/>
      <c r="CT1989" s="2"/>
      <c r="CW1989" s="2"/>
    </row>
    <row r="1990" spans="1:101" x14ac:dyDescent="0.25">
      <c r="A1990" s="1" t="s">
        <v>163</v>
      </c>
      <c r="B1990" s="75" t="s">
        <v>164</v>
      </c>
      <c r="C1990">
        <v>0</v>
      </c>
      <c r="D1990">
        <v>0</v>
      </c>
      <c r="E1990">
        <v>0</v>
      </c>
      <c r="F1990">
        <v>604324.56000000006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3.91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7490</v>
      </c>
      <c r="AW1990">
        <v>3350</v>
      </c>
      <c r="AX1990">
        <v>1219</v>
      </c>
      <c r="AY1990">
        <v>12059</v>
      </c>
      <c r="AZ1990">
        <v>4202</v>
      </c>
      <c r="BA1990">
        <v>7438</v>
      </c>
      <c r="BB1990">
        <v>1432</v>
      </c>
      <c r="BC1990">
        <v>13072</v>
      </c>
      <c r="BD1990">
        <v>9486</v>
      </c>
      <c r="BE1990">
        <v>9222</v>
      </c>
      <c r="BF1990">
        <v>1768</v>
      </c>
      <c r="BG1990">
        <v>20476</v>
      </c>
      <c r="BH1990">
        <v>0</v>
      </c>
      <c r="BI1990">
        <v>0</v>
      </c>
      <c r="BJ1990">
        <v>0</v>
      </c>
      <c r="BK1990">
        <v>0</v>
      </c>
      <c r="BL1990" s="2">
        <v>24.82</v>
      </c>
      <c r="BM1990" s="2">
        <v>42005.095138888886</v>
      </c>
      <c r="BN1990" s="2">
        <v>5.4</v>
      </c>
      <c r="BO1990" s="2">
        <v>42005.092361111114</v>
      </c>
      <c r="BP1990" s="2">
        <v>6.92</v>
      </c>
      <c r="BQ1990" s="2">
        <v>42005.092361111114</v>
      </c>
      <c r="BR1990" s="2">
        <v>11.07</v>
      </c>
      <c r="BS1990" s="2">
        <v>42005.092361111114</v>
      </c>
      <c r="BT1990">
        <v>0</v>
      </c>
      <c r="BU1990">
        <v>0</v>
      </c>
      <c r="BV1990" t="s">
        <v>135</v>
      </c>
      <c r="BW1990">
        <v>0</v>
      </c>
      <c r="BX1990">
        <v>0</v>
      </c>
      <c r="BY1990" t="s">
        <v>135</v>
      </c>
      <c r="BZ1990">
        <v>0</v>
      </c>
      <c r="CA1990">
        <v>0</v>
      </c>
      <c r="CB1990" t="s">
        <v>135</v>
      </c>
      <c r="CH1990" s="2"/>
      <c r="CJ1990" s="2"/>
      <c r="CL1990" s="2"/>
      <c r="CN1990" s="2"/>
      <c r="CQ1990" s="2"/>
      <c r="CT1990" s="2"/>
      <c r="CW1990" s="2"/>
    </row>
    <row r="1991" spans="1:101" x14ac:dyDescent="0.25">
      <c r="A1991" s="1" t="s">
        <v>163</v>
      </c>
      <c r="B1991" s="75" t="s">
        <v>164</v>
      </c>
      <c r="C1991">
        <v>0</v>
      </c>
      <c r="D1991">
        <v>0</v>
      </c>
      <c r="E1991">
        <v>0</v>
      </c>
      <c r="F1991">
        <v>604324.56000000006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3.91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7490</v>
      </c>
      <c r="AW1991">
        <v>3350</v>
      </c>
      <c r="AX1991">
        <v>1219</v>
      </c>
      <c r="AY1991">
        <v>12059</v>
      </c>
      <c r="AZ1991">
        <v>4202</v>
      </c>
      <c r="BA1991">
        <v>7438</v>
      </c>
      <c r="BB1991">
        <v>1432</v>
      </c>
      <c r="BC1991">
        <v>13072</v>
      </c>
      <c r="BD1991">
        <v>9486</v>
      </c>
      <c r="BE1991">
        <v>9222</v>
      </c>
      <c r="BF1991">
        <v>1768</v>
      </c>
      <c r="BG1991">
        <v>20476</v>
      </c>
      <c r="BH1991">
        <v>0</v>
      </c>
      <c r="BI1991">
        <v>0</v>
      </c>
      <c r="BJ1991">
        <v>0</v>
      </c>
      <c r="BK1991">
        <v>0</v>
      </c>
      <c r="BL1991" s="2">
        <v>24.82</v>
      </c>
      <c r="BM1991" s="2">
        <v>42005.095138888886</v>
      </c>
      <c r="BN1991" s="2">
        <v>5.4</v>
      </c>
      <c r="BO1991" s="2">
        <v>42005.092361111114</v>
      </c>
      <c r="BP1991" s="2">
        <v>6.92</v>
      </c>
      <c r="BQ1991" s="2">
        <v>42005.092361111114</v>
      </c>
      <c r="BR1991" s="2">
        <v>11.07</v>
      </c>
      <c r="BS1991" s="2">
        <v>42005.092361111114</v>
      </c>
      <c r="BT1991">
        <v>0</v>
      </c>
      <c r="BU1991">
        <v>0</v>
      </c>
      <c r="BV1991" t="s">
        <v>135</v>
      </c>
      <c r="BW1991">
        <v>0</v>
      </c>
      <c r="BX1991">
        <v>0</v>
      </c>
      <c r="BY1991" t="s">
        <v>135</v>
      </c>
      <c r="BZ1991">
        <v>0</v>
      </c>
      <c r="CA1991">
        <v>0</v>
      </c>
      <c r="CB1991" t="s">
        <v>135</v>
      </c>
      <c r="CH1991" s="2"/>
      <c r="CJ1991" s="2"/>
      <c r="CL1991" s="2"/>
      <c r="CN1991" s="2"/>
      <c r="CQ1991" s="2"/>
      <c r="CT1991" s="2"/>
      <c r="CW1991" s="2"/>
    </row>
    <row r="1992" spans="1:101" x14ac:dyDescent="0.25">
      <c r="A1992" s="1" t="s">
        <v>163</v>
      </c>
      <c r="B1992" s="75" t="s">
        <v>164</v>
      </c>
      <c r="C1992">
        <v>0</v>
      </c>
      <c r="D1992">
        <v>0</v>
      </c>
      <c r="E1992">
        <v>0</v>
      </c>
      <c r="F1992">
        <v>604324.56000000006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3.91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7490</v>
      </c>
      <c r="AW1992">
        <v>3350</v>
      </c>
      <c r="AX1992">
        <v>1219</v>
      </c>
      <c r="AY1992">
        <v>12059</v>
      </c>
      <c r="AZ1992">
        <v>4202</v>
      </c>
      <c r="BA1992">
        <v>7438</v>
      </c>
      <c r="BB1992">
        <v>1432</v>
      </c>
      <c r="BC1992">
        <v>13072</v>
      </c>
      <c r="BD1992">
        <v>9486</v>
      </c>
      <c r="BE1992">
        <v>9222</v>
      </c>
      <c r="BF1992">
        <v>1768</v>
      </c>
      <c r="BG1992">
        <v>20476</v>
      </c>
      <c r="BH1992">
        <v>0</v>
      </c>
      <c r="BI1992">
        <v>0</v>
      </c>
      <c r="BJ1992">
        <v>0</v>
      </c>
      <c r="BK1992">
        <v>0</v>
      </c>
      <c r="BL1992" s="2">
        <v>24.82</v>
      </c>
      <c r="BM1992" s="2">
        <v>42005.095138888886</v>
      </c>
      <c r="BN1992" s="2">
        <v>5.4</v>
      </c>
      <c r="BO1992" s="2">
        <v>42005.092361111114</v>
      </c>
      <c r="BP1992" s="2">
        <v>6.92</v>
      </c>
      <c r="BQ1992" s="2">
        <v>42005.092361111114</v>
      </c>
      <c r="BR1992" s="2">
        <v>11.07</v>
      </c>
      <c r="BS1992" s="2">
        <v>42005.092361111114</v>
      </c>
      <c r="BT1992">
        <v>0</v>
      </c>
      <c r="BU1992">
        <v>0</v>
      </c>
      <c r="BV1992" t="s">
        <v>135</v>
      </c>
      <c r="BW1992">
        <v>0</v>
      </c>
      <c r="BX1992">
        <v>0</v>
      </c>
      <c r="BY1992" t="s">
        <v>135</v>
      </c>
      <c r="BZ1992">
        <v>0</v>
      </c>
      <c r="CA1992">
        <v>0</v>
      </c>
      <c r="CB1992" t="s">
        <v>135</v>
      </c>
      <c r="CH1992" s="2"/>
      <c r="CJ1992" s="2"/>
      <c r="CL1992" s="2"/>
      <c r="CN1992" s="2"/>
      <c r="CQ1992" s="2"/>
      <c r="CT1992" s="2"/>
      <c r="CW1992" s="2"/>
    </row>
    <row r="1993" spans="1:101" x14ac:dyDescent="0.25">
      <c r="A1993" s="1" t="s">
        <v>163</v>
      </c>
      <c r="B1993" s="75" t="s">
        <v>164</v>
      </c>
      <c r="C1993">
        <v>0</v>
      </c>
      <c r="D1993">
        <v>0</v>
      </c>
      <c r="E1993">
        <v>0</v>
      </c>
      <c r="F1993">
        <v>604324.56000000006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3.91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7490</v>
      </c>
      <c r="AW1993">
        <v>3350</v>
      </c>
      <c r="AX1993">
        <v>1219</v>
      </c>
      <c r="AY1993">
        <v>12059</v>
      </c>
      <c r="AZ1993">
        <v>4202</v>
      </c>
      <c r="BA1993">
        <v>7438</v>
      </c>
      <c r="BB1993">
        <v>1432</v>
      </c>
      <c r="BC1993">
        <v>13072</v>
      </c>
      <c r="BD1993">
        <v>9486</v>
      </c>
      <c r="BE1993">
        <v>9222</v>
      </c>
      <c r="BF1993">
        <v>1768</v>
      </c>
      <c r="BG1993">
        <v>20476</v>
      </c>
      <c r="BH1993">
        <v>0</v>
      </c>
      <c r="BI1993">
        <v>0</v>
      </c>
      <c r="BJ1993">
        <v>0</v>
      </c>
      <c r="BK1993">
        <v>0</v>
      </c>
      <c r="BL1993" s="2">
        <v>24.82</v>
      </c>
      <c r="BM1993" s="2">
        <v>42005.095138888886</v>
      </c>
      <c r="BN1993" s="2">
        <v>5.4</v>
      </c>
      <c r="BO1993" s="2">
        <v>42005.092361111114</v>
      </c>
      <c r="BP1993" s="2">
        <v>6.92</v>
      </c>
      <c r="BQ1993" s="2">
        <v>42005.092361111114</v>
      </c>
      <c r="BR1993" s="2">
        <v>11.07</v>
      </c>
      <c r="BS1993" s="2">
        <v>42005.092361111114</v>
      </c>
      <c r="BT1993">
        <v>0</v>
      </c>
      <c r="BU1993">
        <v>0</v>
      </c>
      <c r="BV1993" t="s">
        <v>135</v>
      </c>
      <c r="BW1993">
        <v>0</v>
      </c>
      <c r="BX1993">
        <v>0</v>
      </c>
      <c r="BY1993" t="s">
        <v>135</v>
      </c>
      <c r="BZ1993">
        <v>0</v>
      </c>
      <c r="CA1993">
        <v>0</v>
      </c>
      <c r="CB1993" t="s">
        <v>135</v>
      </c>
      <c r="CH1993" s="2"/>
      <c r="CJ1993" s="2"/>
      <c r="CL1993" s="2"/>
      <c r="CN1993" s="2"/>
      <c r="CQ1993" s="2"/>
      <c r="CT1993" s="2"/>
      <c r="CW1993" s="2"/>
    </row>
    <row r="1994" spans="1:101" x14ac:dyDescent="0.25">
      <c r="A1994" s="1" t="s">
        <v>163</v>
      </c>
      <c r="B1994" s="75" t="s">
        <v>164</v>
      </c>
      <c r="C1994">
        <v>0</v>
      </c>
      <c r="D1994">
        <v>0</v>
      </c>
      <c r="E1994">
        <v>0</v>
      </c>
      <c r="F1994">
        <v>604324.56000000006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3.91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7490</v>
      </c>
      <c r="AW1994">
        <v>3350</v>
      </c>
      <c r="AX1994">
        <v>1219</v>
      </c>
      <c r="AY1994">
        <v>12059</v>
      </c>
      <c r="AZ1994">
        <v>4202</v>
      </c>
      <c r="BA1994">
        <v>7438</v>
      </c>
      <c r="BB1994">
        <v>1432</v>
      </c>
      <c r="BC1994">
        <v>13072</v>
      </c>
      <c r="BD1994">
        <v>9486</v>
      </c>
      <c r="BE1994">
        <v>9222</v>
      </c>
      <c r="BF1994">
        <v>1768</v>
      </c>
      <c r="BG1994">
        <v>20476</v>
      </c>
      <c r="BH1994">
        <v>0</v>
      </c>
      <c r="BI1994">
        <v>0</v>
      </c>
      <c r="BJ1994">
        <v>0</v>
      </c>
      <c r="BK1994">
        <v>0</v>
      </c>
      <c r="BL1994" s="2">
        <v>24.82</v>
      </c>
      <c r="BM1994" s="2">
        <v>42005.095138888886</v>
      </c>
      <c r="BN1994" s="2">
        <v>5.4</v>
      </c>
      <c r="BO1994" s="2">
        <v>42005.092361111114</v>
      </c>
      <c r="BP1994" s="2">
        <v>6.92</v>
      </c>
      <c r="BQ1994" s="2">
        <v>42005.092361111114</v>
      </c>
      <c r="BR1994" s="2">
        <v>11.07</v>
      </c>
      <c r="BS1994" s="2">
        <v>42005.092361111114</v>
      </c>
      <c r="BT1994">
        <v>0</v>
      </c>
      <c r="BU1994">
        <v>0</v>
      </c>
      <c r="BV1994" t="s">
        <v>135</v>
      </c>
      <c r="BW1994">
        <v>0</v>
      </c>
      <c r="BX1994">
        <v>0</v>
      </c>
      <c r="BY1994" t="s">
        <v>135</v>
      </c>
      <c r="BZ1994">
        <v>0</v>
      </c>
      <c r="CA1994">
        <v>0</v>
      </c>
      <c r="CB1994" t="s">
        <v>135</v>
      </c>
      <c r="CH1994" s="2"/>
      <c r="CJ1994" s="2"/>
      <c r="CL1994" s="2"/>
      <c r="CN1994" s="2"/>
      <c r="CQ1994" s="2"/>
      <c r="CT1994" s="2"/>
      <c r="CW1994" s="2"/>
    </row>
    <row r="1995" spans="1:101" x14ac:dyDescent="0.25">
      <c r="A1995" s="1" t="s">
        <v>163</v>
      </c>
      <c r="B1995" s="75" t="s">
        <v>164</v>
      </c>
      <c r="C1995">
        <v>0</v>
      </c>
      <c r="D1995">
        <v>0</v>
      </c>
      <c r="E1995">
        <v>0</v>
      </c>
      <c r="F1995">
        <v>604324.56000000006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3.91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7490</v>
      </c>
      <c r="AW1995">
        <v>3350</v>
      </c>
      <c r="AX1995">
        <v>1219</v>
      </c>
      <c r="AY1995">
        <v>12059</v>
      </c>
      <c r="AZ1995">
        <v>4202</v>
      </c>
      <c r="BA1995">
        <v>7438</v>
      </c>
      <c r="BB1995">
        <v>1432</v>
      </c>
      <c r="BC1995">
        <v>13072</v>
      </c>
      <c r="BD1995">
        <v>9486</v>
      </c>
      <c r="BE1995">
        <v>9222</v>
      </c>
      <c r="BF1995">
        <v>1768</v>
      </c>
      <c r="BG1995">
        <v>20476</v>
      </c>
      <c r="BH1995">
        <v>0</v>
      </c>
      <c r="BI1995">
        <v>0</v>
      </c>
      <c r="BJ1995">
        <v>0</v>
      </c>
      <c r="BK1995">
        <v>0</v>
      </c>
      <c r="BL1995" s="2">
        <v>24.82</v>
      </c>
      <c r="BM1995" s="2">
        <v>42005.095138888886</v>
      </c>
      <c r="BN1995" s="2">
        <v>5.4</v>
      </c>
      <c r="BO1995" s="2">
        <v>42005.092361111114</v>
      </c>
      <c r="BP1995" s="2">
        <v>6.92</v>
      </c>
      <c r="BQ1995" s="2">
        <v>42005.092361111114</v>
      </c>
      <c r="BR1995" s="2">
        <v>11.07</v>
      </c>
      <c r="BS1995" s="2">
        <v>42005.092361111114</v>
      </c>
      <c r="BT1995">
        <v>0</v>
      </c>
      <c r="BU1995">
        <v>0</v>
      </c>
      <c r="BV1995" t="s">
        <v>135</v>
      </c>
      <c r="BW1995">
        <v>0</v>
      </c>
      <c r="BX1995">
        <v>0</v>
      </c>
      <c r="BY1995" t="s">
        <v>135</v>
      </c>
      <c r="BZ1995">
        <v>0</v>
      </c>
      <c r="CA1995">
        <v>0</v>
      </c>
      <c r="CB1995" t="s">
        <v>135</v>
      </c>
      <c r="CH1995" s="2"/>
      <c r="CJ1995" s="2"/>
      <c r="CL1995" s="2"/>
      <c r="CN1995" s="2"/>
      <c r="CQ1995" s="2"/>
      <c r="CT1995" s="2"/>
      <c r="CW1995" s="2"/>
    </row>
    <row r="1996" spans="1:101" x14ac:dyDescent="0.25">
      <c r="A1996" s="1" t="s">
        <v>163</v>
      </c>
      <c r="B1996" s="75" t="s">
        <v>164</v>
      </c>
      <c r="C1996">
        <v>0</v>
      </c>
      <c r="D1996">
        <v>0</v>
      </c>
      <c r="E1996">
        <v>0</v>
      </c>
      <c r="F1996">
        <v>604324.56000000006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3.91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7490</v>
      </c>
      <c r="AW1996">
        <v>3350</v>
      </c>
      <c r="AX1996">
        <v>1219</v>
      </c>
      <c r="AY1996">
        <v>12059</v>
      </c>
      <c r="AZ1996">
        <v>4202</v>
      </c>
      <c r="BA1996">
        <v>7438</v>
      </c>
      <c r="BB1996">
        <v>1432</v>
      </c>
      <c r="BC1996">
        <v>13072</v>
      </c>
      <c r="BD1996">
        <v>9486</v>
      </c>
      <c r="BE1996">
        <v>9222</v>
      </c>
      <c r="BF1996">
        <v>1768</v>
      </c>
      <c r="BG1996">
        <v>20476</v>
      </c>
      <c r="BH1996">
        <v>0</v>
      </c>
      <c r="BI1996">
        <v>0</v>
      </c>
      <c r="BJ1996">
        <v>0</v>
      </c>
      <c r="BK1996">
        <v>0</v>
      </c>
      <c r="BL1996" s="2">
        <v>24.82</v>
      </c>
      <c r="BM1996" s="2">
        <v>42005.095138888886</v>
      </c>
      <c r="BN1996" s="2">
        <v>5.4</v>
      </c>
      <c r="BO1996" s="2">
        <v>42005.092361111114</v>
      </c>
      <c r="BP1996" s="2">
        <v>6.92</v>
      </c>
      <c r="BQ1996" s="2">
        <v>42005.092361111114</v>
      </c>
      <c r="BR1996" s="2">
        <v>11.07</v>
      </c>
      <c r="BS1996" s="2">
        <v>42005.092361111114</v>
      </c>
      <c r="BT1996">
        <v>0</v>
      </c>
      <c r="BU1996">
        <v>0</v>
      </c>
      <c r="BV1996" t="s">
        <v>135</v>
      </c>
      <c r="BW1996">
        <v>0</v>
      </c>
      <c r="BX1996">
        <v>0</v>
      </c>
      <c r="BY1996" t="s">
        <v>135</v>
      </c>
      <c r="BZ1996">
        <v>0</v>
      </c>
      <c r="CA1996">
        <v>0</v>
      </c>
      <c r="CB1996" t="s">
        <v>135</v>
      </c>
      <c r="CH1996" s="2"/>
      <c r="CJ1996" s="2"/>
      <c r="CL1996" s="2"/>
      <c r="CN1996" s="2"/>
      <c r="CQ1996" s="2"/>
      <c r="CT1996" s="2"/>
      <c r="CW1996" s="2"/>
    </row>
    <row r="1997" spans="1:101" x14ac:dyDescent="0.25">
      <c r="A1997" s="1" t="s">
        <v>163</v>
      </c>
      <c r="B1997" s="75" t="s">
        <v>164</v>
      </c>
      <c r="C1997">
        <v>0</v>
      </c>
      <c r="D1997">
        <v>0</v>
      </c>
      <c r="E1997">
        <v>0</v>
      </c>
      <c r="F1997">
        <v>604324.56000000006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3.91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7490</v>
      </c>
      <c r="AW1997">
        <v>3350</v>
      </c>
      <c r="AX1997">
        <v>1219</v>
      </c>
      <c r="AY1997">
        <v>12059</v>
      </c>
      <c r="AZ1997">
        <v>4202</v>
      </c>
      <c r="BA1997">
        <v>7438</v>
      </c>
      <c r="BB1997">
        <v>1432</v>
      </c>
      <c r="BC1997">
        <v>13072</v>
      </c>
      <c r="BD1997">
        <v>9486</v>
      </c>
      <c r="BE1997">
        <v>9222</v>
      </c>
      <c r="BF1997">
        <v>1768</v>
      </c>
      <c r="BG1997">
        <v>20476</v>
      </c>
      <c r="BH1997">
        <v>0</v>
      </c>
      <c r="BI1997">
        <v>0</v>
      </c>
      <c r="BJ1997">
        <v>0</v>
      </c>
      <c r="BK1997">
        <v>0</v>
      </c>
      <c r="BL1997" s="2">
        <v>24.82</v>
      </c>
      <c r="BM1997" s="2">
        <v>42005.095138888886</v>
      </c>
      <c r="BN1997" s="2">
        <v>5.4</v>
      </c>
      <c r="BO1997" s="2">
        <v>42005.092361111114</v>
      </c>
      <c r="BP1997" s="2">
        <v>6.92</v>
      </c>
      <c r="BQ1997" s="2">
        <v>42005.092361111114</v>
      </c>
      <c r="BR1997" s="2">
        <v>11.07</v>
      </c>
      <c r="BS1997" s="2">
        <v>42005.092361111114</v>
      </c>
      <c r="BT1997">
        <v>0</v>
      </c>
      <c r="BU1997">
        <v>0</v>
      </c>
      <c r="BV1997" t="s">
        <v>135</v>
      </c>
      <c r="BW1997">
        <v>0</v>
      </c>
      <c r="BX1997">
        <v>0</v>
      </c>
      <c r="BY1997" t="s">
        <v>135</v>
      </c>
      <c r="BZ1997">
        <v>0</v>
      </c>
      <c r="CA1997">
        <v>0</v>
      </c>
      <c r="CB1997" t="s">
        <v>135</v>
      </c>
      <c r="CH1997" s="2"/>
      <c r="CJ1997" s="2"/>
      <c r="CL1997" s="2"/>
      <c r="CN1997" s="2"/>
      <c r="CQ1997" s="2"/>
      <c r="CT1997" s="2"/>
      <c r="CW1997" s="2"/>
    </row>
    <row r="1998" spans="1:101" x14ac:dyDescent="0.25">
      <c r="A1998" s="1" t="s">
        <v>163</v>
      </c>
      <c r="B1998" s="75" t="s">
        <v>164</v>
      </c>
      <c r="C1998">
        <v>0</v>
      </c>
      <c r="D1998">
        <v>0</v>
      </c>
      <c r="E1998">
        <v>0</v>
      </c>
      <c r="F1998">
        <v>604324.56000000006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3.91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7490</v>
      </c>
      <c r="AW1998">
        <v>3350</v>
      </c>
      <c r="AX1998">
        <v>1219</v>
      </c>
      <c r="AY1998">
        <v>12059</v>
      </c>
      <c r="AZ1998">
        <v>4202</v>
      </c>
      <c r="BA1998">
        <v>7438</v>
      </c>
      <c r="BB1998">
        <v>1432</v>
      </c>
      <c r="BC1998">
        <v>13072</v>
      </c>
      <c r="BD1998">
        <v>9486</v>
      </c>
      <c r="BE1998">
        <v>9222</v>
      </c>
      <c r="BF1998">
        <v>1768</v>
      </c>
      <c r="BG1998">
        <v>20476</v>
      </c>
      <c r="BH1998">
        <v>0</v>
      </c>
      <c r="BI1998">
        <v>0</v>
      </c>
      <c r="BJ1998">
        <v>0</v>
      </c>
      <c r="BK1998">
        <v>0</v>
      </c>
      <c r="BL1998" s="2">
        <v>24.82</v>
      </c>
      <c r="BM1998" s="2">
        <v>42005.095138888886</v>
      </c>
      <c r="BN1998" s="2">
        <v>5.4</v>
      </c>
      <c r="BO1998" s="2">
        <v>42005.092361111114</v>
      </c>
      <c r="BP1998" s="2">
        <v>6.92</v>
      </c>
      <c r="BQ1998" s="2">
        <v>42005.092361111114</v>
      </c>
      <c r="BR1998" s="2">
        <v>11.07</v>
      </c>
      <c r="BS1998" s="2">
        <v>42005.092361111114</v>
      </c>
      <c r="BT1998">
        <v>0</v>
      </c>
      <c r="BU1998">
        <v>0</v>
      </c>
      <c r="BV1998" t="s">
        <v>135</v>
      </c>
      <c r="BW1998">
        <v>0</v>
      </c>
      <c r="BX1998">
        <v>0</v>
      </c>
      <c r="BY1998" t="s">
        <v>135</v>
      </c>
      <c r="BZ1998">
        <v>0</v>
      </c>
      <c r="CA1998">
        <v>0</v>
      </c>
      <c r="CB1998" t="s">
        <v>135</v>
      </c>
      <c r="CH1998" s="2"/>
      <c r="CJ1998" s="2"/>
      <c r="CL1998" s="2"/>
      <c r="CN1998" s="2"/>
      <c r="CQ1998" s="2"/>
      <c r="CT1998" s="2"/>
      <c r="CW1998" s="2"/>
    </row>
    <row r="1999" spans="1:101" x14ac:dyDescent="0.25">
      <c r="A1999" s="1" t="s">
        <v>163</v>
      </c>
      <c r="B1999" s="75" t="s">
        <v>164</v>
      </c>
      <c r="C1999">
        <v>0</v>
      </c>
      <c r="D1999">
        <v>0</v>
      </c>
      <c r="E1999">
        <v>0</v>
      </c>
      <c r="F1999">
        <v>604324.56000000006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3.91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7490</v>
      </c>
      <c r="AW1999">
        <v>3350</v>
      </c>
      <c r="AX1999">
        <v>1219</v>
      </c>
      <c r="AY1999">
        <v>12059</v>
      </c>
      <c r="AZ1999">
        <v>4202</v>
      </c>
      <c r="BA1999">
        <v>7438</v>
      </c>
      <c r="BB1999">
        <v>1432</v>
      </c>
      <c r="BC1999">
        <v>13072</v>
      </c>
      <c r="BD1999">
        <v>9486</v>
      </c>
      <c r="BE1999">
        <v>9222</v>
      </c>
      <c r="BF1999">
        <v>1768</v>
      </c>
      <c r="BG1999">
        <v>20476</v>
      </c>
      <c r="BH1999">
        <v>0</v>
      </c>
      <c r="BI1999">
        <v>0</v>
      </c>
      <c r="BJ1999">
        <v>0</v>
      </c>
      <c r="BK1999">
        <v>0</v>
      </c>
      <c r="BL1999" s="2">
        <v>24.82</v>
      </c>
      <c r="BM1999" s="2">
        <v>42005.095138888886</v>
      </c>
      <c r="BN1999" s="2">
        <v>5.4</v>
      </c>
      <c r="BO1999" s="2">
        <v>42005.092361111114</v>
      </c>
      <c r="BP1999" s="2">
        <v>6.92</v>
      </c>
      <c r="BQ1999" s="2">
        <v>42005.092361111114</v>
      </c>
      <c r="BR1999" s="2">
        <v>11.07</v>
      </c>
      <c r="BS1999" s="2">
        <v>42005.092361111114</v>
      </c>
      <c r="BT1999">
        <v>0</v>
      </c>
      <c r="BU1999">
        <v>0</v>
      </c>
      <c r="BV1999" t="s">
        <v>135</v>
      </c>
      <c r="BW1999">
        <v>0</v>
      </c>
      <c r="BX1999">
        <v>0</v>
      </c>
      <c r="BY1999" t="s">
        <v>135</v>
      </c>
      <c r="BZ1999">
        <v>0</v>
      </c>
      <c r="CA1999">
        <v>0</v>
      </c>
      <c r="CB1999" t="s">
        <v>135</v>
      </c>
      <c r="CH1999" s="2"/>
      <c r="CJ1999" s="2"/>
      <c r="CL1999" s="2"/>
      <c r="CN1999" s="2"/>
      <c r="CQ1999" s="2"/>
      <c r="CT1999" s="2"/>
      <c r="CW1999" s="2"/>
    </row>
    <row r="2000" spans="1:101" x14ac:dyDescent="0.25">
      <c r="A2000" s="1" t="s">
        <v>163</v>
      </c>
      <c r="B2000" s="75" t="s">
        <v>164</v>
      </c>
      <c r="C2000">
        <v>0</v>
      </c>
      <c r="D2000">
        <v>0</v>
      </c>
      <c r="E2000">
        <v>0</v>
      </c>
      <c r="F2000">
        <v>604324.56000000006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3.91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7490</v>
      </c>
      <c r="AW2000">
        <v>3350</v>
      </c>
      <c r="AX2000">
        <v>1219</v>
      </c>
      <c r="AY2000">
        <v>12059</v>
      </c>
      <c r="AZ2000">
        <v>4202</v>
      </c>
      <c r="BA2000">
        <v>7438</v>
      </c>
      <c r="BB2000">
        <v>1432</v>
      </c>
      <c r="BC2000">
        <v>13072</v>
      </c>
      <c r="BD2000">
        <v>9486</v>
      </c>
      <c r="BE2000">
        <v>9222</v>
      </c>
      <c r="BF2000">
        <v>1768</v>
      </c>
      <c r="BG2000">
        <v>20476</v>
      </c>
      <c r="BH2000">
        <v>0</v>
      </c>
      <c r="BI2000">
        <v>0</v>
      </c>
      <c r="BJ2000">
        <v>0</v>
      </c>
      <c r="BK2000">
        <v>0</v>
      </c>
      <c r="BL2000" s="2">
        <v>24.82</v>
      </c>
      <c r="BM2000" s="2">
        <v>42005.095138888886</v>
      </c>
      <c r="BN2000" s="2">
        <v>5.4</v>
      </c>
      <c r="BO2000" s="2">
        <v>42005.092361111114</v>
      </c>
      <c r="BP2000" s="2">
        <v>6.92</v>
      </c>
      <c r="BQ2000" s="2">
        <v>42005.092361111114</v>
      </c>
      <c r="BR2000" s="2">
        <v>11.07</v>
      </c>
      <c r="BS2000" s="2">
        <v>42005.092361111114</v>
      </c>
      <c r="BT2000">
        <v>0</v>
      </c>
      <c r="BU2000">
        <v>0</v>
      </c>
      <c r="BV2000" t="s">
        <v>135</v>
      </c>
      <c r="BW2000">
        <v>0</v>
      </c>
      <c r="BX2000">
        <v>0</v>
      </c>
      <c r="BY2000" t="s">
        <v>135</v>
      </c>
      <c r="BZ2000">
        <v>0</v>
      </c>
      <c r="CA2000">
        <v>0</v>
      </c>
      <c r="CB2000" t="s">
        <v>135</v>
      </c>
      <c r="CH2000" s="2"/>
      <c r="CJ2000" s="2"/>
      <c r="CL2000" s="2"/>
      <c r="CN2000" s="2"/>
      <c r="CQ2000" s="2"/>
      <c r="CT2000" s="2"/>
      <c r="CW2000" s="2"/>
    </row>
    <row r="2001" spans="1:101" x14ac:dyDescent="0.25">
      <c r="A2001" s="1" t="s">
        <v>163</v>
      </c>
      <c r="B2001" s="75" t="s">
        <v>164</v>
      </c>
      <c r="C2001">
        <v>0</v>
      </c>
      <c r="D2001">
        <v>0</v>
      </c>
      <c r="E2001">
        <v>0</v>
      </c>
      <c r="F2001">
        <v>604324.56000000006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3.91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7490</v>
      </c>
      <c r="AW2001">
        <v>3350</v>
      </c>
      <c r="AX2001">
        <v>1219</v>
      </c>
      <c r="AY2001">
        <v>12059</v>
      </c>
      <c r="AZ2001">
        <v>4202</v>
      </c>
      <c r="BA2001">
        <v>7438</v>
      </c>
      <c r="BB2001">
        <v>1432</v>
      </c>
      <c r="BC2001">
        <v>13072</v>
      </c>
      <c r="BD2001">
        <v>9486</v>
      </c>
      <c r="BE2001">
        <v>9222</v>
      </c>
      <c r="BF2001">
        <v>1768</v>
      </c>
      <c r="BG2001">
        <v>20476</v>
      </c>
      <c r="BH2001">
        <v>0</v>
      </c>
      <c r="BI2001">
        <v>0</v>
      </c>
      <c r="BJ2001">
        <v>0</v>
      </c>
      <c r="BK2001">
        <v>0</v>
      </c>
      <c r="BL2001" s="2">
        <v>24.82</v>
      </c>
      <c r="BM2001" s="2">
        <v>42005.095138888886</v>
      </c>
      <c r="BN2001" s="2">
        <v>5.4</v>
      </c>
      <c r="BO2001" s="2">
        <v>42005.092361111114</v>
      </c>
      <c r="BP2001" s="2">
        <v>6.92</v>
      </c>
      <c r="BQ2001" s="2">
        <v>42005.092361111114</v>
      </c>
      <c r="BR2001" s="2">
        <v>11.07</v>
      </c>
      <c r="BS2001" s="2">
        <v>42005.092361111114</v>
      </c>
      <c r="BT2001">
        <v>0</v>
      </c>
      <c r="BU2001">
        <v>0</v>
      </c>
      <c r="BV2001" t="s">
        <v>135</v>
      </c>
      <c r="BW2001">
        <v>0</v>
      </c>
      <c r="BX2001">
        <v>0</v>
      </c>
      <c r="BY2001" t="s">
        <v>135</v>
      </c>
      <c r="BZ2001">
        <v>0</v>
      </c>
      <c r="CA2001">
        <v>0</v>
      </c>
      <c r="CB2001" t="s">
        <v>135</v>
      </c>
      <c r="CH2001" s="2"/>
      <c r="CJ2001" s="2"/>
      <c r="CL2001" s="2"/>
      <c r="CN2001" s="2"/>
      <c r="CQ2001" s="2"/>
      <c r="CT2001" s="2"/>
      <c r="CW2001" s="2"/>
    </row>
    <row r="2002" spans="1:101" x14ac:dyDescent="0.25">
      <c r="A2002" s="1" t="s">
        <v>163</v>
      </c>
      <c r="B2002" s="75" t="s">
        <v>164</v>
      </c>
      <c r="C2002">
        <v>0</v>
      </c>
      <c r="D2002">
        <v>0</v>
      </c>
      <c r="E2002">
        <v>0</v>
      </c>
      <c r="F2002">
        <v>604324.56000000006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3.91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7490</v>
      </c>
      <c r="AW2002">
        <v>3350</v>
      </c>
      <c r="AX2002">
        <v>1219</v>
      </c>
      <c r="AY2002">
        <v>12059</v>
      </c>
      <c r="AZ2002">
        <v>4202</v>
      </c>
      <c r="BA2002">
        <v>7438</v>
      </c>
      <c r="BB2002">
        <v>1432</v>
      </c>
      <c r="BC2002">
        <v>13072</v>
      </c>
      <c r="BD2002">
        <v>9486</v>
      </c>
      <c r="BE2002">
        <v>9222</v>
      </c>
      <c r="BF2002">
        <v>1768</v>
      </c>
      <c r="BG2002">
        <v>20476</v>
      </c>
      <c r="BH2002">
        <v>0</v>
      </c>
      <c r="BI2002">
        <v>0</v>
      </c>
      <c r="BJ2002">
        <v>0</v>
      </c>
      <c r="BK2002">
        <v>0</v>
      </c>
      <c r="BL2002" s="2">
        <v>24.82</v>
      </c>
      <c r="BM2002" s="2">
        <v>42005.095138888886</v>
      </c>
      <c r="BN2002" s="2">
        <v>5.4</v>
      </c>
      <c r="BO2002" s="2">
        <v>42005.092361111114</v>
      </c>
      <c r="BP2002" s="2">
        <v>6.92</v>
      </c>
      <c r="BQ2002" s="2">
        <v>42005.092361111114</v>
      </c>
      <c r="BR2002" s="2">
        <v>11.07</v>
      </c>
      <c r="BS2002" s="2">
        <v>42005.092361111114</v>
      </c>
      <c r="BT2002">
        <v>0</v>
      </c>
      <c r="BU2002">
        <v>0</v>
      </c>
      <c r="BV2002" t="s">
        <v>135</v>
      </c>
      <c r="BW2002">
        <v>0</v>
      </c>
      <c r="BX2002">
        <v>0</v>
      </c>
      <c r="BY2002" t="s">
        <v>135</v>
      </c>
      <c r="BZ2002">
        <v>0</v>
      </c>
      <c r="CA2002">
        <v>0</v>
      </c>
      <c r="CB2002" t="s">
        <v>135</v>
      </c>
      <c r="CH2002" s="2"/>
      <c r="CJ2002" s="2"/>
      <c r="CL2002" s="2"/>
      <c r="CN2002" s="2"/>
      <c r="CQ2002" s="2"/>
      <c r="CT2002" s="2"/>
      <c r="CW2002" s="2"/>
    </row>
    <row r="2003" spans="1:101" x14ac:dyDescent="0.25">
      <c r="A2003" s="1" t="s">
        <v>163</v>
      </c>
      <c r="B2003" s="75" t="s">
        <v>164</v>
      </c>
      <c r="C2003">
        <v>0</v>
      </c>
      <c r="D2003">
        <v>0</v>
      </c>
      <c r="E2003">
        <v>0</v>
      </c>
      <c r="F2003">
        <v>604324.56000000006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3.91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7490</v>
      </c>
      <c r="AW2003">
        <v>3350</v>
      </c>
      <c r="AX2003">
        <v>1219</v>
      </c>
      <c r="AY2003">
        <v>12059</v>
      </c>
      <c r="AZ2003">
        <v>4202</v>
      </c>
      <c r="BA2003">
        <v>7438</v>
      </c>
      <c r="BB2003">
        <v>1432</v>
      </c>
      <c r="BC2003">
        <v>13072</v>
      </c>
      <c r="BD2003">
        <v>9486</v>
      </c>
      <c r="BE2003">
        <v>9222</v>
      </c>
      <c r="BF2003">
        <v>1768</v>
      </c>
      <c r="BG2003">
        <v>20476</v>
      </c>
      <c r="BH2003">
        <v>0</v>
      </c>
      <c r="BI2003">
        <v>0</v>
      </c>
      <c r="BJ2003">
        <v>0</v>
      </c>
      <c r="BK2003">
        <v>0</v>
      </c>
      <c r="BL2003" s="2">
        <v>24.82</v>
      </c>
      <c r="BM2003" s="2">
        <v>42005.095138888886</v>
      </c>
      <c r="BN2003" s="2">
        <v>5.4</v>
      </c>
      <c r="BO2003" s="2">
        <v>42005.092361111114</v>
      </c>
      <c r="BP2003" s="2">
        <v>6.92</v>
      </c>
      <c r="BQ2003" s="2">
        <v>42005.092361111114</v>
      </c>
      <c r="BR2003" s="2">
        <v>11.07</v>
      </c>
      <c r="BS2003" s="2">
        <v>42005.092361111114</v>
      </c>
      <c r="BT2003">
        <v>0</v>
      </c>
      <c r="BU2003">
        <v>0</v>
      </c>
      <c r="BV2003" t="s">
        <v>135</v>
      </c>
      <c r="BW2003">
        <v>0</v>
      </c>
      <c r="BX2003">
        <v>0</v>
      </c>
      <c r="BY2003" t="s">
        <v>135</v>
      </c>
      <c r="BZ2003">
        <v>0</v>
      </c>
      <c r="CA2003">
        <v>0</v>
      </c>
      <c r="CB2003" t="s">
        <v>135</v>
      </c>
      <c r="CH2003" s="2"/>
      <c r="CJ2003" s="2"/>
      <c r="CL2003" s="2"/>
      <c r="CN2003" s="2"/>
      <c r="CQ2003" s="2"/>
      <c r="CT2003" s="2"/>
      <c r="CW2003" s="2"/>
    </row>
    <row r="2004" spans="1:101" x14ac:dyDescent="0.25">
      <c r="A2004" s="1" t="s">
        <v>163</v>
      </c>
      <c r="B2004" s="75" t="s">
        <v>164</v>
      </c>
      <c r="C2004">
        <v>0</v>
      </c>
      <c r="D2004">
        <v>0</v>
      </c>
      <c r="E2004">
        <v>0</v>
      </c>
      <c r="F2004">
        <v>604324.56000000006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3.91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7490</v>
      </c>
      <c r="AW2004">
        <v>3350</v>
      </c>
      <c r="AX2004">
        <v>1219</v>
      </c>
      <c r="AY2004">
        <v>12059</v>
      </c>
      <c r="AZ2004">
        <v>4202</v>
      </c>
      <c r="BA2004">
        <v>7438</v>
      </c>
      <c r="BB2004">
        <v>1432</v>
      </c>
      <c r="BC2004">
        <v>13072</v>
      </c>
      <c r="BD2004">
        <v>9486</v>
      </c>
      <c r="BE2004">
        <v>9222</v>
      </c>
      <c r="BF2004">
        <v>1768</v>
      </c>
      <c r="BG2004">
        <v>20476</v>
      </c>
      <c r="BH2004">
        <v>0</v>
      </c>
      <c r="BI2004">
        <v>0</v>
      </c>
      <c r="BJ2004">
        <v>0</v>
      </c>
      <c r="BK2004">
        <v>0</v>
      </c>
      <c r="BL2004" s="2">
        <v>24.82</v>
      </c>
      <c r="BM2004" s="2">
        <v>42005.095138888886</v>
      </c>
      <c r="BN2004" s="2">
        <v>5.4</v>
      </c>
      <c r="BO2004" s="2">
        <v>42005.092361111114</v>
      </c>
      <c r="BP2004" s="2">
        <v>6.92</v>
      </c>
      <c r="BQ2004" s="2">
        <v>42005.092361111114</v>
      </c>
      <c r="BR2004" s="2">
        <v>11.07</v>
      </c>
      <c r="BS2004" s="2">
        <v>42005.092361111114</v>
      </c>
      <c r="BT2004">
        <v>0</v>
      </c>
      <c r="BU2004">
        <v>0</v>
      </c>
      <c r="BV2004" t="s">
        <v>135</v>
      </c>
      <c r="BW2004">
        <v>0</v>
      </c>
      <c r="BX2004">
        <v>0</v>
      </c>
      <c r="BY2004" t="s">
        <v>135</v>
      </c>
      <c r="BZ2004">
        <v>0</v>
      </c>
      <c r="CA2004">
        <v>0</v>
      </c>
      <c r="CB2004" t="s">
        <v>135</v>
      </c>
      <c r="CH2004" s="2"/>
      <c r="CJ2004" s="2"/>
      <c r="CL2004" s="2"/>
      <c r="CN2004" s="2"/>
      <c r="CQ2004" s="2"/>
      <c r="CT2004" s="2"/>
      <c r="CW2004" s="2"/>
    </row>
    <row r="2005" spans="1:101" x14ac:dyDescent="0.25">
      <c r="A2005" s="1" t="s">
        <v>163</v>
      </c>
      <c r="B2005" s="75" t="s">
        <v>164</v>
      </c>
      <c r="C2005">
        <v>0</v>
      </c>
      <c r="D2005">
        <v>0</v>
      </c>
      <c r="E2005">
        <v>0</v>
      </c>
      <c r="F2005">
        <v>604324.56000000006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3.91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7490</v>
      </c>
      <c r="AW2005">
        <v>3350</v>
      </c>
      <c r="AX2005">
        <v>1219</v>
      </c>
      <c r="AY2005">
        <v>12059</v>
      </c>
      <c r="AZ2005">
        <v>4202</v>
      </c>
      <c r="BA2005">
        <v>7438</v>
      </c>
      <c r="BB2005">
        <v>1432</v>
      </c>
      <c r="BC2005">
        <v>13072</v>
      </c>
      <c r="BD2005">
        <v>9486</v>
      </c>
      <c r="BE2005">
        <v>9222</v>
      </c>
      <c r="BF2005">
        <v>1768</v>
      </c>
      <c r="BG2005">
        <v>20476</v>
      </c>
      <c r="BH2005">
        <v>0</v>
      </c>
      <c r="BI2005">
        <v>0</v>
      </c>
      <c r="BJ2005">
        <v>0</v>
      </c>
      <c r="BK2005">
        <v>0</v>
      </c>
      <c r="BL2005" s="2">
        <v>24.82</v>
      </c>
      <c r="BM2005" s="2">
        <v>42005.095138888886</v>
      </c>
      <c r="BN2005" s="2">
        <v>5.4</v>
      </c>
      <c r="BO2005" s="2">
        <v>42005.092361111114</v>
      </c>
      <c r="BP2005" s="2">
        <v>6.92</v>
      </c>
      <c r="BQ2005" s="2">
        <v>42005.092361111114</v>
      </c>
      <c r="BR2005" s="2">
        <v>11.07</v>
      </c>
      <c r="BS2005" s="2">
        <v>42005.092361111114</v>
      </c>
      <c r="BT2005">
        <v>0</v>
      </c>
      <c r="BU2005">
        <v>0</v>
      </c>
      <c r="BV2005" t="s">
        <v>135</v>
      </c>
      <c r="BW2005">
        <v>0</v>
      </c>
      <c r="BX2005">
        <v>0</v>
      </c>
      <c r="BY2005" t="s">
        <v>135</v>
      </c>
      <c r="BZ2005">
        <v>0</v>
      </c>
      <c r="CA2005">
        <v>0</v>
      </c>
      <c r="CB2005" t="s">
        <v>135</v>
      </c>
      <c r="CH2005" s="2"/>
      <c r="CJ2005" s="2"/>
      <c r="CL2005" s="2"/>
      <c r="CN2005" s="2"/>
      <c r="CQ2005" s="2"/>
      <c r="CT2005" s="2"/>
      <c r="CW2005" s="2"/>
    </row>
    <row r="2006" spans="1:101" x14ac:dyDescent="0.25">
      <c r="A2006" s="1" t="s">
        <v>163</v>
      </c>
      <c r="B2006" s="75" t="s">
        <v>164</v>
      </c>
      <c r="C2006">
        <v>0</v>
      </c>
      <c r="D2006">
        <v>0</v>
      </c>
      <c r="E2006">
        <v>0</v>
      </c>
      <c r="F2006">
        <v>604324.56000000006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3.91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7490</v>
      </c>
      <c r="AW2006">
        <v>3350</v>
      </c>
      <c r="AX2006">
        <v>1219</v>
      </c>
      <c r="AY2006">
        <v>12059</v>
      </c>
      <c r="AZ2006">
        <v>4202</v>
      </c>
      <c r="BA2006">
        <v>7438</v>
      </c>
      <c r="BB2006">
        <v>1432</v>
      </c>
      <c r="BC2006">
        <v>13072</v>
      </c>
      <c r="BD2006">
        <v>9486</v>
      </c>
      <c r="BE2006">
        <v>9222</v>
      </c>
      <c r="BF2006">
        <v>1768</v>
      </c>
      <c r="BG2006">
        <v>20476</v>
      </c>
      <c r="BH2006">
        <v>0</v>
      </c>
      <c r="BI2006">
        <v>0</v>
      </c>
      <c r="BJ2006">
        <v>0</v>
      </c>
      <c r="BK2006">
        <v>0</v>
      </c>
      <c r="BL2006" s="2">
        <v>24.82</v>
      </c>
      <c r="BM2006" s="2">
        <v>42005.095138888886</v>
      </c>
      <c r="BN2006" s="2">
        <v>5.4</v>
      </c>
      <c r="BO2006" s="2">
        <v>42005.092361111114</v>
      </c>
      <c r="BP2006" s="2">
        <v>6.92</v>
      </c>
      <c r="BQ2006" s="2">
        <v>42005.092361111114</v>
      </c>
      <c r="BR2006" s="2">
        <v>11.07</v>
      </c>
      <c r="BS2006" s="2">
        <v>42005.092361111114</v>
      </c>
      <c r="BT2006">
        <v>0</v>
      </c>
      <c r="BU2006">
        <v>0</v>
      </c>
      <c r="BV2006" t="s">
        <v>135</v>
      </c>
      <c r="BW2006">
        <v>0</v>
      </c>
      <c r="BX2006">
        <v>0</v>
      </c>
      <c r="BY2006" t="s">
        <v>135</v>
      </c>
      <c r="BZ2006">
        <v>0</v>
      </c>
      <c r="CA2006">
        <v>0</v>
      </c>
      <c r="CB2006" t="s">
        <v>135</v>
      </c>
      <c r="CH2006" s="2"/>
      <c r="CJ2006" s="2"/>
      <c r="CL2006" s="2"/>
      <c r="CN2006" s="2"/>
      <c r="CQ2006" s="2"/>
      <c r="CT2006" s="2"/>
      <c r="CW2006" s="2"/>
    </row>
    <row r="2007" spans="1:101" x14ac:dyDescent="0.25">
      <c r="A2007" s="1" t="s">
        <v>163</v>
      </c>
      <c r="B2007" s="75" t="s">
        <v>164</v>
      </c>
      <c r="C2007">
        <v>0</v>
      </c>
      <c r="D2007">
        <v>0</v>
      </c>
      <c r="E2007">
        <v>0</v>
      </c>
      <c r="F2007">
        <v>604324.56000000006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3.91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7490</v>
      </c>
      <c r="AW2007">
        <v>3350</v>
      </c>
      <c r="AX2007">
        <v>1219</v>
      </c>
      <c r="AY2007">
        <v>12059</v>
      </c>
      <c r="AZ2007">
        <v>4202</v>
      </c>
      <c r="BA2007">
        <v>7438</v>
      </c>
      <c r="BB2007">
        <v>1432</v>
      </c>
      <c r="BC2007">
        <v>13072</v>
      </c>
      <c r="BD2007">
        <v>9486</v>
      </c>
      <c r="BE2007">
        <v>9222</v>
      </c>
      <c r="BF2007">
        <v>1768</v>
      </c>
      <c r="BG2007">
        <v>20476</v>
      </c>
      <c r="BH2007">
        <v>0</v>
      </c>
      <c r="BI2007">
        <v>0</v>
      </c>
      <c r="BJ2007">
        <v>0</v>
      </c>
      <c r="BK2007">
        <v>0</v>
      </c>
      <c r="BL2007" s="2">
        <v>24.82</v>
      </c>
      <c r="BM2007" s="2">
        <v>42005.095138888886</v>
      </c>
      <c r="BN2007" s="2">
        <v>5.4</v>
      </c>
      <c r="BO2007" s="2">
        <v>42005.092361111114</v>
      </c>
      <c r="BP2007" s="2">
        <v>6.92</v>
      </c>
      <c r="BQ2007" s="2">
        <v>42005.092361111114</v>
      </c>
      <c r="BR2007" s="2">
        <v>11.07</v>
      </c>
      <c r="BS2007" s="2">
        <v>42005.092361111114</v>
      </c>
      <c r="BT2007">
        <v>0</v>
      </c>
      <c r="BU2007">
        <v>0</v>
      </c>
      <c r="BV2007" t="s">
        <v>135</v>
      </c>
      <c r="BW2007">
        <v>0</v>
      </c>
      <c r="BX2007">
        <v>0</v>
      </c>
      <c r="BY2007" t="s">
        <v>135</v>
      </c>
      <c r="BZ2007">
        <v>0</v>
      </c>
      <c r="CA2007">
        <v>0</v>
      </c>
      <c r="CB2007" t="s">
        <v>135</v>
      </c>
      <c r="CH2007" s="2"/>
      <c r="CJ2007" s="2"/>
      <c r="CL2007" s="2"/>
      <c r="CN2007" s="2"/>
      <c r="CQ2007" s="2"/>
      <c r="CT2007" s="2"/>
      <c r="CW2007" s="2"/>
    </row>
    <row r="2008" spans="1:101" x14ac:dyDescent="0.25">
      <c r="A2008" s="1" t="s">
        <v>163</v>
      </c>
      <c r="B2008" s="75" t="s">
        <v>164</v>
      </c>
      <c r="C2008">
        <v>0</v>
      </c>
      <c r="D2008">
        <v>0</v>
      </c>
      <c r="E2008">
        <v>0</v>
      </c>
      <c r="F2008">
        <v>604324.56000000006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3.91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7490</v>
      </c>
      <c r="AW2008">
        <v>3350</v>
      </c>
      <c r="AX2008">
        <v>1219</v>
      </c>
      <c r="AY2008">
        <v>12059</v>
      </c>
      <c r="AZ2008">
        <v>4202</v>
      </c>
      <c r="BA2008">
        <v>7438</v>
      </c>
      <c r="BB2008">
        <v>1432</v>
      </c>
      <c r="BC2008">
        <v>13072</v>
      </c>
      <c r="BD2008">
        <v>9486</v>
      </c>
      <c r="BE2008">
        <v>9222</v>
      </c>
      <c r="BF2008">
        <v>1768</v>
      </c>
      <c r="BG2008">
        <v>20476</v>
      </c>
      <c r="BH2008">
        <v>0</v>
      </c>
      <c r="BI2008">
        <v>0</v>
      </c>
      <c r="BJ2008">
        <v>0</v>
      </c>
      <c r="BK2008">
        <v>0</v>
      </c>
      <c r="BL2008" s="2">
        <v>24.82</v>
      </c>
      <c r="BM2008" s="2">
        <v>42005.095138888886</v>
      </c>
      <c r="BN2008" s="2">
        <v>5.4</v>
      </c>
      <c r="BO2008" s="2">
        <v>42005.092361111114</v>
      </c>
      <c r="BP2008" s="2">
        <v>6.92</v>
      </c>
      <c r="BQ2008" s="2">
        <v>42005.092361111114</v>
      </c>
      <c r="BR2008" s="2">
        <v>11.07</v>
      </c>
      <c r="BS2008" s="2">
        <v>42005.092361111114</v>
      </c>
      <c r="BT2008">
        <v>0</v>
      </c>
      <c r="BU2008">
        <v>0</v>
      </c>
      <c r="BV2008" t="s">
        <v>135</v>
      </c>
      <c r="BW2008">
        <v>0</v>
      </c>
      <c r="BX2008">
        <v>0</v>
      </c>
      <c r="BY2008" t="s">
        <v>135</v>
      </c>
      <c r="BZ2008">
        <v>0</v>
      </c>
      <c r="CA2008">
        <v>0</v>
      </c>
      <c r="CB2008" t="s">
        <v>135</v>
      </c>
      <c r="CH2008" s="2"/>
      <c r="CJ2008" s="2"/>
      <c r="CL2008" s="2"/>
      <c r="CN2008" s="2"/>
      <c r="CQ2008" s="2"/>
      <c r="CT2008" s="2"/>
      <c r="CW2008" s="2"/>
    </row>
    <row r="2009" spans="1:101" x14ac:dyDescent="0.25">
      <c r="A2009" s="1" t="s">
        <v>163</v>
      </c>
      <c r="B2009" s="75" t="s">
        <v>164</v>
      </c>
      <c r="C2009">
        <v>0</v>
      </c>
      <c r="D2009">
        <v>0</v>
      </c>
      <c r="E2009">
        <v>0</v>
      </c>
      <c r="F2009">
        <v>604324.56000000006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3.91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7490</v>
      </c>
      <c r="AW2009">
        <v>3350</v>
      </c>
      <c r="AX2009">
        <v>1219</v>
      </c>
      <c r="AY2009">
        <v>12059</v>
      </c>
      <c r="AZ2009">
        <v>4202</v>
      </c>
      <c r="BA2009">
        <v>7438</v>
      </c>
      <c r="BB2009">
        <v>1432</v>
      </c>
      <c r="BC2009">
        <v>13072</v>
      </c>
      <c r="BD2009">
        <v>9486</v>
      </c>
      <c r="BE2009">
        <v>9222</v>
      </c>
      <c r="BF2009">
        <v>1768</v>
      </c>
      <c r="BG2009">
        <v>20476</v>
      </c>
      <c r="BH2009">
        <v>0</v>
      </c>
      <c r="BI2009">
        <v>0</v>
      </c>
      <c r="BJ2009">
        <v>0</v>
      </c>
      <c r="BK2009">
        <v>0</v>
      </c>
      <c r="BL2009" s="2">
        <v>24.82</v>
      </c>
      <c r="BM2009" s="2">
        <v>42005.095138888886</v>
      </c>
      <c r="BN2009" s="2">
        <v>5.4</v>
      </c>
      <c r="BO2009" s="2">
        <v>42005.092361111114</v>
      </c>
      <c r="BP2009" s="2">
        <v>6.92</v>
      </c>
      <c r="BQ2009" s="2">
        <v>42005.092361111114</v>
      </c>
      <c r="BR2009" s="2">
        <v>11.07</v>
      </c>
      <c r="BS2009" s="2">
        <v>42005.092361111114</v>
      </c>
      <c r="BT2009">
        <v>0</v>
      </c>
      <c r="BU2009">
        <v>0</v>
      </c>
      <c r="BV2009" t="s">
        <v>135</v>
      </c>
      <c r="BW2009">
        <v>0</v>
      </c>
      <c r="BX2009">
        <v>0</v>
      </c>
      <c r="BY2009" t="s">
        <v>135</v>
      </c>
      <c r="BZ2009">
        <v>0</v>
      </c>
      <c r="CA2009">
        <v>0</v>
      </c>
      <c r="CB2009" t="s">
        <v>135</v>
      </c>
      <c r="CH2009" s="2"/>
      <c r="CJ2009" s="2"/>
      <c r="CL2009" s="2"/>
      <c r="CN2009" s="2"/>
      <c r="CQ2009" s="2"/>
      <c r="CT2009" s="2"/>
      <c r="CW2009" s="2"/>
    </row>
    <row r="2010" spans="1:101" x14ac:dyDescent="0.25">
      <c r="A2010" s="1" t="s">
        <v>163</v>
      </c>
      <c r="B2010" s="75" t="s">
        <v>164</v>
      </c>
      <c r="C2010">
        <v>0</v>
      </c>
      <c r="D2010">
        <v>0</v>
      </c>
      <c r="E2010">
        <v>0</v>
      </c>
      <c r="F2010">
        <v>604324.56000000006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3.91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7490</v>
      </c>
      <c r="AW2010">
        <v>3350</v>
      </c>
      <c r="AX2010">
        <v>1219</v>
      </c>
      <c r="AY2010">
        <v>12059</v>
      </c>
      <c r="AZ2010">
        <v>4202</v>
      </c>
      <c r="BA2010">
        <v>7438</v>
      </c>
      <c r="BB2010">
        <v>1432</v>
      </c>
      <c r="BC2010">
        <v>13072</v>
      </c>
      <c r="BD2010">
        <v>9486</v>
      </c>
      <c r="BE2010">
        <v>9222</v>
      </c>
      <c r="BF2010">
        <v>1768</v>
      </c>
      <c r="BG2010">
        <v>20476</v>
      </c>
      <c r="BH2010">
        <v>0</v>
      </c>
      <c r="BI2010">
        <v>0</v>
      </c>
      <c r="BJ2010">
        <v>0</v>
      </c>
      <c r="BK2010">
        <v>0</v>
      </c>
      <c r="BL2010" s="2">
        <v>24.82</v>
      </c>
      <c r="BM2010" s="2">
        <v>42005.095138888886</v>
      </c>
      <c r="BN2010" s="2">
        <v>5.4</v>
      </c>
      <c r="BO2010" s="2">
        <v>42005.092361111114</v>
      </c>
      <c r="BP2010" s="2">
        <v>6.92</v>
      </c>
      <c r="BQ2010" s="2">
        <v>42005.092361111114</v>
      </c>
      <c r="BR2010" s="2">
        <v>11.07</v>
      </c>
      <c r="BS2010" s="2">
        <v>42005.092361111114</v>
      </c>
      <c r="BT2010">
        <v>0</v>
      </c>
      <c r="BU2010">
        <v>0</v>
      </c>
      <c r="BV2010" t="s">
        <v>135</v>
      </c>
      <c r="BW2010">
        <v>0</v>
      </c>
      <c r="BX2010">
        <v>0</v>
      </c>
      <c r="BY2010" t="s">
        <v>135</v>
      </c>
      <c r="BZ2010">
        <v>0</v>
      </c>
      <c r="CA2010">
        <v>0</v>
      </c>
      <c r="CB2010" t="s">
        <v>135</v>
      </c>
      <c r="CH2010" s="2"/>
      <c r="CJ2010" s="2"/>
      <c r="CL2010" s="2"/>
      <c r="CN2010" s="2"/>
      <c r="CQ2010" s="2"/>
      <c r="CT2010" s="2"/>
      <c r="CW2010" s="2"/>
    </row>
    <row r="2011" spans="1:101" x14ac:dyDescent="0.25">
      <c r="A2011" s="1" t="s">
        <v>163</v>
      </c>
      <c r="B2011" s="75" t="s">
        <v>164</v>
      </c>
      <c r="C2011">
        <v>0</v>
      </c>
      <c r="D2011">
        <v>0</v>
      </c>
      <c r="E2011">
        <v>0</v>
      </c>
      <c r="F2011">
        <v>604324.56000000006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3.91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7490</v>
      </c>
      <c r="AW2011">
        <v>3350</v>
      </c>
      <c r="AX2011">
        <v>1219</v>
      </c>
      <c r="AY2011">
        <v>12059</v>
      </c>
      <c r="AZ2011">
        <v>4202</v>
      </c>
      <c r="BA2011">
        <v>7438</v>
      </c>
      <c r="BB2011">
        <v>1432</v>
      </c>
      <c r="BC2011">
        <v>13072</v>
      </c>
      <c r="BD2011">
        <v>9486</v>
      </c>
      <c r="BE2011">
        <v>9222</v>
      </c>
      <c r="BF2011">
        <v>1768</v>
      </c>
      <c r="BG2011">
        <v>20476</v>
      </c>
      <c r="BH2011">
        <v>0</v>
      </c>
      <c r="BI2011">
        <v>0</v>
      </c>
      <c r="BJ2011">
        <v>0</v>
      </c>
      <c r="BK2011">
        <v>0</v>
      </c>
      <c r="BL2011" s="2">
        <v>24.82</v>
      </c>
      <c r="BM2011" s="2">
        <v>42005.095138888886</v>
      </c>
      <c r="BN2011" s="2">
        <v>5.4</v>
      </c>
      <c r="BO2011" s="2">
        <v>42005.092361111114</v>
      </c>
      <c r="BP2011" s="2">
        <v>6.92</v>
      </c>
      <c r="BQ2011" s="2">
        <v>42005.092361111114</v>
      </c>
      <c r="BR2011" s="2">
        <v>11.07</v>
      </c>
      <c r="BS2011" s="2">
        <v>42005.092361111114</v>
      </c>
      <c r="BT2011">
        <v>0</v>
      </c>
      <c r="BU2011">
        <v>0</v>
      </c>
      <c r="BV2011" t="s">
        <v>135</v>
      </c>
      <c r="BW2011">
        <v>0</v>
      </c>
      <c r="BX2011">
        <v>0</v>
      </c>
      <c r="BY2011" t="s">
        <v>135</v>
      </c>
      <c r="BZ2011">
        <v>0</v>
      </c>
      <c r="CA2011">
        <v>0</v>
      </c>
      <c r="CB2011" t="s">
        <v>135</v>
      </c>
      <c r="CH2011" s="2"/>
      <c r="CJ2011" s="2"/>
      <c r="CL2011" s="2"/>
      <c r="CN2011" s="2"/>
      <c r="CQ2011" s="2"/>
      <c r="CT2011" s="2"/>
      <c r="CW2011" s="2"/>
    </row>
    <row r="2012" spans="1:101" x14ac:dyDescent="0.25">
      <c r="A2012" s="1" t="s">
        <v>163</v>
      </c>
      <c r="B2012" s="75" t="s">
        <v>164</v>
      </c>
      <c r="C2012">
        <v>0</v>
      </c>
      <c r="D2012">
        <v>0</v>
      </c>
      <c r="E2012">
        <v>0</v>
      </c>
      <c r="F2012">
        <v>604324.56000000006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3.91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7490</v>
      </c>
      <c r="AW2012">
        <v>3350</v>
      </c>
      <c r="AX2012">
        <v>1219</v>
      </c>
      <c r="AY2012">
        <v>12059</v>
      </c>
      <c r="AZ2012">
        <v>4202</v>
      </c>
      <c r="BA2012">
        <v>7438</v>
      </c>
      <c r="BB2012">
        <v>1432</v>
      </c>
      <c r="BC2012">
        <v>13072</v>
      </c>
      <c r="BD2012">
        <v>9486</v>
      </c>
      <c r="BE2012">
        <v>9222</v>
      </c>
      <c r="BF2012">
        <v>1768</v>
      </c>
      <c r="BG2012">
        <v>20476</v>
      </c>
      <c r="BH2012">
        <v>0</v>
      </c>
      <c r="BI2012">
        <v>0</v>
      </c>
      <c r="BJ2012">
        <v>0</v>
      </c>
      <c r="BK2012">
        <v>0</v>
      </c>
      <c r="BL2012" s="2">
        <v>24.82</v>
      </c>
      <c r="BM2012" s="2">
        <v>42005.095138888886</v>
      </c>
      <c r="BN2012" s="2">
        <v>5.4</v>
      </c>
      <c r="BO2012" s="2">
        <v>42005.092361111114</v>
      </c>
      <c r="BP2012" s="2">
        <v>6.92</v>
      </c>
      <c r="BQ2012" s="2">
        <v>42005.092361111114</v>
      </c>
      <c r="BR2012" s="2">
        <v>11.07</v>
      </c>
      <c r="BS2012" s="2">
        <v>42005.092361111114</v>
      </c>
      <c r="BT2012">
        <v>0</v>
      </c>
      <c r="BU2012">
        <v>0</v>
      </c>
      <c r="BV2012" t="s">
        <v>135</v>
      </c>
      <c r="BW2012">
        <v>0</v>
      </c>
      <c r="BX2012">
        <v>0</v>
      </c>
      <c r="BY2012" t="s">
        <v>135</v>
      </c>
      <c r="BZ2012">
        <v>0</v>
      </c>
      <c r="CA2012">
        <v>0</v>
      </c>
      <c r="CB2012" t="s">
        <v>135</v>
      </c>
      <c r="CH2012" s="2"/>
      <c r="CJ2012" s="2"/>
      <c r="CL2012" s="2"/>
      <c r="CN2012" s="2"/>
      <c r="CQ2012" s="2"/>
      <c r="CT2012" s="2"/>
      <c r="CW2012" s="2"/>
    </row>
    <row r="2013" spans="1:101" x14ac:dyDescent="0.25">
      <c r="A2013" s="1" t="s">
        <v>163</v>
      </c>
      <c r="B2013" s="75" t="s">
        <v>164</v>
      </c>
      <c r="C2013">
        <v>0</v>
      </c>
      <c r="D2013">
        <v>0</v>
      </c>
      <c r="E2013">
        <v>0</v>
      </c>
      <c r="F2013">
        <v>604324.56000000006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3.91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7490</v>
      </c>
      <c r="AW2013">
        <v>3350</v>
      </c>
      <c r="AX2013">
        <v>1219</v>
      </c>
      <c r="AY2013">
        <v>12059</v>
      </c>
      <c r="AZ2013">
        <v>4202</v>
      </c>
      <c r="BA2013">
        <v>7438</v>
      </c>
      <c r="BB2013">
        <v>1432</v>
      </c>
      <c r="BC2013">
        <v>13072</v>
      </c>
      <c r="BD2013">
        <v>9486</v>
      </c>
      <c r="BE2013">
        <v>9222</v>
      </c>
      <c r="BF2013">
        <v>1768</v>
      </c>
      <c r="BG2013">
        <v>20476</v>
      </c>
      <c r="BH2013">
        <v>0</v>
      </c>
      <c r="BI2013">
        <v>0</v>
      </c>
      <c r="BJ2013">
        <v>0</v>
      </c>
      <c r="BK2013">
        <v>0</v>
      </c>
      <c r="BL2013" s="2">
        <v>24.82</v>
      </c>
      <c r="BM2013" s="2">
        <v>42005.095138888886</v>
      </c>
      <c r="BN2013" s="2">
        <v>5.4</v>
      </c>
      <c r="BO2013" s="2">
        <v>42005.092361111114</v>
      </c>
      <c r="BP2013" s="2">
        <v>6.92</v>
      </c>
      <c r="BQ2013" s="2">
        <v>42005.092361111114</v>
      </c>
      <c r="BR2013" s="2">
        <v>11.07</v>
      </c>
      <c r="BS2013" s="2">
        <v>42005.092361111114</v>
      </c>
      <c r="BT2013">
        <v>0</v>
      </c>
      <c r="BU2013">
        <v>0</v>
      </c>
      <c r="BV2013" t="s">
        <v>135</v>
      </c>
      <c r="BW2013">
        <v>0</v>
      </c>
      <c r="BX2013">
        <v>0</v>
      </c>
      <c r="BY2013" t="s">
        <v>135</v>
      </c>
      <c r="BZ2013">
        <v>0</v>
      </c>
      <c r="CA2013">
        <v>0</v>
      </c>
      <c r="CB2013" t="s">
        <v>135</v>
      </c>
      <c r="CH2013" s="2"/>
      <c r="CJ2013" s="2"/>
      <c r="CL2013" s="2"/>
      <c r="CN2013" s="2"/>
      <c r="CQ2013" s="2"/>
      <c r="CT2013" s="2"/>
      <c r="CW2013" s="2"/>
    </row>
    <row r="2014" spans="1:101" x14ac:dyDescent="0.25">
      <c r="A2014" s="1" t="s">
        <v>163</v>
      </c>
      <c r="B2014" s="75" t="s">
        <v>164</v>
      </c>
      <c r="C2014">
        <v>0</v>
      </c>
      <c r="D2014">
        <v>0</v>
      </c>
      <c r="E2014">
        <v>0</v>
      </c>
      <c r="F2014">
        <v>604324.56000000006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3.91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7490</v>
      </c>
      <c r="AW2014">
        <v>3350</v>
      </c>
      <c r="AX2014">
        <v>1219</v>
      </c>
      <c r="AY2014">
        <v>12059</v>
      </c>
      <c r="AZ2014">
        <v>4202</v>
      </c>
      <c r="BA2014">
        <v>7438</v>
      </c>
      <c r="BB2014">
        <v>1432</v>
      </c>
      <c r="BC2014">
        <v>13072</v>
      </c>
      <c r="BD2014">
        <v>9486</v>
      </c>
      <c r="BE2014">
        <v>9222</v>
      </c>
      <c r="BF2014">
        <v>1768</v>
      </c>
      <c r="BG2014">
        <v>20476</v>
      </c>
      <c r="BH2014">
        <v>0</v>
      </c>
      <c r="BI2014">
        <v>0</v>
      </c>
      <c r="BJ2014">
        <v>0</v>
      </c>
      <c r="BK2014">
        <v>0</v>
      </c>
      <c r="BL2014" s="2">
        <v>24.82</v>
      </c>
      <c r="BM2014" s="2">
        <v>42005.095138888886</v>
      </c>
      <c r="BN2014" s="2">
        <v>5.4</v>
      </c>
      <c r="BO2014" s="2">
        <v>42005.092361111114</v>
      </c>
      <c r="BP2014" s="2">
        <v>6.92</v>
      </c>
      <c r="BQ2014" s="2">
        <v>42005.092361111114</v>
      </c>
      <c r="BR2014" s="2">
        <v>11.07</v>
      </c>
      <c r="BS2014" s="2">
        <v>42005.092361111114</v>
      </c>
      <c r="BT2014">
        <v>0</v>
      </c>
      <c r="BU2014">
        <v>0</v>
      </c>
      <c r="BV2014" t="s">
        <v>135</v>
      </c>
      <c r="BW2014">
        <v>0</v>
      </c>
      <c r="BX2014">
        <v>0</v>
      </c>
      <c r="BY2014" t="s">
        <v>135</v>
      </c>
      <c r="BZ2014">
        <v>0</v>
      </c>
      <c r="CA2014">
        <v>0</v>
      </c>
      <c r="CB2014" t="s">
        <v>135</v>
      </c>
      <c r="CH2014" s="2"/>
      <c r="CJ2014" s="2"/>
      <c r="CL2014" s="2"/>
      <c r="CN2014" s="2"/>
      <c r="CQ2014" s="2"/>
      <c r="CT2014" s="2"/>
      <c r="CW2014" s="2"/>
    </row>
    <row r="2015" spans="1:101" x14ac:dyDescent="0.25">
      <c r="A2015" s="1" t="s">
        <v>163</v>
      </c>
      <c r="B2015" s="75" t="s">
        <v>164</v>
      </c>
      <c r="C2015">
        <v>0</v>
      </c>
      <c r="D2015">
        <v>0</v>
      </c>
      <c r="E2015">
        <v>0</v>
      </c>
      <c r="F2015">
        <v>604324.56000000006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3.91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7490</v>
      </c>
      <c r="AW2015">
        <v>3350</v>
      </c>
      <c r="AX2015">
        <v>1219</v>
      </c>
      <c r="AY2015">
        <v>12059</v>
      </c>
      <c r="AZ2015">
        <v>4202</v>
      </c>
      <c r="BA2015">
        <v>7438</v>
      </c>
      <c r="BB2015">
        <v>1432</v>
      </c>
      <c r="BC2015">
        <v>13072</v>
      </c>
      <c r="BD2015">
        <v>9486</v>
      </c>
      <c r="BE2015">
        <v>9222</v>
      </c>
      <c r="BF2015">
        <v>1768</v>
      </c>
      <c r="BG2015">
        <v>20476</v>
      </c>
      <c r="BH2015">
        <v>0</v>
      </c>
      <c r="BI2015">
        <v>0</v>
      </c>
      <c r="BJ2015">
        <v>0</v>
      </c>
      <c r="BK2015">
        <v>0</v>
      </c>
      <c r="BL2015" s="2">
        <v>24.82</v>
      </c>
      <c r="BM2015" s="2">
        <v>42005.095138888886</v>
      </c>
      <c r="BN2015" s="2">
        <v>5.4</v>
      </c>
      <c r="BO2015" s="2">
        <v>42005.092361111114</v>
      </c>
      <c r="BP2015" s="2">
        <v>6.92</v>
      </c>
      <c r="BQ2015" s="2">
        <v>42005.092361111114</v>
      </c>
      <c r="BR2015" s="2">
        <v>11.07</v>
      </c>
      <c r="BS2015" s="2">
        <v>42005.092361111114</v>
      </c>
      <c r="BT2015">
        <v>0</v>
      </c>
      <c r="BU2015">
        <v>0</v>
      </c>
      <c r="BV2015" t="s">
        <v>135</v>
      </c>
      <c r="BW2015">
        <v>0</v>
      </c>
      <c r="BX2015">
        <v>0</v>
      </c>
      <c r="BY2015" t="s">
        <v>135</v>
      </c>
      <c r="BZ2015">
        <v>0</v>
      </c>
      <c r="CA2015">
        <v>0</v>
      </c>
      <c r="CB2015" t="s">
        <v>135</v>
      </c>
      <c r="CH2015" s="2"/>
      <c r="CJ2015" s="2"/>
      <c r="CL2015" s="2"/>
      <c r="CN2015" s="2"/>
      <c r="CQ2015" s="2"/>
      <c r="CT2015" s="2"/>
      <c r="CW2015" s="2"/>
    </row>
    <row r="2016" spans="1:101" x14ac:dyDescent="0.25">
      <c r="A2016" s="1" t="s">
        <v>163</v>
      </c>
      <c r="B2016" s="75" t="s">
        <v>164</v>
      </c>
      <c r="C2016">
        <v>0</v>
      </c>
      <c r="D2016">
        <v>0</v>
      </c>
      <c r="E2016">
        <v>0</v>
      </c>
      <c r="F2016">
        <v>604324.56000000006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3.91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7490</v>
      </c>
      <c r="AW2016">
        <v>3350</v>
      </c>
      <c r="AX2016">
        <v>1219</v>
      </c>
      <c r="AY2016">
        <v>12059</v>
      </c>
      <c r="AZ2016">
        <v>4202</v>
      </c>
      <c r="BA2016">
        <v>7438</v>
      </c>
      <c r="BB2016">
        <v>1432</v>
      </c>
      <c r="BC2016">
        <v>13072</v>
      </c>
      <c r="BD2016">
        <v>9486</v>
      </c>
      <c r="BE2016">
        <v>9222</v>
      </c>
      <c r="BF2016">
        <v>1768</v>
      </c>
      <c r="BG2016">
        <v>20476</v>
      </c>
      <c r="BH2016">
        <v>0</v>
      </c>
      <c r="BI2016">
        <v>0</v>
      </c>
      <c r="BJ2016">
        <v>0</v>
      </c>
      <c r="BK2016">
        <v>0</v>
      </c>
      <c r="BL2016" s="2">
        <v>24.82</v>
      </c>
      <c r="BM2016" s="2">
        <v>42005.095138888886</v>
      </c>
      <c r="BN2016" s="2">
        <v>5.4</v>
      </c>
      <c r="BO2016" s="2">
        <v>42005.092361111114</v>
      </c>
      <c r="BP2016" s="2">
        <v>6.92</v>
      </c>
      <c r="BQ2016" s="2">
        <v>42005.092361111114</v>
      </c>
      <c r="BR2016" s="2">
        <v>11.07</v>
      </c>
      <c r="BS2016" s="2">
        <v>42005.092361111114</v>
      </c>
      <c r="BT2016">
        <v>0</v>
      </c>
      <c r="BU2016">
        <v>0</v>
      </c>
      <c r="BV2016" t="s">
        <v>135</v>
      </c>
      <c r="BW2016">
        <v>0</v>
      </c>
      <c r="BX2016">
        <v>0</v>
      </c>
      <c r="BY2016" t="s">
        <v>135</v>
      </c>
      <c r="BZ2016">
        <v>0</v>
      </c>
      <c r="CA2016">
        <v>0</v>
      </c>
      <c r="CB2016" t="s">
        <v>135</v>
      </c>
      <c r="CH2016" s="2"/>
      <c r="CJ2016" s="2"/>
      <c r="CL2016" s="2"/>
      <c r="CN2016" s="2"/>
      <c r="CQ2016" s="2"/>
      <c r="CT2016" s="2"/>
      <c r="CW2016" s="2"/>
    </row>
    <row r="2017" spans="1:101" x14ac:dyDescent="0.25">
      <c r="A2017" s="1" t="s">
        <v>163</v>
      </c>
      <c r="B2017" s="75" t="s">
        <v>164</v>
      </c>
      <c r="C2017">
        <v>0</v>
      </c>
      <c r="D2017">
        <v>0</v>
      </c>
      <c r="E2017">
        <v>0</v>
      </c>
      <c r="F2017">
        <v>604324.56000000006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3.91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7490</v>
      </c>
      <c r="AW2017">
        <v>3350</v>
      </c>
      <c r="AX2017">
        <v>1219</v>
      </c>
      <c r="AY2017">
        <v>12059</v>
      </c>
      <c r="AZ2017">
        <v>4202</v>
      </c>
      <c r="BA2017">
        <v>7438</v>
      </c>
      <c r="BB2017">
        <v>1432</v>
      </c>
      <c r="BC2017">
        <v>13072</v>
      </c>
      <c r="BD2017">
        <v>9486</v>
      </c>
      <c r="BE2017">
        <v>9222</v>
      </c>
      <c r="BF2017">
        <v>1768</v>
      </c>
      <c r="BG2017">
        <v>20476</v>
      </c>
      <c r="BH2017">
        <v>0</v>
      </c>
      <c r="BI2017">
        <v>0</v>
      </c>
      <c r="BJ2017">
        <v>0</v>
      </c>
      <c r="BK2017">
        <v>0</v>
      </c>
      <c r="BL2017" s="2">
        <v>24.82</v>
      </c>
      <c r="BM2017" s="2">
        <v>42005.095138888886</v>
      </c>
      <c r="BN2017" s="2">
        <v>5.4</v>
      </c>
      <c r="BO2017" s="2">
        <v>42005.092361111114</v>
      </c>
      <c r="BP2017" s="2">
        <v>6.92</v>
      </c>
      <c r="BQ2017" s="2">
        <v>42005.092361111114</v>
      </c>
      <c r="BR2017" s="2">
        <v>11.07</v>
      </c>
      <c r="BS2017" s="2">
        <v>42005.092361111114</v>
      </c>
      <c r="BT2017">
        <v>0</v>
      </c>
      <c r="BU2017">
        <v>0</v>
      </c>
      <c r="BV2017" t="s">
        <v>135</v>
      </c>
      <c r="BW2017">
        <v>0</v>
      </c>
      <c r="BX2017">
        <v>0</v>
      </c>
      <c r="BY2017" t="s">
        <v>135</v>
      </c>
      <c r="BZ2017">
        <v>0</v>
      </c>
      <c r="CA2017">
        <v>0</v>
      </c>
      <c r="CB2017" t="s">
        <v>135</v>
      </c>
      <c r="CH2017" s="2"/>
      <c r="CJ2017" s="2"/>
      <c r="CL2017" s="2"/>
      <c r="CN2017" s="2"/>
      <c r="CQ2017" s="2"/>
      <c r="CT2017" s="2"/>
      <c r="CW2017" s="2"/>
    </row>
    <row r="2018" spans="1:101" x14ac:dyDescent="0.25">
      <c r="A2018" s="1" t="s">
        <v>163</v>
      </c>
      <c r="B2018" s="75" t="s">
        <v>164</v>
      </c>
      <c r="C2018">
        <v>0</v>
      </c>
      <c r="D2018">
        <v>0</v>
      </c>
      <c r="E2018">
        <v>0</v>
      </c>
      <c r="F2018">
        <v>604324.56000000006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3.91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7490</v>
      </c>
      <c r="AW2018">
        <v>3350</v>
      </c>
      <c r="AX2018">
        <v>1219</v>
      </c>
      <c r="AY2018">
        <v>12059</v>
      </c>
      <c r="AZ2018">
        <v>4202</v>
      </c>
      <c r="BA2018">
        <v>7438</v>
      </c>
      <c r="BB2018">
        <v>1432</v>
      </c>
      <c r="BC2018">
        <v>13072</v>
      </c>
      <c r="BD2018">
        <v>9486</v>
      </c>
      <c r="BE2018">
        <v>9222</v>
      </c>
      <c r="BF2018">
        <v>1768</v>
      </c>
      <c r="BG2018">
        <v>20476</v>
      </c>
      <c r="BH2018">
        <v>0</v>
      </c>
      <c r="BI2018">
        <v>0</v>
      </c>
      <c r="BJ2018">
        <v>0</v>
      </c>
      <c r="BK2018">
        <v>0</v>
      </c>
      <c r="BL2018" s="2">
        <v>24.82</v>
      </c>
      <c r="BM2018" s="2">
        <v>42005.095138888886</v>
      </c>
      <c r="BN2018" s="2">
        <v>5.4</v>
      </c>
      <c r="BO2018" s="2">
        <v>42005.092361111114</v>
      </c>
      <c r="BP2018" s="2">
        <v>6.92</v>
      </c>
      <c r="BQ2018" s="2">
        <v>42005.092361111114</v>
      </c>
      <c r="BR2018" s="2">
        <v>11.07</v>
      </c>
      <c r="BS2018" s="2">
        <v>42005.092361111114</v>
      </c>
      <c r="BT2018">
        <v>0</v>
      </c>
      <c r="BU2018">
        <v>0</v>
      </c>
      <c r="BV2018" t="s">
        <v>135</v>
      </c>
      <c r="BW2018">
        <v>0</v>
      </c>
      <c r="BX2018">
        <v>0</v>
      </c>
      <c r="BY2018" t="s">
        <v>135</v>
      </c>
      <c r="BZ2018">
        <v>0</v>
      </c>
      <c r="CA2018">
        <v>0</v>
      </c>
      <c r="CB2018" t="s">
        <v>135</v>
      </c>
      <c r="CH2018" s="2"/>
      <c r="CJ2018" s="2"/>
      <c r="CL2018" s="2"/>
      <c r="CN2018" s="2"/>
      <c r="CQ2018" s="2"/>
      <c r="CT2018" s="2"/>
      <c r="CW2018" s="2"/>
    </row>
    <row r="2019" spans="1:101" x14ac:dyDescent="0.25">
      <c r="A2019" s="1" t="s">
        <v>163</v>
      </c>
      <c r="B2019" s="75" t="s">
        <v>164</v>
      </c>
      <c r="C2019">
        <v>0</v>
      </c>
      <c r="D2019">
        <v>0</v>
      </c>
      <c r="E2019">
        <v>0</v>
      </c>
      <c r="F2019">
        <v>604324.56000000006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3.91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7490</v>
      </c>
      <c r="AW2019">
        <v>3350</v>
      </c>
      <c r="AX2019">
        <v>1219</v>
      </c>
      <c r="AY2019">
        <v>12059</v>
      </c>
      <c r="AZ2019">
        <v>4202</v>
      </c>
      <c r="BA2019">
        <v>7438</v>
      </c>
      <c r="BB2019">
        <v>1432</v>
      </c>
      <c r="BC2019">
        <v>13072</v>
      </c>
      <c r="BD2019">
        <v>9486</v>
      </c>
      <c r="BE2019">
        <v>9222</v>
      </c>
      <c r="BF2019">
        <v>1768</v>
      </c>
      <c r="BG2019">
        <v>20476</v>
      </c>
      <c r="BH2019">
        <v>0</v>
      </c>
      <c r="BI2019">
        <v>0</v>
      </c>
      <c r="BJ2019">
        <v>0</v>
      </c>
      <c r="BK2019">
        <v>0</v>
      </c>
      <c r="BL2019" s="2">
        <v>24.82</v>
      </c>
      <c r="BM2019" s="2">
        <v>42005.095138888886</v>
      </c>
      <c r="BN2019" s="2">
        <v>5.4</v>
      </c>
      <c r="BO2019" s="2">
        <v>42005.092361111114</v>
      </c>
      <c r="BP2019" s="2">
        <v>6.92</v>
      </c>
      <c r="BQ2019" s="2">
        <v>42005.092361111114</v>
      </c>
      <c r="BR2019" s="2">
        <v>11.07</v>
      </c>
      <c r="BS2019" s="2">
        <v>42005.092361111114</v>
      </c>
      <c r="BT2019">
        <v>0</v>
      </c>
      <c r="BU2019">
        <v>0</v>
      </c>
      <c r="BV2019" t="s">
        <v>135</v>
      </c>
      <c r="BW2019">
        <v>0</v>
      </c>
      <c r="BX2019">
        <v>0</v>
      </c>
      <c r="BY2019" t="s">
        <v>135</v>
      </c>
      <c r="BZ2019">
        <v>0</v>
      </c>
      <c r="CA2019">
        <v>0</v>
      </c>
      <c r="CB2019" t="s">
        <v>135</v>
      </c>
      <c r="CH2019" s="2"/>
      <c r="CJ2019" s="2"/>
      <c r="CL2019" s="2"/>
      <c r="CN2019" s="2"/>
      <c r="CQ2019" s="2"/>
      <c r="CT2019" s="2"/>
      <c r="CW2019" s="2"/>
    </row>
    <row r="2020" spans="1:101" x14ac:dyDescent="0.25">
      <c r="A2020" s="1" t="s">
        <v>163</v>
      </c>
      <c r="B2020" s="75" t="s">
        <v>164</v>
      </c>
      <c r="C2020">
        <v>0</v>
      </c>
      <c r="D2020">
        <v>0</v>
      </c>
      <c r="E2020">
        <v>0</v>
      </c>
      <c r="F2020">
        <v>604324.56000000006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3.91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7490</v>
      </c>
      <c r="AW2020">
        <v>3350</v>
      </c>
      <c r="AX2020">
        <v>1219</v>
      </c>
      <c r="AY2020">
        <v>12059</v>
      </c>
      <c r="AZ2020">
        <v>4202</v>
      </c>
      <c r="BA2020">
        <v>7438</v>
      </c>
      <c r="BB2020">
        <v>1432</v>
      </c>
      <c r="BC2020">
        <v>13072</v>
      </c>
      <c r="BD2020">
        <v>9486</v>
      </c>
      <c r="BE2020">
        <v>9222</v>
      </c>
      <c r="BF2020">
        <v>1768</v>
      </c>
      <c r="BG2020">
        <v>20476</v>
      </c>
      <c r="BH2020">
        <v>0</v>
      </c>
      <c r="BI2020">
        <v>0</v>
      </c>
      <c r="BJ2020">
        <v>0</v>
      </c>
      <c r="BK2020">
        <v>0</v>
      </c>
      <c r="BL2020" s="2">
        <v>24.82</v>
      </c>
      <c r="BM2020" s="2">
        <v>42005.095138888886</v>
      </c>
      <c r="BN2020" s="2">
        <v>5.4</v>
      </c>
      <c r="BO2020" s="2">
        <v>42005.092361111114</v>
      </c>
      <c r="BP2020" s="2">
        <v>6.92</v>
      </c>
      <c r="BQ2020" s="2">
        <v>42005.092361111114</v>
      </c>
      <c r="BR2020" s="2">
        <v>11.07</v>
      </c>
      <c r="BS2020" s="2">
        <v>42005.092361111114</v>
      </c>
      <c r="BT2020">
        <v>0</v>
      </c>
      <c r="BU2020">
        <v>0</v>
      </c>
      <c r="BV2020" t="s">
        <v>135</v>
      </c>
      <c r="BW2020">
        <v>0</v>
      </c>
      <c r="BX2020">
        <v>0</v>
      </c>
      <c r="BY2020" t="s">
        <v>135</v>
      </c>
      <c r="BZ2020">
        <v>0</v>
      </c>
      <c r="CA2020">
        <v>0</v>
      </c>
      <c r="CB2020" t="s">
        <v>135</v>
      </c>
      <c r="CH2020" s="2"/>
      <c r="CJ2020" s="2"/>
      <c r="CL2020" s="2"/>
      <c r="CN2020" s="2"/>
      <c r="CQ2020" s="2"/>
      <c r="CT2020" s="2"/>
      <c r="CW2020" s="2"/>
    </row>
    <row r="2021" spans="1:101" x14ac:dyDescent="0.25">
      <c r="A2021" s="1" t="s">
        <v>163</v>
      </c>
      <c r="B2021" s="75" t="s">
        <v>164</v>
      </c>
      <c r="C2021">
        <v>0</v>
      </c>
      <c r="D2021">
        <v>0</v>
      </c>
      <c r="E2021">
        <v>0</v>
      </c>
      <c r="F2021">
        <v>604324.56000000006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3.91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7490</v>
      </c>
      <c r="AW2021">
        <v>3350</v>
      </c>
      <c r="AX2021">
        <v>1219</v>
      </c>
      <c r="AY2021">
        <v>12059</v>
      </c>
      <c r="AZ2021">
        <v>4202</v>
      </c>
      <c r="BA2021">
        <v>7438</v>
      </c>
      <c r="BB2021">
        <v>1432</v>
      </c>
      <c r="BC2021">
        <v>13072</v>
      </c>
      <c r="BD2021">
        <v>9486</v>
      </c>
      <c r="BE2021">
        <v>9222</v>
      </c>
      <c r="BF2021">
        <v>1768</v>
      </c>
      <c r="BG2021">
        <v>20476</v>
      </c>
      <c r="BH2021">
        <v>0</v>
      </c>
      <c r="BI2021">
        <v>0</v>
      </c>
      <c r="BJ2021">
        <v>0</v>
      </c>
      <c r="BK2021">
        <v>0</v>
      </c>
      <c r="BL2021" s="2">
        <v>24.82</v>
      </c>
      <c r="BM2021" s="2">
        <v>42005.095138888886</v>
      </c>
      <c r="BN2021" s="2">
        <v>5.4</v>
      </c>
      <c r="BO2021" s="2">
        <v>42005.092361111114</v>
      </c>
      <c r="BP2021" s="2">
        <v>6.92</v>
      </c>
      <c r="BQ2021" s="2">
        <v>42005.092361111114</v>
      </c>
      <c r="BR2021" s="2">
        <v>11.07</v>
      </c>
      <c r="BS2021" s="2">
        <v>42005.092361111114</v>
      </c>
      <c r="BT2021">
        <v>0</v>
      </c>
      <c r="BU2021">
        <v>0</v>
      </c>
      <c r="BV2021" t="s">
        <v>135</v>
      </c>
      <c r="BW2021">
        <v>0</v>
      </c>
      <c r="BX2021">
        <v>0</v>
      </c>
      <c r="BY2021" t="s">
        <v>135</v>
      </c>
      <c r="BZ2021">
        <v>0</v>
      </c>
      <c r="CA2021">
        <v>0</v>
      </c>
      <c r="CB2021" t="s">
        <v>135</v>
      </c>
      <c r="CH2021" s="2"/>
      <c r="CJ2021" s="2"/>
      <c r="CL2021" s="2"/>
      <c r="CN2021" s="2"/>
      <c r="CQ2021" s="2"/>
      <c r="CT2021" s="2"/>
      <c r="CW2021" s="2"/>
    </row>
    <row r="2022" spans="1:101" x14ac:dyDescent="0.25">
      <c r="A2022" s="1" t="s">
        <v>163</v>
      </c>
      <c r="B2022" s="75" t="s">
        <v>164</v>
      </c>
      <c r="C2022">
        <v>0</v>
      </c>
      <c r="D2022">
        <v>0</v>
      </c>
      <c r="E2022">
        <v>0</v>
      </c>
      <c r="F2022">
        <v>604324.56000000006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3.91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7490</v>
      </c>
      <c r="AW2022">
        <v>3350</v>
      </c>
      <c r="AX2022">
        <v>1219</v>
      </c>
      <c r="AY2022">
        <v>12059</v>
      </c>
      <c r="AZ2022">
        <v>4202</v>
      </c>
      <c r="BA2022">
        <v>7438</v>
      </c>
      <c r="BB2022">
        <v>1432</v>
      </c>
      <c r="BC2022">
        <v>13072</v>
      </c>
      <c r="BD2022">
        <v>9486</v>
      </c>
      <c r="BE2022">
        <v>9222</v>
      </c>
      <c r="BF2022">
        <v>1768</v>
      </c>
      <c r="BG2022">
        <v>20476</v>
      </c>
      <c r="BH2022">
        <v>0</v>
      </c>
      <c r="BI2022">
        <v>0</v>
      </c>
      <c r="BJ2022">
        <v>0</v>
      </c>
      <c r="BK2022">
        <v>0</v>
      </c>
      <c r="BL2022" s="2">
        <v>24.82</v>
      </c>
      <c r="BM2022" s="2">
        <v>42005.095138888886</v>
      </c>
      <c r="BN2022" s="2">
        <v>5.4</v>
      </c>
      <c r="BO2022" s="2">
        <v>42005.092361111114</v>
      </c>
      <c r="BP2022" s="2">
        <v>6.92</v>
      </c>
      <c r="BQ2022" s="2">
        <v>42005.092361111114</v>
      </c>
      <c r="BR2022" s="2">
        <v>11.07</v>
      </c>
      <c r="BS2022" s="2">
        <v>42005.092361111114</v>
      </c>
      <c r="BT2022">
        <v>0</v>
      </c>
      <c r="BU2022">
        <v>0</v>
      </c>
      <c r="BV2022" t="s">
        <v>135</v>
      </c>
      <c r="BW2022">
        <v>0</v>
      </c>
      <c r="BX2022">
        <v>0</v>
      </c>
      <c r="BY2022" t="s">
        <v>135</v>
      </c>
      <c r="BZ2022">
        <v>0</v>
      </c>
      <c r="CA2022">
        <v>0</v>
      </c>
      <c r="CB2022" t="s">
        <v>135</v>
      </c>
      <c r="CH2022" s="2"/>
      <c r="CJ2022" s="2"/>
      <c r="CL2022" s="2"/>
      <c r="CN2022" s="2"/>
      <c r="CQ2022" s="2"/>
      <c r="CT2022" s="2"/>
      <c r="CW2022" s="2"/>
    </row>
    <row r="2023" spans="1:101" x14ac:dyDescent="0.25">
      <c r="A2023" s="1" t="s">
        <v>163</v>
      </c>
      <c r="B2023" s="75" t="s">
        <v>164</v>
      </c>
      <c r="C2023">
        <v>0</v>
      </c>
      <c r="D2023">
        <v>0</v>
      </c>
      <c r="E2023">
        <v>0</v>
      </c>
      <c r="F2023">
        <v>604324.56000000006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3.91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7490</v>
      </c>
      <c r="AW2023">
        <v>3350</v>
      </c>
      <c r="AX2023">
        <v>1219</v>
      </c>
      <c r="AY2023">
        <v>12059</v>
      </c>
      <c r="AZ2023">
        <v>4202</v>
      </c>
      <c r="BA2023">
        <v>7438</v>
      </c>
      <c r="BB2023">
        <v>1432</v>
      </c>
      <c r="BC2023">
        <v>13072</v>
      </c>
      <c r="BD2023">
        <v>9486</v>
      </c>
      <c r="BE2023">
        <v>9222</v>
      </c>
      <c r="BF2023">
        <v>1768</v>
      </c>
      <c r="BG2023">
        <v>20476</v>
      </c>
      <c r="BH2023">
        <v>0</v>
      </c>
      <c r="BI2023">
        <v>0</v>
      </c>
      <c r="BJ2023">
        <v>0</v>
      </c>
      <c r="BK2023">
        <v>0</v>
      </c>
      <c r="BL2023" s="2">
        <v>24.82</v>
      </c>
      <c r="BM2023" s="2">
        <v>42005.095138888886</v>
      </c>
      <c r="BN2023" s="2">
        <v>5.4</v>
      </c>
      <c r="BO2023" s="2">
        <v>42005.092361111114</v>
      </c>
      <c r="BP2023" s="2">
        <v>6.92</v>
      </c>
      <c r="BQ2023" s="2">
        <v>42005.092361111114</v>
      </c>
      <c r="BR2023" s="2">
        <v>11.07</v>
      </c>
      <c r="BS2023" s="2">
        <v>42005.092361111114</v>
      </c>
      <c r="BT2023">
        <v>0</v>
      </c>
      <c r="BU2023">
        <v>0</v>
      </c>
      <c r="BV2023" t="s">
        <v>135</v>
      </c>
      <c r="BW2023">
        <v>0</v>
      </c>
      <c r="BX2023">
        <v>0</v>
      </c>
      <c r="BY2023" t="s">
        <v>135</v>
      </c>
      <c r="BZ2023">
        <v>0</v>
      </c>
      <c r="CA2023">
        <v>0</v>
      </c>
      <c r="CB2023" t="s">
        <v>135</v>
      </c>
      <c r="CH2023" s="2"/>
      <c r="CJ2023" s="2"/>
      <c r="CL2023" s="2"/>
      <c r="CN2023" s="2"/>
      <c r="CQ2023" s="2"/>
      <c r="CT2023" s="2"/>
      <c r="CW2023" s="2"/>
    </row>
    <row r="2024" spans="1:101" x14ac:dyDescent="0.25">
      <c r="A2024" s="1" t="s">
        <v>163</v>
      </c>
      <c r="B2024" s="75" t="s">
        <v>164</v>
      </c>
      <c r="C2024">
        <v>0</v>
      </c>
      <c r="D2024">
        <v>0</v>
      </c>
      <c r="E2024">
        <v>0</v>
      </c>
      <c r="F2024">
        <v>604324.56000000006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3.91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7490</v>
      </c>
      <c r="AW2024">
        <v>3350</v>
      </c>
      <c r="AX2024">
        <v>1219</v>
      </c>
      <c r="AY2024">
        <v>12059</v>
      </c>
      <c r="AZ2024">
        <v>4202</v>
      </c>
      <c r="BA2024">
        <v>7438</v>
      </c>
      <c r="BB2024">
        <v>1432</v>
      </c>
      <c r="BC2024">
        <v>13072</v>
      </c>
      <c r="BD2024">
        <v>9486</v>
      </c>
      <c r="BE2024">
        <v>9222</v>
      </c>
      <c r="BF2024">
        <v>1768</v>
      </c>
      <c r="BG2024">
        <v>20476</v>
      </c>
      <c r="BH2024">
        <v>0</v>
      </c>
      <c r="BI2024">
        <v>0</v>
      </c>
      <c r="BJ2024">
        <v>0</v>
      </c>
      <c r="BK2024">
        <v>0</v>
      </c>
      <c r="BL2024" s="2">
        <v>24.82</v>
      </c>
      <c r="BM2024" s="2">
        <v>42005.095138888886</v>
      </c>
      <c r="BN2024" s="2">
        <v>5.4</v>
      </c>
      <c r="BO2024" s="2">
        <v>42005.092361111114</v>
      </c>
      <c r="BP2024" s="2">
        <v>6.92</v>
      </c>
      <c r="BQ2024" s="2">
        <v>42005.092361111114</v>
      </c>
      <c r="BR2024" s="2">
        <v>11.07</v>
      </c>
      <c r="BS2024" s="2">
        <v>42005.092361111114</v>
      </c>
      <c r="BT2024">
        <v>0</v>
      </c>
      <c r="BU2024">
        <v>0</v>
      </c>
      <c r="BV2024" t="s">
        <v>135</v>
      </c>
      <c r="BW2024">
        <v>0</v>
      </c>
      <c r="BX2024">
        <v>0</v>
      </c>
      <c r="BY2024" t="s">
        <v>135</v>
      </c>
      <c r="BZ2024">
        <v>0</v>
      </c>
      <c r="CA2024">
        <v>0</v>
      </c>
      <c r="CB2024" t="s">
        <v>135</v>
      </c>
      <c r="CH2024" s="2"/>
      <c r="CJ2024" s="2"/>
      <c r="CL2024" s="2"/>
      <c r="CN2024" s="2"/>
      <c r="CQ2024" s="2"/>
      <c r="CT2024" s="2"/>
      <c r="CW2024" s="2"/>
    </row>
    <row r="2025" spans="1:101" x14ac:dyDescent="0.25">
      <c r="A2025" s="1" t="s">
        <v>163</v>
      </c>
      <c r="B2025" s="75" t="s">
        <v>164</v>
      </c>
      <c r="C2025">
        <v>0</v>
      </c>
      <c r="D2025">
        <v>0</v>
      </c>
      <c r="E2025">
        <v>0</v>
      </c>
      <c r="F2025">
        <v>604324.56000000006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3.91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7490</v>
      </c>
      <c r="AW2025">
        <v>3350</v>
      </c>
      <c r="AX2025">
        <v>1219</v>
      </c>
      <c r="AY2025">
        <v>12059</v>
      </c>
      <c r="AZ2025">
        <v>4202</v>
      </c>
      <c r="BA2025">
        <v>7438</v>
      </c>
      <c r="BB2025">
        <v>1432</v>
      </c>
      <c r="BC2025">
        <v>13072</v>
      </c>
      <c r="BD2025">
        <v>9486</v>
      </c>
      <c r="BE2025">
        <v>9222</v>
      </c>
      <c r="BF2025">
        <v>1768</v>
      </c>
      <c r="BG2025">
        <v>20476</v>
      </c>
      <c r="BH2025">
        <v>0</v>
      </c>
      <c r="BI2025">
        <v>0</v>
      </c>
      <c r="BJ2025">
        <v>0</v>
      </c>
      <c r="BK2025">
        <v>0</v>
      </c>
      <c r="BL2025" s="2">
        <v>24.82</v>
      </c>
      <c r="BM2025" s="2">
        <v>42005.095138888886</v>
      </c>
      <c r="BN2025" s="2">
        <v>5.4</v>
      </c>
      <c r="BO2025" s="2">
        <v>42005.092361111114</v>
      </c>
      <c r="BP2025" s="2">
        <v>6.92</v>
      </c>
      <c r="BQ2025" s="2">
        <v>42005.092361111114</v>
      </c>
      <c r="BR2025" s="2">
        <v>11.07</v>
      </c>
      <c r="BS2025" s="2">
        <v>42005.092361111114</v>
      </c>
      <c r="BT2025">
        <v>0</v>
      </c>
      <c r="BU2025">
        <v>0</v>
      </c>
      <c r="BV2025" t="s">
        <v>135</v>
      </c>
      <c r="BW2025">
        <v>0</v>
      </c>
      <c r="BX2025">
        <v>0</v>
      </c>
      <c r="BY2025" t="s">
        <v>135</v>
      </c>
      <c r="BZ2025">
        <v>0</v>
      </c>
      <c r="CA2025">
        <v>0</v>
      </c>
      <c r="CB2025" t="s">
        <v>135</v>
      </c>
      <c r="CH2025" s="2"/>
      <c r="CJ2025" s="2"/>
      <c r="CL2025" s="2"/>
      <c r="CN2025" s="2"/>
      <c r="CQ2025" s="2"/>
      <c r="CT2025" s="2"/>
      <c r="CW2025" s="2"/>
    </row>
    <row r="2026" spans="1:101" x14ac:dyDescent="0.25">
      <c r="A2026" s="1" t="s">
        <v>163</v>
      </c>
      <c r="B2026" s="75" t="s">
        <v>164</v>
      </c>
      <c r="C2026">
        <v>0</v>
      </c>
      <c r="D2026">
        <v>0</v>
      </c>
      <c r="E2026">
        <v>0</v>
      </c>
      <c r="F2026">
        <v>604324.56000000006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3.91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7490</v>
      </c>
      <c r="AW2026">
        <v>3350</v>
      </c>
      <c r="AX2026">
        <v>1219</v>
      </c>
      <c r="AY2026">
        <v>12059</v>
      </c>
      <c r="AZ2026">
        <v>4202</v>
      </c>
      <c r="BA2026">
        <v>7438</v>
      </c>
      <c r="BB2026">
        <v>1432</v>
      </c>
      <c r="BC2026">
        <v>13072</v>
      </c>
      <c r="BD2026">
        <v>9486</v>
      </c>
      <c r="BE2026">
        <v>9222</v>
      </c>
      <c r="BF2026">
        <v>1768</v>
      </c>
      <c r="BG2026">
        <v>20476</v>
      </c>
      <c r="BH2026">
        <v>0</v>
      </c>
      <c r="BI2026">
        <v>0</v>
      </c>
      <c r="BJ2026">
        <v>0</v>
      </c>
      <c r="BK2026">
        <v>0</v>
      </c>
      <c r="BL2026" s="2">
        <v>24.82</v>
      </c>
      <c r="BM2026" s="2">
        <v>42005.095138888886</v>
      </c>
      <c r="BN2026" s="2">
        <v>5.4</v>
      </c>
      <c r="BO2026" s="2">
        <v>42005.092361111114</v>
      </c>
      <c r="BP2026" s="2">
        <v>6.92</v>
      </c>
      <c r="BQ2026" s="2">
        <v>42005.092361111114</v>
      </c>
      <c r="BR2026" s="2">
        <v>11.07</v>
      </c>
      <c r="BS2026" s="2">
        <v>42005.092361111114</v>
      </c>
      <c r="BT2026">
        <v>0</v>
      </c>
      <c r="BU2026">
        <v>0</v>
      </c>
      <c r="BV2026" t="s">
        <v>135</v>
      </c>
      <c r="BW2026">
        <v>0</v>
      </c>
      <c r="BX2026">
        <v>0</v>
      </c>
      <c r="BY2026" t="s">
        <v>135</v>
      </c>
      <c r="BZ2026">
        <v>0</v>
      </c>
      <c r="CA2026">
        <v>0</v>
      </c>
      <c r="CB2026" t="s">
        <v>135</v>
      </c>
      <c r="CH2026" s="2"/>
      <c r="CJ2026" s="2"/>
      <c r="CL2026" s="2"/>
      <c r="CN2026" s="2"/>
      <c r="CQ2026" s="2"/>
      <c r="CT2026" s="2"/>
      <c r="CW2026" s="2"/>
    </row>
    <row r="2027" spans="1:101" x14ac:dyDescent="0.25">
      <c r="A2027" s="1" t="s">
        <v>163</v>
      </c>
      <c r="B2027" s="75" t="s">
        <v>164</v>
      </c>
      <c r="C2027">
        <v>0</v>
      </c>
      <c r="D2027">
        <v>0</v>
      </c>
      <c r="E2027">
        <v>0</v>
      </c>
      <c r="F2027">
        <v>604324.56000000006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3.91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7490</v>
      </c>
      <c r="AW2027">
        <v>3350</v>
      </c>
      <c r="AX2027">
        <v>1219</v>
      </c>
      <c r="AY2027">
        <v>12059</v>
      </c>
      <c r="AZ2027">
        <v>4202</v>
      </c>
      <c r="BA2027">
        <v>7438</v>
      </c>
      <c r="BB2027">
        <v>1432</v>
      </c>
      <c r="BC2027">
        <v>13072</v>
      </c>
      <c r="BD2027">
        <v>9486</v>
      </c>
      <c r="BE2027">
        <v>9222</v>
      </c>
      <c r="BF2027">
        <v>1768</v>
      </c>
      <c r="BG2027">
        <v>20476</v>
      </c>
      <c r="BH2027">
        <v>0</v>
      </c>
      <c r="BI2027">
        <v>0</v>
      </c>
      <c r="BJ2027">
        <v>0</v>
      </c>
      <c r="BK2027">
        <v>0</v>
      </c>
      <c r="BL2027" s="2">
        <v>24.82</v>
      </c>
      <c r="BM2027" s="2">
        <v>42005.095138888886</v>
      </c>
      <c r="BN2027" s="2">
        <v>5.4</v>
      </c>
      <c r="BO2027" s="2">
        <v>42005.092361111114</v>
      </c>
      <c r="BP2027" s="2">
        <v>6.92</v>
      </c>
      <c r="BQ2027" s="2">
        <v>42005.092361111114</v>
      </c>
      <c r="BR2027" s="2">
        <v>11.07</v>
      </c>
      <c r="BS2027" s="2">
        <v>42005.092361111114</v>
      </c>
      <c r="BT2027">
        <v>0</v>
      </c>
      <c r="BU2027">
        <v>0</v>
      </c>
      <c r="BV2027" t="s">
        <v>135</v>
      </c>
      <c r="BW2027">
        <v>0</v>
      </c>
      <c r="BX2027">
        <v>0</v>
      </c>
      <c r="BY2027" t="s">
        <v>135</v>
      </c>
      <c r="BZ2027">
        <v>0</v>
      </c>
      <c r="CA2027">
        <v>0</v>
      </c>
      <c r="CB2027" t="s">
        <v>135</v>
      </c>
      <c r="CH2027" s="2"/>
      <c r="CJ2027" s="2"/>
      <c r="CL2027" s="2"/>
      <c r="CN2027" s="2"/>
      <c r="CQ2027" s="2"/>
      <c r="CT2027" s="2"/>
      <c r="CW2027" s="2"/>
    </row>
    <row r="2028" spans="1:101" x14ac:dyDescent="0.25">
      <c r="A2028" s="1" t="s">
        <v>163</v>
      </c>
      <c r="B2028" s="75" t="s">
        <v>164</v>
      </c>
      <c r="C2028">
        <v>0</v>
      </c>
      <c r="D2028">
        <v>0</v>
      </c>
      <c r="E2028">
        <v>0</v>
      </c>
      <c r="F2028">
        <v>604324.56000000006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3.91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7490</v>
      </c>
      <c r="AW2028">
        <v>3350</v>
      </c>
      <c r="AX2028">
        <v>1219</v>
      </c>
      <c r="AY2028">
        <v>12059</v>
      </c>
      <c r="AZ2028">
        <v>4202</v>
      </c>
      <c r="BA2028">
        <v>7438</v>
      </c>
      <c r="BB2028">
        <v>1432</v>
      </c>
      <c r="BC2028">
        <v>13072</v>
      </c>
      <c r="BD2028">
        <v>9486</v>
      </c>
      <c r="BE2028">
        <v>9222</v>
      </c>
      <c r="BF2028">
        <v>1768</v>
      </c>
      <c r="BG2028">
        <v>20476</v>
      </c>
      <c r="BH2028">
        <v>0</v>
      </c>
      <c r="BI2028">
        <v>0</v>
      </c>
      <c r="BJ2028">
        <v>0</v>
      </c>
      <c r="BK2028">
        <v>0</v>
      </c>
      <c r="BL2028" s="2">
        <v>24.82</v>
      </c>
      <c r="BM2028" s="2">
        <v>42005.095138888886</v>
      </c>
      <c r="BN2028" s="2">
        <v>5.4</v>
      </c>
      <c r="BO2028" s="2">
        <v>42005.092361111114</v>
      </c>
      <c r="BP2028" s="2">
        <v>6.92</v>
      </c>
      <c r="BQ2028" s="2">
        <v>42005.092361111114</v>
      </c>
      <c r="BR2028" s="2">
        <v>11.07</v>
      </c>
      <c r="BS2028" s="2">
        <v>42005.092361111114</v>
      </c>
      <c r="BT2028">
        <v>0</v>
      </c>
      <c r="BU2028">
        <v>0</v>
      </c>
      <c r="BV2028" t="s">
        <v>135</v>
      </c>
      <c r="BW2028">
        <v>0</v>
      </c>
      <c r="BX2028">
        <v>0</v>
      </c>
      <c r="BY2028" t="s">
        <v>135</v>
      </c>
      <c r="BZ2028">
        <v>0</v>
      </c>
      <c r="CA2028">
        <v>0</v>
      </c>
      <c r="CB2028" t="s">
        <v>135</v>
      </c>
      <c r="CH2028" s="2"/>
      <c r="CJ2028" s="2"/>
      <c r="CL2028" s="2"/>
      <c r="CN2028" s="2"/>
      <c r="CQ2028" s="2"/>
      <c r="CT2028" s="2"/>
      <c r="CW2028" s="2"/>
    </row>
    <row r="2029" spans="1:101" x14ac:dyDescent="0.25">
      <c r="A2029" s="1" t="s">
        <v>163</v>
      </c>
      <c r="B2029" s="75" t="s">
        <v>164</v>
      </c>
      <c r="C2029">
        <v>0</v>
      </c>
      <c r="D2029">
        <v>0</v>
      </c>
      <c r="E2029">
        <v>0</v>
      </c>
      <c r="F2029">
        <v>604324.56000000006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3.91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7490</v>
      </c>
      <c r="AW2029">
        <v>3350</v>
      </c>
      <c r="AX2029">
        <v>1219</v>
      </c>
      <c r="AY2029">
        <v>12059</v>
      </c>
      <c r="AZ2029">
        <v>4202</v>
      </c>
      <c r="BA2029">
        <v>7438</v>
      </c>
      <c r="BB2029">
        <v>1432</v>
      </c>
      <c r="BC2029">
        <v>13072</v>
      </c>
      <c r="BD2029">
        <v>9486</v>
      </c>
      <c r="BE2029">
        <v>9222</v>
      </c>
      <c r="BF2029">
        <v>1768</v>
      </c>
      <c r="BG2029">
        <v>20476</v>
      </c>
      <c r="BH2029">
        <v>0</v>
      </c>
      <c r="BI2029">
        <v>0</v>
      </c>
      <c r="BJ2029">
        <v>0</v>
      </c>
      <c r="BK2029">
        <v>0</v>
      </c>
      <c r="BL2029" s="2">
        <v>24.82</v>
      </c>
      <c r="BM2029" s="2">
        <v>42005.095138888886</v>
      </c>
      <c r="BN2029" s="2">
        <v>5.4</v>
      </c>
      <c r="BO2029" s="2">
        <v>42005.092361111114</v>
      </c>
      <c r="BP2029" s="2">
        <v>6.92</v>
      </c>
      <c r="BQ2029" s="2">
        <v>42005.092361111114</v>
      </c>
      <c r="BR2029" s="2">
        <v>11.07</v>
      </c>
      <c r="BS2029" s="2">
        <v>42005.092361111114</v>
      </c>
      <c r="BT2029">
        <v>0</v>
      </c>
      <c r="BU2029">
        <v>0</v>
      </c>
      <c r="BV2029" t="s">
        <v>135</v>
      </c>
      <c r="BW2029">
        <v>0</v>
      </c>
      <c r="BX2029">
        <v>0</v>
      </c>
      <c r="BY2029" t="s">
        <v>135</v>
      </c>
      <c r="BZ2029">
        <v>0</v>
      </c>
      <c r="CA2029">
        <v>0</v>
      </c>
      <c r="CB2029" t="s">
        <v>135</v>
      </c>
      <c r="CH2029" s="2"/>
      <c r="CJ2029" s="2"/>
      <c r="CL2029" s="2"/>
      <c r="CN2029" s="2"/>
      <c r="CQ2029" s="2"/>
      <c r="CT2029" s="2"/>
      <c r="CW2029" s="2"/>
    </row>
    <row r="2030" spans="1:101" x14ac:dyDescent="0.25">
      <c r="A2030" s="1" t="s">
        <v>163</v>
      </c>
      <c r="B2030" s="75" t="s">
        <v>164</v>
      </c>
      <c r="C2030">
        <v>0</v>
      </c>
      <c r="D2030">
        <v>0</v>
      </c>
      <c r="E2030">
        <v>0</v>
      </c>
      <c r="F2030">
        <v>604324.56000000006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3.91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7490</v>
      </c>
      <c r="AW2030">
        <v>3350</v>
      </c>
      <c r="AX2030">
        <v>1219</v>
      </c>
      <c r="AY2030">
        <v>12059</v>
      </c>
      <c r="AZ2030">
        <v>4202</v>
      </c>
      <c r="BA2030">
        <v>7438</v>
      </c>
      <c r="BB2030">
        <v>1432</v>
      </c>
      <c r="BC2030">
        <v>13072</v>
      </c>
      <c r="BD2030">
        <v>9486</v>
      </c>
      <c r="BE2030">
        <v>9222</v>
      </c>
      <c r="BF2030">
        <v>1768</v>
      </c>
      <c r="BG2030">
        <v>20476</v>
      </c>
      <c r="BH2030">
        <v>0</v>
      </c>
      <c r="BI2030">
        <v>0</v>
      </c>
      <c r="BJ2030">
        <v>0</v>
      </c>
      <c r="BK2030">
        <v>0</v>
      </c>
      <c r="BL2030" s="2">
        <v>24.82</v>
      </c>
      <c r="BM2030" s="2">
        <v>42005.095138888886</v>
      </c>
      <c r="BN2030" s="2">
        <v>5.4</v>
      </c>
      <c r="BO2030" s="2">
        <v>42005.092361111114</v>
      </c>
      <c r="BP2030" s="2">
        <v>6.92</v>
      </c>
      <c r="BQ2030" s="2">
        <v>42005.092361111114</v>
      </c>
      <c r="BR2030" s="2">
        <v>11.07</v>
      </c>
      <c r="BS2030" s="2">
        <v>42005.092361111114</v>
      </c>
      <c r="BT2030">
        <v>0</v>
      </c>
      <c r="BU2030">
        <v>0</v>
      </c>
      <c r="BV2030" t="s">
        <v>135</v>
      </c>
      <c r="BW2030">
        <v>0</v>
      </c>
      <c r="BX2030">
        <v>0</v>
      </c>
      <c r="BY2030" t="s">
        <v>135</v>
      </c>
      <c r="BZ2030">
        <v>0</v>
      </c>
      <c r="CA2030">
        <v>0</v>
      </c>
      <c r="CB2030" t="s">
        <v>135</v>
      </c>
      <c r="CH2030" s="2"/>
      <c r="CJ2030" s="2"/>
      <c r="CL2030" s="2"/>
      <c r="CN2030" s="2"/>
      <c r="CQ2030" s="2"/>
      <c r="CT2030" s="2"/>
      <c r="CW2030" s="2"/>
    </row>
    <row r="2031" spans="1:101" x14ac:dyDescent="0.25">
      <c r="A2031" s="1" t="s">
        <v>163</v>
      </c>
      <c r="B2031" s="75" t="s">
        <v>164</v>
      </c>
      <c r="C2031">
        <v>0</v>
      </c>
      <c r="D2031">
        <v>0</v>
      </c>
      <c r="E2031">
        <v>0</v>
      </c>
      <c r="F2031">
        <v>604324.56000000006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3.91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7490</v>
      </c>
      <c r="AW2031">
        <v>3350</v>
      </c>
      <c r="AX2031">
        <v>1219</v>
      </c>
      <c r="AY2031">
        <v>12059</v>
      </c>
      <c r="AZ2031">
        <v>4202</v>
      </c>
      <c r="BA2031">
        <v>7438</v>
      </c>
      <c r="BB2031">
        <v>1432</v>
      </c>
      <c r="BC2031">
        <v>13072</v>
      </c>
      <c r="BD2031">
        <v>9486</v>
      </c>
      <c r="BE2031">
        <v>9222</v>
      </c>
      <c r="BF2031">
        <v>1768</v>
      </c>
      <c r="BG2031">
        <v>20476</v>
      </c>
      <c r="BH2031">
        <v>0</v>
      </c>
      <c r="BI2031">
        <v>0</v>
      </c>
      <c r="BJ2031">
        <v>0</v>
      </c>
      <c r="BK2031">
        <v>0</v>
      </c>
      <c r="BL2031" s="2">
        <v>24.82</v>
      </c>
      <c r="BM2031" s="2">
        <v>42005.095138888886</v>
      </c>
      <c r="BN2031" s="2">
        <v>5.4</v>
      </c>
      <c r="BO2031" s="2">
        <v>42005.092361111114</v>
      </c>
      <c r="BP2031" s="2">
        <v>6.92</v>
      </c>
      <c r="BQ2031" s="2">
        <v>42005.092361111114</v>
      </c>
      <c r="BR2031" s="2">
        <v>11.07</v>
      </c>
      <c r="BS2031" s="2">
        <v>42005.092361111114</v>
      </c>
      <c r="BT2031">
        <v>0</v>
      </c>
      <c r="BU2031">
        <v>0</v>
      </c>
      <c r="BV2031" t="s">
        <v>135</v>
      </c>
      <c r="BW2031">
        <v>0</v>
      </c>
      <c r="BX2031">
        <v>0</v>
      </c>
      <c r="BY2031" t="s">
        <v>135</v>
      </c>
      <c r="BZ2031">
        <v>0</v>
      </c>
      <c r="CA2031">
        <v>0</v>
      </c>
      <c r="CB2031" t="s">
        <v>135</v>
      </c>
      <c r="CH2031" s="2"/>
      <c r="CJ2031" s="2"/>
      <c r="CL2031" s="2"/>
      <c r="CN2031" s="2"/>
      <c r="CQ2031" s="2"/>
      <c r="CT2031" s="2"/>
      <c r="CW2031" s="2"/>
    </row>
    <row r="2032" spans="1:101" x14ac:dyDescent="0.25">
      <c r="A2032" s="1" t="s">
        <v>163</v>
      </c>
      <c r="B2032" s="75" t="s">
        <v>164</v>
      </c>
      <c r="C2032">
        <v>0</v>
      </c>
      <c r="D2032">
        <v>0</v>
      </c>
      <c r="E2032">
        <v>0</v>
      </c>
      <c r="F2032">
        <v>604324.56000000006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3.91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7490</v>
      </c>
      <c r="AW2032">
        <v>3350</v>
      </c>
      <c r="AX2032">
        <v>1219</v>
      </c>
      <c r="AY2032">
        <v>12059</v>
      </c>
      <c r="AZ2032">
        <v>4202</v>
      </c>
      <c r="BA2032">
        <v>7438</v>
      </c>
      <c r="BB2032">
        <v>1432</v>
      </c>
      <c r="BC2032">
        <v>13072</v>
      </c>
      <c r="BD2032">
        <v>9486</v>
      </c>
      <c r="BE2032">
        <v>9222</v>
      </c>
      <c r="BF2032">
        <v>1768</v>
      </c>
      <c r="BG2032">
        <v>20476</v>
      </c>
      <c r="BH2032">
        <v>0</v>
      </c>
      <c r="BI2032">
        <v>0</v>
      </c>
      <c r="BJ2032">
        <v>0</v>
      </c>
      <c r="BK2032">
        <v>0</v>
      </c>
      <c r="BL2032" s="2">
        <v>24.82</v>
      </c>
      <c r="BM2032" s="2">
        <v>42005.095138888886</v>
      </c>
      <c r="BN2032" s="2">
        <v>5.4</v>
      </c>
      <c r="BO2032" s="2">
        <v>42005.092361111114</v>
      </c>
      <c r="BP2032" s="2">
        <v>6.92</v>
      </c>
      <c r="BQ2032" s="2">
        <v>42005.092361111114</v>
      </c>
      <c r="BR2032" s="2">
        <v>11.07</v>
      </c>
      <c r="BS2032" s="2">
        <v>42005.092361111114</v>
      </c>
      <c r="BT2032">
        <v>0</v>
      </c>
      <c r="BU2032">
        <v>0</v>
      </c>
      <c r="BV2032" t="s">
        <v>135</v>
      </c>
      <c r="BW2032">
        <v>0</v>
      </c>
      <c r="BX2032">
        <v>0</v>
      </c>
      <c r="BY2032" t="s">
        <v>135</v>
      </c>
      <c r="BZ2032">
        <v>0</v>
      </c>
      <c r="CA2032">
        <v>0</v>
      </c>
      <c r="CB2032" t="s">
        <v>135</v>
      </c>
      <c r="CH2032" s="2"/>
      <c r="CJ2032" s="2"/>
      <c r="CL2032" s="2"/>
      <c r="CN2032" s="2"/>
      <c r="CQ2032" s="2"/>
      <c r="CT2032" s="2"/>
      <c r="CW2032" s="2"/>
    </row>
    <row r="2033" spans="1:101" x14ac:dyDescent="0.25">
      <c r="A2033" s="1" t="s">
        <v>163</v>
      </c>
      <c r="B2033" s="75" t="s">
        <v>164</v>
      </c>
      <c r="C2033">
        <v>0</v>
      </c>
      <c r="D2033">
        <v>0</v>
      </c>
      <c r="E2033">
        <v>0</v>
      </c>
      <c r="F2033">
        <v>604324.56000000006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3.91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7490</v>
      </c>
      <c r="AW2033">
        <v>3350</v>
      </c>
      <c r="AX2033">
        <v>1219</v>
      </c>
      <c r="AY2033">
        <v>12059</v>
      </c>
      <c r="AZ2033">
        <v>4202</v>
      </c>
      <c r="BA2033">
        <v>7438</v>
      </c>
      <c r="BB2033">
        <v>1432</v>
      </c>
      <c r="BC2033">
        <v>13072</v>
      </c>
      <c r="BD2033">
        <v>9486</v>
      </c>
      <c r="BE2033">
        <v>9222</v>
      </c>
      <c r="BF2033">
        <v>1768</v>
      </c>
      <c r="BG2033">
        <v>20476</v>
      </c>
      <c r="BH2033">
        <v>0</v>
      </c>
      <c r="BI2033">
        <v>0</v>
      </c>
      <c r="BJ2033">
        <v>0</v>
      </c>
      <c r="BK2033">
        <v>0</v>
      </c>
      <c r="BL2033" s="2">
        <v>24.82</v>
      </c>
      <c r="BM2033" s="2">
        <v>42005.095138888886</v>
      </c>
      <c r="BN2033" s="2">
        <v>5.4</v>
      </c>
      <c r="BO2033" s="2">
        <v>42005.092361111114</v>
      </c>
      <c r="BP2033" s="2">
        <v>6.92</v>
      </c>
      <c r="BQ2033" s="2">
        <v>42005.092361111114</v>
      </c>
      <c r="BR2033" s="2">
        <v>11.07</v>
      </c>
      <c r="BS2033" s="2">
        <v>42005.092361111114</v>
      </c>
      <c r="BT2033">
        <v>0</v>
      </c>
      <c r="BU2033">
        <v>0</v>
      </c>
      <c r="BV2033" t="s">
        <v>135</v>
      </c>
      <c r="BW2033">
        <v>0</v>
      </c>
      <c r="BX2033">
        <v>0</v>
      </c>
      <c r="BY2033" t="s">
        <v>135</v>
      </c>
      <c r="BZ2033">
        <v>0</v>
      </c>
      <c r="CA2033">
        <v>0</v>
      </c>
      <c r="CB2033" t="s">
        <v>135</v>
      </c>
      <c r="CH2033" s="2"/>
      <c r="CJ2033" s="2"/>
      <c r="CL2033" s="2"/>
      <c r="CN2033" s="2"/>
      <c r="CQ2033" s="2"/>
      <c r="CT2033" s="2"/>
      <c r="CW2033" s="2"/>
    </row>
    <row r="2034" spans="1:101" x14ac:dyDescent="0.25">
      <c r="A2034" s="1" t="s">
        <v>163</v>
      </c>
      <c r="B2034" s="75" t="s">
        <v>164</v>
      </c>
      <c r="C2034">
        <v>0</v>
      </c>
      <c r="D2034">
        <v>0</v>
      </c>
      <c r="E2034">
        <v>0</v>
      </c>
      <c r="F2034">
        <v>604324.56000000006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3.91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7490</v>
      </c>
      <c r="AW2034">
        <v>3350</v>
      </c>
      <c r="AX2034">
        <v>1219</v>
      </c>
      <c r="AY2034">
        <v>12059</v>
      </c>
      <c r="AZ2034">
        <v>4202</v>
      </c>
      <c r="BA2034">
        <v>7438</v>
      </c>
      <c r="BB2034">
        <v>1432</v>
      </c>
      <c r="BC2034">
        <v>13072</v>
      </c>
      <c r="BD2034">
        <v>9486</v>
      </c>
      <c r="BE2034">
        <v>9222</v>
      </c>
      <c r="BF2034">
        <v>1768</v>
      </c>
      <c r="BG2034">
        <v>20476</v>
      </c>
      <c r="BH2034">
        <v>0</v>
      </c>
      <c r="BI2034">
        <v>0</v>
      </c>
      <c r="BJ2034">
        <v>0</v>
      </c>
      <c r="BK2034">
        <v>0</v>
      </c>
      <c r="BL2034" s="2">
        <v>24.82</v>
      </c>
      <c r="BM2034" s="2">
        <v>42005.095138888886</v>
      </c>
      <c r="BN2034" s="2">
        <v>5.4</v>
      </c>
      <c r="BO2034" s="2">
        <v>42005.092361111114</v>
      </c>
      <c r="BP2034" s="2">
        <v>6.92</v>
      </c>
      <c r="BQ2034" s="2">
        <v>42005.092361111114</v>
      </c>
      <c r="BR2034" s="2">
        <v>11.07</v>
      </c>
      <c r="BS2034" s="2">
        <v>42005.092361111114</v>
      </c>
      <c r="BT2034">
        <v>0</v>
      </c>
      <c r="BU2034">
        <v>0</v>
      </c>
      <c r="BV2034" t="s">
        <v>135</v>
      </c>
      <c r="BW2034">
        <v>0</v>
      </c>
      <c r="BX2034">
        <v>0</v>
      </c>
      <c r="BY2034" t="s">
        <v>135</v>
      </c>
      <c r="BZ2034">
        <v>0</v>
      </c>
      <c r="CA2034">
        <v>0</v>
      </c>
      <c r="CB2034" t="s">
        <v>135</v>
      </c>
      <c r="CH2034" s="2"/>
      <c r="CJ2034" s="2"/>
      <c r="CL2034" s="2"/>
      <c r="CN2034" s="2"/>
      <c r="CQ2034" s="2"/>
      <c r="CT2034" s="2"/>
      <c r="CW2034" s="2"/>
    </row>
    <row r="2035" spans="1:101" x14ac:dyDescent="0.25">
      <c r="A2035" s="1" t="s">
        <v>163</v>
      </c>
      <c r="B2035" s="75" t="s">
        <v>164</v>
      </c>
      <c r="C2035">
        <v>0</v>
      </c>
      <c r="D2035">
        <v>0</v>
      </c>
      <c r="E2035">
        <v>0</v>
      </c>
      <c r="F2035">
        <v>604324.56000000006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3.91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7490</v>
      </c>
      <c r="AW2035">
        <v>3350</v>
      </c>
      <c r="AX2035">
        <v>1219</v>
      </c>
      <c r="AY2035">
        <v>12059</v>
      </c>
      <c r="AZ2035">
        <v>4202</v>
      </c>
      <c r="BA2035">
        <v>7438</v>
      </c>
      <c r="BB2035">
        <v>1432</v>
      </c>
      <c r="BC2035">
        <v>13072</v>
      </c>
      <c r="BD2035">
        <v>9486</v>
      </c>
      <c r="BE2035">
        <v>9222</v>
      </c>
      <c r="BF2035">
        <v>1768</v>
      </c>
      <c r="BG2035">
        <v>20476</v>
      </c>
      <c r="BH2035">
        <v>0</v>
      </c>
      <c r="BI2035">
        <v>0</v>
      </c>
      <c r="BJ2035">
        <v>0</v>
      </c>
      <c r="BK2035">
        <v>0</v>
      </c>
      <c r="BL2035" s="2">
        <v>24.82</v>
      </c>
      <c r="BM2035" s="2">
        <v>42005.095138888886</v>
      </c>
      <c r="BN2035" s="2">
        <v>5.4</v>
      </c>
      <c r="BO2035" s="2">
        <v>42005.092361111114</v>
      </c>
      <c r="BP2035" s="2">
        <v>6.92</v>
      </c>
      <c r="BQ2035" s="2">
        <v>42005.092361111114</v>
      </c>
      <c r="BR2035" s="2">
        <v>11.07</v>
      </c>
      <c r="BS2035" s="2">
        <v>42005.092361111114</v>
      </c>
      <c r="BT2035">
        <v>0</v>
      </c>
      <c r="BU2035">
        <v>0</v>
      </c>
      <c r="BV2035" t="s">
        <v>135</v>
      </c>
      <c r="BW2035">
        <v>0</v>
      </c>
      <c r="BX2035">
        <v>0</v>
      </c>
      <c r="BY2035" t="s">
        <v>135</v>
      </c>
      <c r="BZ2035">
        <v>0</v>
      </c>
      <c r="CA2035">
        <v>0</v>
      </c>
      <c r="CB2035" t="s">
        <v>135</v>
      </c>
      <c r="CH2035" s="2"/>
      <c r="CJ2035" s="2"/>
      <c r="CL2035" s="2"/>
      <c r="CN2035" s="2"/>
      <c r="CQ2035" s="2"/>
      <c r="CT2035" s="2"/>
      <c r="CW2035" s="2"/>
    </row>
    <row r="2036" spans="1:101" x14ac:dyDescent="0.25">
      <c r="A2036" s="1" t="s">
        <v>163</v>
      </c>
      <c r="B2036" s="75" t="s">
        <v>164</v>
      </c>
      <c r="C2036">
        <v>0</v>
      </c>
      <c r="D2036">
        <v>0</v>
      </c>
      <c r="E2036">
        <v>0</v>
      </c>
      <c r="F2036">
        <v>604324.56000000006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3.91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7490</v>
      </c>
      <c r="AW2036">
        <v>3350</v>
      </c>
      <c r="AX2036">
        <v>1219</v>
      </c>
      <c r="AY2036">
        <v>12059</v>
      </c>
      <c r="AZ2036">
        <v>4202</v>
      </c>
      <c r="BA2036">
        <v>7438</v>
      </c>
      <c r="BB2036">
        <v>1432</v>
      </c>
      <c r="BC2036">
        <v>13072</v>
      </c>
      <c r="BD2036">
        <v>9486</v>
      </c>
      <c r="BE2036">
        <v>9222</v>
      </c>
      <c r="BF2036">
        <v>1768</v>
      </c>
      <c r="BG2036">
        <v>20476</v>
      </c>
      <c r="BH2036">
        <v>0</v>
      </c>
      <c r="BI2036">
        <v>0</v>
      </c>
      <c r="BJ2036">
        <v>0</v>
      </c>
      <c r="BK2036">
        <v>0</v>
      </c>
      <c r="BL2036" s="2">
        <v>24.82</v>
      </c>
      <c r="BM2036" s="2">
        <v>42005.095138888886</v>
      </c>
      <c r="BN2036" s="2">
        <v>5.4</v>
      </c>
      <c r="BO2036" s="2">
        <v>42005.092361111114</v>
      </c>
      <c r="BP2036" s="2">
        <v>6.92</v>
      </c>
      <c r="BQ2036" s="2">
        <v>42005.092361111114</v>
      </c>
      <c r="BR2036" s="2">
        <v>11.07</v>
      </c>
      <c r="BS2036" s="2">
        <v>42005.092361111114</v>
      </c>
      <c r="BT2036">
        <v>0</v>
      </c>
      <c r="BU2036">
        <v>0</v>
      </c>
      <c r="BV2036" t="s">
        <v>135</v>
      </c>
      <c r="BW2036">
        <v>0</v>
      </c>
      <c r="BX2036">
        <v>0</v>
      </c>
      <c r="BY2036" t="s">
        <v>135</v>
      </c>
      <c r="BZ2036">
        <v>0</v>
      </c>
      <c r="CA2036">
        <v>0</v>
      </c>
      <c r="CB2036" t="s">
        <v>135</v>
      </c>
      <c r="CH2036" s="2"/>
      <c r="CJ2036" s="2"/>
      <c r="CL2036" s="2"/>
      <c r="CN2036" s="2"/>
      <c r="CQ2036" s="2"/>
      <c r="CT2036" s="2"/>
      <c r="CW2036" s="2"/>
    </row>
    <row r="2037" spans="1:101" x14ac:dyDescent="0.25">
      <c r="A2037" s="1" t="s">
        <v>163</v>
      </c>
      <c r="B2037" s="75" t="s">
        <v>164</v>
      </c>
      <c r="C2037">
        <v>0</v>
      </c>
      <c r="D2037">
        <v>0</v>
      </c>
      <c r="E2037">
        <v>0</v>
      </c>
      <c r="F2037">
        <v>604324.56000000006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3.91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7490</v>
      </c>
      <c r="AW2037">
        <v>3350</v>
      </c>
      <c r="AX2037">
        <v>1219</v>
      </c>
      <c r="AY2037">
        <v>12059</v>
      </c>
      <c r="AZ2037">
        <v>4202</v>
      </c>
      <c r="BA2037">
        <v>7438</v>
      </c>
      <c r="BB2037">
        <v>1432</v>
      </c>
      <c r="BC2037">
        <v>13072</v>
      </c>
      <c r="BD2037">
        <v>9486</v>
      </c>
      <c r="BE2037">
        <v>9222</v>
      </c>
      <c r="BF2037">
        <v>1768</v>
      </c>
      <c r="BG2037">
        <v>20476</v>
      </c>
      <c r="BH2037">
        <v>0</v>
      </c>
      <c r="BI2037">
        <v>0</v>
      </c>
      <c r="BJ2037">
        <v>0</v>
      </c>
      <c r="BK2037">
        <v>0</v>
      </c>
      <c r="BL2037" s="2">
        <v>24.82</v>
      </c>
      <c r="BM2037" s="2">
        <v>42005.095138888886</v>
      </c>
      <c r="BN2037" s="2">
        <v>5.4</v>
      </c>
      <c r="BO2037" s="2">
        <v>42005.092361111114</v>
      </c>
      <c r="BP2037" s="2">
        <v>6.92</v>
      </c>
      <c r="BQ2037" s="2">
        <v>42005.092361111114</v>
      </c>
      <c r="BR2037" s="2">
        <v>11.07</v>
      </c>
      <c r="BS2037" s="2">
        <v>42005.092361111114</v>
      </c>
      <c r="BT2037">
        <v>0</v>
      </c>
      <c r="BU2037">
        <v>0</v>
      </c>
      <c r="BV2037" t="s">
        <v>135</v>
      </c>
      <c r="BW2037">
        <v>0</v>
      </c>
      <c r="BX2037">
        <v>0</v>
      </c>
      <c r="BY2037" t="s">
        <v>135</v>
      </c>
      <c r="BZ2037">
        <v>0</v>
      </c>
      <c r="CA2037">
        <v>0</v>
      </c>
      <c r="CB2037" t="s">
        <v>135</v>
      </c>
      <c r="CH2037" s="2"/>
      <c r="CJ2037" s="2"/>
      <c r="CL2037" s="2"/>
      <c r="CN2037" s="2"/>
      <c r="CQ2037" s="2"/>
      <c r="CT2037" s="2"/>
      <c r="CW2037" s="2"/>
    </row>
    <row r="2038" spans="1:101" x14ac:dyDescent="0.25">
      <c r="A2038" s="1" t="s">
        <v>163</v>
      </c>
      <c r="B2038" s="75" t="s">
        <v>164</v>
      </c>
      <c r="C2038">
        <v>0</v>
      </c>
      <c r="D2038">
        <v>0</v>
      </c>
      <c r="E2038">
        <v>0</v>
      </c>
      <c r="F2038">
        <v>604324.56000000006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3.91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7490</v>
      </c>
      <c r="AW2038">
        <v>3350</v>
      </c>
      <c r="AX2038">
        <v>1219</v>
      </c>
      <c r="AY2038">
        <v>12059</v>
      </c>
      <c r="AZ2038">
        <v>4202</v>
      </c>
      <c r="BA2038">
        <v>7438</v>
      </c>
      <c r="BB2038">
        <v>1432</v>
      </c>
      <c r="BC2038">
        <v>13072</v>
      </c>
      <c r="BD2038">
        <v>9486</v>
      </c>
      <c r="BE2038">
        <v>9222</v>
      </c>
      <c r="BF2038">
        <v>1768</v>
      </c>
      <c r="BG2038">
        <v>20476</v>
      </c>
      <c r="BH2038">
        <v>0</v>
      </c>
      <c r="BI2038">
        <v>0</v>
      </c>
      <c r="BJ2038">
        <v>0</v>
      </c>
      <c r="BK2038">
        <v>0</v>
      </c>
      <c r="BL2038" s="2">
        <v>24.82</v>
      </c>
      <c r="BM2038" s="2">
        <v>42005.095138888886</v>
      </c>
      <c r="BN2038" s="2">
        <v>5.4</v>
      </c>
      <c r="BO2038" s="2">
        <v>42005.092361111114</v>
      </c>
      <c r="BP2038" s="2">
        <v>6.92</v>
      </c>
      <c r="BQ2038" s="2">
        <v>42005.092361111114</v>
      </c>
      <c r="BR2038" s="2">
        <v>11.07</v>
      </c>
      <c r="BS2038" s="2">
        <v>42005.092361111114</v>
      </c>
      <c r="BT2038">
        <v>0</v>
      </c>
      <c r="BU2038">
        <v>0</v>
      </c>
      <c r="BV2038" t="s">
        <v>135</v>
      </c>
      <c r="BW2038">
        <v>0</v>
      </c>
      <c r="BX2038">
        <v>0</v>
      </c>
      <c r="BY2038" t="s">
        <v>135</v>
      </c>
      <c r="BZ2038">
        <v>0</v>
      </c>
      <c r="CA2038">
        <v>0</v>
      </c>
      <c r="CB2038" t="s">
        <v>135</v>
      </c>
      <c r="CH2038" s="2"/>
      <c r="CJ2038" s="2"/>
      <c r="CL2038" s="2"/>
      <c r="CN2038" s="2"/>
      <c r="CQ2038" s="2"/>
      <c r="CT2038" s="2"/>
      <c r="CW2038" s="2"/>
    </row>
    <row r="2039" spans="1:101" x14ac:dyDescent="0.25">
      <c r="A2039" s="1" t="s">
        <v>163</v>
      </c>
      <c r="B2039" s="75" t="s">
        <v>164</v>
      </c>
      <c r="C2039">
        <v>0</v>
      </c>
      <c r="D2039">
        <v>0</v>
      </c>
      <c r="E2039">
        <v>0</v>
      </c>
      <c r="F2039">
        <v>604324.56000000006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3.91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7490</v>
      </c>
      <c r="AW2039">
        <v>3350</v>
      </c>
      <c r="AX2039">
        <v>1219</v>
      </c>
      <c r="AY2039">
        <v>12059</v>
      </c>
      <c r="AZ2039">
        <v>4202</v>
      </c>
      <c r="BA2039">
        <v>7438</v>
      </c>
      <c r="BB2039">
        <v>1432</v>
      </c>
      <c r="BC2039">
        <v>13072</v>
      </c>
      <c r="BD2039">
        <v>9486</v>
      </c>
      <c r="BE2039">
        <v>9222</v>
      </c>
      <c r="BF2039">
        <v>1768</v>
      </c>
      <c r="BG2039">
        <v>20476</v>
      </c>
      <c r="BH2039">
        <v>0</v>
      </c>
      <c r="BI2039">
        <v>0</v>
      </c>
      <c r="BJ2039">
        <v>0</v>
      </c>
      <c r="BK2039">
        <v>0</v>
      </c>
      <c r="BL2039" s="2">
        <v>24.82</v>
      </c>
      <c r="BM2039" s="2">
        <v>42005.095138888886</v>
      </c>
      <c r="BN2039" s="2">
        <v>5.4</v>
      </c>
      <c r="BO2039" s="2">
        <v>42005.092361111114</v>
      </c>
      <c r="BP2039" s="2">
        <v>6.92</v>
      </c>
      <c r="BQ2039" s="2">
        <v>42005.092361111114</v>
      </c>
      <c r="BR2039" s="2">
        <v>11.07</v>
      </c>
      <c r="BS2039" s="2">
        <v>42005.092361111114</v>
      </c>
      <c r="BT2039">
        <v>0</v>
      </c>
      <c r="BU2039">
        <v>0</v>
      </c>
      <c r="BV2039" t="s">
        <v>135</v>
      </c>
      <c r="BW2039">
        <v>0</v>
      </c>
      <c r="BX2039">
        <v>0</v>
      </c>
      <c r="BY2039" t="s">
        <v>135</v>
      </c>
      <c r="BZ2039">
        <v>0</v>
      </c>
      <c r="CA2039">
        <v>0</v>
      </c>
      <c r="CB2039" t="s">
        <v>135</v>
      </c>
      <c r="CH2039" s="2"/>
      <c r="CJ2039" s="2"/>
      <c r="CL2039" s="2"/>
      <c r="CN2039" s="2"/>
      <c r="CQ2039" s="2"/>
      <c r="CT2039" s="2"/>
      <c r="CW2039" s="2"/>
    </row>
    <row r="2040" spans="1:101" x14ac:dyDescent="0.25">
      <c r="A2040" s="1" t="s">
        <v>163</v>
      </c>
      <c r="B2040" s="75" t="s">
        <v>164</v>
      </c>
      <c r="C2040">
        <v>0</v>
      </c>
      <c r="D2040">
        <v>0</v>
      </c>
      <c r="E2040">
        <v>0</v>
      </c>
      <c r="F2040">
        <v>604324.56000000006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3.91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7490</v>
      </c>
      <c r="AW2040">
        <v>3350</v>
      </c>
      <c r="AX2040">
        <v>1219</v>
      </c>
      <c r="AY2040">
        <v>12059</v>
      </c>
      <c r="AZ2040">
        <v>4202</v>
      </c>
      <c r="BA2040">
        <v>7438</v>
      </c>
      <c r="BB2040">
        <v>1432</v>
      </c>
      <c r="BC2040">
        <v>13072</v>
      </c>
      <c r="BD2040">
        <v>9486</v>
      </c>
      <c r="BE2040">
        <v>9222</v>
      </c>
      <c r="BF2040">
        <v>1768</v>
      </c>
      <c r="BG2040">
        <v>20476</v>
      </c>
      <c r="BH2040">
        <v>0</v>
      </c>
      <c r="BI2040">
        <v>0</v>
      </c>
      <c r="BJ2040">
        <v>0</v>
      </c>
      <c r="BK2040">
        <v>0</v>
      </c>
      <c r="BL2040" s="2">
        <v>24.82</v>
      </c>
      <c r="BM2040" s="2">
        <v>42005.095138888886</v>
      </c>
      <c r="BN2040" s="2">
        <v>5.4</v>
      </c>
      <c r="BO2040" s="2">
        <v>42005.092361111114</v>
      </c>
      <c r="BP2040" s="2">
        <v>6.92</v>
      </c>
      <c r="BQ2040" s="2">
        <v>42005.092361111114</v>
      </c>
      <c r="BR2040" s="2">
        <v>11.07</v>
      </c>
      <c r="BS2040" s="2">
        <v>42005.092361111114</v>
      </c>
      <c r="BT2040">
        <v>0</v>
      </c>
      <c r="BU2040">
        <v>0</v>
      </c>
      <c r="BV2040" t="s">
        <v>135</v>
      </c>
      <c r="BW2040">
        <v>0</v>
      </c>
      <c r="BX2040">
        <v>0</v>
      </c>
      <c r="BY2040" t="s">
        <v>135</v>
      </c>
      <c r="BZ2040">
        <v>0</v>
      </c>
      <c r="CA2040">
        <v>0</v>
      </c>
      <c r="CB2040" t="s">
        <v>135</v>
      </c>
      <c r="CH2040" s="2"/>
      <c r="CJ2040" s="2"/>
      <c r="CL2040" s="2"/>
      <c r="CN2040" s="2"/>
      <c r="CQ2040" s="2"/>
      <c r="CT2040" s="2"/>
      <c r="CW2040" s="2"/>
    </row>
    <row r="2041" spans="1:101" x14ac:dyDescent="0.25">
      <c r="A2041" s="1" t="s">
        <v>163</v>
      </c>
      <c r="B2041" s="75" t="s">
        <v>164</v>
      </c>
      <c r="C2041">
        <v>0</v>
      </c>
      <c r="D2041">
        <v>0</v>
      </c>
      <c r="E2041">
        <v>0</v>
      </c>
      <c r="F2041">
        <v>604324.56000000006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3.91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7490</v>
      </c>
      <c r="AW2041">
        <v>3350</v>
      </c>
      <c r="AX2041">
        <v>1219</v>
      </c>
      <c r="AY2041">
        <v>12059</v>
      </c>
      <c r="AZ2041">
        <v>4202</v>
      </c>
      <c r="BA2041">
        <v>7438</v>
      </c>
      <c r="BB2041">
        <v>1432</v>
      </c>
      <c r="BC2041">
        <v>13072</v>
      </c>
      <c r="BD2041">
        <v>9486</v>
      </c>
      <c r="BE2041">
        <v>9222</v>
      </c>
      <c r="BF2041">
        <v>1768</v>
      </c>
      <c r="BG2041">
        <v>20476</v>
      </c>
      <c r="BH2041">
        <v>0</v>
      </c>
      <c r="BI2041">
        <v>0</v>
      </c>
      <c r="BJ2041">
        <v>0</v>
      </c>
      <c r="BK2041">
        <v>0</v>
      </c>
      <c r="BL2041" s="2">
        <v>24.82</v>
      </c>
      <c r="BM2041" s="2">
        <v>42005.095138888886</v>
      </c>
      <c r="BN2041" s="2">
        <v>5.4</v>
      </c>
      <c r="BO2041" s="2">
        <v>42005.092361111114</v>
      </c>
      <c r="BP2041" s="2">
        <v>6.92</v>
      </c>
      <c r="BQ2041" s="2">
        <v>42005.092361111114</v>
      </c>
      <c r="BR2041" s="2">
        <v>11.07</v>
      </c>
      <c r="BS2041" s="2">
        <v>42005.092361111114</v>
      </c>
      <c r="BT2041">
        <v>0</v>
      </c>
      <c r="BU2041">
        <v>0</v>
      </c>
      <c r="BV2041" t="s">
        <v>135</v>
      </c>
      <c r="BW2041">
        <v>0</v>
      </c>
      <c r="BX2041">
        <v>0</v>
      </c>
      <c r="BY2041" t="s">
        <v>135</v>
      </c>
      <c r="BZ2041">
        <v>0</v>
      </c>
      <c r="CA2041">
        <v>0</v>
      </c>
      <c r="CB2041" t="s">
        <v>135</v>
      </c>
      <c r="CH2041" s="2"/>
      <c r="CJ2041" s="2"/>
      <c r="CL2041" s="2"/>
      <c r="CN2041" s="2"/>
      <c r="CQ2041" s="2"/>
      <c r="CT2041" s="2"/>
      <c r="CW2041" s="2"/>
    </row>
    <row r="2042" spans="1:101" x14ac:dyDescent="0.25">
      <c r="A2042" s="1" t="s">
        <v>163</v>
      </c>
      <c r="B2042" s="75" t="s">
        <v>164</v>
      </c>
      <c r="C2042">
        <v>0</v>
      </c>
      <c r="D2042">
        <v>0</v>
      </c>
      <c r="E2042">
        <v>0</v>
      </c>
      <c r="F2042">
        <v>604324.56000000006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3.91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7490</v>
      </c>
      <c r="AW2042">
        <v>3350</v>
      </c>
      <c r="AX2042">
        <v>1219</v>
      </c>
      <c r="AY2042">
        <v>12059</v>
      </c>
      <c r="AZ2042">
        <v>4202</v>
      </c>
      <c r="BA2042">
        <v>7438</v>
      </c>
      <c r="BB2042">
        <v>1432</v>
      </c>
      <c r="BC2042">
        <v>13072</v>
      </c>
      <c r="BD2042">
        <v>9486</v>
      </c>
      <c r="BE2042">
        <v>9222</v>
      </c>
      <c r="BF2042">
        <v>1768</v>
      </c>
      <c r="BG2042">
        <v>20476</v>
      </c>
      <c r="BH2042">
        <v>0</v>
      </c>
      <c r="BI2042">
        <v>0</v>
      </c>
      <c r="BJ2042">
        <v>0</v>
      </c>
      <c r="BK2042">
        <v>0</v>
      </c>
      <c r="BL2042" s="2">
        <v>24.82</v>
      </c>
      <c r="BM2042" s="2">
        <v>42005.095138888886</v>
      </c>
      <c r="BN2042" s="2">
        <v>5.4</v>
      </c>
      <c r="BO2042" s="2">
        <v>42005.092361111114</v>
      </c>
      <c r="BP2042" s="2">
        <v>6.92</v>
      </c>
      <c r="BQ2042" s="2">
        <v>42005.092361111114</v>
      </c>
      <c r="BR2042" s="2">
        <v>11.07</v>
      </c>
      <c r="BS2042" s="2">
        <v>42005.092361111114</v>
      </c>
      <c r="BT2042">
        <v>0</v>
      </c>
      <c r="BU2042">
        <v>0</v>
      </c>
      <c r="BV2042" t="s">
        <v>135</v>
      </c>
      <c r="BW2042">
        <v>0</v>
      </c>
      <c r="BX2042">
        <v>0</v>
      </c>
      <c r="BY2042" t="s">
        <v>135</v>
      </c>
      <c r="BZ2042">
        <v>0</v>
      </c>
      <c r="CA2042">
        <v>0</v>
      </c>
      <c r="CB2042" t="s">
        <v>135</v>
      </c>
      <c r="CH2042" s="2"/>
      <c r="CJ2042" s="2"/>
      <c r="CL2042" s="2"/>
      <c r="CN2042" s="2"/>
      <c r="CQ2042" s="2"/>
      <c r="CT2042" s="2"/>
      <c r="CW2042" s="2"/>
    </row>
    <row r="2043" spans="1:101" x14ac:dyDescent="0.25">
      <c r="A2043" s="1" t="s">
        <v>163</v>
      </c>
      <c r="B2043" s="75" t="s">
        <v>164</v>
      </c>
      <c r="C2043">
        <v>0</v>
      </c>
      <c r="D2043">
        <v>0</v>
      </c>
      <c r="E2043">
        <v>0</v>
      </c>
      <c r="F2043">
        <v>604324.56000000006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3.91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7490</v>
      </c>
      <c r="AW2043">
        <v>3350</v>
      </c>
      <c r="AX2043">
        <v>1219</v>
      </c>
      <c r="AY2043">
        <v>12059</v>
      </c>
      <c r="AZ2043">
        <v>4202</v>
      </c>
      <c r="BA2043">
        <v>7438</v>
      </c>
      <c r="BB2043">
        <v>1432</v>
      </c>
      <c r="BC2043">
        <v>13072</v>
      </c>
      <c r="BD2043">
        <v>9486</v>
      </c>
      <c r="BE2043">
        <v>9222</v>
      </c>
      <c r="BF2043">
        <v>1768</v>
      </c>
      <c r="BG2043">
        <v>20476</v>
      </c>
      <c r="BH2043">
        <v>0</v>
      </c>
      <c r="BI2043">
        <v>0</v>
      </c>
      <c r="BJ2043">
        <v>0</v>
      </c>
      <c r="BK2043">
        <v>0</v>
      </c>
      <c r="BL2043" s="2">
        <v>24.82</v>
      </c>
      <c r="BM2043" s="2">
        <v>42005.095138888886</v>
      </c>
      <c r="BN2043" s="2">
        <v>5.4</v>
      </c>
      <c r="BO2043" s="2">
        <v>42005.092361111114</v>
      </c>
      <c r="BP2043" s="2">
        <v>6.92</v>
      </c>
      <c r="BQ2043" s="2">
        <v>42005.092361111114</v>
      </c>
      <c r="BR2043" s="2">
        <v>11.07</v>
      </c>
      <c r="BS2043" s="2">
        <v>42005.092361111114</v>
      </c>
      <c r="BT2043">
        <v>0</v>
      </c>
      <c r="BU2043">
        <v>0</v>
      </c>
      <c r="BV2043" t="s">
        <v>135</v>
      </c>
      <c r="BW2043">
        <v>0</v>
      </c>
      <c r="BX2043">
        <v>0</v>
      </c>
      <c r="BY2043" t="s">
        <v>135</v>
      </c>
      <c r="BZ2043">
        <v>0</v>
      </c>
      <c r="CA2043">
        <v>0</v>
      </c>
      <c r="CB2043" t="s">
        <v>135</v>
      </c>
      <c r="CH2043" s="2"/>
      <c r="CJ2043" s="2"/>
      <c r="CL2043" s="2"/>
      <c r="CN2043" s="2"/>
      <c r="CQ2043" s="2"/>
      <c r="CT2043" s="2"/>
      <c r="CW2043" s="2"/>
    </row>
    <row r="2044" spans="1:101" x14ac:dyDescent="0.25">
      <c r="A2044" s="1" t="s">
        <v>163</v>
      </c>
      <c r="B2044" s="75" t="s">
        <v>164</v>
      </c>
      <c r="C2044">
        <v>0</v>
      </c>
      <c r="D2044">
        <v>0</v>
      </c>
      <c r="E2044">
        <v>0</v>
      </c>
      <c r="F2044">
        <v>604324.56000000006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3.91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7490</v>
      </c>
      <c r="AW2044">
        <v>3350</v>
      </c>
      <c r="AX2044">
        <v>1219</v>
      </c>
      <c r="AY2044">
        <v>12059</v>
      </c>
      <c r="AZ2044">
        <v>4202</v>
      </c>
      <c r="BA2044">
        <v>7438</v>
      </c>
      <c r="BB2044">
        <v>1432</v>
      </c>
      <c r="BC2044">
        <v>13072</v>
      </c>
      <c r="BD2044">
        <v>9486</v>
      </c>
      <c r="BE2044">
        <v>9222</v>
      </c>
      <c r="BF2044">
        <v>1768</v>
      </c>
      <c r="BG2044">
        <v>20476</v>
      </c>
      <c r="BH2044">
        <v>0</v>
      </c>
      <c r="BI2044">
        <v>0</v>
      </c>
      <c r="BJ2044">
        <v>0</v>
      </c>
      <c r="BK2044">
        <v>0</v>
      </c>
      <c r="BL2044" s="2">
        <v>24.82</v>
      </c>
      <c r="BM2044" s="2">
        <v>42005.095138888886</v>
      </c>
      <c r="BN2044" s="2">
        <v>5.4</v>
      </c>
      <c r="BO2044" s="2">
        <v>42005.092361111114</v>
      </c>
      <c r="BP2044" s="2">
        <v>6.92</v>
      </c>
      <c r="BQ2044" s="2">
        <v>42005.092361111114</v>
      </c>
      <c r="BR2044" s="2">
        <v>11.07</v>
      </c>
      <c r="BS2044" s="2">
        <v>42005.092361111114</v>
      </c>
      <c r="BT2044">
        <v>0</v>
      </c>
      <c r="BU2044">
        <v>0</v>
      </c>
      <c r="BV2044" t="s">
        <v>135</v>
      </c>
      <c r="BW2044">
        <v>0</v>
      </c>
      <c r="BX2044">
        <v>0</v>
      </c>
      <c r="BY2044" t="s">
        <v>135</v>
      </c>
      <c r="BZ2044">
        <v>0</v>
      </c>
      <c r="CA2044">
        <v>0</v>
      </c>
      <c r="CB2044" t="s">
        <v>135</v>
      </c>
      <c r="CH2044" s="2"/>
      <c r="CJ2044" s="2"/>
      <c r="CL2044" s="2"/>
      <c r="CN2044" s="2"/>
      <c r="CQ2044" s="2"/>
      <c r="CT2044" s="2"/>
      <c r="CW2044" s="2"/>
    </row>
    <row r="2045" spans="1:101" x14ac:dyDescent="0.25">
      <c r="A2045" s="1" t="s">
        <v>163</v>
      </c>
      <c r="B2045" s="75" t="s">
        <v>164</v>
      </c>
      <c r="C2045">
        <v>0</v>
      </c>
      <c r="D2045">
        <v>0</v>
      </c>
      <c r="E2045">
        <v>0</v>
      </c>
      <c r="F2045">
        <v>604324.56000000006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3.91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7490</v>
      </c>
      <c r="AW2045">
        <v>3350</v>
      </c>
      <c r="AX2045">
        <v>1219</v>
      </c>
      <c r="AY2045">
        <v>12059</v>
      </c>
      <c r="AZ2045">
        <v>4202</v>
      </c>
      <c r="BA2045">
        <v>7438</v>
      </c>
      <c r="BB2045">
        <v>1432</v>
      </c>
      <c r="BC2045">
        <v>13072</v>
      </c>
      <c r="BD2045">
        <v>9486</v>
      </c>
      <c r="BE2045">
        <v>9222</v>
      </c>
      <c r="BF2045">
        <v>1768</v>
      </c>
      <c r="BG2045">
        <v>20476</v>
      </c>
      <c r="BH2045">
        <v>0</v>
      </c>
      <c r="BI2045">
        <v>0</v>
      </c>
      <c r="BJ2045">
        <v>0</v>
      </c>
      <c r="BK2045">
        <v>0</v>
      </c>
      <c r="BL2045" s="2">
        <v>24.82</v>
      </c>
      <c r="BM2045" s="2">
        <v>42005.095138888886</v>
      </c>
      <c r="BN2045" s="2">
        <v>5.4</v>
      </c>
      <c r="BO2045" s="2">
        <v>42005.092361111114</v>
      </c>
      <c r="BP2045" s="2">
        <v>6.92</v>
      </c>
      <c r="BQ2045" s="2">
        <v>42005.092361111114</v>
      </c>
      <c r="BR2045" s="2">
        <v>11.07</v>
      </c>
      <c r="BS2045" s="2">
        <v>42005.092361111114</v>
      </c>
      <c r="BT2045">
        <v>0</v>
      </c>
      <c r="BU2045">
        <v>0</v>
      </c>
      <c r="BV2045" t="s">
        <v>135</v>
      </c>
      <c r="BW2045">
        <v>0</v>
      </c>
      <c r="BX2045">
        <v>0</v>
      </c>
      <c r="BY2045" t="s">
        <v>135</v>
      </c>
      <c r="BZ2045">
        <v>0</v>
      </c>
      <c r="CA2045">
        <v>0</v>
      </c>
      <c r="CB2045" t="s">
        <v>135</v>
      </c>
      <c r="CH2045" s="2"/>
      <c r="CJ2045" s="2"/>
      <c r="CL2045" s="2"/>
      <c r="CN2045" s="2"/>
      <c r="CQ2045" s="2"/>
      <c r="CT2045" s="2"/>
      <c r="CW2045" s="2"/>
    </row>
    <row r="2046" spans="1:101" x14ac:dyDescent="0.25">
      <c r="A2046" s="1" t="s">
        <v>163</v>
      </c>
      <c r="B2046" s="75" t="s">
        <v>164</v>
      </c>
      <c r="C2046">
        <v>0</v>
      </c>
      <c r="D2046">
        <v>0</v>
      </c>
      <c r="E2046">
        <v>0</v>
      </c>
      <c r="F2046">
        <v>604324.56000000006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3.91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7490</v>
      </c>
      <c r="AW2046">
        <v>3350</v>
      </c>
      <c r="AX2046">
        <v>1219</v>
      </c>
      <c r="AY2046">
        <v>12059</v>
      </c>
      <c r="AZ2046">
        <v>4202</v>
      </c>
      <c r="BA2046">
        <v>7438</v>
      </c>
      <c r="BB2046">
        <v>1432</v>
      </c>
      <c r="BC2046">
        <v>13072</v>
      </c>
      <c r="BD2046">
        <v>9486</v>
      </c>
      <c r="BE2046">
        <v>9222</v>
      </c>
      <c r="BF2046">
        <v>1768</v>
      </c>
      <c r="BG2046">
        <v>20476</v>
      </c>
      <c r="BH2046">
        <v>0</v>
      </c>
      <c r="BI2046">
        <v>0</v>
      </c>
      <c r="BJ2046">
        <v>0</v>
      </c>
      <c r="BK2046">
        <v>0</v>
      </c>
      <c r="BL2046" s="2">
        <v>24.82</v>
      </c>
      <c r="BM2046" s="2">
        <v>42005.095138888886</v>
      </c>
      <c r="BN2046" s="2">
        <v>5.4</v>
      </c>
      <c r="BO2046" s="2">
        <v>42005.092361111114</v>
      </c>
      <c r="BP2046" s="2">
        <v>6.92</v>
      </c>
      <c r="BQ2046" s="2">
        <v>42005.092361111114</v>
      </c>
      <c r="BR2046" s="2">
        <v>11.07</v>
      </c>
      <c r="BS2046" s="2">
        <v>42005.092361111114</v>
      </c>
      <c r="BT2046">
        <v>0</v>
      </c>
      <c r="BU2046">
        <v>0</v>
      </c>
      <c r="BV2046" t="s">
        <v>135</v>
      </c>
      <c r="BW2046">
        <v>0</v>
      </c>
      <c r="BX2046">
        <v>0</v>
      </c>
      <c r="BY2046" t="s">
        <v>135</v>
      </c>
      <c r="BZ2046">
        <v>0</v>
      </c>
      <c r="CA2046">
        <v>0</v>
      </c>
      <c r="CB2046" t="s">
        <v>135</v>
      </c>
      <c r="CH2046" s="2"/>
      <c r="CJ2046" s="2"/>
      <c r="CL2046" s="2"/>
      <c r="CN2046" s="2"/>
      <c r="CQ2046" s="2"/>
      <c r="CT2046" s="2"/>
      <c r="CW2046" s="2"/>
    </row>
    <row r="2047" spans="1:101" x14ac:dyDescent="0.25">
      <c r="A2047" s="1" t="s">
        <v>163</v>
      </c>
      <c r="B2047" s="75" t="s">
        <v>164</v>
      </c>
      <c r="C2047">
        <v>0</v>
      </c>
      <c r="D2047">
        <v>0</v>
      </c>
      <c r="E2047">
        <v>0</v>
      </c>
      <c r="F2047">
        <v>604324.56000000006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3.91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7490</v>
      </c>
      <c r="AW2047">
        <v>3350</v>
      </c>
      <c r="AX2047">
        <v>1219</v>
      </c>
      <c r="AY2047">
        <v>12059</v>
      </c>
      <c r="AZ2047">
        <v>4202</v>
      </c>
      <c r="BA2047">
        <v>7438</v>
      </c>
      <c r="BB2047">
        <v>1432</v>
      </c>
      <c r="BC2047">
        <v>13072</v>
      </c>
      <c r="BD2047">
        <v>9486</v>
      </c>
      <c r="BE2047">
        <v>9222</v>
      </c>
      <c r="BF2047">
        <v>1768</v>
      </c>
      <c r="BG2047">
        <v>20476</v>
      </c>
      <c r="BH2047">
        <v>0</v>
      </c>
      <c r="BI2047">
        <v>0</v>
      </c>
      <c r="BJ2047">
        <v>0</v>
      </c>
      <c r="BK2047">
        <v>0</v>
      </c>
      <c r="BL2047" s="2">
        <v>24.82</v>
      </c>
      <c r="BM2047" s="2">
        <v>42005.095138888886</v>
      </c>
      <c r="BN2047" s="2">
        <v>5.4</v>
      </c>
      <c r="BO2047" s="2">
        <v>42005.092361111114</v>
      </c>
      <c r="BP2047" s="2">
        <v>6.92</v>
      </c>
      <c r="BQ2047" s="2">
        <v>42005.092361111114</v>
      </c>
      <c r="BR2047" s="2">
        <v>11.07</v>
      </c>
      <c r="BS2047" s="2">
        <v>42005.092361111114</v>
      </c>
      <c r="BT2047">
        <v>0</v>
      </c>
      <c r="BU2047">
        <v>0</v>
      </c>
      <c r="BV2047" t="s">
        <v>135</v>
      </c>
      <c r="BW2047">
        <v>0</v>
      </c>
      <c r="BX2047">
        <v>0</v>
      </c>
      <c r="BY2047" t="s">
        <v>135</v>
      </c>
      <c r="BZ2047">
        <v>0</v>
      </c>
      <c r="CA2047">
        <v>0</v>
      </c>
      <c r="CB2047" t="s">
        <v>135</v>
      </c>
      <c r="CH2047" s="2"/>
      <c r="CJ2047" s="2"/>
      <c r="CL2047" s="2"/>
      <c r="CN2047" s="2"/>
      <c r="CQ2047" s="2"/>
      <c r="CT2047" s="2"/>
      <c r="CW2047" s="2"/>
    </row>
    <row r="2048" spans="1:101" x14ac:dyDescent="0.25">
      <c r="A2048" s="1" t="s">
        <v>163</v>
      </c>
      <c r="B2048" s="75" t="s">
        <v>164</v>
      </c>
      <c r="C2048">
        <v>0</v>
      </c>
      <c r="D2048">
        <v>0</v>
      </c>
      <c r="E2048">
        <v>0</v>
      </c>
      <c r="F2048">
        <v>604324.56000000006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3.91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7490</v>
      </c>
      <c r="AW2048">
        <v>3350</v>
      </c>
      <c r="AX2048">
        <v>1219</v>
      </c>
      <c r="AY2048">
        <v>12059</v>
      </c>
      <c r="AZ2048">
        <v>4202</v>
      </c>
      <c r="BA2048">
        <v>7438</v>
      </c>
      <c r="BB2048">
        <v>1432</v>
      </c>
      <c r="BC2048">
        <v>13072</v>
      </c>
      <c r="BD2048">
        <v>9486</v>
      </c>
      <c r="BE2048">
        <v>9222</v>
      </c>
      <c r="BF2048">
        <v>1768</v>
      </c>
      <c r="BG2048">
        <v>20476</v>
      </c>
      <c r="BH2048">
        <v>0</v>
      </c>
      <c r="BI2048">
        <v>0</v>
      </c>
      <c r="BJ2048">
        <v>0</v>
      </c>
      <c r="BK2048">
        <v>0</v>
      </c>
      <c r="BL2048" s="2">
        <v>24.82</v>
      </c>
      <c r="BM2048" s="2">
        <v>42005.095138888886</v>
      </c>
      <c r="BN2048" s="2">
        <v>5.4</v>
      </c>
      <c r="BO2048" s="2">
        <v>42005.092361111114</v>
      </c>
      <c r="BP2048" s="2">
        <v>6.92</v>
      </c>
      <c r="BQ2048" s="2">
        <v>42005.092361111114</v>
      </c>
      <c r="BR2048" s="2">
        <v>11.07</v>
      </c>
      <c r="BS2048" s="2">
        <v>42005.092361111114</v>
      </c>
      <c r="BT2048">
        <v>0</v>
      </c>
      <c r="BU2048">
        <v>0</v>
      </c>
      <c r="BV2048" t="s">
        <v>135</v>
      </c>
      <c r="BW2048">
        <v>0</v>
      </c>
      <c r="BX2048">
        <v>0</v>
      </c>
      <c r="BY2048" t="s">
        <v>135</v>
      </c>
      <c r="BZ2048">
        <v>0</v>
      </c>
      <c r="CA2048">
        <v>0</v>
      </c>
      <c r="CB2048" t="s">
        <v>135</v>
      </c>
      <c r="CH2048" s="2"/>
      <c r="CJ2048" s="2"/>
      <c r="CL2048" s="2"/>
      <c r="CN2048" s="2"/>
      <c r="CQ2048" s="2"/>
      <c r="CT2048" s="2"/>
      <c r="CW2048" s="2"/>
    </row>
    <row r="2049" spans="1:101" x14ac:dyDescent="0.25">
      <c r="A2049" s="1" t="s">
        <v>163</v>
      </c>
      <c r="B2049" s="75" t="s">
        <v>164</v>
      </c>
      <c r="C2049">
        <v>0</v>
      </c>
      <c r="D2049">
        <v>0</v>
      </c>
      <c r="E2049">
        <v>0</v>
      </c>
      <c r="F2049">
        <v>604324.56000000006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3.91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7490</v>
      </c>
      <c r="AW2049">
        <v>3350</v>
      </c>
      <c r="AX2049">
        <v>1219</v>
      </c>
      <c r="AY2049">
        <v>12059</v>
      </c>
      <c r="AZ2049">
        <v>4202</v>
      </c>
      <c r="BA2049">
        <v>7438</v>
      </c>
      <c r="BB2049">
        <v>1432</v>
      </c>
      <c r="BC2049">
        <v>13072</v>
      </c>
      <c r="BD2049">
        <v>9486</v>
      </c>
      <c r="BE2049">
        <v>9222</v>
      </c>
      <c r="BF2049">
        <v>1768</v>
      </c>
      <c r="BG2049">
        <v>20476</v>
      </c>
      <c r="BH2049">
        <v>0</v>
      </c>
      <c r="BI2049">
        <v>0</v>
      </c>
      <c r="BJ2049">
        <v>0</v>
      </c>
      <c r="BK2049">
        <v>0</v>
      </c>
      <c r="BL2049" s="2">
        <v>24.82</v>
      </c>
      <c r="BM2049" s="2">
        <v>42005.095138888886</v>
      </c>
      <c r="BN2049" s="2">
        <v>5.4</v>
      </c>
      <c r="BO2049" s="2">
        <v>42005.092361111114</v>
      </c>
      <c r="BP2049" s="2">
        <v>6.92</v>
      </c>
      <c r="BQ2049" s="2">
        <v>42005.092361111114</v>
      </c>
      <c r="BR2049" s="2">
        <v>11.07</v>
      </c>
      <c r="BS2049" s="2">
        <v>42005.092361111114</v>
      </c>
      <c r="BT2049">
        <v>0</v>
      </c>
      <c r="BU2049">
        <v>0</v>
      </c>
      <c r="BV2049" t="s">
        <v>135</v>
      </c>
      <c r="BW2049">
        <v>0</v>
      </c>
      <c r="BX2049">
        <v>0</v>
      </c>
      <c r="BY2049" t="s">
        <v>135</v>
      </c>
      <c r="BZ2049">
        <v>0</v>
      </c>
      <c r="CA2049">
        <v>0</v>
      </c>
      <c r="CB2049" t="s">
        <v>135</v>
      </c>
      <c r="CH2049" s="2"/>
      <c r="CJ2049" s="2"/>
      <c r="CL2049" s="2"/>
      <c r="CN2049" s="2"/>
      <c r="CQ2049" s="2"/>
      <c r="CT2049" s="2"/>
      <c r="CW2049" s="2"/>
    </row>
    <row r="2050" spans="1:101" x14ac:dyDescent="0.25">
      <c r="A2050" s="1" t="s">
        <v>163</v>
      </c>
      <c r="B2050" s="75" t="s">
        <v>164</v>
      </c>
      <c r="C2050">
        <v>0</v>
      </c>
      <c r="D2050">
        <v>0</v>
      </c>
      <c r="E2050">
        <v>0</v>
      </c>
      <c r="F2050">
        <v>604324.56000000006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3.91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7490</v>
      </c>
      <c r="AW2050">
        <v>3350</v>
      </c>
      <c r="AX2050">
        <v>1219</v>
      </c>
      <c r="AY2050">
        <v>12059</v>
      </c>
      <c r="AZ2050">
        <v>4202</v>
      </c>
      <c r="BA2050">
        <v>7438</v>
      </c>
      <c r="BB2050">
        <v>1432</v>
      </c>
      <c r="BC2050">
        <v>13072</v>
      </c>
      <c r="BD2050">
        <v>9486</v>
      </c>
      <c r="BE2050">
        <v>9222</v>
      </c>
      <c r="BF2050">
        <v>1768</v>
      </c>
      <c r="BG2050">
        <v>20476</v>
      </c>
      <c r="BH2050">
        <v>0</v>
      </c>
      <c r="BI2050">
        <v>0</v>
      </c>
      <c r="BJ2050">
        <v>0</v>
      </c>
      <c r="BK2050">
        <v>0</v>
      </c>
      <c r="BL2050" s="2">
        <v>24.82</v>
      </c>
      <c r="BM2050" s="2">
        <v>42005.095138888886</v>
      </c>
      <c r="BN2050" s="2">
        <v>5.4</v>
      </c>
      <c r="BO2050" s="2">
        <v>42005.092361111114</v>
      </c>
      <c r="BP2050" s="2">
        <v>6.92</v>
      </c>
      <c r="BQ2050" s="2">
        <v>42005.092361111114</v>
      </c>
      <c r="BR2050" s="2">
        <v>11.07</v>
      </c>
      <c r="BS2050" s="2">
        <v>42005.092361111114</v>
      </c>
      <c r="BT2050">
        <v>0</v>
      </c>
      <c r="BU2050">
        <v>0</v>
      </c>
      <c r="BV2050" t="s">
        <v>135</v>
      </c>
      <c r="BW2050">
        <v>0</v>
      </c>
      <c r="BX2050">
        <v>0</v>
      </c>
      <c r="BY2050" t="s">
        <v>135</v>
      </c>
      <c r="BZ2050">
        <v>0</v>
      </c>
      <c r="CA2050">
        <v>0</v>
      </c>
      <c r="CB2050" t="s">
        <v>135</v>
      </c>
      <c r="CH2050" s="2"/>
      <c r="CJ2050" s="2"/>
      <c r="CL2050" s="2"/>
      <c r="CN2050" s="2"/>
      <c r="CQ2050" s="2"/>
      <c r="CT2050" s="2"/>
      <c r="CW2050" s="2"/>
    </row>
    <row r="2051" spans="1:101" x14ac:dyDescent="0.25">
      <c r="A2051" s="1" t="s">
        <v>163</v>
      </c>
      <c r="B2051" s="75" t="s">
        <v>164</v>
      </c>
      <c r="C2051">
        <v>0</v>
      </c>
      <c r="D2051">
        <v>0</v>
      </c>
      <c r="E2051">
        <v>0</v>
      </c>
      <c r="F2051">
        <v>604324.56000000006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3.91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7490</v>
      </c>
      <c r="AW2051">
        <v>3350</v>
      </c>
      <c r="AX2051">
        <v>1219</v>
      </c>
      <c r="AY2051">
        <v>12059</v>
      </c>
      <c r="AZ2051">
        <v>4202</v>
      </c>
      <c r="BA2051">
        <v>7438</v>
      </c>
      <c r="BB2051">
        <v>1432</v>
      </c>
      <c r="BC2051">
        <v>13072</v>
      </c>
      <c r="BD2051">
        <v>9486</v>
      </c>
      <c r="BE2051">
        <v>9222</v>
      </c>
      <c r="BF2051">
        <v>1768</v>
      </c>
      <c r="BG2051">
        <v>20476</v>
      </c>
      <c r="BH2051">
        <v>0</v>
      </c>
      <c r="BI2051">
        <v>0</v>
      </c>
      <c r="BJ2051">
        <v>0</v>
      </c>
      <c r="BK2051">
        <v>0</v>
      </c>
      <c r="BL2051" s="2">
        <v>24.82</v>
      </c>
      <c r="BM2051" s="2">
        <v>42005.095138888886</v>
      </c>
      <c r="BN2051" s="2">
        <v>5.4</v>
      </c>
      <c r="BO2051" s="2">
        <v>42005.092361111114</v>
      </c>
      <c r="BP2051" s="2">
        <v>6.92</v>
      </c>
      <c r="BQ2051" s="2">
        <v>42005.092361111114</v>
      </c>
      <c r="BR2051" s="2">
        <v>11.07</v>
      </c>
      <c r="BS2051" s="2">
        <v>42005.092361111114</v>
      </c>
      <c r="BT2051">
        <v>0</v>
      </c>
      <c r="BU2051">
        <v>0</v>
      </c>
      <c r="BV2051" t="s">
        <v>135</v>
      </c>
      <c r="BW2051">
        <v>0</v>
      </c>
      <c r="BX2051">
        <v>0</v>
      </c>
      <c r="BY2051" t="s">
        <v>135</v>
      </c>
      <c r="BZ2051">
        <v>0</v>
      </c>
      <c r="CA2051">
        <v>0</v>
      </c>
      <c r="CB2051" t="s">
        <v>135</v>
      </c>
      <c r="CH2051" s="2"/>
      <c r="CJ2051" s="2"/>
      <c r="CL2051" s="2"/>
      <c r="CN2051" s="2"/>
      <c r="CQ2051" s="2"/>
      <c r="CT2051" s="2"/>
      <c r="CW2051" s="2"/>
    </row>
    <row r="2052" spans="1:101" x14ac:dyDescent="0.25">
      <c r="A2052" s="1" t="s">
        <v>163</v>
      </c>
      <c r="B2052" s="75" t="s">
        <v>164</v>
      </c>
      <c r="C2052">
        <v>0</v>
      </c>
      <c r="D2052">
        <v>0</v>
      </c>
      <c r="E2052">
        <v>0</v>
      </c>
      <c r="F2052">
        <v>604324.56000000006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3.91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7490</v>
      </c>
      <c r="AW2052">
        <v>3350</v>
      </c>
      <c r="AX2052">
        <v>1219</v>
      </c>
      <c r="AY2052">
        <v>12059</v>
      </c>
      <c r="AZ2052">
        <v>4202</v>
      </c>
      <c r="BA2052">
        <v>7438</v>
      </c>
      <c r="BB2052">
        <v>1432</v>
      </c>
      <c r="BC2052">
        <v>13072</v>
      </c>
      <c r="BD2052">
        <v>9486</v>
      </c>
      <c r="BE2052">
        <v>9222</v>
      </c>
      <c r="BF2052">
        <v>1768</v>
      </c>
      <c r="BG2052">
        <v>20476</v>
      </c>
      <c r="BH2052">
        <v>0</v>
      </c>
      <c r="BI2052">
        <v>0</v>
      </c>
      <c r="BJ2052">
        <v>0</v>
      </c>
      <c r="BK2052">
        <v>0</v>
      </c>
      <c r="BL2052" s="2">
        <v>24.82</v>
      </c>
      <c r="BM2052" s="2">
        <v>42005.095138888886</v>
      </c>
      <c r="BN2052" s="2">
        <v>5.4</v>
      </c>
      <c r="BO2052" s="2">
        <v>42005.092361111114</v>
      </c>
      <c r="BP2052" s="2">
        <v>6.92</v>
      </c>
      <c r="BQ2052" s="2">
        <v>42005.092361111114</v>
      </c>
      <c r="BR2052" s="2">
        <v>11.07</v>
      </c>
      <c r="BS2052" s="2">
        <v>42005.092361111114</v>
      </c>
      <c r="BT2052">
        <v>0</v>
      </c>
      <c r="BU2052">
        <v>0</v>
      </c>
      <c r="BV2052" t="s">
        <v>135</v>
      </c>
      <c r="BW2052">
        <v>0</v>
      </c>
      <c r="BX2052">
        <v>0</v>
      </c>
      <c r="BY2052" t="s">
        <v>135</v>
      </c>
      <c r="BZ2052">
        <v>0</v>
      </c>
      <c r="CA2052">
        <v>0</v>
      </c>
      <c r="CB2052" t="s">
        <v>135</v>
      </c>
      <c r="CH2052" s="2"/>
      <c r="CJ2052" s="2"/>
      <c r="CL2052" s="2"/>
      <c r="CN2052" s="2"/>
      <c r="CQ2052" s="2"/>
      <c r="CT2052" s="2"/>
      <c r="CW2052" s="2"/>
    </row>
    <row r="2053" spans="1:101" x14ac:dyDescent="0.25">
      <c r="A2053" s="1" t="s">
        <v>163</v>
      </c>
      <c r="B2053" s="75" t="s">
        <v>164</v>
      </c>
      <c r="C2053">
        <v>0</v>
      </c>
      <c r="D2053">
        <v>0</v>
      </c>
      <c r="E2053">
        <v>0</v>
      </c>
      <c r="F2053">
        <v>604324.56000000006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3.91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7490</v>
      </c>
      <c r="AW2053">
        <v>3350</v>
      </c>
      <c r="AX2053">
        <v>1219</v>
      </c>
      <c r="AY2053">
        <v>12059</v>
      </c>
      <c r="AZ2053">
        <v>4202</v>
      </c>
      <c r="BA2053">
        <v>7438</v>
      </c>
      <c r="BB2053">
        <v>1432</v>
      </c>
      <c r="BC2053">
        <v>13072</v>
      </c>
      <c r="BD2053">
        <v>9486</v>
      </c>
      <c r="BE2053">
        <v>9222</v>
      </c>
      <c r="BF2053">
        <v>1768</v>
      </c>
      <c r="BG2053">
        <v>20476</v>
      </c>
      <c r="BH2053">
        <v>0</v>
      </c>
      <c r="BI2053">
        <v>0</v>
      </c>
      <c r="BJ2053">
        <v>0</v>
      </c>
      <c r="BK2053">
        <v>0</v>
      </c>
      <c r="BL2053" s="2">
        <v>24.82</v>
      </c>
      <c r="BM2053" s="2">
        <v>42005.095138888886</v>
      </c>
      <c r="BN2053" s="2">
        <v>5.4</v>
      </c>
      <c r="BO2053" s="2">
        <v>42005.092361111114</v>
      </c>
      <c r="BP2053" s="2">
        <v>6.92</v>
      </c>
      <c r="BQ2053" s="2">
        <v>42005.092361111114</v>
      </c>
      <c r="BR2053" s="2">
        <v>11.07</v>
      </c>
      <c r="BS2053" s="2">
        <v>42005.092361111114</v>
      </c>
      <c r="BT2053">
        <v>0</v>
      </c>
      <c r="BU2053">
        <v>0</v>
      </c>
      <c r="BV2053" t="s">
        <v>135</v>
      </c>
      <c r="BW2053">
        <v>0</v>
      </c>
      <c r="BX2053">
        <v>0</v>
      </c>
      <c r="BY2053" t="s">
        <v>135</v>
      </c>
      <c r="BZ2053">
        <v>0</v>
      </c>
      <c r="CA2053">
        <v>0</v>
      </c>
      <c r="CB2053" t="s">
        <v>135</v>
      </c>
      <c r="CH2053" s="2"/>
      <c r="CJ2053" s="2"/>
      <c r="CL2053" s="2"/>
      <c r="CN2053" s="2"/>
      <c r="CQ2053" s="2"/>
      <c r="CT2053" s="2"/>
      <c r="CW2053" s="2"/>
    </row>
    <row r="2054" spans="1:101" x14ac:dyDescent="0.25">
      <c r="A2054" s="1" t="s">
        <v>163</v>
      </c>
      <c r="B2054" s="75" t="s">
        <v>164</v>
      </c>
      <c r="C2054">
        <v>0</v>
      </c>
      <c r="D2054">
        <v>0</v>
      </c>
      <c r="E2054">
        <v>0</v>
      </c>
      <c r="F2054">
        <v>604324.56000000006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3.91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7490</v>
      </c>
      <c r="AW2054">
        <v>3350</v>
      </c>
      <c r="AX2054">
        <v>1219</v>
      </c>
      <c r="AY2054">
        <v>12059</v>
      </c>
      <c r="AZ2054">
        <v>4202</v>
      </c>
      <c r="BA2054">
        <v>7438</v>
      </c>
      <c r="BB2054">
        <v>1432</v>
      </c>
      <c r="BC2054">
        <v>13072</v>
      </c>
      <c r="BD2054">
        <v>9486</v>
      </c>
      <c r="BE2054">
        <v>9222</v>
      </c>
      <c r="BF2054">
        <v>1768</v>
      </c>
      <c r="BG2054">
        <v>20476</v>
      </c>
      <c r="BH2054">
        <v>0</v>
      </c>
      <c r="BI2054">
        <v>0</v>
      </c>
      <c r="BJ2054">
        <v>0</v>
      </c>
      <c r="BK2054">
        <v>0</v>
      </c>
      <c r="BL2054" s="2">
        <v>24.82</v>
      </c>
      <c r="BM2054" s="2">
        <v>42005.095138888886</v>
      </c>
      <c r="BN2054" s="2">
        <v>5.4</v>
      </c>
      <c r="BO2054" s="2">
        <v>42005.092361111114</v>
      </c>
      <c r="BP2054" s="2">
        <v>6.92</v>
      </c>
      <c r="BQ2054" s="2">
        <v>42005.092361111114</v>
      </c>
      <c r="BR2054" s="2">
        <v>11.07</v>
      </c>
      <c r="BS2054" s="2">
        <v>42005.092361111114</v>
      </c>
      <c r="BT2054">
        <v>0</v>
      </c>
      <c r="BU2054">
        <v>0</v>
      </c>
      <c r="BV2054" t="s">
        <v>135</v>
      </c>
      <c r="BW2054">
        <v>0</v>
      </c>
      <c r="BX2054">
        <v>0</v>
      </c>
      <c r="BY2054" t="s">
        <v>135</v>
      </c>
      <c r="BZ2054">
        <v>0</v>
      </c>
      <c r="CA2054">
        <v>0</v>
      </c>
      <c r="CB2054" t="s">
        <v>135</v>
      </c>
      <c r="CH2054" s="2"/>
      <c r="CJ2054" s="2"/>
      <c r="CL2054" s="2"/>
      <c r="CN2054" s="2"/>
      <c r="CQ2054" s="2"/>
      <c r="CT2054" s="2"/>
      <c r="CW2054" s="2"/>
    </row>
    <row r="2055" spans="1:101" x14ac:dyDescent="0.25">
      <c r="A2055" s="1" t="s">
        <v>163</v>
      </c>
      <c r="B2055" s="75" t="s">
        <v>164</v>
      </c>
      <c r="C2055">
        <v>0</v>
      </c>
      <c r="D2055">
        <v>0</v>
      </c>
      <c r="E2055">
        <v>0</v>
      </c>
      <c r="F2055">
        <v>604324.56000000006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3.91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7490</v>
      </c>
      <c r="AW2055">
        <v>3350</v>
      </c>
      <c r="AX2055">
        <v>1219</v>
      </c>
      <c r="AY2055">
        <v>12059</v>
      </c>
      <c r="AZ2055">
        <v>4202</v>
      </c>
      <c r="BA2055">
        <v>7438</v>
      </c>
      <c r="BB2055">
        <v>1432</v>
      </c>
      <c r="BC2055">
        <v>13072</v>
      </c>
      <c r="BD2055">
        <v>9486</v>
      </c>
      <c r="BE2055">
        <v>9222</v>
      </c>
      <c r="BF2055">
        <v>1768</v>
      </c>
      <c r="BG2055">
        <v>20476</v>
      </c>
      <c r="BH2055">
        <v>0</v>
      </c>
      <c r="BI2055">
        <v>0</v>
      </c>
      <c r="BJ2055">
        <v>0</v>
      </c>
      <c r="BK2055">
        <v>0</v>
      </c>
      <c r="BL2055" s="2">
        <v>24.82</v>
      </c>
      <c r="BM2055" s="2">
        <v>42005.095138888886</v>
      </c>
      <c r="BN2055" s="2">
        <v>5.4</v>
      </c>
      <c r="BO2055" s="2">
        <v>42005.092361111114</v>
      </c>
      <c r="BP2055" s="2">
        <v>6.92</v>
      </c>
      <c r="BQ2055" s="2">
        <v>42005.092361111114</v>
      </c>
      <c r="BR2055" s="2">
        <v>11.07</v>
      </c>
      <c r="BS2055" s="2">
        <v>42005.092361111114</v>
      </c>
      <c r="BT2055">
        <v>0</v>
      </c>
      <c r="BU2055">
        <v>0</v>
      </c>
      <c r="BV2055" t="s">
        <v>135</v>
      </c>
      <c r="BW2055">
        <v>0</v>
      </c>
      <c r="BX2055">
        <v>0</v>
      </c>
      <c r="BY2055" t="s">
        <v>135</v>
      </c>
      <c r="BZ2055">
        <v>0</v>
      </c>
      <c r="CA2055">
        <v>0</v>
      </c>
      <c r="CB2055" t="s">
        <v>135</v>
      </c>
      <c r="CH2055" s="2"/>
      <c r="CJ2055" s="2"/>
      <c r="CL2055" s="2"/>
      <c r="CN2055" s="2"/>
      <c r="CQ2055" s="2"/>
      <c r="CT2055" s="2"/>
      <c r="CW2055" s="2"/>
    </row>
    <row r="2056" spans="1:101" x14ac:dyDescent="0.25">
      <c r="A2056" s="1" t="s">
        <v>163</v>
      </c>
      <c r="B2056" s="75" t="s">
        <v>164</v>
      </c>
      <c r="C2056">
        <v>0</v>
      </c>
      <c r="D2056">
        <v>0</v>
      </c>
      <c r="E2056">
        <v>0</v>
      </c>
      <c r="F2056">
        <v>604324.56000000006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3.91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7490</v>
      </c>
      <c r="AW2056">
        <v>3350</v>
      </c>
      <c r="AX2056">
        <v>1219</v>
      </c>
      <c r="AY2056">
        <v>12059</v>
      </c>
      <c r="AZ2056">
        <v>4202</v>
      </c>
      <c r="BA2056">
        <v>7438</v>
      </c>
      <c r="BB2056">
        <v>1432</v>
      </c>
      <c r="BC2056">
        <v>13072</v>
      </c>
      <c r="BD2056">
        <v>9486</v>
      </c>
      <c r="BE2056">
        <v>9222</v>
      </c>
      <c r="BF2056">
        <v>1768</v>
      </c>
      <c r="BG2056">
        <v>20476</v>
      </c>
      <c r="BH2056">
        <v>0</v>
      </c>
      <c r="BI2056">
        <v>0</v>
      </c>
      <c r="BJ2056">
        <v>0</v>
      </c>
      <c r="BK2056">
        <v>0</v>
      </c>
      <c r="BL2056" s="2">
        <v>24.82</v>
      </c>
      <c r="BM2056" s="2">
        <v>42005.095138888886</v>
      </c>
      <c r="BN2056" s="2">
        <v>5.4</v>
      </c>
      <c r="BO2056" s="2">
        <v>42005.092361111114</v>
      </c>
      <c r="BP2056" s="2">
        <v>6.92</v>
      </c>
      <c r="BQ2056" s="2">
        <v>42005.092361111114</v>
      </c>
      <c r="BR2056" s="2">
        <v>11.07</v>
      </c>
      <c r="BS2056" s="2">
        <v>42005.092361111114</v>
      </c>
      <c r="BT2056">
        <v>0</v>
      </c>
      <c r="BU2056">
        <v>0</v>
      </c>
      <c r="BV2056" t="s">
        <v>135</v>
      </c>
      <c r="BW2056">
        <v>0</v>
      </c>
      <c r="BX2056">
        <v>0</v>
      </c>
      <c r="BY2056" t="s">
        <v>135</v>
      </c>
      <c r="BZ2056">
        <v>0</v>
      </c>
      <c r="CA2056">
        <v>0</v>
      </c>
      <c r="CB2056" t="s">
        <v>135</v>
      </c>
      <c r="CH2056" s="2"/>
      <c r="CJ2056" s="2"/>
      <c r="CL2056" s="2"/>
      <c r="CN2056" s="2"/>
      <c r="CQ2056" s="2"/>
      <c r="CT2056" s="2"/>
      <c r="CW2056" s="2"/>
    </row>
    <row r="2057" spans="1:101" x14ac:dyDescent="0.25">
      <c r="A2057" s="1" t="s">
        <v>163</v>
      </c>
      <c r="B2057" s="75" t="s">
        <v>164</v>
      </c>
      <c r="C2057">
        <v>0</v>
      </c>
      <c r="D2057">
        <v>0</v>
      </c>
      <c r="E2057">
        <v>0</v>
      </c>
      <c r="F2057">
        <v>604324.56000000006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3.91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7490</v>
      </c>
      <c r="AW2057">
        <v>3350</v>
      </c>
      <c r="AX2057">
        <v>1219</v>
      </c>
      <c r="AY2057">
        <v>12059</v>
      </c>
      <c r="AZ2057">
        <v>4202</v>
      </c>
      <c r="BA2057">
        <v>7438</v>
      </c>
      <c r="BB2057">
        <v>1432</v>
      </c>
      <c r="BC2057">
        <v>13072</v>
      </c>
      <c r="BD2057">
        <v>9486</v>
      </c>
      <c r="BE2057">
        <v>9222</v>
      </c>
      <c r="BF2057">
        <v>1768</v>
      </c>
      <c r="BG2057">
        <v>20476</v>
      </c>
      <c r="BH2057">
        <v>0</v>
      </c>
      <c r="BI2057">
        <v>0</v>
      </c>
      <c r="BJ2057">
        <v>0</v>
      </c>
      <c r="BK2057">
        <v>0</v>
      </c>
      <c r="BL2057" s="2">
        <v>24.82</v>
      </c>
      <c r="BM2057" s="2">
        <v>42005.095138888886</v>
      </c>
      <c r="BN2057" s="2">
        <v>5.4</v>
      </c>
      <c r="BO2057" s="2">
        <v>42005.092361111114</v>
      </c>
      <c r="BP2057" s="2">
        <v>6.92</v>
      </c>
      <c r="BQ2057" s="2">
        <v>42005.092361111114</v>
      </c>
      <c r="BR2057" s="2">
        <v>11.07</v>
      </c>
      <c r="BS2057" s="2">
        <v>42005.092361111114</v>
      </c>
      <c r="BT2057">
        <v>0</v>
      </c>
      <c r="BU2057">
        <v>0</v>
      </c>
      <c r="BV2057" t="s">
        <v>135</v>
      </c>
      <c r="BW2057">
        <v>0</v>
      </c>
      <c r="BX2057">
        <v>0</v>
      </c>
      <c r="BY2057" t="s">
        <v>135</v>
      </c>
      <c r="BZ2057">
        <v>0</v>
      </c>
      <c r="CA2057">
        <v>0</v>
      </c>
      <c r="CB2057" t="s">
        <v>135</v>
      </c>
      <c r="CH2057" s="2"/>
      <c r="CJ2057" s="2"/>
      <c r="CL2057" s="2"/>
      <c r="CN2057" s="2"/>
      <c r="CQ2057" s="2"/>
      <c r="CT2057" s="2"/>
      <c r="CW2057" s="2"/>
    </row>
    <row r="2058" spans="1:101" x14ac:dyDescent="0.25">
      <c r="A2058" s="1" t="s">
        <v>163</v>
      </c>
      <c r="B2058" s="75" t="s">
        <v>164</v>
      </c>
      <c r="C2058">
        <v>0</v>
      </c>
      <c r="D2058">
        <v>0</v>
      </c>
      <c r="E2058">
        <v>0</v>
      </c>
      <c r="F2058">
        <v>604324.56000000006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3.91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7490</v>
      </c>
      <c r="AW2058">
        <v>3350</v>
      </c>
      <c r="AX2058">
        <v>1219</v>
      </c>
      <c r="AY2058">
        <v>12059</v>
      </c>
      <c r="AZ2058">
        <v>4202</v>
      </c>
      <c r="BA2058">
        <v>7438</v>
      </c>
      <c r="BB2058">
        <v>1432</v>
      </c>
      <c r="BC2058">
        <v>13072</v>
      </c>
      <c r="BD2058">
        <v>9486</v>
      </c>
      <c r="BE2058">
        <v>9222</v>
      </c>
      <c r="BF2058">
        <v>1768</v>
      </c>
      <c r="BG2058">
        <v>20476</v>
      </c>
      <c r="BH2058">
        <v>0</v>
      </c>
      <c r="BI2058">
        <v>0</v>
      </c>
      <c r="BJ2058">
        <v>0</v>
      </c>
      <c r="BK2058">
        <v>0</v>
      </c>
      <c r="BL2058" s="2">
        <v>24.82</v>
      </c>
      <c r="BM2058" s="2">
        <v>42005.095138888886</v>
      </c>
      <c r="BN2058" s="2">
        <v>5.4</v>
      </c>
      <c r="BO2058" s="2">
        <v>42005.092361111114</v>
      </c>
      <c r="BP2058" s="2">
        <v>6.92</v>
      </c>
      <c r="BQ2058" s="2">
        <v>42005.092361111114</v>
      </c>
      <c r="BR2058" s="2">
        <v>11.07</v>
      </c>
      <c r="BS2058" s="2">
        <v>42005.092361111114</v>
      </c>
      <c r="BT2058">
        <v>0</v>
      </c>
      <c r="BU2058">
        <v>0</v>
      </c>
      <c r="BV2058" t="s">
        <v>135</v>
      </c>
      <c r="BW2058">
        <v>0</v>
      </c>
      <c r="BX2058">
        <v>0</v>
      </c>
      <c r="BY2058" t="s">
        <v>135</v>
      </c>
      <c r="BZ2058">
        <v>0</v>
      </c>
      <c r="CA2058">
        <v>0</v>
      </c>
      <c r="CB2058" t="s">
        <v>135</v>
      </c>
      <c r="CH2058" s="2"/>
      <c r="CJ2058" s="2"/>
      <c r="CL2058" s="2"/>
      <c r="CN2058" s="2"/>
      <c r="CQ2058" s="2"/>
      <c r="CT2058" s="2"/>
      <c r="CW2058" s="2"/>
    </row>
    <row r="2059" spans="1:101" x14ac:dyDescent="0.25">
      <c r="A2059" s="1" t="s">
        <v>163</v>
      </c>
      <c r="B2059" s="75" t="s">
        <v>164</v>
      </c>
      <c r="C2059">
        <v>0</v>
      </c>
      <c r="D2059">
        <v>0</v>
      </c>
      <c r="E2059">
        <v>0</v>
      </c>
      <c r="F2059">
        <v>604324.56000000006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3.91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7490</v>
      </c>
      <c r="AW2059">
        <v>3350</v>
      </c>
      <c r="AX2059">
        <v>1219</v>
      </c>
      <c r="AY2059">
        <v>12059</v>
      </c>
      <c r="AZ2059">
        <v>4202</v>
      </c>
      <c r="BA2059">
        <v>7438</v>
      </c>
      <c r="BB2059">
        <v>1432</v>
      </c>
      <c r="BC2059">
        <v>13072</v>
      </c>
      <c r="BD2059">
        <v>9486</v>
      </c>
      <c r="BE2059">
        <v>9222</v>
      </c>
      <c r="BF2059">
        <v>1768</v>
      </c>
      <c r="BG2059">
        <v>20476</v>
      </c>
      <c r="BH2059">
        <v>0</v>
      </c>
      <c r="BI2059">
        <v>0</v>
      </c>
      <c r="BJ2059">
        <v>0</v>
      </c>
      <c r="BK2059">
        <v>0</v>
      </c>
      <c r="BL2059" s="2">
        <v>24.82</v>
      </c>
      <c r="BM2059" s="2">
        <v>42005.095138888886</v>
      </c>
      <c r="BN2059" s="2">
        <v>5.4</v>
      </c>
      <c r="BO2059" s="2">
        <v>42005.092361111114</v>
      </c>
      <c r="BP2059" s="2">
        <v>6.92</v>
      </c>
      <c r="BQ2059" s="2">
        <v>42005.092361111114</v>
      </c>
      <c r="BR2059" s="2">
        <v>11.07</v>
      </c>
      <c r="BS2059" s="2">
        <v>42005.092361111114</v>
      </c>
      <c r="BT2059">
        <v>0</v>
      </c>
      <c r="BU2059">
        <v>0</v>
      </c>
      <c r="BV2059" t="s">
        <v>135</v>
      </c>
      <c r="BW2059">
        <v>0</v>
      </c>
      <c r="BX2059">
        <v>0</v>
      </c>
      <c r="BY2059" t="s">
        <v>135</v>
      </c>
      <c r="BZ2059">
        <v>0</v>
      </c>
      <c r="CA2059">
        <v>0</v>
      </c>
      <c r="CB2059" t="s">
        <v>135</v>
      </c>
      <c r="CH2059" s="2"/>
      <c r="CJ2059" s="2"/>
      <c r="CL2059" s="2"/>
      <c r="CN2059" s="2"/>
      <c r="CQ2059" s="2"/>
      <c r="CT2059" s="2"/>
      <c r="CW2059" s="2"/>
    </row>
    <row r="2060" spans="1:101" x14ac:dyDescent="0.25">
      <c r="A2060" s="1" t="s">
        <v>163</v>
      </c>
      <c r="B2060" s="75" t="s">
        <v>164</v>
      </c>
      <c r="C2060">
        <v>0</v>
      </c>
      <c r="D2060">
        <v>0</v>
      </c>
      <c r="E2060">
        <v>0</v>
      </c>
      <c r="F2060">
        <v>604324.56000000006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3.91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7490</v>
      </c>
      <c r="AW2060">
        <v>3350</v>
      </c>
      <c r="AX2060">
        <v>1219</v>
      </c>
      <c r="AY2060">
        <v>12059</v>
      </c>
      <c r="AZ2060">
        <v>4202</v>
      </c>
      <c r="BA2060">
        <v>7438</v>
      </c>
      <c r="BB2060">
        <v>1432</v>
      </c>
      <c r="BC2060">
        <v>13072</v>
      </c>
      <c r="BD2060">
        <v>9486</v>
      </c>
      <c r="BE2060">
        <v>9222</v>
      </c>
      <c r="BF2060">
        <v>1768</v>
      </c>
      <c r="BG2060">
        <v>20476</v>
      </c>
      <c r="BH2060">
        <v>0</v>
      </c>
      <c r="BI2060">
        <v>0</v>
      </c>
      <c r="BJ2060">
        <v>0</v>
      </c>
      <c r="BK2060">
        <v>0</v>
      </c>
      <c r="BL2060" s="2">
        <v>24.82</v>
      </c>
      <c r="BM2060" s="2">
        <v>42005.095138888886</v>
      </c>
      <c r="BN2060" s="2">
        <v>5.4</v>
      </c>
      <c r="BO2060" s="2">
        <v>42005.092361111114</v>
      </c>
      <c r="BP2060" s="2">
        <v>6.92</v>
      </c>
      <c r="BQ2060" s="2">
        <v>42005.092361111114</v>
      </c>
      <c r="BR2060" s="2">
        <v>11.07</v>
      </c>
      <c r="BS2060" s="2">
        <v>42005.092361111114</v>
      </c>
      <c r="BT2060">
        <v>0</v>
      </c>
      <c r="BU2060">
        <v>0</v>
      </c>
      <c r="BV2060" t="s">
        <v>135</v>
      </c>
      <c r="BW2060">
        <v>0</v>
      </c>
      <c r="BX2060">
        <v>0</v>
      </c>
      <c r="BY2060" t="s">
        <v>135</v>
      </c>
      <c r="BZ2060">
        <v>0</v>
      </c>
      <c r="CA2060">
        <v>0</v>
      </c>
      <c r="CB2060" t="s">
        <v>135</v>
      </c>
      <c r="CH2060" s="2"/>
      <c r="CJ2060" s="2"/>
      <c r="CL2060" s="2"/>
      <c r="CN2060" s="2"/>
      <c r="CQ2060" s="2"/>
      <c r="CT2060" s="2"/>
      <c r="CW2060" s="2"/>
    </row>
    <row r="2061" spans="1:101" x14ac:dyDescent="0.25">
      <c r="A2061" s="1" t="s">
        <v>163</v>
      </c>
      <c r="B2061" s="75" t="s">
        <v>164</v>
      </c>
      <c r="C2061">
        <v>0</v>
      </c>
      <c r="D2061">
        <v>0</v>
      </c>
      <c r="E2061">
        <v>0</v>
      </c>
      <c r="F2061">
        <v>604324.56000000006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3.91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7490</v>
      </c>
      <c r="AW2061">
        <v>3350</v>
      </c>
      <c r="AX2061">
        <v>1219</v>
      </c>
      <c r="AY2061">
        <v>12059</v>
      </c>
      <c r="AZ2061">
        <v>4202</v>
      </c>
      <c r="BA2061">
        <v>7438</v>
      </c>
      <c r="BB2061">
        <v>1432</v>
      </c>
      <c r="BC2061">
        <v>13072</v>
      </c>
      <c r="BD2061">
        <v>9486</v>
      </c>
      <c r="BE2061">
        <v>9222</v>
      </c>
      <c r="BF2061">
        <v>1768</v>
      </c>
      <c r="BG2061">
        <v>20476</v>
      </c>
      <c r="BH2061">
        <v>0</v>
      </c>
      <c r="BI2061">
        <v>0</v>
      </c>
      <c r="BJ2061">
        <v>0</v>
      </c>
      <c r="BK2061">
        <v>0</v>
      </c>
      <c r="BL2061" s="2">
        <v>24.82</v>
      </c>
      <c r="BM2061" s="2">
        <v>42005.095138888886</v>
      </c>
      <c r="BN2061" s="2">
        <v>5.4</v>
      </c>
      <c r="BO2061" s="2">
        <v>42005.092361111114</v>
      </c>
      <c r="BP2061" s="2">
        <v>6.92</v>
      </c>
      <c r="BQ2061" s="2">
        <v>42005.092361111114</v>
      </c>
      <c r="BR2061" s="2">
        <v>11.07</v>
      </c>
      <c r="BS2061" s="2">
        <v>42005.092361111114</v>
      </c>
      <c r="BT2061">
        <v>0</v>
      </c>
      <c r="BU2061">
        <v>0</v>
      </c>
      <c r="BV2061" t="s">
        <v>135</v>
      </c>
      <c r="BW2061">
        <v>0</v>
      </c>
      <c r="BX2061">
        <v>0</v>
      </c>
      <c r="BY2061" t="s">
        <v>135</v>
      </c>
      <c r="BZ2061">
        <v>0</v>
      </c>
      <c r="CA2061">
        <v>0</v>
      </c>
      <c r="CB2061" t="s">
        <v>135</v>
      </c>
      <c r="CH2061" s="2"/>
      <c r="CJ2061" s="2"/>
      <c r="CL2061" s="2"/>
      <c r="CN2061" s="2"/>
      <c r="CQ2061" s="2"/>
      <c r="CT2061" s="2"/>
      <c r="CW2061" s="2"/>
    </row>
    <row r="2062" spans="1:101" x14ac:dyDescent="0.25">
      <c r="A2062" s="1" t="s">
        <v>163</v>
      </c>
      <c r="B2062" s="75" t="s">
        <v>164</v>
      </c>
      <c r="C2062">
        <v>0</v>
      </c>
      <c r="D2062">
        <v>0</v>
      </c>
      <c r="E2062">
        <v>0</v>
      </c>
      <c r="F2062">
        <v>604324.56000000006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3.91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7490</v>
      </c>
      <c r="AW2062">
        <v>3350</v>
      </c>
      <c r="AX2062">
        <v>1219</v>
      </c>
      <c r="AY2062">
        <v>12059</v>
      </c>
      <c r="AZ2062">
        <v>4202</v>
      </c>
      <c r="BA2062">
        <v>7438</v>
      </c>
      <c r="BB2062">
        <v>1432</v>
      </c>
      <c r="BC2062">
        <v>13072</v>
      </c>
      <c r="BD2062">
        <v>9486</v>
      </c>
      <c r="BE2062">
        <v>9222</v>
      </c>
      <c r="BF2062">
        <v>1768</v>
      </c>
      <c r="BG2062">
        <v>20476</v>
      </c>
      <c r="BH2062">
        <v>0</v>
      </c>
      <c r="BI2062">
        <v>0</v>
      </c>
      <c r="BJ2062">
        <v>0</v>
      </c>
      <c r="BK2062">
        <v>0</v>
      </c>
      <c r="BL2062" s="2">
        <v>24.82</v>
      </c>
      <c r="BM2062" s="2">
        <v>42005.095138888886</v>
      </c>
      <c r="BN2062" s="2">
        <v>5.4</v>
      </c>
      <c r="BO2062" s="2">
        <v>42005.092361111114</v>
      </c>
      <c r="BP2062" s="2">
        <v>6.92</v>
      </c>
      <c r="BQ2062" s="2">
        <v>42005.092361111114</v>
      </c>
      <c r="BR2062" s="2">
        <v>11.07</v>
      </c>
      <c r="BS2062" s="2">
        <v>42005.092361111114</v>
      </c>
      <c r="BT2062">
        <v>0</v>
      </c>
      <c r="BU2062">
        <v>0</v>
      </c>
      <c r="BV2062" t="s">
        <v>135</v>
      </c>
      <c r="BW2062">
        <v>0</v>
      </c>
      <c r="BX2062">
        <v>0</v>
      </c>
      <c r="BY2062" t="s">
        <v>135</v>
      </c>
      <c r="BZ2062">
        <v>0</v>
      </c>
      <c r="CA2062">
        <v>0</v>
      </c>
      <c r="CB2062" t="s">
        <v>135</v>
      </c>
      <c r="CH2062" s="2"/>
      <c r="CJ2062" s="2"/>
      <c r="CL2062" s="2"/>
      <c r="CN2062" s="2"/>
      <c r="CQ2062" s="2"/>
      <c r="CT2062" s="2"/>
      <c r="CW2062" s="2"/>
    </row>
    <row r="2063" spans="1:101" x14ac:dyDescent="0.25">
      <c r="A2063" s="1" t="s">
        <v>163</v>
      </c>
      <c r="B2063" s="75" t="s">
        <v>164</v>
      </c>
      <c r="C2063">
        <v>0</v>
      </c>
      <c r="D2063">
        <v>0</v>
      </c>
      <c r="E2063">
        <v>0</v>
      </c>
      <c r="F2063">
        <v>604324.56000000006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3.91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7490</v>
      </c>
      <c r="AW2063">
        <v>3350</v>
      </c>
      <c r="AX2063">
        <v>1219</v>
      </c>
      <c r="AY2063">
        <v>12059</v>
      </c>
      <c r="AZ2063">
        <v>4202</v>
      </c>
      <c r="BA2063">
        <v>7438</v>
      </c>
      <c r="BB2063">
        <v>1432</v>
      </c>
      <c r="BC2063">
        <v>13072</v>
      </c>
      <c r="BD2063">
        <v>9486</v>
      </c>
      <c r="BE2063">
        <v>9222</v>
      </c>
      <c r="BF2063">
        <v>1768</v>
      </c>
      <c r="BG2063">
        <v>20476</v>
      </c>
      <c r="BH2063">
        <v>0</v>
      </c>
      <c r="BI2063">
        <v>0</v>
      </c>
      <c r="BJ2063">
        <v>0</v>
      </c>
      <c r="BK2063">
        <v>0</v>
      </c>
      <c r="BL2063" s="2">
        <v>24.82</v>
      </c>
      <c r="BM2063" s="2">
        <v>42005.095138888886</v>
      </c>
      <c r="BN2063" s="2">
        <v>5.4</v>
      </c>
      <c r="BO2063" s="2">
        <v>42005.092361111114</v>
      </c>
      <c r="BP2063" s="2">
        <v>6.92</v>
      </c>
      <c r="BQ2063" s="2">
        <v>42005.092361111114</v>
      </c>
      <c r="BR2063" s="2">
        <v>11.07</v>
      </c>
      <c r="BS2063" s="2">
        <v>42005.092361111114</v>
      </c>
      <c r="BT2063">
        <v>0</v>
      </c>
      <c r="BU2063">
        <v>0</v>
      </c>
      <c r="BV2063" t="s">
        <v>135</v>
      </c>
      <c r="BW2063">
        <v>0</v>
      </c>
      <c r="BX2063">
        <v>0</v>
      </c>
      <c r="BY2063" t="s">
        <v>135</v>
      </c>
      <c r="BZ2063">
        <v>0</v>
      </c>
      <c r="CA2063">
        <v>0</v>
      </c>
      <c r="CB2063" t="s">
        <v>135</v>
      </c>
      <c r="CH2063" s="2"/>
      <c r="CJ2063" s="2"/>
      <c r="CL2063" s="2"/>
      <c r="CN2063" s="2"/>
      <c r="CQ2063" s="2"/>
      <c r="CT2063" s="2"/>
      <c r="CW2063" s="2"/>
    </row>
    <row r="2064" spans="1:101" x14ac:dyDescent="0.25">
      <c r="A2064" s="1" t="s">
        <v>163</v>
      </c>
      <c r="B2064" s="75" t="s">
        <v>164</v>
      </c>
      <c r="C2064">
        <v>0</v>
      </c>
      <c r="D2064">
        <v>0</v>
      </c>
      <c r="E2064">
        <v>0</v>
      </c>
      <c r="F2064">
        <v>604324.56000000006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3.91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7490</v>
      </c>
      <c r="AW2064">
        <v>3350</v>
      </c>
      <c r="AX2064">
        <v>1219</v>
      </c>
      <c r="AY2064">
        <v>12059</v>
      </c>
      <c r="AZ2064">
        <v>4202</v>
      </c>
      <c r="BA2064">
        <v>7438</v>
      </c>
      <c r="BB2064">
        <v>1432</v>
      </c>
      <c r="BC2064">
        <v>13072</v>
      </c>
      <c r="BD2064">
        <v>9486</v>
      </c>
      <c r="BE2064">
        <v>9222</v>
      </c>
      <c r="BF2064">
        <v>1768</v>
      </c>
      <c r="BG2064">
        <v>20476</v>
      </c>
      <c r="BH2064">
        <v>0</v>
      </c>
      <c r="BI2064">
        <v>0</v>
      </c>
      <c r="BJ2064">
        <v>0</v>
      </c>
      <c r="BK2064">
        <v>0</v>
      </c>
      <c r="BL2064" s="2">
        <v>24.82</v>
      </c>
      <c r="BM2064" s="2">
        <v>42005.095138888886</v>
      </c>
      <c r="BN2064" s="2">
        <v>5.4</v>
      </c>
      <c r="BO2064" s="2">
        <v>42005.092361111114</v>
      </c>
      <c r="BP2064" s="2">
        <v>6.92</v>
      </c>
      <c r="BQ2064" s="2">
        <v>42005.092361111114</v>
      </c>
      <c r="BR2064" s="2">
        <v>11.07</v>
      </c>
      <c r="BS2064" s="2">
        <v>42005.092361111114</v>
      </c>
      <c r="BT2064">
        <v>0</v>
      </c>
      <c r="BU2064">
        <v>0</v>
      </c>
      <c r="BV2064" t="s">
        <v>135</v>
      </c>
      <c r="BW2064">
        <v>0</v>
      </c>
      <c r="BX2064">
        <v>0</v>
      </c>
      <c r="BY2064" t="s">
        <v>135</v>
      </c>
      <c r="BZ2064">
        <v>0</v>
      </c>
      <c r="CA2064">
        <v>0</v>
      </c>
      <c r="CB2064" t="s">
        <v>135</v>
      </c>
      <c r="CH2064" s="2"/>
      <c r="CJ2064" s="2"/>
      <c r="CL2064" s="2"/>
      <c r="CN2064" s="2"/>
      <c r="CQ2064" s="2"/>
      <c r="CT2064" s="2"/>
      <c r="CW2064" s="2"/>
    </row>
    <row r="2065" spans="1:101" x14ac:dyDescent="0.25">
      <c r="A2065" s="1" t="s">
        <v>163</v>
      </c>
      <c r="B2065" s="75" t="s">
        <v>164</v>
      </c>
      <c r="C2065">
        <v>0</v>
      </c>
      <c r="D2065">
        <v>0</v>
      </c>
      <c r="E2065">
        <v>0</v>
      </c>
      <c r="F2065">
        <v>604324.56000000006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3.91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7490</v>
      </c>
      <c r="AW2065">
        <v>3350</v>
      </c>
      <c r="AX2065">
        <v>1219</v>
      </c>
      <c r="AY2065">
        <v>12059</v>
      </c>
      <c r="AZ2065">
        <v>4202</v>
      </c>
      <c r="BA2065">
        <v>7438</v>
      </c>
      <c r="BB2065">
        <v>1432</v>
      </c>
      <c r="BC2065">
        <v>13072</v>
      </c>
      <c r="BD2065">
        <v>9486</v>
      </c>
      <c r="BE2065">
        <v>9222</v>
      </c>
      <c r="BF2065">
        <v>1768</v>
      </c>
      <c r="BG2065">
        <v>20476</v>
      </c>
      <c r="BH2065">
        <v>0</v>
      </c>
      <c r="BI2065">
        <v>0</v>
      </c>
      <c r="BJ2065">
        <v>0</v>
      </c>
      <c r="BK2065">
        <v>0</v>
      </c>
      <c r="BL2065" s="2">
        <v>24.82</v>
      </c>
      <c r="BM2065" s="2">
        <v>42005.095138888886</v>
      </c>
      <c r="BN2065" s="2">
        <v>5.4</v>
      </c>
      <c r="BO2065" s="2">
        <v>42005.092361111114</v>
      </c>
      <c r="BP2065" s="2">
        <v>6.92</v>
      </c>
      <c r="BQ2065" s="2">
        <v>42005.092361111114</v>
      </c>
      <c r="BR2065" s="2">
        <v>11.07</v>
      </c>
      <c r="BS2065" s="2">
        <v>42005.092361111114</v>
      </c>
      <c r="BT2065">
        <v>0</v>
      </c>
      <c r="BU2065">
        <v>0</v>
      </c>
      <c r="BV2065" t="s">
        <v>135</v>
      </c>
      <c r="BW2065">
        <v>0</v>
      </c>
      <c r="BX2065">
        <v>0</v>
      </c>
      <c r="BY2065" t="s">
        <v>135</v>
      </c>
      <c r="BZ2065">
        <v>0</v>
      </c>
      <c r="CA2065">
        <v>0</v>
      </c>
      <c r="CB2065" t="s">
        <v>135</v>
      </c>
      <c r="CH2065" s="2"/>
      <c r="CJ2065" s="2"/>
      <c r="CL2065" s="2"/>
      <c r="CN2065" s="2"/>
      <c r="CQ2065" s="2"/>
      <c r="CT2065" s="2"/>
      <c r="CW2065" s="2"/>
    </row>
    <row r="2066" spans="1:101" x14ac:dyDescent="0.25">
      <c r="A2066" s="1" t="s">
        <v>163</v>
      </c>
      <c r="B2066" s="75" t="s">
        <v>164</v>
      </c>
      <c r="C2066">
        <v>0</v>
      </c>
      <c r="D2066">
        <v>0</v>
      </c>
      <c r="E2066">
        <v>0</v>
      </c>
      <c r="F2066">
        <v>604324.56000000006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3.91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7490</v>
      </c>
      <c r="AW2066">
        <v>3350</v>
      </c>
      <c r="AX2066">
        <v>1219</v>
      </c>
      <c r="AY2066">
        <v>12059</v>
      </c>
      <c r="AZ2066">
        <v>4202</v>
      </c>
      <c r="BA2066">
        <v>7438</v>
      </c>
      <c r="BB2066">
        <v>1432</v>
      </c>
      <c r="BC2066">
        <v>13072</v>
      </c>
      <c r="BD2066">
        <v>9486</v>
      </c>
      <c r="BE2066">
        <v>9222</v>
      </c>
      <c r="BF2066">
        <v>1768</v>
      </c>
      <c r="BG2066">
        <v>20476</v>
      </c>
      <c r="BH2066">
        <v>0</v>
      </c>
      <c r="BI2066">
        <v>0</v>
      </c>
      <c r="BJ2066">
        <v>0</v>
      </c>
      <c r="BK2066">
        <v>0</v>
      </c>
      <c r="BL2066" s="2">
        <v>24.82</v>
      </c>
      <c r="BM2066" s="2">
        <v>42005.095138888886</v>
      </c>
      <c r="BN2066" s="2">
        <v>5.4</v>
      </c>
      <c r="BO2066" s="2">
        <v>42005.092361111114</v>
      </c>
      <c r="BP2066" s="2">
        <v>6.92</v>
      </c>
      <c r="BQ2066" s="2">
        <v>42005.092361111114</v>
      </c>
      <c r="BR2066" s="2">
        <v>11.07</v>
      </c>
      <c r="BS2066" s="2">
        <v>42005.092361111114</v>
      </c>
      <c r="BT2066">
        <v>0</v>
      </c>
      <c r="BU2066">
        <v>0</v>
      </c>
      <c r="BV2066" t="s">
        <v>135</v>
      </c>
      <c r="BW2066">
        <v>0</v>
      </c>
      <c r="BX2066">
        <v>0</v>
      </c>
      <c r="BY2066" t="s">
        <v>135</v>
      </c>
      <c r="BZ2066">
        <v>0</v>
      </c>
      <c r="CA2066">
        <v>0</v>
      </c>
      <c r="CB2066" t="s">
        <v>135</v>
      </c>
      <c r="CH2066" s="2"/>
      <c r="CJ2066" s="2"/>
      <c r="CL2066" s="2"/>
      <c r="CN2066" s="2"/>
      <c r="CQ2066" s="2"/>
      <c r="CT2066" s="2"/>
      <c r="CW2066" s="2"/>
    </row>
    <row r="2067" spans="1:101" x14ac:dyDescent="0.25">
      <c r="A2067" s="1" t="s">
        <v>163</v>
      </c>
      <c r="B2067" s="75" t="s">
        <v>164</v>
      </c>
      <c r="C2067">
        <v>0</v>
      </c>
      <c r="D2067">
        <v>0</v>
      </c>
      <c r="E2067">
        <v>0</v>
      </c>
      <c r="F2067">
        <v>604324.56000000006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3.91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7490</v>
      </c>
      <c r="AW2067">
        <v>3350</v>
      </c>
      <c r="AX2067">
        <v>1219</v>
      </c>
      <c r="AY2067">
        <v>12059</v>
      </c>
      <c r="AZ2067">
        <v>4202</v>
      </c>
      <c r="BA2067">
        <v>7438</v>
      </c>
      <c r="BB2067">
        <v>1432</v>
      </c>
      <c r="BC2067">
        <v>13072</v>
      </c>
      <c r="BD2067">
        <v>9486</v>
      </c>
      <c r="BE2067">
        <v>9222</v>
      </c>
      <c r="BF2067">
        <v>1768</v>
      </c>
      <c r="BG2067">
        <v>20476</v>
      </c>
      <c r="BH2067">
        <v>0</v>
      </c>
      <c r="BI2067">
        <v>0</v>
      </c>
      <c r="BJ2067">
        <v>0</v>
      </c>
      <c r="BK2067">
        <v>0</v>
      </c>
      <c r="BL2067" s="2">
        <v>24.82</v>
      </c>
      <c r="BM2067" s="2">
        <v>42005.095138888886</v>
      </c>
      <c r="BN2067" s="2">
        <v>5.4</v>
      </c>
      <c r="BO2067" s="2">
        <v>42005.092361111114</v>
      </c>
      <c r="BP2067" s="2">
        <v>6.92</v>
      </c>
      <c r="BQ2067" s="2">
        <v>42005.092361111114</v>
      </c>
      <c r="BR2067" s="2">
        <v>11.07</v>
      </c>
      <c r="BS2067" s="2">
        <v>42005.092361111114</v>
      </c>
      <c r="BT2067">
        <v>0</v>
      </c>
      <c r="BU2067">
        <v>0</v>
      </c>
      <c r="BV2067" t="s">
        <v>135</v>
      </c>
      <c r="BW2067">
        <v>0</v>
      </c>
      <c r="BX2067">
        <v>0</v>
      </c>
      <c r="BY2067" t="s">
        <v>135</v>
      </c>
      <c r="BZ2067">
        <v>0</v>
      </c>
      <c r="CA2067">
        <v>0</v>
      </c>
      <c r="CB2067" t="s">
        <v>135</v>
      </c>
      <c r="CH2067" s="2"/>
      <c r="CJ2067" s="2"/>
      <c r="CL2067" s="2"/>
      <c r="CN2067" s="2"/>
      <c r="CQ2067" s="2"/>
      <c r="CT2067" s="2"/>
      <c r="CW2067" s="2"/>
    </row>
    <row r="2068" spans="1:101" x14ac:dyDescent="0.25">
      <c r="A2068" s="1" t="s">
        <v>163</v>
      </c>
      <c r="B2068" s="75" t="s">
        <v>164</v>
      </c>
      <c r="C2068">
        <v>0</v>
      </c>
      <c r="D2068">
        <v>0</v>
      </c>
      <c r="E2068">
        <v>0</v>
      </c>
      <c r="F2068">
        <v>604324.56000000006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3.91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7490</v>
      </c>
      <c r="AW2068">
        <v>3350</v>
      </c>
      <c r="AX2068">
        <v>1219</v>
      </c>
      <c r="AY2068">
        <v>12059</v>
      </c>
      <c r="AZ2068">
        <v>4202</v>
      </c>
      <c r="BA2068">
        <v>7438</v>
      </c>
      <c r="BB2068">
        <v>1432</v>
      </c>
      <c r="BC2068">
        <v>13072</v>
      </c>
      <c r="BD2068">
        <v>9486</v>
      </c>
      <c r="BE2068">
        <v>9222</v>
      </c>
      <c r="BF2068">
        <v>1768</v>
      </c>
      <c r="BG2068">
        <v>20476</v>
      </c>
      <c r="BH2068">
        <v>0</v>
      </c>
      <c r="BI2068">
        <v>0</v>
      </c>
      <c r="BJ2068">
        <v>0</v>
      </c>
      <c r="BK2068">
        <v>0</v>
      </c>
      <c r="BL2068" s="2">
        <v>24.82</v>
      </c>
      <c r="BM2068" s="2">
        <v>42005.095138888886</v>
      </c>
      <c r="BN2068" s="2">
        <v>5.4</v>
      </c>
      <c r="BO2068" s="2">
        <v>42005.092361111114</v>
      </c>
      <c r="BP2068" s="2">
        <v>6.92</v>
      </c>
      <c r="BQ2068" s="2">
        <v>42005.092361111114</v>
      </c>
      <c r="BR2068" s="2">
        <v>11.07</v>
      </c>
      <c r="BS2068" s="2">
        <v>42005.092361111114</v>
      </c>
      <c r="BT2068">
        <v>0</v>
      </c>
      <c r="BU2068">
        <v>0</v>
      </c>
      <c r="BV2068" t="s">
        <v>135</v>
      </c>
      <c r="BW2068">
        <v>0</v>
      </c>
      <c r="BX2068">
        <v>0</v>
      </c>
      <c r="BY2068" t="s">
        <v>135</v>
      </c>
      <c r="BZ2068">
        <v>0</v>
      </c>
      <c r="CA2068">
        <v>0</v>
      </c>
      <c r="CB2068" t="s">
        <v>135</v>
      </c>
      <c r="CH2068" s="2"/>
      <c r="CJ2068" s="2"/>
      <c r="CL2068" s="2"/>
      <c r="CN2068" s="2"/>
      <c r="CQ2068" s="2"/>
      <c r="CT2068" s="2"/>
      <c r="CW2068" s="2"/>
    </row>
    <row r="2069" spans="1:101" x14ac:dyDescent="0.25">
      <c r="A2069" s="1" t="s">
        <v>163</v>
      </c>
      <c r="B2069" s="75" t="s">
        <v>164</v>
      </c>
      <c r="C2069">
        <v>0</v>
      </c>
      <c r="D2069">
        <v>0</v>
      </c>
      <c r="E2069">
        <v>0</v>
      </c>
      <c r="F2069">
        <v>604324.56000000006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3.91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7490</v>
      </c>
      <c r="AW2069">
        <v>3350</v>
      </c>
      <c r="AX2069">
        <v>1219</v>
      </c>
      <c r="AY2069">
        <v>12059</v>
      </c>
      <c r="AZ2069">
        <v>4202</v>
      </c>
      <c r="BA2069">
        <v>7438</v>
      </c>
      <c r="BB2069">
        <v>1432</v>
      </c>
      <c r="BC2069">
        <v>13072</v>
      </c>
      <c r="BD2069">
        <v>9486</v>
      </c>
      <c r="BE2069">
        <v>9222</v>
      </c>
      <c r="BF2069">
        <v>1768</v>
      </c>
      <c r="BG2069">
        <v>20476</v>
      </c>
      <c r="BH2069">
        <v>0</v>
      </c>
      <c r="BI2069">
        <v>0</v>
      </c>
      <c r="BJ2069">
        <v>0</v>
      </c>
      <c r="BK2069">
        <v>0</v>
      </c>
      <c r="BL2069" s="2">
        <v>24.82</v>
      </c>
      <c r="BM2069" s="2">
        <v>42005.095138888886</v>
      </c>
      <c r="BN2069" s="2">
        <v>5.4</v>
      </c>
      <c r="BO2069" s="2">
        <v>42005.092361111114</v>
      </c>
      <c r="BP2069" s="2">
        <v>6.92</v>
      </c>
      <c r="BQ2069" s="2">
        <v>42005.092361111114</v>
      </c>
      <c r="BR2069" s="2">
        <v>11.07</v>
      </c>
      <c r="BS2069" s="2">
        <v>42005.092361111114</v>
      </c>
      <c r="BT2069">
        <v>0</v>
      </c>
      <c r="BU2069">
        <v>0</v>
      </c>
      <c r="BV2069" t="s">
        <v>135</v>
      </c>
      <c r="BW2069">
        <v>0</v>
      </c>
      <c r="BX2069">
        <v>0</v>
      </c>
      <c r="BY2069" t="s">
        <v>135</v>
      </c>
      <c r="BZ2069">
        <v>0</v>
      </c>
      <c r="CA2069">
        <v>0</v>
      </c>
      <c r="CB2069" t="s">
        <v>135</v>
      </c>
      <c r="CH2069" s="2"/>
      <c r="CJ2069" s="2"/>
      <c r="CL2069" s="2"/>
      <c r="CN2069" s="2"/>
      <c r="CQ2069" s="2"/>
      <c r="CT2069" s="2"/>
      <c r="CW2069" s="2"/>
    </row>
    <row r="2070" spans="1:101" x14ac:dyDescent="0.25">
      <c r="A2070" s="1" t="s">
        <v>163</v>
      </c>
      <c r="B2070" s="75" t="s">
        <v>164</v>
      </c>
      <c r="C2070">
        <v>0</v>
      </c>
      <c r="D2070">
        <v>0</v>
      </c>
      <c r="E2070">
        <v>0</v>
      </c>
      <c r="F2070">
        <v>604324.56000000006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3.91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7490</v>
      </c>
      <c r="AW2070">
        <v>3350</v>
      </c>
      <c r="AX2070">
        <v>1219</v>
      </c>
      <c r="AY2070">
        <v>12059</v>
      </c>
      <c r="AZ2070">
        <v>4202</v>
      </c>
      <c r="BA2070">
        <v>7438</v>
      </c>
      <c r="BB2070">
        <v>1432</v>
      </c>
      <c r="BC2070">
        <v>13072</v>
      </c>
      <c r="BD2070">
        <v>9486</v>
      </c>
      <c r="BE2070">
        <v>9222</v>
      </c>
      <c r="BF2070">
        <v>1768</v>
      </c>
      <c r="BG2070">
        <v>20476</v>
      </c>
      <c r="BH2070">
        <v>0</v>
      </c>
      <c r="BI2070">
        <v>0</v>
      </c>
      <c r="BJ2070">
        <v>0</v>
      </c>
      <c r="BK2070">
        <v>0</v>
      </c>
      <c r="BL2070" s="2">
        <v>24.82</v>
      </c>
      <c r="BM2070" s="2">
        <v>42005.095138888886</v>
      </c>
      <c r="BN2070" s="2">
        <v>5.4</v>
      </c>
      <c r="BO2070" s="2">
        <v>42005.092361111114</v>
      </c>
      <c r="BP2070" s="2">
        <v>6.92</v>
      </c>
      <c r="BQ2070" s="2">
        <v>42005.092361111114</v>
      </c>
      <c r="BR2070" s="2">
        <v>11.07</v>
      </c>
      <c r="BS2070" s="2">
        <v>42005.092361111114</v>
      </c>
      <c r="BT2070">
        <v>0</v>
      </c>
      <c r="BU2070">
        <v>0</v>
      </c>
      <c r="BV2070" t="s">
        <v>135</v>
      </c>
      <c r="BW2070">
        <v>0</v>
      </c>
      <c r="BX2070">
        <v>0</v>
      </c>
      <c r="BY2070" t="s">
        <v>135</v>
      </c>
      <c r="BZ2070">
        <v>0</v>
      </c>
      <c r="CA2070">
        <v>0</v>
      </c>
      <c r="CB2070" t="s">
        <v>135</v>
      </c>
      <c r="CH2070" s="2"/>
      <c r="CJ2070" s="2"/>
      <c r="CL2070" s="2"/>
      <c r="CN2070" s="2"/>
      <c r="CQ2070" s="2"/>
      <c r="CT2070" s="2"/>
      <c r="CW2070" s="2"/>
    </row>
    <row r="2071" spans="1:101" x14ac:dyDescent="0.25">
      <c r="A2071" s="1" t="s">
        <v>163</v>
      </c>
      <c r="B2071" s="75" t="s">
        <v>164</v>
      </c>
      <c r="C2071">
        <v>0</v>
      </c>
      <c r="D2071">
        <v>0</v>
      </c>
      <c r="E2071">
        <v>0</v>
      </c>
      <c r="F2071">
        <v>604324.56000000006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3.91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7490</v>
      </c>
      <c r="AW2071">
        <v>3350</v>
      </c>
      <c r="AX2071">
        <v>1219</v>
      </c>
      <c r="AY2071">
        <v>12059</v>
      </c>
      <c r="AZ2071">
        <v>4202</v>
      </c>
      <c r="BA2071">
        <v>7438</v>
      </c>
      <c r="BB2071">
        <v>1432</v>
      </c>
      <c r="BC2071">
        <v>13072</v>
      </c>
      <c r="BD2071">
        <v>9486</v>
      </c>
      <c r="BE2071">
        <v>9222</v>
      </c>
      <c r="BF2071">
        <v>1768</v>
      </c>
      <c r="BG2071">
        <v>20476</v>
      </c>
      <c r="BH2071">
        <v>0</v>
      </c>
      <c r="BI2071">
        <v>0</v>
      </c>
      <c r="BJ2071">
        <v>0</v>
      </c>
      <c r="BK2071">
        <v>0</v>
      </c>
      <c r="BL2071" s="2">
        <v>24.82</v>
      </c>
      <c r="BM2071" s="2">
        <v>42005.095138888886</v>
      </c>
      <c r="BN2071" s="2">
        <v>5.4</v>
      </c>
      <c r="BO2071" s="2">
        <v>42005.092361111114</v>
      </c>
      <c r="BP2071" s="2">
        <v>6.92</v>
      </c>
      <c r="BQ2071" s="2">
        <v>42005.092361111114</v>
      </c>
      <c r="BR2071" s="2">
        <v>11.07</v>
      </c>
      <c r="BS2071" s="2">
        <v>42005.092361111114</v>
      </c>
      <c r="BT2071">
        <v>0</v>
      </c>
      <c r="BU2071">
        <v>0</v>
      </c>
      <c r="BV2071" t="s">
        <v>135</v>
      </c>
      <c r="BW2071">
        <v>0</v>
      </c>
      <c r="BX2071">
        <v>0</v>
      </c>
      <c r="BY2071" t="s">
        <v>135</v>
      </c>
      <c r="BZ2071">
        <v>0</v>
      </c>
      <c r="CA2071">
        <v>0</v>
      </c>
      <c r="CB2071" t="s">
        <v>135</v>
      </c>
      <c r="CH2071" s="2"/>
      <c r="CJ2071" s="2"/>
      <c r="CL2071" s="2"/>
      <c r="CN2071" s="2"/>
      <c r="CQ2071" s="2"/>
      <c r="CT2071" s="2"/>
      <c r="CW2071" s="2"/>
    </row>
    <row r="2072" spans="1:101" x14ac:dyDescent="0.25">
      <c r="A2072" s="1" t="s">
        <v>163</v>
      </c>
      <c r="B2072" s="75" t="s">
        <v>164</v>
      </c>
      <c r="C2072">
        <v>0</v>
      </c>
      <c r="D2072">
        <v>0</v>
      </c>
      <c r="E2072">
        <v>0</v>
      </c>
      <c r="F2072">
        <v>604324.56000000006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3.91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7490</v>
      </c>
      <c r="AW2072">
        <v>3350</v>
      </c>
      <c r="AX2072">
        <v>1219</v>
      </c>
      <c r="AY2072">
        <v>12059</v>
      </c>
      <c r="AZ2072">
        <v>4202</v>
      </c>
      <c r="BA2072">
        <v>7438</v>
      </c>
      <c r="BB2072">
        <v>1432</v>
      </c>
      <c r="BC2072">
        <v>13072</v>
      </c>
      <c r="BD2072">
        <v>9486</v>
      </c>
      <c r="BE2072">
        <v>9222</v>
      </c>
      <c r="BF2072">
        <v>1768</v>
      </c>
      <c r="BG2072">
        <v>20476</v>
      </c>
      <c r="BH2072">
        <v>0</v>
      </c>
      <c r="BI2072">
        <v>0</v>
      </c>
      <c r="BJ2072">
        <v>0</v>
      </c>
      <c r="BK2072">
        <v>0</v>
      </c>
      <c r="BL2072" s="2">
        <v>24.82</v>
      </c>
      <c r="BM2072" s="2">
        <v>42005.095138888886</v>
      </c>
      <c r="BN2072" s="2">
        <v>5.4</v>
      </c>
      <c r="BO2072" s="2">
        <v>42005.092361111114</v>
      </c>
      <c r="BP2072" s="2">
        <v>6.92</v>
      </c>
      <c r="BQ2072" s="2">
        <v>42005.092361111114</v>
      </c>
      <c r="BR2072" s="2">
        <v>11.07</v>
      </c>
      <c r="BS2072" s="2">
        <v>42005.092361111114</v>
      </c>
      <c r="BT2072">
        <v>0</v>
      </c>
      <c r="BU2072">
        <v>0</v>
      </c>
      <c r="BV2072" t="s">
        <v>135</v>
      </c>
      <c r="BW2072">
        <v>0</v>
      </c>
      <c r="BX2072">
        <v>0</v>
      </c>
      <c r="BY2072" t="s">
        <v>135</v>
      </c>
      <c r="BZ2072">
        <v>0</v>
      </c>
      <c r="CA2072">
        <v>0</v>
      </c>
      <c r="CB2072" t="s">
        <v>135</v>
      </c>
      <c r="CH2072" s="2"/>
      <c r="CJ2072" s="2"/>
      <c r="CL2072" s="2"/>
      <c r="CN2072" s="2"/>
      <c r="CQ2072" s="2"/>
      <c r="CT2072" s="2"/>
      <c r="CW2072" s="2"/>
    </row>
    <row r="2073" spans="1:101" x14ac:dyDescent="0.25">
      <c r="A2073" s="1" t="s">
        <v>163</v>
      </c>
      <c r="B2073" s="75" t="s">
        <v>164</v>
      </c>
      <c r="C2073">
        <v>0</v>
      </c>
      <c r="D2073">
        <v>0</v>
      </c>
      <c r="E2073">
        <v>0</v>
      </c>
      <c r="F2073">
        <v>604324.56000000006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3.91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7490</v>
      </c>
      <c r="AW2073">
        <v>3350</v>
      </c>
      <c r="AX2073">
        <v>1219</v>
      </c>
      <c r="AY2073">
        <v>12059</v>
      </c>
      <c r="AZ2073">
        <v>4202</v>
      </c>
      <c r="BA2073">
        <v>7438</v>
      </c>
      <c r="BB2073">
        <v>1432</v>
      </c>
      <c r="BC2073">
        <v>13072</v>
      </c>
      <c r="BD2073">
        <v>9486</v>
      </c>
      <c r="BE2073">
        <v>9222</v>
      </c>
      <c r="BF2073">
        <v>1768</v>
      </c>
      <c r="BG2073">
        <v>20476</v>
      </c>
      <c r="BH2073">
        <v>0</v>
      </c>
      <c r="BI2073">
        <v>0</v>
      </c>
      <c r="BJ2073">
        <v>0</v>
      </c>
      <c r="BK2073">
        <v>0</v>
      </c>
      <c r="BL2073" s="2">
        <v>24.82</v>
      </c>
      <c r="BM2073" s="2">
        <v>42005.095138888886</v>
      </c>
      <c r="BN2073" s="2">
        <v>5.4</v>
      </c>
      <c r="BO2073" s="2">
        <v>42005.092361111114</v>
      </c>
      <c r="BP2073" s="2">
        <v>6.92</v>
      </c>
      <c r="BQ2073" s="2">
        <v>42005.092361111114</v>
      </c>
      <c r="BR2073" s="2">
        <v>11.07</v>
      </c>
      <c r="BS2073" s="2">
        <v>42005.092361111114</v>
      </c>
      <c r="BT2073">
        <v>0</v>
      </c>
      <c r="BU2073">
        <v>0</v>
      </c>
      <c r="BV2073" t="s">
        <v>135</v>
      </c>
      <c r="BW2073">
        <v>0</v>
      </c>
      <c r="BX2073">
        <v>0</v>
      </c>
      <c r="BY2073" t="s">
        <v>135</v>
      </c>
      <c r="BZ2073">
        <v>0</v>
      </c>
      <c r="CA2073">
        <v>0</v>
      </c>
      <c r="CB2073" t="s">
        <v>135</v>
      </c>
      <c r="CH2073" s="2"/>
      <c r="CJ2073" s="2"/>
      <c r="CL2073" s="2"/>
      <c r="CN2073" s="2"/>
      <c r="CQ2073" s="2"/>
      <c r="CT2073" s="2"/>
      <c r="CW2073" s="2"/>
    </row>
    <row r="2074" spans="1:101" x14ac:dyDescent="0.25">
      <c r="A2074" s="1" t="s">
        <v>163</v>
      </c>
      <c r="B2074" s="75" t="s">
        <v>164</v>
      </c>
      <c r="C2074">
        <v>0</v>
      </c>
      <c r="D2074">
        <v>0</v>
      </c>
      <c r="E2074">
        <v>0</v>
      </c>
      <c r="F2074">
        <v>604324.56000000006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3.91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7490</v>
      </c>
      <c r="AW2074">
        <v>3350</v>
      </c>
      <c r="AX2074">
        <v>1219</v>
      </c>
      <c r="AY2074">
        <v>12059</v>
      </c>
      <c r="AZ2074">
        <v>4202</v>
      </c>
      <c r="BA2074">
        <v>7438</v>
      </c>
      <c r="BB2074">
        <v>1432</v>
      </c>
      <c r="BC2074">
        <v>13072</v>
      </c>
      <c r="BD2074">
        <v>9486</v>
      </c>
      <c r="BE2074">
        <v>9222</v>
      </c>
      <c r="BF2074">
        <v>1768</v>
      </c>
      <c r="BG2074">
        <v>20476</v>
      </c>
      <c r="BH2074">
        <v>0</v>
      </c>
      <c r="BI2074">
        <v>0</v>
      </c>
      <c r="BJ2074">
        <v>0</v>
      </c>
      <c r="BK2074">
        <v>0</v>
      </c>
      <c r="BL2074" s="2">
        <v>24.82</v>
      </c>
      <c r="BM2074" s="2">
        <v>42005.095138888886</v>
      </c>
      <c r="BN2074" s="2">
        <v>5.4</v>
      </c>
      <c r="BO2074" s="2">
        <v>42005.092361111114</v>
      </c>
      <c r="BP2074" s="2">
        <v>6.92</v>
      </c>
      <c r="BQ2074" s="2">
        <v>42005.092361111114</v>
      </c>
      <c r="BR2074" s="2">
        <v>11.07</v>
      </c>
      <c r="BS2074" s="2">
        <v>42005.092361111114</v>
      </c>
      <c r="BT2074">
        <v>0</v>
      </c>
      <c r="BU2074">
        <v>0</v>
      </c>
      <c r="BV2074" t="s">
        <v>135</v>
      </c>
      <c r="BW2074">
        <v>0</v>
      </c>
      <c r="BX2074">
        <v>0</v>
      </c>
      <c r="BY2074" t="s">
        <v>135</v>
      </c>
      <c r="BZ2074">
        <v>0</v>
      </c>
      <c r="CA2074">
        <v>0</v>
      </c>
      <c r="CB2074" t="s">
        <v>135</v>
      </c>
      <c r="CH2074" s="2"/>
      <c r="CJ2074" s="2"/>
      <c r="CL2074" s="2"/>
      <c r="CN2074" s="2"/>
      <c r="CQ2074" s="2"/>
      <c r="CT2074" s="2"/>
      <c r="CW2074" s="2"/>
    </row>
    <row r="2075" spans="1:101" x14ac:dyDescent="0.25">
      <c r="A2075" s="1" t="s">
        <v>163</v>
      </c>
      <c r="B2075" s="75" t="s">
        <v>164</v>
      </c>
      <c r="C2075">
        <v>0</v>
      </c>
      <c r="D2075">
        <v>0</v>
      </c>
      <c r="E2075">
        <v>0</v>
      </c>
      <c r="F2075">
        <v>604324.56000000006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3.91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7490</v>
      </c>
      <c r="AW2075">
        <v>3350</v>
      </c>
      <c r="AX2075">
        <v>1219</v>
      </c>
      <c r="AY2075">
        <v>12059</v>
      </c>
      <c r="AZ2075">
        <v>4202</v>
      </c>
      <c r="BA2075">
        <v>7438</v>
      </c>
      <c r="BB2075">
        <v>1432</v>
      </c>
      <c r="BC2075">
        <v>13072</v>
      </c>
      <c r="BD2075">
        <v>9486</v>
      </c>
      <c r="BE2075">
        <v>9222</v>
      </c>
      <c r="BF2075">
        <v>1768</v>
      </c>
      <c r="BG2075">
        <v>20476</v>
      </c>
      <c r="BH2075">
        <v>0</v>
      </c>
      <c r="BI2075">
        <v>0</v>
      </c>
      <c r="BJ2075">
        <v>0</v>
      </c>
      <c r="BK2075">
        <v>0</v>
      </c>
      <c r="BL2075" s="2">
        <v>24.82</v>
      </c>
      <c r="BM2075" s="2">
        <v>42005.095138888886</v>
      </c>
      <c r="BN2075" s="2">
        <v>5.4</v>
      </c>
      <c r="BO2075" s="2">
        <v>42005.092361111114</v>
      </c>
      <c r="BP2075" s="2">
        <v>6.92</v>
      </c>
      <c r="BQ2075" s="2">
        <v>42005.092361111114</v>
      </c>
      <c r="BR2075" s="2">
        <v>11.07</v>
      </c>
      <c r="BS2075" s="2">
        <v>42005.092361111114</v>
      </c>
      <c r="BT2075">
        <v>0</v>
      </c>
      <c r="BU2075">
        <v>0</v>
      </c>
      <c r="BV2075" t="s">
        <v>135</v>
      </c>
      <c r="BW2075">
        <v>0</v>
      </c>
      <c r="BX2075">
        <v>0</v>
      </c>
      <c r="BY2075" t="s">
        <v>135</v>
      </c>
      <c r="BZ2075">
        <v>0</v>
      </c>
      <c r="CA2075">
        <v>0</v>
      </c>
      <c r="CB2075" t="s">
        <v>135</v>
      </c>
      <c r="CH2075" s="2"/>
      <c r="CJ2075" s="2"/>
      <c r="CL2075" s="2"/>
      <c r="CN2075" s="2"/>
      <c r="CQ2075" s="2"/>
      <c r="CT2075" s="2"/>
      <c r="CW2075" s="2"/>
    </row>
    <row r="2076" spans="1:101" x14ac:dyDescent="0.25">
      <c r="A2076" s="1" t="s">
        <v>163</v>
      </c>
      <c r="B2076" s="75" t="s">
        <v>164</v>
      </c>
      <c r="C2076">
        <v>0</v>
      </c>
      <c r="D2076">
        <v>0</v>
      </c>
      <c r="E2076">
        <v>0</v>
      </c>
      <c r="F2076">
        <v>604324.56000000006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3.91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7490</v>
      </c>
      <c r="AW2076">
        <v>3350</v>
      </c>
      <c r="AX2076">
        <v>1219</v>
      </c>
      <c r="AY2076">
        <v>12059</v>
      </c>
      <c r="AZ2076">
        <v>4202</v>
      </c>
      <c r="BA2076">
        <v>7438</v>
      </c>
      <c r="BB2076">
        <v>1432</v>
      </c>
      <c r="BC2076">
        <v>13072</v>
      </c>
      <c r="BD2076">
        <v>9486</v>
      </c>
      <c r="BE2076">
        <v>9222</v>
      </c>
      <c r="BF2076">
        <v>1768</v>
      </c>
      <c r="BG2076">
        <v>20476</v>
      </c>
      <c r="BH2076">
        <v>0</v>
      </c>
      <c r="BI2076">
        <v>0</v>
      </c>
      <c r="BJ2076">
        <v>0</v>
      </c>
      <c r="BK2076">
        <v>0</v>
      </c>
      <c r="BL2076" s="2">
        <v>24.82</v>
      </c>
      <c r="BM2076" s="2">
        <v>42005.095138888886</v>
      </c>
      <c r="BN2076" s="2">
        <v>5.4</v>
      </c>
      <c r="BO2076" s="2">
        <v>42005.092361111114</v>
      </c>
      <c r="BP2076" s="2">
        <v>6.92</v>
      </c>
      <c r="BQ2076" s="2">
        <v>42005.092361111114</v>
      </c>
      <c r="BR2076" s="2">
        <v>11.07</v>
      </c>
      <c r="BS2076" s="2">
        <v>42005.092361111114</v>
      </c>
      <c r="BT2076">
        <v>0</v>
      </c>
      <c r="BU2076">
        <v>0</v>
      </c>
      <c r="BV2076" t="s">
        <v>135</v>
      </c>
      <c r="BW2076">
        <v>0</v>
      </c>
      <c r="BX2076">
        <v>0</v>
      </c>
      <c r="BY2076" t="s">
        <v>135</v>
      </c>
      <c r="BZ2076">
        <v>0</v>
      </c>
      <c r="CA2076">
        <v>0</v>
      </c>
      <c r="CB2076" t="s">
        <v>135</v>
      </c>
      <c r="CH2076" s="2"/>
      <c r="CJ2076" s="2"/>
      <c r="CL2076" s="2"/>
      <c r="CN2076" s="2"/>
      <c r="CQ2076" s="2"/>
      <c r="CT2076" s="2"/>
      <c r="CW2076" s="2"/>
    </row>
    <row r="2077" spans="1:101" x14ac:dyDescent="0.25">
      <c r="A2077" s="1" t="s">
        <v>163</v>
      </c>
      <c r="B2077" s="75" t="s">
        <v>164</v>
      </c>
      <c r="C2077">
        <v>0</v>
      </c>
      <c r="D2077">
        <v>0</v>
      </c>
      <c r="E2077">
        <v>0</v>
      </c>
      <c r="F2077">
        <v>604324.56000000006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3.91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7490</v>
      </c>
      <c r="AW2077">
        <v>3350</v>
      </c>
      <c r="AX2077">
        <v>1219</v>
      </c>
      <c r="AY2077">
        <v>12059</v>
      </c>
      <c r="AZ2077">
        <v>4202</v>
      </c>
      <c r="BA2077">
        <v>7438</v>
      </c>
      <c r="BB2077">
        <v>1432</v>
      </c>
      <c r="BC2077">
        <v>13072</v>
      </c>
      <c r="BD2077">
        <v>9486</v>
      </c>
      <c r="BE2077">
        <v>9222</v>
      </c>
      <c r="BF2077">
        <v>1768</v>
      </c>
      <c r="BG2077">
        <v>20476</v>
      </c>
      <c r="BH2077">
        <v>0</v>
      </c>
      <c r="BI2077">
        <v>0</v>
      </c>
      <c r="BJ2077">
        <v>0</v>
      </c>
      <c r="BK2077">
        <v>0</v>
      </c>
      <c r="BL2077" s="2">
        <v>24.82</v>
      </c>
      <c r="BM2077" s="2">
        <v>42005.095138888886</v>
      </c>
      <c r="BN2077" s="2">
        <v>5.4</v>
      </c>
      <c r="BO2077" s="2">
        <v>42005.092361111114</v>
      </c>
      <c r="BP2077" s="2">
        <v>6.92</v>
      </c>
      <c r="BQ2077" s="2">
        <v>42005.092361111114</v>
      </c>
      <c r="BR2077" s="2">
        <v>11.07</v>
      </c>
      <c r="BS2077" s="2">
        <v>42005.092361111114</v>
      </c>
      <c r="BT2077">
        <v>0</v>
      </c>
      <c r="BU2077">
        <v>0</v>
      </c>
      <c r="BV2077" t="s">
        <v>135</v>
      </c>
      <c r="BW2077">
        <v>0</v>
      </c>
      <c r="BX2077">
        <v>0</v>
      </c>
      <c r="BY2077" t="s">
        <v>135</v>
      </c>
      <c r="BZ2077">
        <v>0</v>
      </c>
      <c r="CA2077">
        <v>0</v>
      </c>
      <c r="CB2077" t="s">
        <v>135</v>
      </c>
      <c r="CH2077" s="2"/>
      <c r="CJ2077" s="2"/>
      <c r="CL2077" s="2"/>
      <c r="CN2077" s="2"/>
      <c r="CQ2077" s="2"/>
      <c r="CT2077" s="2"/>
      <c r="CW2077" s="2"/>
    </row>
    <row r="2078" spans="1:101" x14ac:dyDescent="0.25">
      <c r="A2078" s="1" t="s">
        <v>163</v>
      </c>
      <c r="B2078" s="75" t="s">
        <v>164</v>
      </c>
      <c r="C2078">
        <v>0</v>
      </c>
      <c r="D2078">
        <v>0</v>
      </c>
      <c r="E2078">
        <v>0</v>
      </c>
      <c r="F2078">
        <v>604324.56000000006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3.91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7490</v>
      </c>
      <c r="AW2078">
        <v>3350</v>
      </c>
      <c r="AX2078">
        <v>1219</v>
      </c>
      <c r="AY2078">
        <v>12059</v>
      </c>
      <c r="AZ2078">
        <v>4202</v>
      </c>
      <c r="BA2078">
        <v>7438</v>
      </c>
      <c r="BB2078">
        <v>1432</v>
      </c>
      <c r="BC2078">
        <v>13072</v>
      </c>
      <c r="BD2078">
        <v>9486</v>
      </c>
      <c r="BE2078">
        <v>9222</v>
      </c>
      <c r="BF2078">
        <v>1768</v>
      </c>
      <c r="BG2078">
        <v>20476</v>
      </c>
      <c r="BH2078">
        <v>0</v>
      </c>
      <c r="BI2078">
        <v>0</v>
      </c>
      <c r="BJ2078">
        <v>0</v>
      </c>
      <c r="BK2078">
        <v>0</v>
      </c>
      <c r="BL2078" s="2">
        <v>24.82</v>
      </c>
      <c r="BM2078" s="2">
        <v>42005.095138888886</v>
      </c>
      <c r="BN2078" s="2">
        <v>5.4</v>
      </c>
      <c r="BO2078" s="2">
        <v>42005.092361111114</v>
      </c>
      <c r="BP2078" s="2">
        <v>6.92</v>
      </c>
      <c r="BQ2078" s="2">
        <v>42005.092361111114</v>
      </c>
      <c r="BR2078" s="2">
        <v>11.07</v>
      </c>
      <c r="BS2078" s="2">
        <v>42005.092361111114</v>
      </c>
      <c r="BT2078">
        <v>0</v>
      </c>
      <c r="BU2078">
        <v>0</v>
      </c>
      <c r="BV2078" t="s">
        <v>135</v>
      </c>
      <c r="BW2078">
        <v>0</v>
      </c>
      <c r="BX2078">
        <v>0</v>
      </c>
      <c r="BY2078" t="s">
        <v>135</v>
      </c>
      <c r="BZ2078">
        <v>0</v>
      </c>
      <c r="CA2078">
        <v>0</v>
      </c>
      <c r="CB2078" t="s">
        <v>135</v>
      </c>
      <c r="CH2078" s="2"/>
      <c r="CJ2078" s="2"/>
      <c r="CL2078" s="2"/>
      <c r="CN2078" s="2"/>
      <c r="CQ2078" s="2"/>
      <c r="CT2078" s="2"/>
      <c r="CW2078" s="2"/>
    </row>
    <row r="2079" spans="1:101" x14ac:dyDescent="0.25">
      <c r="A2079" s="1" t="s">
        <v>163</v>
      </c>
      <c r="B2079" s="75" t="s">
        <v>164</v>
      </c>
      <c r="C2079">
        <v>0</v>
      </c>
      <c r="D2079">
        <v>0</v>
      </c>
      <c r="E2079">
        <v>0</v>
      </c>
      <c r="F2079">
        <v>604324.56000000006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3.91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7490</v>
      </c>
      <c r="AW2079">
        <v>3350</v>
      </c>
      <c r="AX2079">
        <v>1219</v>
      </c>
      <c r="AY2079">
        <v>12059</v>
      </c>
      <c r="AZ2079">
        <v>4202</v>
      </c>
      <c r="BA2079">
        <v>7438</v>
      </c>
      <c r="BB2079">
        <v>1432</v>
      </c>
      <c r="BC2079">
        <v>13072</v>
      </c>
      <c r="BD2079">
        <v>9486</v>
      </c>
      <c r="BE2079">
        <v>9222</v>
      </c>
      <c r="BF2079">
        <v>1768</v>
      </c>
      <c r="BG2079">
        <v>20476</v>
      </c>
      <c r="BH2079">
        <v>0</v>
      </c>
      <c r="BI2079">
        <v>0</v>
      </c>
      <c r="BJ2079">
        <v>0</v>
      </c>
      <c r="BK2079">
        <v>0</v>
      </c>
      <c r="BL2079" s="2">
        <v>24.82</v>
      </c>
      <c r="BM2079" s="2">
        <v>42005.095138888886</v>
      </c>
      <c r="BN2079" s="2">
        <v>5.4</v>
      </c>
      <c r="BO2079" s="2">
        <v>42005.092361111114</v>
      </c>
      <c r="BP2079" s="2">
        <v>6.92</v>
      </c>
      <c r="BQ2079" s="2">
        <v>42005.092361111114</v>
      </c>
      <c r="BR2079" s="2">
        <v>11.07</v>
      </c>
      <c r="BS2079" s="2">
        <v>42005.092361111114</v>
      </c>
      <c r="BT2079">
        <v>0</v>
      </c>
      <c r="BU2079">
        <v>0</v>
      </c>
      <c r="BV2079" t="s">
        <v>135</v>
      </c>
      <c r="BW2079">
        <v>0</v>
      </c>
      <c r="BX2079">
        <v>0</v>
      </c>
      <c r="BY2079" t="s">
        <v>135</v>
      </c>
      <c r="BZ2079">
        <v>0</v>
      </c>
      <c r="CA2079">
        <v>0</v>
      </c>
      <c r="CB2079" t="s">
        <v>135</v>
      </c>
      <c r="CH2079" s="2"/>
      <c r="CJ2079" s="2"/>
      <c r="CL2079" s="2"/>
      <c r="CN2079" s="2"/>
      <c r="CQ2079" s="2"/>
      <c r="CT2079" s="2"/>
      <c r="CW2079" s="2"/>
    </row>
    <row r="2080" spans="1:101" x14ac:dyDescent="0.25">
      <c r="A2080" s="1" t="s">
        <v>163</v>
      </c>
      <c r="B2080" s="75" t="s">
        <v>164</v>
      </c>
      <c r="C2080">
        <v>0</v>
      </c>
      <c r="D2080">
        <v>0</v>
      </c>
      <c r="E2080">
        <v>0</v>
      </c>
      <c r="F2080">
        <v>604324.56000000006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3.91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7490</v>
      </c>
      <c r="AW2080">
        <v>3350</v>
      </c>
      <c r="AX2080">
        <v>1219</v>
      </c>
      <c r="AY2080">
        <v>12059</v>
      </c>
      <c r="AZ2080">
        <v>4202</v>
      </c>
      <c r="BA2080">
        <v>7438</v>
      </c>
      <c r="BB2080">
        <v>1432</v>
      </c>
      <c r="BC2080">
        <v>13072</v>
      </c>
      <c r="BD2080">
        <v>9486</v>
      </c>
      <c r="BE2080">
        <v>9222</v>
      </c>
      <c r="BF2080">
        <v>1768</v>
      </c>
      <c r="BG2080">
        <v>20476</v>
      </c>
      <c r="BH2080">
        <v>0</v>
      </c>
      <c r="BI2080">
        <v>0</v>
      </c>
      <c r="BJ2080">
        <v>0</v>
      </c>
      <c r="BK2080">
        <v>0</v>
      </c>
      <c r="BL2080" s="2">
        <v>24.82</v>
      </c>
      <c r="BM2080" s="2">
        <v>42005.095138888886</v>
      </c>
      <c r="BN2080" s="2">
        <v>5.4</v>
      </c>
      <c r="BO2080" s="2">
        <v>42005.092361111114</v>
      </c>
      <c r="BP2080" s="2">
        <v>6.92</v>
      </c>
      <c r="BQ2080" s="2">
        <v>42005.092361111114</v>
      </c>
      <c r="BR2080" s="2">
        <v>11.07</v>
      </c>
      <c r="BS2080" s="2">
        <v>42005.092361111114</v>
      </c>
      <c r="BT2080">
        <v>0</v>
      </c>
      <c r="BU2080">
        <v>0</v>
      </c>
      <c r="BV2080" t="s">
        <v>135</v>
      </c>
      <c r="BW2080">
        <v>0</v>
      </c>
      <c r="BX2080">
        <v>0</v>
      </c>
      <c r="BY2080" t="s">
        <v>135</v>
      </c>
      <c r="BZ2080">
        <v>0</v>
      </c>
      <c r="CA2080">
        <v>0</v>
      </c>
      <c r="CB2080" t="s">
        <v>135</v>
      </c>
      <c r="CH2080" s="2"/>
      <c r="CJ2080" s="2"/>
      <c r="CL2080" s="2"/>
      <c r="CN2080" s="2"/>
      <c r="CQ2080" s="2"/>
      <c r="CT2080" s="2"/>
      <c r="CW2080" s="2"/>
    </row>
    <row r="2081" spans="1:101" x14ac:dyDescent="0.25">
      <c r="A2081" s="1" t="s">
        <v>163</v>
      </c>
      <c r="B2081" s="75" t="s">
        <v>164</v>
      </c>
      <c r="C2081">
        <v>0</v>
      </c>
      <c r="D2081">
        <v>0</v>
      </c>
      <c r="E2081">
        <v>0</v>
      </c>
      <c r="F2081">
        <v>604324.56000000006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3.91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7490</v>
      </c>
      <c r="AW2081">
        <v>3350</v>
      </c>
      <c r="AX2081">
        <v>1219</v>
      </c>
      <c r="AY2081">
        <v>12059</v>
      </c>
      <c r="AZ2081">
        <v>4202</v>
      </c>
      <c r="BA2081">
        <v>7438</v>
      </c>
      <c r="BB2081">
        <v>1432</v>
      </c>
      <c r="BC2081">
        <v>13072</v>
      </c>
      <c r="BD2081">
        <v>9486</v>
      </c>
      <c r="BE2081">
        <v>9222</v>
      </c>
      <c r="BF2081">
        <v>1768</v>
      </c>
      <c r="BG2081">
        <v>20476</v>
      </c>
      <c r="BH2081">
        <v>0</v>
      </c>
      <c r="BI2081">
        <v>0</v>
      </c>
      <c r="BJ2081">
        <v>0</v>
      </c>
      <c r="BK2081">
        <v>0</v>
      </c>
      <c r="BL2081" s="2">
        <v>24.82</v>
      </c>
      <c r="BM2081" s="2">
        <v>42005.095138888886</v>
      </c>
      <c r="BN2081" s="2">
        <v>5.4</v>
      </c>
      <c r="BO2081" s="2">
        <v>42005.092361111114</v>
      </c>
      <c r="BP2081" s="2">
        <v>6.92</v>
      </c>
      <c r="BQ2081" s="2">
        <v>42005.092361111114</v>
      </c>
      <c r="BR2081" s="2">
        <v>11.07</v>
      </c>
      <c r="BS2081" s="2">
        <v>42005.092361111114</v>
      </c>
      <c r="BT2081">
        <v>0</v>
      </c>
      <c r="BU2081">
        <v>0</v>
      </c>
      <c r="BV2081" t="s">
        <v>135</v>
      </c>
      <c r="BW2081">
        <v>0</v>
      </c>
      <c r="BX2081">
        <v>0</v>
      </c>
      <c r="BY2081" t="s">
        <v>135</v>
      </c>
      <c r="BZ2081">
        <v>0</v>
      </c>
      <c r="CA2081">
        <v>0</v>
      </c>
      <c r="CB2081" t="s">
        <v>135</v>
      </c>
      <c r="CH2081" s="2"/>
      <c r="CJ2081" s="2"/>
      <c r="CL2081" s="2"/>
      <c r="CN2081" s="2"/>
      <c r="CQ2081" s="2"/>
      <c r="CT2081" s="2"/>
      <c r="CW2081" s="2"/>
    </row>
    <row r="2082" spans="1:101" x14ac:dyDescent="0.25">
      <c r="A2082" s="1" t="s">
        <v>163</v>
      </c>
      <c r="B2082" s="75" t="s">
        <v>164</v>
      </c>
      <c r="C2082">
        <v>0</v>
      </c>
      <c r="D2082">
        <v>0</v>
      </c>
      <c r="E2082">
        <v>0</v>
      </c>
      <c r="F2082">
        <v>604324.56000000006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3.91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7490</v>
      </c>
      <c r="AW2082">
        <v>3350</v>
      </c>
      <c r="AX2082">
        <v>1219</v>
      </c>
      <c r="AY2082">
        <v>12059</v>
      </c>
      <c r="AZ2082">
        <v>4202</v>
      </c>
      <c r="BA2082">
        <v>7438</v>
      </c>
      <c r="BB2082">
        <v>1432</v>
      </c>
      <c r="BC2082">
        <v>13072</v>
      </c>
      <c r="BD2082">
        <v>9486</v>
      </c>
      <c r="BE2082">
        <v>9222</v>
      </c>
      <c r="BF2082">
        <v>1768</v>
      </c>
      <c r="BG2082">
        <v>20476</v>
      </c>
      <c r="BH2082">
        <v>0</v>
      </c>
      <c r="BI2082">
        <v>0</v>
      </c>
      <c r="BJ2082">
        <v>0</v>
      </c>
      <c r="BK2082">
        <v>0</v>
      </c>
      <c r="BL2082" s="2">
        <v>24.82</v>
      </c>
      <c r="BM2082" s="2">
        <v>42005.095138888886</v>
      </c>
      <c r="BN2082" s="2">
        <v>5.4</v>
      </c>
      <c r="BO2082" s="2">
        <v>42005.092361111114</v>
      </c>
      <c r="BP2082" s="2">
        <v>6.92</v>
      </c>
      <c r="BQ2082" s="2">
        <v>42005.092361111114</v>
      </c>
      <c r="BR2082" s="2">
        <v>11.07</v>
      </c>
      <c r="BS2082" s="2">
        <v>42005.092361111114</v>
      </c>
      <c r="BT2082">
        <v>0</v>
      </c>
      <c r="BU2082">
        <v>0</v>
      </c>
      <c r="BV2082" t="s">
        <v>135</v>
      </c>
      <c r="BW2082">
        <v>0</v>
      </c>
      <c r="BX2082">
        <v>0</v>
      </c>
      <c r="BY2082" t="s">
        <v>135</v>
      </c>
      <c r="BZ2082">
        <v>0</v>
      </c>
      <c r="CA2082">
        <v>0</v>
      </c>
      <c r="CB2082" t="s">
        <v>135</v>
      </c>
      <c r="CH2082" s="2"/>
      <c r="CJ2082" s="2"/>
      <c r="CL2082" s="2"/>
      <c r="CN2082" s="2"/>
      <c r="CQ2082" s="2"/>
      <c r="CT2082" s="2"/>
      <c r="CW2082" s="2"/>
    </row>
    <row r="2083" spans="1:101" x14ac:dyDescent="0.25">
      <c r="A2083" s="1" t="s">
        <v>163</v>
      </c>
      <c r="B2083" s="75" t="s">
        <v>164</v>
      </c>
      <c r="C2083">
        <v>0</v>
      </c>
      <c r="D2083">
        <v>0</v>
      </c>
      <c r="E2083">
        <v>0</v>
      </c>
      <c r="F2083">
        <v>604324.56000000006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3.91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7490</v>
      </c>
      <c r="AW2083">
        <v>3350</v>
      </c>
      <c r="AX2083">
        <v>1219</v>
      </c>
      <c r="AY2083">
        <v>12059</v>
      </c>
      <c r="AZ2083">
        <v>4202</v>
      </c>
      <c r="BA2083">
        <v>7438</v>
      </c>
      <c r="BB2083">
        <v>1432</v>
      </c>
      <c r="BC2083">
        <v>13072</v>
      </c>
      <c r="BD2083">
        <v>9486</v>
      </c>
      <c r="BE2083">
        <v>9222</v>
      </c>
      <c r="BF2083">
        <v>1768</v>
      </c>
      <c r="BG2083">
        <v>20476</v>
      </c>
      <c r="BH2083">
        <v>0</v>
      </c>
      <c r="BI2083">
        <v>0</v>
      </c>
      <c r="BJ2083">
        <v>0</v>
      </c>
      <c r="BK2083">
        <v>0</v>
      </c>
      <c r="BL2083" s="2">
        <v>24.82</v>
      </c>
      <c r="BM2083" s="2">
        <v>42005.095138888886</v>
      </c>
      <c r="BN2083" s="2">
        <v>5.4</v>
      </c>
      <c r="BO2083" s="2">
        <v>42005.092361111114</v>
      </c>
      <c r="BP2083" s="2">
        <v>6.92</v>
      </c>
      <c r="BQ2083" s="2">
        <v>42005.092361111114</v>
      </c>
      <c r="BR2083" s="2">
        <v>11.07</v>
      </c>
      <c r="BS2083" s="2">
        <v>42005.092361111114</v>
      </c>
      <c r="BT2083">
        <v>0</v>
      </c>
      <c r="BU2083">
        <v>0</v>
      </c>
      <c r="BV2083" t="s">
        <v>135</v>
      </c>
      <c r="BW2083">
        <v>0</v>
      </c>
      <c r="BX2083">
        <v>0</v>
      </c>
      <c r="BY2083" t="s">
        <v>135</v>
      </c>
      <c r="BZ2083">
        <v>0</v>
      </c>
      <c r="CA2083">
        <v>0</v>
      </c>
      <c r="CB2083" t="s">
        <v>135</v>
      </c>
      <c r="CH2083" s="2"/>
      <c r="CJ2083" s="2"/>
      <c r="CL2083" s="2"/>
      <c r="CN2083" s="2"/>
      <c r="CQ2083" s="2"/>
      <c r="CT2083" s="2"/>
      <c r="CW2083" s="2"/>
    </row>
    <row r="2084" spans="1:101" x14ac:dyDescent="0.25">
      <c r="A2084" s="1" t="s">
        <v>163</v>
      </c>
      <c r="B2084" s="75" t="s">
        <v>164</v>
      </c>
      <c r="C2084">
        <v>0</v>
      </c>
      <c r="D2084">
        <v>0</v>
      </c>
      <c r="E2084">
        <v>0</v>
      </c>
      <c r="F2084">
        <v>604324.56000000006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3.91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7490</v>
      </c>
      <c r="AW2084">
        <v>3350</v>
      </c>
      <c r="AX2084">
        <v>1219</v>
      </c>
      <c r="AY2084">
        <v>12059</v>
      </c>
      <c r="AZ2084">
        <v>4202</v>
      </c>
      <c r="BA2084">
        <v>7438</v>
      </c>
      <c r="BB2084">
        <v>1432</v>
      </c>
      <c r="BC2084">
        <v>13072</v>
      </c>
      <c r="BD2084">
        <v>9486</v>
      </c>
      <c r="BE2084">
        <v>9222</v>
      </c>
      <c r="BF2084">
        <v>1768</v>
      </c>
      <c r="BG2084">
        <v>20476</v>
      </c>
      <c r="BH2084">
        <v>0</v>
      </c>
      <c r="BI2084">
        <v>0</v>
      </c>
      <c r="BJ2084">
        <v>0</v>
      </c>
      <c r="BK2084">
        <v>0</v>
      </c>
      <c r="BL2084" s="2">
        <v>24.82</v>
      </c>
      <c r="BM2084" s="2">
        <v>42005.095138888886</v>
      </c>
      <c r="BN2084" s="2">
        <v>5.4</v>
      </c>
      <c r="BO2084" s="2">
        <v>42005.092361111114</v>
      </c>
      <c r="BP2084" s="2">
        <v>6.92</v>
      </c>
      <c r="BQ2084" s="2">
        <v>42005.092361111114</v>
      </c>
      <c r="BR2084" s="2">
        <v>11.07</v>
      </c>
      <c r="BS2084" s="2">
        <v>42005.092361111114</v>
      </c>
      <c r="BT2084">
        <v>0</v>
      </c>
      <c r="BU2084">
        <v>0</v>
      </c>
      <c r="BV2084" t="s">
        <v>135</v>
      </c>
      <c r="BW2084">
        <v>0</v>
      </c>
      <c r="BX2084">
        <v>0</v>
      </c>
      <c r="BY2084" t="s">
        <v>135</v>
      </c>
      <c r="BZ2084">
        <v>0</v>
      </c>
      <c r="CA2084">
        <v>0</v>
      </c>
      <c r="CB2084" t="s">
        <v>135</v>
      </c>
      <c r="CH2084" s="2"/>
      <c r="CJ2084" s="2"/>
      <c r="CL2084" s="2"/>
      <c r="CN2084" s="2"/>
      <c r="CQ2084" s="2"/>
      <c r="CT2084" s="2"/>
      <c r="CW2084" s="2"/>
    </row>
    <row r="2085" spans="1:101" x14ac:dyDescent="0.25">
      <c r="A2085" s="1" t="s">
        <v>163</v>
      </c>
      <c r="B2085" s="75" t="s">
        <v>164</v>
      </c>
      <c r="C2085">
        <v>0</v>
      </c>
      <c r="D2085">
        <v>0</v>
      </c>
      <c r="E2085">
        <v>0</v>
      </c>
      <c r="F2085">
        <v>604324.56000000006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3.91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7490</v>
      </c>
      <c r="AW2085">
        <v>3350</v>
      </c>
      <c r="AX2085">
        <v>1219</v>
      </c>
      <c r="AY2085">
        <v>12059</v>
      </c>
      <c r="AZ2085">
        <v>4202</v>
      </c>
      <c r="BA2085">
        <v>7438</v>
      </c>
      <c r="BB2085">
        <v>1432</v>
      </c>
      <c r="BC2085">
        <v>13072</v>
      </c>
      <c r="BD2085">
        <v>9486</v>
      </c>
      <c r="BE2085">
        <v>9222</v>
      </c>
      <c r="BF2085">
        <v>1768</v>
      </c>
      <c r="BG2085">
        <v>20476</v>
      </c>
      <c r="BH2085">
        <v>0</v>
      </c>
      <c r="BI2085">
        <v>0</v>
      </c>
      <c r="BJ2085">
        <v>0</v>
      </c>
      <c r="BK2085">
        <v>0</v>
      </c>
      <c r="BL2085" s="2">
        <v>24.82</v>
      </c>
      <c r="BM2085" s="2">
        <v>42005.095138888886</v>
      </c>
      <c r="BN2085" s="2">
        <v>5.4</v>
      </c>
      <c r="BO2085" s="2">
        <v>42005.092361111114</v>
      </c>
      <c r="BP2085" s="2">
        <v>6.92</v>
      </c>
      <c r="BQ2085" s="2">
        <v>42005.092361111114</v>
      </c>
      <c r="BR2085" s="2">
        <v>11.07</v>
      </c>
      <c r="BS2085" s="2">
        <v>42005.092361111114</v>
      </c>
      <c r="BT2085">
        <v>0</v>
      </c>
      <c r="BU2085">
        <v>0</v>
      </c>
      <c r="BV2085" t="s">
        <v>135</v>
      </c>
      <c r="BW2085">
        <v>0</v>
      </c>
      <c r="BX2085">
        <v>0</v>
      </c>
      <c r="BY2085" t="s">
        <v>135</v>
      </c>
      <c r="BZ2085">
        <v>0</v>
      </c>
      <c r="CA2085">
        <v>0</v>
      </c>
      <c r="CB2085" t="s">
        <v>135</v>
      </c>
      <c r="CH2085" s="2"/>
      <c r="CJ2085" s="2"/>
      <c r="CL2085" s="2"/>
      <c r="CN2085" s="2"/>
      <c r="CQ2085" s="2"/>
      <c r="CT2085" s="2"/>
      <c r="CW2085" s="2"/>
    </row>
    <row r="2086" spans="1:101" x14ac:dyDescent="0.25">
      <c r="A2086" s="1" t="s">
        <v>163</v>
      </c>
      <c r="B2086" s="75" t="s">
        <v>164</v>
      </c>
      <c r="C2086">
        <v>0</v>
      </c>
      <c r="D2086">
        <v>0</v>
      </c>
      <c r="E2086">
        <v>0</v>
      </c>
      <c r="F2086">
        <v>604324.56000000006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3.91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7490</v>
      </c>
      <c r="AW2086">
        <v>3350</v>
      </c>
      <c r="AX2086">
        <v>1219</v>
      </c>
      <c r="AY2086">
        <v>12059</v>
      </c>
      <c r="AZ2086">
        <v>4202</v>
      </c>
      <c r="BA2086">
        <v>7438</v>
      </c>
      <c r="BB2086">
        <v>1432</v>
      </c>
      <c r="BC2086">
        <v>13072</v>
      </c>
      <c r="BD2086">
        <v>9486</v>
      </c>
      <c r="BE2086">
        <v>9222</v>
      </c>
      <c r="BF2086">
        <v>1768</v>
      </c>
      <c r="BG2086">
        <v>20476</v>
      </c>
      <c r="BH2086">
        <v>0</v>
      </c>
      <c r="BI2086">
        <v>0</v>
      </c>
      <c r="BJ2086">
        <v>0</v>
      </c>
      <c r="BK2086">
        <v>0</v>
      </c>
      <c r="BL2086" s="2">
        <v>24.82</v>
      </c>
      <c r="BM2086" s="2">
        <v>42005.095138888886</v>
      </c>
      <c r="BN2086" s="2">
        <v>5.4</v>
      </c>
      <c r="BO2086" s="2">
        <v>42005.092361111114</v>
      </c>
      <c r="BP2086" s="2">
        <v>6.92</v>
      </c>
      <c r="BQ2086" s="2">
        <v>42005.092361111114</v>
      </c>
      <c r="BR2086" s="2">
        <v>11.07</v>
      </c>
      <c r="BS2086" s="2">
        <v>42005.092361111114</v>
      </c>
      <c r="BT2086">
        <v>0</v>
      </c>
      <c r="BU2086">
        <v>0</v>
      </c>
      <c r="BV2086" t="s">
        <v>135</v>
      </c>
      <c r="BW2086">
        <v>0</v>
      </c>
      <c r="BX2086">
        <v>0</v>
      </c>
      <c r="BY2086" t="s">
        <v>135</v>
      </c>
      <c r="BZ2086">
        <v>0</v>
      </c>
      <c r="CA2086">
        <v>0</v>
      </c>
      <c r="CB2086" t="s">
        <v>135</v>
      </c>
      <c r="CH2086" s="2"/>
      <c r="CJ2086" s="2"/>
      <c r="CL2086" s="2"/>
      <c r="CN2086" s="2"/>
      <c r="CQ2086" s="2"/>
      <c r="CT2086" s="2"/>
      <c r="CW2086" s="2"/>
    </row>
    <row r="2087" spans="1:101" x14ac:dyDescent="0.25">
      <c r="A2087" s="1" t="s">
        <v>163</v>
      </c>
      <c r="B2087" s="75" t="s">
        <v>164</v>
      </c>
      <c r="C2087">
        <v>0</v>
      </c>
      <c r="D2087">
        <v>0</v>
      </c>
      <c r="E2087">
        <v>0</v>
      </c>
      <c r="F2087">
        <v>604324.56000000006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3.91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7490</v>
      </c>
      <c r="AW2087">
        <v>3350</v>
      </c>
      <c r="AX2087">
        <v>1219</v>
      </c>
      <c r="AY2087">
        <v>12059</v>
      </c>
      <c r="AZ2087">
        <v>4202</v>
      </c>
      <c r="BA2087">
        <v>7438</v>
      </c>
      <c r="BB2087">
        <v>1432</v>
      </c>
      <c r="BC2087">
        <v>13072</v>
      </c>
      <c r="BD2087">
        <v>9486</v>
      </c>
      <c r="BE2087">
        <v>9222</v>
      </c>
      <c r="BF2087">
        <v>1768</v>
      </c>
      <c r="BG2087">
        <v>20476</v>
      </c>
      <c r="BH2087">
        <v>0</v>
      </c>
      <c r="BI2087">
        <v>0</v>
      </c>
      <c r="BJ2087">
        <v>0</v>
      </c>
      <c r="BK2087">
        <v>0</v>
      </c>
      <c r="BL2087" s="2">
        <v>24.82</v>
      </c>
      <c r="BM2087" s="2">
        <v>42005.095138888886</v>
      </c>
      <c r="BN2087" s="2">
        <v>5.4</v>
      </c>
      <c r="BO2087" s="2">
        <v>42005.092361111114</v>
      </c>
      <c r="BP2087" s="2">
        <v>6.92</v>
      </c>
      <c r="BQ2087" s="2">
        <v>42005.092361111114</v>
      </c>
      <c r="BR2087" s="2">
        <v>11.07</v>
      </c>
      <c r="BS2087" s="2">
        <v>42005.092361111114</v>
      </c>
      <c r="BT2087">
        <v>0</v>
      </c>
      <c r="BU2087">
        <v>0</v>
      </c>
      <c r="BV2087" t="s">
        <v>135</v>
      </c>
      <c r="BW2087">
        <v>0</v>
      </c>
      <c r="BX2087">
        <v>0</v>
      </c>
      <c r="BY2087" t="s">
        <v>135</v>
      </c>
      <c r="BZ2087">
        <v>0</v>
      </c>
      <c r="CA2087">
        <v>0</v>
      </c>
      <c r="CB2087" t="s">
        <v>135</v>
      </c>
      <c r="CH2087" s="2"/>
      <c r="CJ2087" s="2"/>
      <c r="CL2087" s="2"/>
      <c r="CN2087" s="2"/>
      <c r="CQ2087" s="2"/>
      <c r="CT2087" s="2"/>
      <c r="CW2087" s="2"/>
    </row>
    <row r="2088" spans="1:101" x14ac:dyDescent="0.25">
      <c r="A2088" s="1" t="s">
        <v>163</v>
      </c>
      <c r="B2088" s="75" t="s">
        <v>164</v>
      </c>
      <c r="C2088">
        <v>0</v>
      </c>
      <c r="D2088">
        <v>0</v>
      </c>
      <c r="E2088">
        <v>0</v>
      </c>
      <c r="F2088">
        <v>604324.56000000006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3.91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7490</v>
      </c>
      <c r="AW2088">
        <v>3350</v>
      </c>
      <c r="AX2088">
        <v>1219</v>
      </c>
      <c r="AY2088">
        <v>12059</v>
      </c>
      <c r="AZ2088">
        <v>4202</v>
      </c>
      <c r="BA2088">
        <v>7438</v>
      </c>
      <c r="BB2088">
        <v>1432</v>
      </c>
      <c r="BC2088">
        <v>13072</v>
      </c>
      <c r="BD2088">
        <v>9486</v>
      </c>
      <c r="BE2088">
        <v>9222</v>
      </c>
      <c r="BF2088">
        <v>1768</v>
      </c>
      <c r="BG2088">
        <v>20476</v>
      </c>
      <c r="BH2088">
        <v>0</v>
      </c>
      <c r="BI2088">
        <v>0</v>
      </c>
      <c r="BJ2088">
        <v>0</v>
      </c>
      <c r="BK2088">
        <v>0</v>
      </c>
      <c r="BL2088" s="2">
        <v>24.82</v>
      </c>
      <c r="BM2088" s="2">
        <v>42005.095138888886</v>
      </c>
      <c r="BN2088" s="2">
        <v>5.4</v>
      </c>
      <c r="BO2088" s="2">
        <v>42005.092361111114</v>
      </c>
      <c r="BP2088" s="2">
        <v>6.92</v>
      </c>
      <c r="BQ2088" s="2">
        <v>42005.092361111114</v>
      </c>
      <c r="BR2088" s="2">
        <v>11.07</v>
      </c>
      <c r="BS2088" s="2">
        <v>42005.092361111114</v>
      </c>
      <c r="BT2088">
        <v>0</v>
      </c>
      <c r="BU2088">
        <v>0</v>
      </c>
      <c r="BV2088" t="s">
        <v>135</v>
      </c>
      <c r="BW2088">
        <v>0</v>
      </c>
      <c r="BX2088">
        <v>0</v>
      </c>
      <c r="BY2088" t="s">
        <v>135</v>
      </c>
      <c r="BZ2088">
        <v>0</v>
      </c>
      <c r="CA2088">
        <v>0</v>
      </c>
      <c r="CB2088" t="s">
        <v>135</v>
      </c>
      <c r="CH2088" s="2"/>
      <c r="CJ2088" s="2"/>
      <c r="CL2088" s="2"/>
      <c r="CN2088" s="2"/>
      <c r="CQ2088" s="2"/>
      <c r="CT2088" s="2"/>
      <c r="CW2088" s="2"/>
    </row>
    <row r="2089" spans="1:101" x14ac:dyDescent="0.25">
      <c r="A2089" s="1" t="s">
        <v>163</v>
      </c>
      <c r="B2089" s="75" t="s">
        <v>164</v>
      </c>
      <c r="C2089">
        <v>0</v>
      </c>
      <c r="D2089">
        <v>0</v>
      </c>
      <c r="E2089">
        <v>0</v>
      </c>
      <c r="F2089">
        <v>604324.56000000006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3.91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7490</v>
      </c>
      <c r="AW2089">
        <v>3350</v>
      </c>
      <c r="AX2089">
        <v>1219</v>
      </c>
      <c r="AY2089">
        <v>12059</v>
      </c>
      <c r="AZ2089">
        <v>4202</v>
      </c>
      <c r="BA2089">
        <v>7438</v>
      </c>
      <c r="BB2089">
        <v>1432</v>
      </c>
      <c r="BC2089">
        <v>13072</v>
      </c>
      <c r="BD2089">
        <v>9486</v>
      </c>
      <c r="BE2089">
        <v>9222</v>
      </c>
      <c r="BF2089">
        <v>1768</v>
      </c>
      <c r="BG2089">
        <v>20476</v>
      </c>
      <c r="BH2089">
        <v>0</v>
      </c>
      <c r="BI2089">
        <v>0</v>
      </c>
      <c r="BJ2089">
        <v>0</v>
      </c>
      <c r="BK2089">
        <v>0</v>
      </c>
      <c r="BL2089" s="2">
        <v>24.82</v>
      </c>
      <c r="BM2089" s="2">
        <v>42005.095138888886</v>
      </c>
      <c r="BN2089" s="2">
        <v>5.4</v>
      </c>
      <c r="BO2089" s="2">
        <v>42005.092361111114</v>
      </c>
      <c r="BP2089" s="2">
        <v>6.92</v>
      </c>
      <c r="BQ2089" s="2">
        <v>42005.092361111114</v>
      </c>
      <c r="BR2089" s="2">
        <v>11.07</v>
      </c>
      <c r="BS2089" s="2">
        <v>42005.092361111114</v>
      </c>
      <c r="BT2089">
        <v>0</v>
      </c>
      <c r="BU2089">
        <v>0</v>
      </c>
      <c r="BV2089" t="s">
        <v>135</v>
      </c>
      <c r="BW2089">
        <v>0</v>
      </c>
      <c r="BX2089">
        <v>0</v>
      </c>
      <c r="BY2089" t="s">
        <v>135</v>
      </c>
      <c r="BZ2089">
        <v>0</v>
      </c>
      <c r="CA2089">
        <v>0</v>
      </c>
      <c r="CB2089" t="s">
        <v>135</v>
      </c>
      <c r="CH2089" s="2"/>
      <c r="CJ2089" s="2"/>
      <c r="CL2089" s="2"/>
      <c r="CN2089" s="2"/>
      <c r="CQ2089" s="2"/>
      <c r="CT2089" s="2"/>
      <c r="CW2089" s="2"/>
    </row>
    <row r="2090" spans="1:101" x14ac:dyDescent="0.25">
      <c r="A2090" s="1" t="s">
        <v>163</v>
      </c>
      <c r="B2090" s="75" t="s">
        <v>164</v>
      </c>
      <c r="C2090">
        <v>0</v>
      </c>
      <c r="D2090">
        <v>0</v>
      </c>
      <c r="E2090">
        <v>0</v>
      </c>
      <c r="F2090">
        <v>604324.56000000006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3.91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7490</v>
      </c>
      <c r="AW2090">
        <v>3350</v>
      </c>
      <c r="AX2090">
        <v>1219</v>
      </c>
      <c r="AY2090">
        <v>12059</v>
      </c>
      <c r="AZ2090">
        <v>4202</v>
      </c>
      <c r="BA2090">
        <v>7438</v>
      </c>
      <c r="BB2090">
        <v>1432</v>
      </c>
      <c r="BC2090">
        <v>13072</v>
      </c>
      <c r="BD2090">
        <v>9486</v>
      </c>
      <c r="BE2090">
        <v>9222</v>
      </c>
      <c r="BF2090">
        <v>1768</v>
      </c>
      <c r="BG2090">
        <v>20476</v>
      </c>
      <c r="BH2090">
        <v>0</v>
      </c>
      <c r="BI2090">
        <v>0</v>
      </c>
      <c r="BJ2090">
        <v>0</v>
      </c>
      <c r="BK2090">
        <v>0</v>
      </c>
      <c r="BL2090" s="2">
        <v>24.82</v>
      </c>
      <c r="BM2090" s="2">
        <v>42005.095138888886</v>
      </c>
      <c r="BN2090" s="2">
        <v>5.4</v>
      </c>
      <c r="BO2090" s="2">
        <v>42005.092361111114</v>
      </c>
      <c r="BP2090" s="2">
        <v>6.92</v>
      </c>
      <c r="BQ2090" s="2">
        <v>42005.092361111114</v>
      </c>
      <c r="BR2090" s="2">
        <v>11.07</v>
      </c>
      <c r="BS2090" s="2">
        <v>42005.092361111114</v>
      </c>
      <c r="BT2090">
        <v>0</v>
      </c>
      <c r="BU2090">
        <v>0</v>
      </c>
      <c r="BV2090" t="s">
        <v>135</v>
      </c>
      <c r="BW2090">
        <v>0</v>
      </c>
      <c r="BX2090">
        <v>0</v>
      </c>
      <c r="BY2090" t="s">
        <v>135</v>
      </c>
      <c r="BZ2090">
        <v>0</v>
      </c>
      <c r="CA2090">
        <v>0</v>
      </c>
      <c r="CB2090" t="s">
        <v>135</v>
      </c>
      <c r="CH2090" s="2"/>
      <c r="CJ2090" s="2"/>
      <c r="CL2090" s="2"/>
      <c r="CN2090" s="2"/>
      <c r="CQ2090" s="2"/>
      <c r="CT2090" s="2"/>
      <c r="CW2090" s="2"/>
    </row>
    <row r="2091" spans="1:101" x14ac:dyDescent="0.25">
      <c r="A2091" s="1" t="s">
        <v>163</v>
      </c>
      <c r="B2091" s="75" t="s">
        <v>164</v>
      </c>
      <c r="C2091">
        <v>0</v>
      </c>
      <c r="D2091">
        <v>0</v>
      </c>
      <c r="E2091">
        <v>0</v>
      </c>
      <c r="F2091">
        <v>604324.56000000006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3.91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7490</v>
      </c>
      <c r="AW2091">
        <v>3350</v>
      </c>
      <c r="AX2091">
        <v>1219</v>
      </c>
      <c r="AY2091">
        <v>12059</v>
      </c>
      <c r="AZ2091">
        <v>4202</v>
      </c>
      <c r="BA2091">
        <v>7438</v>
      </c>
      <c r="BB2091">
        <v>1432</v>
      </c>
      <c r="BC2091">
        <v>13072</v>
      </c>
      <c r="BD2091">
        <v>9486</v>
      </c>
      <c r="BE2091">
        <v>9222</v>
      </c>
      <c r="BF2091">
        <v>1768</v>
      </c>
      <c r="BG2091">
        <v>20476</v>
      </c>
      <c r="BH2091">
        <v>0</v>
      </c>
      <c r="BI2091">
        <v>0</v>
      </c>
      <c r="BJ2091">
        <v>0</v>
      </c>
      <c r="BK2091">
        <v>0</v>
      </c>
      <c r="BL2091" s="2">
        <v>24.82</v>
      </c>
      <c r="BM2091" s="2">
        <v>42005.095138888886</v>
      </c>
      <c r="BN2091" s="2">
        <v>5.4</v>
      </c>
      <c r="BO2091" s="2">
        <v>42005.092361111114</v>
      </c>
      <c r="BP2091" s="2">
        <v>6.92</v>
      </c>
      <c r="BQ2091" s="2">
        <v>42005.092361111114</v>
      </c>
      <c r="BR2091" s="2">
        <v>11.07</v>
      </c>
      <c r="BS2091" s="2">
        <v>42005.092361111114</v>
      </c>
      <c r="BT2091">
        <v>0</v>
      </c>
      <c r="BU2091">
        <v>0</v>
      </c>
      <c r="BV2091" t="s">
        <v>135</v>
      </c>
      <c r="BW2091">
        <v>0</v>
      </c>
      <c r="BX2091">
        <v>0</v>
      </c>
      <c r="BY2091" t="s">
        <v>135</v>
      </c>
      <c r="BZ2091">
        <v>0</v>
      </c>
      <c r="CA2091">
        <v>0</v>
      </c>
      <c r="CB2091" t="s">
        <v>135</v>
      </c>
      <c r="CH2091" s="2"/>
      <c r="CJ2091" s="2"/>
      <c r="CL2091" s="2"/>
      <c r="CN2091" s="2"/>
      <c r="CQ2091" s="2"/>
      <c r="CT2091" s="2"/>
      <c r="CW2091" s="2"/>
    </row>
    <row r="2092" spans="1:101" x14ac:dyDescent="0.25">
      <c r="A2092" s="1" t="s">
        <v>163</v>
      </c>
      <c r="B2092" s="75" t="s">
        <v>164</v>
      </c>
      <c r="C2092">
        <v>0</v>
      </c>
      <c r="D2092">
        <v>0</v>
      </c>
      <c r="E2092">
        <v>0</v>
      </c>
      <c r="F2092">
        <v>604324.56000000006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3.91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7490</v>
      </c>
      <c r="AW2092">
        <v>3350</v>
      </c>
      <c r="AX2092">
        <v>1219</v>
      </c>
      <c r="AY2092">
        <v>12059</v>
      </c>
      <c r="AZ2092">
        <v>4202</v>
      </c>
      <c r="BA2092">
        <v>7438</v>
      </c>
      <c r="BB2092">
        <v>1432</v>
      </c>
      <c r="BC2092">
        <v>13072</v>
      </c>
      <c r="BD2092">
        <v>9486</v>
      </c>
      <c r="BE2092">
        <v>9222</v>
      </c>
      <c r="BF2092">
        <v>1768</v>
      </c>
      <c r="BG2092">
        <v>20476</v>
      </c>
      <c r="BH2092">
        <v>0</v>
      </c>
      <c r="BI2092">
        <v>0</v>
      </c>
      <c r="BJ2092">
        <v>0</v>
      </c>
      <c r="BK2092">
        <v>0</v>
      </c>
      <c r="BL2092" s="2">
        <v>24.82</v>
      </c>
      <c r="BM2092" s="2">
        <v>42005.095138888886</v>
      </c>
      <c r="BN2092" s="2">
        <v>5.4</v>
      </c>
      <c r="BO2092" s="2">
        <v>42005.092361111114</v>
      </c>
      <c r="BP2092" s="2">
        <v>6.92</v>
      </c>
      <c r="BQ2092" s="2">
        <v>42005.092361111114</v>
      </c>
      <c r="BR2092" s="2">
        <v>11.07</v>
      </c>
      <c r="BS2092" s="2">
        <v>42005.092361111114</v>
      </c>
      <c r="BT2092">
        <v>0</v>
      </c>
      <c r="BU2092">
        <v>0</v>
      </c>
      <c r="BV2092" t="s">
        <v>135</v>
      </c>
      <c r="BW2092">
        <v>0</v>
      </c>
      <c r="BX2092">
        <v>0</v>
      </c>
      <c r="BY2092" t="s">
        <v>135</v>
      </c>
      <c r="BZ2092">
        <v>0</v>
      </c>
      <c r="CA2092">
        <v>0</v>
      </c>
      <c r="CB2092" t="s">
        <v>135</v>
      </c>
      <c r="CH2092" s="2"/>
      <c r="CJ2092" s="2"/>
      <c r="CL2092" s="2"/>
      <c r="CN2092" s="2"/>
      <c r="CQ2092" s="2"/>
      <c r="CT2092" s="2"/>
      <c r="CW2092" s="2"/>
    </row>
    <row r="2093" spans="1:101" x14ac:dyDescent="0.25">
      <c r="A2093" s="1" t="s">
        <v>163</v>
      </c>
      <c r="B2093" s="75" t="s">
        <v>164</v>
      </c>
      <c r="C2093">
        <v>0</v>
      </c>
      <c r="D2093">
        <v>0</v>
      </c>
      <c r="E2093">
        <v>0</v>
      </c>
      <c r="F2093">
        <v>604324.56000000006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3.91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7490</v>
      </c>
      <c r="AW2093">
        <v>3350</v>
      </c>
      <c r="AX2093">
        <v>1219</v>
      </c>
      <c r="AY2093">
        <v>12059</v>
      </c>
      <c r="AZ2093">
        <v>4202</v>
      </c>
      <c r="BA2093">
        <v>7438</v>
      </c>
      <c r="BB2093">
        <v>1432</v>
      </c>
      <c r="BC2093">
        <v>13072</v>
      </c>
      <c r="BD2093">
        <v>9486</v>
      </c>
      <c r="BE2093">
        <v>9222</v>
      </c>
      <c r="BF2093">
        <v>1768</v>
      </c>
      <c r="BG2093">
        <v>20476</v>
      </c>
      <c r="BH2093">
        <v>0</v>
      </c>
      <c r="BI2093">
        <v>0</v>
      </c>
      <c r="BJ2093">
        <v>0</v>
      </c>
      <c r="BK2093">
        <v>0</v>
      </c>
      <c r="BL2093" s="2">
        <v>24.82</v>
      </c>
      <c r="BM2093" s="2">
        <v>42005.095138888886</v>
      </c>
      <c r="BN2093" s="2">
        <v>5.4</v>
      </c>
      <c r="BO2093" s="2">
        <v>42005.092361111114</v>
      </c>
      <c r="BP2093" s="2">
        <v>6.92</v>
      </c>
      <c r="BQ2093" s="2">
        <v>42005.092361111114</v>
      </c>
      <c r="BR2093" s="2">
        <v>11.07</v>
      </c>
      <c r="BS2093" s="2">
        <v>42005.092361111114</v>
      </c>
      <c r="BT2093">
        <v>0</v>
      </c>
      <c r="BU2093">
        <v>0</v>
      </c>
      <c r="BV2093" t="s">
        <v>135</v>
      </c>
      <c r="BW2093">
        <v>0</v>
      </c>
      <c r="BX2093">
        <v>0</v>
      </c>
      <c r="BY2093" t="s">
        <v>135</v>
      </c>
      <c r="BZ2093">
        <v>0</v>
      </c>
      <c r="CA2093">
        <v>0</v>
      </c>
      <c r="CB2093" t="s">
        <v>135</v>
      </c>
      <c r="CH2093" s="2"/>
      <c r="CJ2093" s="2"/>
      <c r="CL2093" s="2"/>
      <c r="CN2093" s="2"/>
      <c r="CQ2093" s="2"/>
      <c r="CT2093" s="2"/>
      <c r="CW2093" s="2"/>
    </row>
    <row r="2094" spans="1:101" x14ac:dyDescent="0.25">
      <c r="A2094" s="1" t="s">
        <v>163</v>
      </c>
      <c r="B2094" s="75" t="s">
        <v>164</v>
      </c>
      <c r="C2094">
        <v>0</v>
      </c>
      <c r="D2094">
        <v>0</v>
      </c>
      <c r="E2094">
        <v>0</v>
      </c>
      <c r="F2094">
        <v>604324.56000000006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3.91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7490</v>
      </c>
      <c r="AW2094">
        <v>3350</v>
      </c>
      <c r="AX2094">
        <v>1219</v>
      </c>
      <c r="AY2094">
        <v>12059</v>
      </c>
      <c r="AZ2094">
        <v>4202</v>
      </c>
      <c r="BA2094">
        <v>7438</v>
      </c>
      <c r="BB2094">
        <v>1432</v>
      </c>
      <c r="BC2094">
        <v>13072</v>
      </c>
      <c r="BD2094">
        <v>9486</v>
      </c>
      <c r="BE2094">
        <v>9222</v>
      </c>
      <c r="BF2094">
        <v>1768</v>
      </c>
      <c r="BG2094">
        <v>20476</v>
      </c>
      <c r="BH2094">
        <v>0</v>
      </c>
      <c r="BI2094">
        <v>0</v>
      </c>
      <c r="BJ2094">
        <v>0</v>
      </c>
      <c r="BK2094">
        <v>0</v>
      </c>
      <c r="BL2094" s="2">
        <v>24.82</v>
      </c>
      <c r="BM2094" s="2">
        <v>42005.095138888886</v>
      </c>
      <c r="BN2094" s="2">
        <v>5.4</v>
      </c>
      <c r="BO2094" s="2">
        <v>42005.092361111114</v>
      </c>
      <c r="BP2094" s="2">
        <v>6.92</v>
      </c>
      <c r="BQ2094" s="2">
        <v>42005.092361111114</v>
      </c>
      <c r="BR2094" s="2">
        <v>11.07</v>
      </c>
      <c r="BS2094" s="2">
        <v>42005.092361111114</v>
      </c>
      <c r="BT2094">
        <v>0</v>
      </c>
      <c r="BU2094">
        <v>0</v>
      </c>
      <c r="BV2094" t="s">
        <v>135</v>
      </c>
      <c r="BW2094">
        <v>0</v>
      </c>
      <c r="BX2094">
        <v>0</v>
      </c>
      <c r="BY2094" t="s">
        <v>135</v>
      </c>
      <c r="BZ2094">
        <v>0</v>
      </c>
      <c r="CA2094">
        <v>0</v>
      </c>
      <c r="CB2094" t="s">
        <v>135</v>
      </c>
      <c r="CH2094" s="2"/>
      <c r="CJ2094" s="2"/>
      <c r="CL2094" s="2"/>
      <c r="CN2094" s="2"/>
      <c r="CQ2094" s="2"/>
      <c r="CT2094" s="2"/>
      <c r="CW2094" s="2"/>
    </row>
    <row r="2095" spans="1:101" x14ac:dyDescent="0.25">
      <c r="A2095" s="1" t="s">
        <v>163</v>
      </c>
      <c r="B2095" s="75" t="s">
        <v>164</v>
      </c>
      <c r="C2095">
        <v>0</v>
      </c>
      <c r="D2095">
        <v>0</v>
      </c>
      <c r="E2095">
        <v>0</v>
      </c>
      <c r="F2095">
        <v>604324.56000000006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3.91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7490</v>
      </c>
      <c r="AW2095">
        <v>3350</v>
      </c>
      <c r="AX2095">
        <v>1219</v>
      </c>
      <c r="AY2095">
        <v>12059</v>
      </c>
      <c r="AZ2095">
        <v>4202</v>
      </c>
      <c r="BA2095">
        <v>7438</v>
      </c>
      <c r="BB2095">
        <v>1432</v>
      </c>
      <c r="BC2095">
        <v>13072</v>
      </c>
      <c r="BD2095">
        <v>9486</v>
      </c>
      <c r="BE2095">
        <v>9222</v>
      </c>
      <c r="BF2095">
        <v>1768</v>
      </c>
      <c r="BG2095">
        <v>20476</v>
      </c>
      <c r="BH2095">
        <v>0</v>
      </c>
      <c r="BI2095">
        <v>0</v>
      </c>
      <c r="BJ2095">
        <v>0</v>
      </c>
      <c r="BK2095">
        <v>0</v>
      </c>
      <c r="BL2095" s="2">
        <v>24.82</v>
      </c>
      <c r="BM2095" s="2">
        <v>42005.095138888886</v>
      </c>
      <c r="BN2095" s="2">
        <v>5.4</v>
      </c>
      <c r="BO2095" s="2">
        <v>42005.092361111114</v>
      </c>
      <c r="BP2095" s="2">
        <v>6.92</v>
      </c>
      <c r="BQ2095" s="2">
        <v>42005.092361111114</v>
      </c>
      <c r="BR2095" s="2">
        <v>11.07</v>
      </c>
      <c r="BS2095" s="2">
        <v>42005.092361111114</v>
      </c>
      <c r="BT2095">
        <v>0</v>
      </c>
      <c r="BU2095">
        <v>0</v>
      </c>
      <c r="BV2095" t="s">
        <v>135</v>
      </c>
      <c r="BW2095">
        <v>0</v>
      </c>
      <c r="BX2095">
        <v>0</v>
      </c>
      <c r="BY2095" t="s">
        <v>135</v>
      </c>
      <c r="BZ2095">
        <v>0</v>
      </c>
      <c r="CA2095">
        <v>0</v>
      </c>
      <c r="CB2095" t="s">
        <v>135</v>
      </c>
      <c r="CH2095" s="2"/>
      <c r="CJ2095" s="2"/>
      <c r="CL2095" s="2"/>
      <c r="CN2095" s="2"/>
      <c r="CQ2095" s="2"/>
      <c r="CT2095" s="2"/>
      <c r="CW2095" s="2"/>
    </row>
    <row r="2096" spans="1:101" x14ac:dyDescent="0.25">
      <c r="A2096" s="1" t="s">
        <v>163</v>
      </c>
      <c r="B2096" s="75" t="s">
        <v>164</v>
      </c>
      <c r="C2096">
        <v>0</v>
      </c>
      <c r="D2096">
        <v>0</v>
      </c>
      <c r="E2096">
        <v>0</v>
      </c>
      <c r="F2096">
        <v>604324.56000000006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3.91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7490</v>
      </c>
      <c r="AW2096">
        <v>3350</v>
      </c>
      <c r="AX2096">
        <v>1219</v>
      </c>
      <c r="AY2096">
        <v>12059</v>
      </c>
      <c r="AZ2096">
        <v>4202</v>
      </c>
      <c r="BA2096">
        <v>7438</v>
      </c>
      <c r="BB2096">
        <v>1432</v>
      </c>
      <c r="BC2096">
        <v>13072</v>
      </c>
      <c r="BD2096">
        <v>9486</v>
      </c>
      <c r="BE2096">
        <v>9222</v>
      </c>
      <c r="BF2096">
        <v>1768</v>
      </c>
      <c r="BG2096">
        <v>20476</v>
      </c>
      <c r="BH2096">
        <v>0</v>
      </c>
      <c r="BI2096">
        <v>0</v>
      </c>
      <c r="BJ2096">
        <v>0</v>
      </c>
      <c r="BK2096">
        <v>0</v>
      </c>
      <c r="BL2096" s="2">
        <v>24.82</v>
      </c>
      <c r="BM2096" s="2">
        <v>42005.095138888886</v>
      </c>
      <c r="BN2096" s="2">
        <v>5.4</v>
      </c>
      <c r="BO2096" s="2">
        <v>42005.092361111114</v>
      </c>
      <c r="BP2096" s="2">
        <v>6.92</v>
      </c>
      <c r="BQ2096" s="2">
        <v>42005.092361111114</v>
      </c>
      <c r="BR2096" s="2">
        <v>11.07</v>
      </c>
      <c r="BS2096" s="2">
        <v>42005.092361111114</v>
      </c>
      <c r="BT2096">
        <v>0</v>
      </c>
      <c r="BU2096">
        <v>0</v>
      </c>
      <c r="BV2096" t="s">
        <v>135</v>
      </c>
      <c r="BW2096">
        <v>0</v>
      </c>
      <c r="BX2096">
        <v>0</v>
      </c>
      <c r="BY2096" t="s">
        <v>135</v>
      </c>
      <c r="BZ2096">
        <v>0</v>
      </c>
      <c r="CA2096">
        <v>0</v>
      </c>
      <c r="CB2096" t="s">
        <v>135</v>
      </c>
      <c r="CH2096" s="2"/>
      <c r="CJ2096" s="2"/>
      <c r="CL2096" s="2"/>
      <c r="CN2096" s="2"/>
      <c r="CQ2096" s="2"/>
      <c r="CT2096" s="2"/>
      <c r="CW2096" s="2"/>
    </row>
    <row r="2097" spans="1:101" x14ac:dyDescent="0.25">
      <c r="A2097" s="1" t="s">
        <v>163</v>
      </c>
      <c r="B2097" s="75" t="s">
        <v>164</v>
      </c>
      <c r="C2097">
        <v>0</v>
      </c>
      <c r="D2097">
        <v>0</v>
      </c>
      <c r="E2097">
        <v>0</v>
      </c>
      <c r="F2097">
        <v>604324.56000000006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3.91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7490</v>
      </c>
      <c r="AW2097">
        <v>3350</v>
      </c>
      <c r="AX2097">
        <v>1219</v>
      </c>
      <c r="AY2097">
        <v>12059</v>
      </c>
      <c r="AZ2097">
        <v>4202</v>
      </c>
      <c r="BA2097">
        <v>7438</v>
      </c>
      <c r="BB2097">
        <v>1432</v>
      </c>
      <c r="BC2097">
        <v>13072</v>
      </c>
      <c r="BD2097">
        <v>9486</v>
      </c>
      <c r="BE2097">
        <v>9222</v>
      </c>
      <c r="BF2097">
        <v>1768</v>
      </c>
      <c r="BG2097">
        <v>20476</v>
      </c>
      <c r="BH2097">
        <v>0</v>
      </c>
      <c r="BI2097">
        <v>0</v>
      </c>
      <c r="BJ2097">
        <v>0</v>
      </c>
      <c r="BK2097">
        <v>0</v>
      </c>
      <c r="BL2097" s="2">
        <v>24.82</v>
      </c>
      <c r="BM2097" s="2">
        <v>42005.095138888886</v>
      </c>
      <c r="BN2097" s="2">
        <v>5.4</v>
      </c>
      <c r="BO2097" s="2">
        <v>42005.092361111114</v>
      </c>
      <c r="BP2097" s="2">
        <v>6.92</v>
      </c>
      <c r="BQ2097" s="2">
        <v>42005.092361111114</v>
      </c>
      <c r="BR2097" s="2">
        <v>11.07</v>
      </c>
      <c r="BS2097" s="2">
        <v>42005.092361111114</v>
      </c>
      <c r="BT2097">
        <v>0</v>
      </c>
      <c r="BU2097">
        <v>0</v>
      </c>
      <c r="BV2097" t="s">
        <v>135</v>
      </c>
      <c r="BW2097">
        <v>0</v>
      </c>
      <c r="BX2097">
        <v>0</v>
      </c>
      <c r="BY2097" t="s">
        <v>135</v>
      </c>
      <c r="BZ2097">
        <v>0</v>
      </c>
      <c r="CA2097">
        <v>0</v>
      </c>
      <c r="CB2097" t="s">
        <v>135</v>
      </c>
      <c r="CH2097" s="2"/>
      <c r="CJ2097" s="2"/>
      <c r="CL2097" s="2"/>
      <c r="CN2097" s="2"/>
      <c r="CQ2097" s="2"/>
      <c r="CT2097" s="2"/>
      <c r="CW2097" s="2"/>
    </row>
    <row r="2098" spans="1:101" x14ac:dyDescent="0.25">
      <c r="A2098" s="1" t="s">
        <v>163</v>
      </c>
      <c r="B2098" s="75" t="s">
        <v>164</v>
      </c>
      <c r="C2098">
        <v>0</v>
      </c>
      <c r="D2098">
        <v>0</v>
      </c>
      <c r="E2098">
        <v>0</v>
      </c>
      <c r="F2098">
        <v>604324.56000000006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3.91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7490</v>
      </c>
      <c r="AW2098">
        <v>3350</v>
      </c>
      <c r="AX2098">
        <v>1219</v>
      </c>
      <c r="AY2098">
        <v>12059</v>
      </c>
      <c r="AZ2098">
        <v>4202</v>
      </c>
      <c r="BA2098">
        <v>7438</v>
      </c>
      <c r="BB2098">
        <v>1432</v>
      </c>
      <c r="BC2098">
        <v>13072</v>
      </c>
      <c r="BD2098">
        <v>9486</v>
      </c>
      <c r="BE2098">
        <v>9222</v>
      </c>
      <c r="BF2098">
        <v>1768</v>
      </c>
      <c r="BG2098">
        <v>20476</v>
      </c>
      <c r="BH2098">
        <v>0</v>
      </c>
      <c r="BI2098">
        <v>0</v>
      </c>
      <c r="BJ2098">
        <v>0</v>
      </c>
      <c r="BK2098">
        <v>0</v>
      </c>
      <c r="BL2098" s="2">
        <v>24.82</v>
      </c>
      <c r="BM2098" s="2">
        <v>42005.095138888886</v>
      </c>
      <c r="BN2098" s="2">
        <v>5.4</v>
      </c>
      <c r="BO2098" s="2">
        <v>42005.092361111114</v>
      </c>
      <c r="BP2098" s="2">
        <v>6.92</v>
      </c>
      <c r="BQ2098" s="2">
        <v>42005.092361111114</v>
      </c>
      <c r="BR2098" s="2">
        <v>11.07</v>
      </c>
      <c r="BS2098" s="2">
        <v>42005.092361111114</v>
      </c>
      <c r="BT2098">
        <v>0</v>
      </c>
      <c r="BU2098">
        <v>0</v>
      </c>
      <c r="BV2098" t="s">
        <v>135</v>
      </c>
      <c r="BW2098">
        <v>0</v>
      </c>
      <c r="BX2098">
        <v>0</v>
      </c>
      <c r="BY2098" t="s">
        <v>135</v>
      </c>
      <c r="BZ2098">
        <v>0</v>
      </c>
      <c r="CA2098">
        <v>0</v>
      </c>
      <c r="CB2098" t="s">
        <v>135</v>
      </c>
      <c r="CH2098" s="2"/>
      <c r="CJ2098" s="2"/>
      <c r="CL2098" s="2"/>
      <c r="CN2098" s="2"/>
      <c r="CQ2098" s="2"/>
      <c r="CT2098" s="2"/>
      <c r="CW2098" s="2"/>
    </row>
    <row r="2099" spans="1:101" x14ac:dyDescent="0.25">
      <c r="A2099" s="1" t="s">
        <v>163</v>
      </c>
      <c r="B2099" s="75" t="s">
        <v>164</v>
      </c>
      <c r="C2099">
        <v>0</v>
      </c>
      <c r="D2099">
        <v>0</v>
      </c>
      <c r="E2099">
        <v>0</v>
      </c>
      <c r="F2099">
        <v>604324.56000000006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3.91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7490</v>
      </c>
      <c r="AW2099">
        <v>3350</v>
      </c>
      <c r="AX2099">
        <v>1219</v>
      </c>
      <c r="AY2099">
        <v>12059</v>
      </c>
      <c r="AZ2099">
        <v>4202</v>
      </c>
      <c r="BA2099">
        <v>7438</v>
      </c>
      <c r="BB2099">
        <v>1432</v>
      </c>
      <c r="BC2099">
        <v>13072</v>
      </c>
      <c r="BD2099">
        <v>9486</v>
      </c>
      <c r="BE2099">
        <v>9222</v>
      </c>
      <c r="BF2099">
        <v>1768</v>
      </c>
      <c r="BG2099">
        <v>20476</v>
      </c>
      <c r="BH2099">
        <v>0</v>
      </c>
      <c r="BI2099">
        <v>0</v>
      </c>
      <c r="BJ2099">
        <v>0</v>
      </c>
      <c r="BK2099">
        <v>0</v>
      </c>
      <c r="BL2099" s="2">
        <v>24.82</v>
      </c>
      <c r="BM2099" s="2">
        <v>42005.095138888886</v>
      </c>
      <c r="BN2099" s="2">
        <v>5.4</v>
      </c>
      <c r="BO2099" s="2">
        <v>42005.092361111114</v>
      </c>
      <c r="BP2099" s="2">
        <v>6.92</v>
      </c>
      <c r="BQ2099" s="2">
        <v>42005.092361111114</v>
      </c>
      <c r="BR2099" s="2">
        <v>11.07</v>
      </c>
      <c r="BS2099" s="2">
        <v>42005.092361111114</v>
      </c>
      <c r="BT2099">
        <v>0</v>
      </c>
      <c r="BU2099">
        <v>0</v>
      </c>
      <c r="BV2099" t="s">
        <v>135</v>
      </c>
      <c r="BW2099">
        <v>0</v>
      </c>
      <c r="BX2099">
        <v>0</v>
      </c>
      <c r="BY2099" t="s">
        <v>135</v>
      </c>
      <c r="BZ2099">
        <v>0</v>
      </c>
      <c r="CA2099">
        <v>0</v>
      </c>
      <c r="CB2099" t="s">
        <v>135</v>
      </c>
      <c r="CH2099" s="2"/>
      <c r="CJ2099" s="2"/>
      <c r="CL2099" s="2"/>
      <c r="CN2099" s="2"/>
      <c r="CQ2099" s="2"/>
      <c r="CT2099" s="2"/>
      <c r="CW2099" s="2"/>
    </row>
    <row r="2100" spans="1:101" x14ac:dyDescent="0.25">
      <c r="A2100" s="1" t="s">
        <v>163</v>
      </c>
      <c r="B2100" s="75" t="s">
        <v>164</v>
      </c>
      <c r="C2100">
        <v>0</v>
      </c>
      <c r="D2100">
        <v>0</v>
      </c>
      <c r="E2100">
        <v>0</v>
      </c>
      <c r="F2100">
        <v>604324.56000000006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3.91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7490</v>
      </c>
      <c r="AW2100">
        <v>3350</v>
      </c>
      <c r="AX2100">
        <v>1219</v>
      </c>
      <c r="AY2100">
        <v>12059</v>
      </c>
      <c r="AZ2100">
        <v>4202</v>
      </c>
      <c r="BA2100">
        <v>7438</v>
      </c>
      <c r="BB2100">
        <v>1432</v>
      </c>
      <c r="BC2100">
        <v>13072</v>
      </c>
      <c r="BD2100">
        <v>9486</v>
      </c>
      <c r="BE2100">
        <v>9222</v>
      </c>
      <c r="BF2100">
        <v>1768</v>
      </c>
      <c r="BG2100">
        <v>20476</v>
      </c>
      <c r="BH2100">
        <v>0</v>
      </c>
      <c r="BI2100">
        <v>0</v>
      </c>
      <c r="BJ2100">
        <v>0</v>
      </c>
      <c r="BK2100">
        <v>0</v>
      </c>
      <c r="BL2100" s="2">
        <v>24.82</v>
      </c>
      <c r="BM2100" s="2">
        <v>42005.095138888886</v>
      </c>
      <c r="BN2100" s="2">
        <v>5.4</v>
      </c>
      <c r="BO2100" s="2">
        <v>42005.092361111114</v>
      </c>
      <c r="BP2100" s="2">
        <v>6.92</v>
      </c>
      <c r="BQ2100" s="2">
        <v>42005.092361111114</v>
      </c>
      <c r="BR2100" s="2">
        <v>11.07</v>
      </c>
      <c r="BS2100" s="2">
        <v>42005.092361111114</v>
      </c>
      <c r="BT2100">
        <v>0</v>
      </c>
      <c r="BU2100">
        <v>0</v>
      </c>
      <c r="BV2100" t="s">
        <v>135</v>
      </c>
      <c r="BW2100">
        <v>0</v>
      </c>
      <c r="BX2100">
        <v>0</v>
      </c>
      <c r="BY2100" t="s">
        <v>135</v>
      </c>
      <c r="BZ2100">
        <v>0</v>
      </c>
      <c r="CA2100">
        <v>0</v>
      </c>
      <c r="CB2100" t="s">
        <v>135</v>
      </c>
      <c r="CH2100" s="2"/>
      <c r="CJ2100" s="2"/>
      <c r="CL2100" s="2"/>
      <c r="CN2100" s="2"/>
      <c r="CQ2100" s="2"/>
      <c r="CT2100" s="2"/>
      <c r="CW2100" s="2"/>
    </row>
    <row r="2101" spans="1:101" x14ac:dyDescent="0.25">
      <c r="A2101" s="1" t="s">
        <v>163</v>
      </c>
      <c r="B2101" s="75" t="s">
        <v>164</v>
      </c>
      <c r="C2101">
        <v>0</v>
      </c>
      <c r="D2101">
        <v>0</v>
      </c>
      <c r="E2101">
        <v>0</v>
      </c>
      <c r="F2101">
        <v>604324.56000000006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3.91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7490</v>
      </c>
      <c r="AW2101">
        <v>3350</v>
      </c>
      <c r="AX2101">
        <v>1219</v>
      </c>
      <c r="AY2101">
        <v>12059</v>
      </c>
      <c r="AZ2101">
        <v>4202</v>
      </c>
      <c r="BA2101">
        <v>7438</v>
      </c>
      <c r="BB2101">
        <v>1432</v>
      </c>
      <c r="BC2101">
        <v>13072</v>
      </c>
      <c r="BD2101">
        <v>9486</v>
      </c>
      <c r="BE2101">
        <v>9222</v>
      </c>
      <c r="BF2101">
        <v>1768</v>
      </c>
      <c r="BG2101">
        <v>20476</v>
      </c>
      <c r="BH2101">
        <v>0</v>
      </c>
      <c r="BI2101">
        <v>0</v>
      </c>
      <c r="BJ2101">
        <v>0</v>
      </c>
      <c r="BK2101">
        <v>0</v>
      </c>
      <c r="BL2101" s="2">
        <v>24.82</v>
      </c>
      <c r="BM2101" s="2">
        <v>42005.095138888886</v>
      </c>
      <c r="BN2101" s="2">
        <v>5.4</v>
      </c>
      <c r="BO2101" s="2">
        <v>42005.092361111114</v>
      </c>
      <c r="BP2101" s="2">
        <v>6.92</v>
      </c>
      <c r="BQ2101" s="2">
        <v>42005.092361111114</v>
      </c>
      <c r="BR2101" s="2">
        <v>11.07</v>
      </c>
      <c r="BS2101" s="2">
        <v>42005.092361111114</v>
      </c>
      <c r="BT2101">
        <v>0</v>
      </c>
      <c r="BU2101">
        <v>0</v>
      </c>
      <c r="BV2101" t="s">
        <v>135</v>
      </c>
      <c r="BW2101">
        <v>0</v>
      </c>
      <c r="BX2101">
        <v>0</v>
      </c>
      <c r="BY2101" t="s">
        <v>135</v>
      </c>
      <c r="BZ2101">
        <v>0</v>
      </c>
      <c r="CA2101">
        <v>0</v>
      </c>
      <c r="CB2101" t="s">
        <v>135</v>
      </c>
      <c r="CH2101" s="2"/>
      <c r="CJ2101" s="2"/>
      <c r="CL2101" s="2"/>
      <c r="CN2101" s="2"/>
      <c r="CQ2101" s="2"/>
      <c r="CT2101" s="2"/>
      <c r="CW2101" s="2"/>
    </row>
    <row r="2102" spans="1:101" x14ac:dyDescent="0.25">
      <c r="A2102" s="1" t="s">
        <v>163</v>
      </c>
      <c r="B2102" s="75" t="s">
        <v>164</v>
      </c>
      <c r="C2102">
        <v>0</v>
      </c>
      <c r="D2102">
        <v>0</v>
      </c>
      <c r="E2102">
        <v>0</v>
      </c>
      <c r="F2102">
        <v>604324.56000000006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3.91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7490</v>
      </c>
      <c r="AW2102">
        <v>3350</v>
      </c>
      <c r="AX2102">
        <v>1219</v>
      </c>
      <c r="AY2102">
        <v>12059</v>
      </c>
      <c r="AZ2102">
        <v>4202</v>
      </c>
      <c r="BA2102">
        <v>7438</v>
      </c>
      <c r="BB2102">
        <v>1432</v>
      </c>
      <c r="BC2102">
        <v>13072</v>
      </c>
      <c r="BD2102">
        <v>9486</v>
      </c>
      <c r="BE2102">
        <v>9222</v>
      </c>
      <c r="BF2102">
        <v>1768</v>
      </c>
      <c r="BG2102">
        <v>20476</v>
      </c>
      <c r="BH2102">
        <v>0</v>
      </c>
      <c r="BI2102">
        <v>0</v>
      </c>
      <c r="BJ2102">
        <v>0</v>
      </c>
      <c r="BK2102">
        <v>0</v>
      </c>
      <c r="BL2102" s="2">
        <v>24.82</v>
      </c>
      <c r="BM2102" s="2">
        <v>42005.095138888886</v>
      </c>
      <c r="BN2102" s="2">
        <v>5.4</v>
      </c>
      <c r="BO2102" s="2">
        <v>42005.092361111114</v>
      </c>
      <c r="BP2102" s="2">
        <v>6.92</v>
      </c>
      <c r="BQ2102" s="2">
        <v>42005.092361111114</v>
      </c>
      <c r="BR2102" s="2">
        <v>11.07</v>
      </c>
      <c r="BS2102" s="2">
        <v>42005.092361111114</v>
      </c>
      <c r="BT2102">
        <v>0</v>
      </c>
      <c r="BU2102">
        <v>0</v>
      </c>
      <c r="BV2102" t="s">
        <v>135</v>
      </c>
      <c r="BW2102">
        <v>0</v>
      </c>
      <c r="BX2102">
        <v>0</v>
      </c>
      <c r="BY2102" t="s">
        <v>135</v>
      </c>
      <c r="BZ2102">
        <v>0</v>
      </c>
      <c r="CA2102">
        <v>0</v>
      </c>
      <c r="CB2102" t="s">
        <v>135</v>
      </c>
      <c r="CH2102" s="2"/>
      <c r="CJ2102" s="2"/>
      <c r="CL2102" s="2"/>
      <c r="CN2102" s="2"/>
      <c r="CQ2102" s="2"/>
      <c r="CT2102" s="2"/>
      <c r="CW2102" s="2"/>
    </row>
    <row r="2103" spans="1:101" x14ac:dyDescent="0.25">
      <c r="A2103" s="1" t="s">
        <v>163</v>
      </c>
      <c r="B2103" s="75" t="s">
        <v>164</v>
      </c>
      <c r="C2103">
        <v>0</v>
      </c>
      <c r="D2103">
        <v>0</v>
      </c>
      <c r="E2103">
        <v>0</v>
      </c>
      <c r="F2103">
        <v>604324.56000000006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3.91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7490</v>
      </c>
      <c r="AW2103">
        <v>3350</v>
      </c>
      <c r="AX2103">
        <v>1219</v>
      </c>
      <c r="AY2103">
        <v>12059</v>
      </c>
      <c r="AZ2103">
        <v>4202</v>
      </c>
      <c r="BA2103">
        <v>7438</v>
      </c>
      <c r="BB2103">
        <v>1432</v>
      </c>
      <c r="BC2103">
        <v>13072</v>
      </c>
      <c r="BD2103">
        <v>9486</v>
      </c>
      <c r="BE2103">
        <v>9222</v>
      </c>
      <c r="BF2103">
        <v>1768</v>
      </c>
      <c r="BG2103">
        <v>20476</v>
      </c>
      <c r="BH2103">
        <v>0</v>
      </c>
      <c r="BI2103">
        <v>0</v>
      </c>
      <c r="BJ2103">
        <v>0</v>
      </c>
      <c r="BK2103">
        <v>0</v>
      </c>
      <c r="BL2103" s="2">
        <v>24.82</v>
      </c>
      <c r="BM2103" s="2">
        <v>42005.095138888886</v>
      </c>
      <c r="BN2103" s="2">
        <v>5.4</v>
      </c>
      <c r="BO2103" s="2">
        <v>42005.092361111114</v>
      </c>
      <c r="BP2103" s="2">
        <v>6.92</v>
      </c>
      <c r="BQ2103" s="2">
        <v>42005.092361111114</v>
      </c>
      <c r="BR2103" s="2">
        <v>11.07</v>
      </c>
      <c r="BS2103" s="2">
        <v>42005.092361111114</v>
      </c>
      <c r="BT2103">
        <v>0</v>
      </c>
      <c r="BU2103">
        <v>0</v>
      </c>
      <c r="BV2103" t="s">
        <v>135</v>
      </c>
      <c r="BW2103">
        <v>0</v>
      </c>
      <c r="BX2103">
        <v>0</v>
      </c>
      <c r="BY2103" t="s">
        <v>135</v>
      </c>
      <c r="BZ2103">
        <v>0</v>
      </c>
      <c r="CA2103">
        <v>0</v>
      </c>
      <c r="CB2103" t="s">
        <v>135</v>
      </c>
      <c r="CH2103" s="2"/>
      <c r="CJ2103" s="2"/>
      <c r="CL2103" s="2"/>
      <c r="CN2103" s="2"/>
      <c r="CQ2103" s="2"/>
      <c r="CT2103" s="2"/>
      <c r="CW2103" s="2"/>
    </row>
    <row r="2104" spans="1:101" x14ac:dyDescent="0.25">
      <c r="A2104" s="1" t="s">
        <v>163</v>
      </c>
      <c r="B2104" s="75" t="s">
        <v>164</v>
      </c>
      <c r="C2104">
        <v>0</v>
      </c>
      <c r="D2104">
        <v>0</v>
      </c>
      <c r="E2104">
        <v>0</v>
      </c>
      <c r="F2104">
        <v>604324.56000000006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3.91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7490</v>
      </c>
      <c r="AW2104">
        <v>3350</v>
      </c>
      <c r="AX2104">
        <v>1219</v>
      </c>
      <c r="AY2104">
        <v>12059</v>
      </c>
      <c r="AZ2104">
        <v>4202</v>
      </c>
      <c r="BA2104">
        <v>7438</v>
      </c>
      <c r="BB2104">
        <v>1432</v>
      </c>
      <c r="BC2104">
        <v>13072</v>
      </c>
      <c r="BD2104">
        <v>9486</v>
      </c>
      <c r="BE2104">
        <v>9222</v>
      </c>
      <c r="BF2104">
        <v>1768</v>
      </c>
      <c r="BG2104">
        <v>20476</v>
      </c>
      <c r="BH2104">
        <v>0</v>
      </c>
      <c r="BI2104">
        <v>0</v>
      </c>
      <c r="BJ2104">
        <v>0</v>
      </c>
      <c r="BK2104">
        <v>0</v>
      </c>
      <c r="BL2104" s="2">
        <v>24.82</v>
      </c>
      <c r="BM2104" s="2">
        <v>42005.095138888886</v>
      </c>
      <c r="BN2104" s="2">
        <v>5.4</v>
      </c>
      <c r="BO2104" s="2">
        <v>42005.092361111114</v>
      </c>
      <c r="BP2104" s="2">
        <v>6.92</v>
      </c>
      <c r="BQ2104" s="2">
        <v>42005.092361111114</v>
      </c>
      <c r="BR2104" s="2">
        <v>11.07</v>
      </c>
      <c r="BS2104" s="2">
        <v>42005.092361111114</v>
      </c>
      <c r="BT2104">
        <v>0</v>
      </c>
      <c r="BU2104">
        <v>0</v>
      </c>
      <c r="BV2104" t="s">
        <v>135</v>
      </c>
      <c r="BW2104">
        <v>0</v>
      </c>
      <c r="BX2104">
        <v>0</v>
      </c>
      <c r="BY2104" t="s">
        <v>135</v>
      </c>
      <c r="BZ2104">
        <v>0</v>
      </c>
      <c r="CA2104">
        <v>0</v>
      </c>
      <c r="CB2104" t="s">
        <v>135</v>
      </c>
      <c r="CH2104" s="2"/>
      <c r="CJ2104" s="2"/>
      <c r="CL2104" s="2"/>
      <c r="CN2104" s="2"/>
      <c r="CQ2104" s="2"/>
      <c r="CT2104" s="2"/>
      <c r="CW2104" s="2"/>
    </row>
    <row r="2105" spans="1:101" x14ac:dyDescent="0.25">
      <c r="A2105" s="1" t="s">
        <v>163</v>
      </c>
      <c r="B2105" s="75" t="s">
        <v>164</v>
      </c>
      <c r="C2105">
        <v>0</v>
      </c>
      <c r="D2105">
        <v>0</v>
      </c>
      <c r="E2105">
        <v>0</v>
      </c>
      <c r="F2105">
        <v>604324.56000000006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3.91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7490</v>
      </c>
      <c r="AW2105">
        <v>3350</v>
      </c>
      <c r="AX2105">
        <v>1219</v>
      </c>
      <c r="AY2105">
        <v>12059</v>
      </c>
      <c r="AZ2105">
        <v>4202</v>
      </c>
      <c r="BA2105">
        <v>7438</v>
      </c>
      <c r="BB2105">
        <v>1432</v>
      </c>
      <c r="BC2105">
        <v>13072</v>
      </c>
      <c r="BD2105">
        <v>9486</v>
      </c>
      <c r="BE2105">
        <v>9222</v>
      </c>
      <c r="BF2105">
        <v>1768</v>
      </c>
      <c r="BG2105">
        <v>20476</v>
      </c>
      <c r="BH2105">
        <v>0</v>
      </c>
      <c r="BI2105">
        <v>0</v>
      </c>
      <c r="BJ2105">
        <v>0</v>
      </c>
      <c r="BK2105">
        <v>0</v>
      </c>
      <c r="BL2105" s="2">
        <v>24.82</v>
      </c>
      <c r="BM2105" s="2">
        <v>42005.095138888886</v>
      </c>
      <c r="BN2105" s="2">
        <v>5.4</v>
      </c>
      <c r="BO2105" s="2">
        <v>42005.092361111114</v>
      </c>
      <c r="BP2105" s="2">
        <v>6.92</v>
      </c>
      <c r="BQ2105" s="2">
        <v>42005.092361111114</v>
      </c>
      <c r="BR2105" s="2">
        <v>11.07</v>
      </c>
      <c r="BS2105" s="2">
        <v>42005.092361111114</v>
      </c>
      <c r="BT2105">
        <v>0</v>
      </c>
      <c r="BU2105">
        <v>0</v>
      </c>
      <c r="BV2105" t="s">
        <v>135</v>
      </c>
      <c r="BW2105">
        <v>0</v>
      </c>
      <c r="BX2105">
        <v>0</v>
      </c>
      <c r="BY2105" t="s">
        <v>135</v>
      </c>
      <c r="BZ2105">
        <v>0</v>
      </c>
      <c r="CA2105">
        <v>0</v>
      </c>
      <c r="CB2105" t="s">
        <v>135</v>
      </c>
      <c r="CH2105" s="2"/>
      <c r="CJ2105" s="2"/>
      <c r="CL2105" s="2"/>
      <c r="CN2105" s="2"/>
      <c r="CQ2105" s="2"/>
      <c r="CT2105" s="2"/>
      <c r="CW2105" s="2"/>
    </row>
    <row r="2106" spans="1:101" x14ac:dyDescent="0.25">
      <c r="A2106" s="1" t="s">
        <v>163</v>
      </c>
      <c r="B2106" s="75" t="s">
        <v>164</v>
      </c>
      <c r="C2106">
        <v>0</v>
      </c>
      <c r="D2106">
        <v>0</v>
      </c>
      <c r="E2106">
        <v>0</v>
      </c>
      <c r="F2106">
        <v>604324.56000000006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3.91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7490</v>
      </c>
      <c r="AW2106">
        <v>3350</v>
      </c>
      <c r="AX2106">
        <v>1219</v>
      </c>
      <c r="AY2106">
        <v>12059</v>
      </c>
      <c r="AZ2106">
        <v>4202</v>
      </c>
      <c r="BA2106">
        <v>7438</v>
      </c>
      <c r="BB2106">
        <v>1432</v>
      </c>
      <c r="BC2106">
        <v>13072</v>
      </c>
      <c r="BD2106">
        <v>9486</v>
      </c>
      <c r="BE2106">
        <v>9222</v>
      </c>
      <c r="BF2106">
        <v>1768</v>
      </c>
      <c r="BG2106">
        <v>20476</v>
      </c>
      <c r="BH2106">
        <v>0</v>
      </c>
      <c r="BI2106">
        <v>0</v>
      </c>
      <c r="BJ2106">
        <v>0</v>
      </c>
      <c r="BK2106">
        <v>0</v>
      </c>
      <c r="BL2106" s="2">
        <v>24.82</v>
      </c>
      <c r="BM2106" s="2">
        <v>42005.095138888886</v>
      </c>
      <c r="BN2106" s="2">
        <v>5.4</v>
      </c>
      <c r="BO2106" s="2">
        <v>42005.092361111114</v>
      </c>
      <c r="BP2106" s="2">
        <v>6.92</v>
      </c>
      <c r="BQ2106" s="2">
        <v>42005.092361111114</v>
      </c>
      <c r="BR2106" s="2">
        <v>11.07</v>
      </c>
      <c r="BS2106" s="2">
        <v>42005.092361111114</v>
      </c>
      <c r="BT2106">
        <v>0</v>
      </c>
      <c r="BU2106">
        <v>0</v>
      </c>
      <c r="BV2106" t="s">
        <v>135</v>
      </c>
      <c r="BW2106">
        <v>0</v>
      </c>
      <c r="BX2106">
        <v>0</v>
      </c>
      <c r="BY2106" t="s">
        <v>135</v>
      </c>
      <c r="BZ2106">
        <v>0</v>
      </c>
      <c r="CA2106">
        <v>0</v>
      </c>
      <c r="CB2106" t="s">
        <v>135</v>
      </c>
      <c r="CH2106" s="2"/>
      <c r="CJ2106" s="2"/>
      <c r="CL2106" s="2"/>
      <c r="CN2106" s="2"/>
      <c r="CQ2106" s="2"/>
      <c r="CT2106" s="2"/>
      <c r="CW2106" s="2"/>
    </row>
    <row r="2107" spans="1:101" x14ac:dyDescent="0.25">
      <c r="A2107" s="1" t="s">
        <v>163</v>
      </c>
      <c r="B2107" s="75" t="s">
        <v>164</v>
      </c>
      <c r="C2107">
        <v>0</v>
      </c>
      <c r="D2107">
        <v>0</v>
      </c>
      <c r="E2107">
        <v>0</v>
      </c>
      <c r="F2107">
        <v>604324.56000000006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3.91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7490</v>
      </c>
      <c r="AW2107">
        <v>3350</v>
      </c>
      <c r="AX2107">
        <v>1219</v>
      </c>
      <c r="AY2107">
        <v>12059</v>
      </c>
      <c r="AZ2107">
        <v>4202</v>
      </c>
      <c r="BA2107">
        <v>7438</v>
      </c>
      <c r="BB2107">
        <v>1432</v>
      </c>
      <c r="BC2107">
        <v>13072</v>
      </c>
      <c r="BD2107">
        <v>9486</v>
      </c>
      <c r="BE2107">
        <v>9222</v>
      </c>
      <c r="BF2107">
        <v>1768</v>
      </c>
      <c r="BG2107">
        <v>20476</v>
      </c>
      <c r="BH2107">
        <v>0</v>
      </c>
      <c r="BI2107">
        <v>0</v>
      </c>
      <c r="BJ2107">
        <v>0</v>
      </c>
      <c r="BK2107">
        <v>0</v>
      </c>
      <c r="BL2107" s="2">
        <v>24.82</v>
      </c>
      <c r="BM2107" s="2">
        <v>42005.095138888886</v>
      </c>
      <c r="BN2107" s="2">
        <v>5.4</v>
      </c>
      <c r="BO2107" s="2">
        <v>42005.092361111114</v>
      </c>
      <c r="BP2107" s="2">
        <v>6.92</v>
      </c>
      <c r="BQ2107" s="2">
        <v>42005.092361111114</v>
      </c>
      <c r="BR2107" s="2">
        <v>11.07</v>
      </c>
      <c r="BS2107" s="2">
        <v>42005.092361111114</v>
      </c>
      <c r="BT2107">
        <v>0</v>
      </c>
      <c r="BU2107">
        <v>0</v>
      </c>
      <c r="BV2107" t="s">
        <v>135</v>
      </c>
      <c r="BW2107">
        <v>0</v>
      </c>
      <c r="BX2107">
        <v>0</v>
      </c>
      <c r="BY2107" t="s">
        <v>135</v>
      </c>
      <c r="BZ2107">
        <v>0</v>
      </c>
      <c r="CA2107">
        <v>0</v>
      </c>
      <c r="CB2107" t="s">
        <v>135</v>
      </c>
      <c r="CH2107" s="2"/>
      <c r="CJ2107" s="2"/>
      <c r="CL2107" s="2"/>
      <c r="CN2107" s="2"/>
      <c r="CQ2107" s="2"/>
      <c r="CT2107" s="2"/>
      <c r="CW2107" s="2"/>
    </row>
    <row r="2108" spans="1:101" x14ac:dyDescent="0.25">
      <c r="A2108" s="1" t="s">
        <v>163</v>
      </c>
      <c r="B2108" s="75" t="s">
        <v>164</v>
      </c>
      <c r="C2108">
        <v>0</v>
      </c>
      <c r="D2108">
        <v>0</v>
      </c>
      <c r="E2108">
        <v>0</v>
      </c>
      <c r="F2108">
        <v>604324.56000000006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3.91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7490</v>
      </c>
      <c r="AW2108">
        <v>3350</v>
      </c>
      <c r="AX2108">
        <v>1219</v>
      </c>
      <c r="AY2108">
        <v>12059</v>
      </c>
      <c r="AZ2108">
        <v>4202</v>
      </c>
      <c r="BA2108">
        <v>7438</v>
      </c>
      <c r="BB2108">
        <v>1432</v>
      </c>
      <c r="BC2108">
        <v>13072</v>
      </c>
      <c r="BD2108">
        <v>9486</v>
      </c>
      <c r="BE2108">
        <v>9222</v>
      </c>
      <c r="BF2108">
        <v>1768</v>
      </c>
      <c r="BG2108">
        <v>20476</v>
      </c>
      <c r="BH2108">
        <v>0</v>
      </c>
      <c r="BI2108">
        <v>0</v>
      </c>
      <c r="BJ2108">
        <v>0</v>
      </c>
      <c r="BK2108">
        <v>0</v>
      </c>
      <c r="BL2108" s="2">
        <v>24.82</v>
      </c>
      <c r="BM2108" s="2">
        <v>42005.095138888886</v>
      </c>
      <c r="BN2108" s="2">
        <v>5.4</v>
      </c>
      <c r="BO2108" s="2">
        <v>42005.092361111114</v>
      </c>
      <c r="BP2108" s="2">
        <v>6.92</v>
      </c>
      <c r="BQ2108" s="2">
        <v>42005.092361111114</v>
      </c>
      <c r="BR2108" s="2">
        <v>11.07</v>
      </c>
      <c r="BS2108" s="2">
        <v>42005.092361111114</v>
      </c>
      <c r="BT2108">
        <v>0</v>
      </c>
      <c r="BU2108">
        <v>0</v>
      </c>
      <c r="BV2108" t="s">
        <v>135</v>
      </c>
      <c r="BW2108">
        <v>0</v>
      </c>
      <c r="BX2108">
        <v>0</v>
      </c>
      <c r="BY2108" t="s">
        <v>135</v>
      </c>
      <c r="BZ2108">
        <v>0</v>
      </c>
      <c r="CA2108">
        <v>0</v>
      </c>
      <c r="CB2108" t="s">
        <v>135</v>
      </c>
      <c r="CH2108" s="2"/>
      <c r="CJ2108" s="2"/>
      <c r="CL2108" s="2"/>
      <c r="CN2108" s="2"/>
      <c r="CQ2108" s="2"/>
      <c r="CT2108" s="2"/>
      <c r="CW2108" s="2"/>
    </row>
    <row r="2109" spans="1:101" x14ac:dyDescent="0.25">
      <c r="A2109" s="1" t="s">
        <v>163</v>
      </c>
      <c r="B2109" s="75" t="s">
        <v>164</v>
      </c>
      <c r="C2109">
        <v>0</v>
      </c>
      <c r="D2109">
        <v>0</v>
      </c>
      <c r="E2109">
        <v>0</v>
      </c>
      <c r="F2109">
        <v>604324.56000000006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3.91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7490</v>
      </c>
      <c r="AW2109">
        <v>3350</v>
      </c>
      <c r="AX2109">
        <v>1219</v>
      </c>
      <c r="AY2109">
        <v>12059</v>
      </c>
      <c r="AZ2109">
        <v>4202</v>
      </c>
      <c r="BA2109">
        <v>7438</v>
      </c>
      <c r="BB2109">
        <v>1432</v>
      </c>
      <c r="BC2109">
        <v>13072</v>
      </c>
      <c r="BD2109">
        <v>9486</v>
      </c>
      <c r="BE2109">
        <v>9222</v>
      </c>
      <c r="BF2109">
        <v>1768</v>
      </c>
      <c r="BG2109">
        <v>20476</v>
      </c>
      <c r="BH2109">
        <v>0</v>
      </c>
      <c r="BI2109">
        <v>0</v>
      </c>
      <c r="BJ2109">
        <v>0</v>
      </c>
      <c r="BK2109">
        <v>0</v>
      </c>
      <c r="BL2109" s="2">
        <v>24.82</v>
      </c>
      <c r="BM2109" s="2">
        <v>42005.095138888886</v>
      </c>
      <c r="BN2109" s="2">
        <v>5.4</v>
      </c>
      <c r="BO2109" s="2">
        <v>42005.092361111114</v>
      </c>
      <c r="BP2109" s="2">
        <v>6.92</v>
      </c>
      <c r="BQ2109" s="2">
        <v>42005.092361111114</v>
      </c>
      <c r="BR2109" s="2">
        <v>11.07</v>
      </c>
      <c r="BS2109" s="2">
        <v>42005.092361111114</v>
      </c>
      <c r="BT2109">
        <v>0</v>
      </c>
      <c r="BU2109">
        <v>0</v>
      </c>
      <c r="BV2109" t="s">
        <v>135</v>
      </c>
      <c r="BW2109">
        <v>0</v>
      </c>
      <c r="BX2109">
        <v>0</v>
      </c>
      <c r="BY2109" t="s">
        <v>135</v>
      </c>
      <c r="BZ2109">
        <v>0</v>
      </c>
      <c r="CA2109">
        <v>0</v>
      </c>
      <c r="CB2109" t="s">
        <v>135</v>
      </c>
      <c r="CH2109" s="2"/>
      <c r="CJ2109" s="2"/>
      <c r="CL2109" s="2"/>
      <c r="CN2109" s="2"/>
      <c r="CQ2109" s="2"/>
      <c r="CT2109" s="2"/>
      <c r="CW2109" s="2"/>
    </row>
    <row r="2110" spans="1:101" x14ac:dyDescent="0.25">
      <c r="A2110" s="1" t="s">
        <v>163</v>
      </c>
      <c r="B2110" s="75" t="s">
        <v>164</v>
      </c>
      <c r="C2110">
        <v>0</v>
      </c>
      <c r="D2110">
        <v>0</v>
      </c>
      <c r="E2110">
        <v>0</v>
      </c>
      <c r="F2110">
        <v>604324.56000000006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3.91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7490</v>
      </c>
      <c r="AW2110">
        <v>3350</v>
      </c>
      <c r="AX2110">
        <v>1219</v>
      </c>
      <c r="AY2110">
        <v>12059</v>
      </c>
      <c r="AZ2110">
        <v>4202</v>
      </c>
      <c r="BA2110">
        <v>7438</v>
      </c>
      <c r="BB2110">
        <v>1432</v>
      </c>
      <c r="BC2110">
        <v>13072</v>
      </c>
      <c r="BD2110">
        <v>9486</v>
      </c>
      <c r="BE2110">
        <v>9222</v>
      </c>
      <c r="BF2110">
        <v>1768</v>
      </c>
      <c r="BG2110">
        <v>20476</v>
      </c>
      <c r="BH2110">
        <v>0</v>
      </c>
      <c r="BI2110">
        <v>0</v>
      </c>
      <c r="BJ2110">
        <v>0</v>
      </c>
      <c r="BK2110">
        <v>0</v>
      </c>
      <c r="BL2110" s="2">
        <v>24.82</v>
      </c>
      <c r="BM2110" s="2">
        <v>42005.095138888886</v>
      </c>
      <c r="BN2110" s="2">
        <v>5.4</v>
      </c>
      <c r="BO2110" s="2">
        <v>42005.092361111114</v>
      </c>
      <c r="BP2110" s="2">
        <v>6.92</v>
      </c>
      <c r="BQ2110" s="2">
        <v>42005.092361111114</v>
      </c>
      <c r="BR2110" s="2">
        <v>11.07</v>
      </c>
      <c r="BS2110" s="2">
        <v>42005.092361111114</v>
      </c>
      <c r="BT2110">
        <v>0</v>
      </c>
      <c r="BU2110">
        <v>0</v>
      </c>
      <c r="BV2110" t="s">
        <v>135</v>
      </c>
      <c r="BW2110">
        <v>0</v>
      </c>
      <c r="BX2110">
        <v>0</v>
      </c>
      <c r="BY2110" t="s">
        <v>135</v>
      </c>
      <c r="BZ2110">
        <v>0</v>
      </c>
      <c r="CA2110">
        <v>0</v>
      </c>
      <c r="CB2110" t="s">
        <v>135</v>
      </c>
      <c r="CH2110" s="2"/>
      <c r="CJ2110" s="2"/>
      <c r="CL2110" s="2"/>
      <c r="CN2110" s="2"/>
      <c r="CQ2110" s="2"/>
      <c r="CT2110" s="2"/>
      <c r="CW2110" s="2"/>
    </row>
    <row r="2111" spans="1:101" x14ac:dyDescent="0.25">
      <c r="A2111" s="1" t="s">
        <v>163</v>
      </c>
      <c r="B2111" s="75" t="s">
        <v>164</v>
      </c>
      <c r="C2111">
        <v>0</v>
      </c>
      <c r="D2111">
        <v>0</v>
      </c>
      <c r="E2111">
        <v>0</v>
      </c>
      <c r="F2111">
        <v>604324.56000000006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3.91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7490</v>
      </c>
      <c r="AW2111">
        <v>3350</v>
      </c>
      <c r="AX2111">
        <v>1219</v>
      </c>
      <c r="AY2111">
        <v>12059</v>
      </c>
      <c r="AZ2111">
        <v>4202</v>
      </c>
      <c r="BA2111">
        <v>7438</v>
      </c>
      <c r="BB2111">
        <v>1432</v>
      </c>
      <c r="BC2111">
        <v>13072</v>
      </c>
      <c r="BD2111">
        <v>9486</v>
      </c>
      <c r="BE2111">
        <v>9222</v>
      </c>
      <c r="BF2111">
        <v>1768</v>
      </c>
      <c r="BG2111">
        <v>20476</v>
      </c>
      <c r="BH2111">
        <v>0</v>
      </c>
      <c r="BI2111">
        <v>0</v>
      </c>
      <c r="BJ2111">
        <v>0</v>
      </c>
      <c r="BK2111">
        <v>0</v>
      </c>
      <c r="BL2111" s="2">
        <v>24.82</v>
      </c>
      <c r="BM2111" s="2">
        <v>42005.095138888886</v>
      </c>
      <c r="BN2111" s="2">
        <v>5.4</v>
      </c>
      <c r="BO2111" s="2">
        <v>42005.092361111114</v>
      </c>
      <c r="BP2111" s="2">
        <v>6.92</v>
      </c>
      <c r="BQ2111" s="2">
        <v>42005.092361111114</v>
      </c>
      <c r="BR2111" s="2">
        <v>11.07</v>
      </c>
      <c r="BS2111" s="2">
        <v>42005.092361111114</v>
      </c>
      <c r="BT2111">
        <v>0</v>
      </c>
      <c r="BU2111">
        <v>0</v>
      </c>
      <c r="BV2111" t="s">
        <v>135</v>
      </c>
      <c r="BW2111">
        <v>0</v>
      </c>
      <c r="BX2111">
        <v>0</v>
      </c>
      <c r="BY2111" t="s">
        <v>135</v>
      </c>
      <c r="BZ2111">
        <v>0</v>
      </c>
      <c r="CA2111">
        <v>0</v>
      </c>
      <c r="CB2111" t="s">
        <v>135</v>
      </c>
      <c r="CH2111" s="2"/>
      <c r="CJ2111" s="2"/>
      <c r="CL2111" s="2"/>
      <c r="CN2111" s="2"/>
      <c r="CQ2111" s="2"/>
      <c r="CT2111" s="2"/>
      <c r="CW2111" s="2"/>
    </row>
    <row r="2112" spans="1:101" x14ac:dyDescent="0.25">
      <c r="A2112" s="1" t="s">
        <v>163</v>
      </c>
      <c r="B2112" s="75" t="s">
        <v>164</v>
      </c>
      <c r="C2112">
        <v>0</v>
      </c>
      <c r="D2112">
        <v>0</v>
      </c>
      <c r="E2112">
        <v>0</v>
      </c>
      <c r="F2112">
        <v>604324.56000000006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3.91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7490</v>
      </c>
      <c r="AW2112">
        <v>3350</v>
      </c>
      <c r="AX2112">
        <v>1219</v>
      </c>
      <c r="AY2112">
        <v>12059</v>
      </c>
      <c r="AZ2112">
        <v>4202</v>
      </c>
      <c r="BA2112">
        <v>7438</v>
      </c>
      <c r="BB2112">
        <v>1432</v>
      </c>
      <c r="BC2112">
        <v>13072</v>
      </c>
      <c r="BD2112">
        <v>9486</v>
      </c>
      <c r="BE2112">
        <v>9222</v>
      </c>
      <c r="BF2112">
        <v>1768</v>
      </c>
      <c r="BG2112">
        <v>20476</v>
      </c>
      <c r="BH2112">
        <v>0</v>
      </c>
      <c r="BI2112">
        <v>0</v>
      </c>
      <c r="BJ2112">
        <v>0</v>
      </c>
      <c r="BK2112">
        <v>0</v>
      </c>
      <c r="BL2112" s="2">
        <v>24.82</v>
      </c>
      <c r="BM2112" s="2">
        <v>42005.095138888886</v>
      </c>
      <c r="BN2112" s="2">
        <v>5.4</v>
      </c>
      <c r="BO2112" s="2">
        <v>42005.092361111114</v>
      </c>
      <c r="BP2112" s="2">
        <v>6.92</v>
      </c>
      <c r="BQ2112" s="2">
        <v>42005.092361111114</v>
      </c>
      <c r="BR2112" s="2">
        <v>11.07</v>
      </c>
      <c r="BS2112" s="2">
        <v>42005.092361111114</v>
      </c>
      <c r="BT2112">
        <v>0</v>
      </c>
      <c r="BU2112">
        <v>0</v>
      </c>
      <c r="BV2112" t="s">
        <v>135</v>
      </c>
      <c r="BW2112">
        <v>0</v>
      </c>
      <c r="BX2112">
        <v>0</v>
      </c>
      <c r="BY2112" t="s">
        <v>135</v>
      </c>
      <c r="BZ2112">
        <v>0</v>
      </c>
      <c r="CA2112">
        <v>0</v>
      </c>
      <c r="CB2112" t="s">
        <v>135</v>
      </c>
      <c r="CH2112" s="2"/>
      <c r="CJ2112" s="2"/>
      <c r="CL2112" s="2"/>
      <c r="CN2112" s="2"/>
      <c r="CQ2112" s="2"/>
      <c r="CT2112" s="2"/>
      <c r="CW2112" s="2"/>
    </row>
    <row r="2113" spans="1:101" x14ac:dyDescent="0.25">
      <c r="A2113" s="1" t="s">
        <v>163</v>
      </c>
      <c r="B2113" s="75" t="s">
        <v>164</v>
      </c>
      <c r="C2113">
        <v>0</v>
      </c>
      <c r="D2113">
        <v>0</v>
      </c>
      <c r="E2113">
        <v>0</v>
      </c>
      <c r="F2113">
        <v>604324.56000000006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3.91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7490</v>
      </c>
      <c r="AW2113">
        <v>3350</v>
      </c>
      <c r="AX2113">
        <v>1219</v>
      </c>
      <c r="AY2113">
        <v>12059</v>
      </c>
      <c r="AZ2113">
        <v>4202</v>
      </c>
      <c r="BA2113">
        <v>7438</v>
      </c>
      <c r="BB2113">
        <v>1432</v>
      </c>
      <c r="BC2113">
        <v>13072</v>
      </c>
      <c r="BD2113">
        <v>9486</v>
      </c>
      <c r="BE2113">
        <v>9222</v>
      </c>
      <c r="BF2113">
        <v>1768</v>
      </c>
      <c r="BG2113">
        <v>20476</v>
      </c>
      <c r="BH2113">
        <v>0</v>
      </c>
      <c r="BI2113">
        <v>0</v>
      </c>
      <c r="BJ2113">
        <v>0</v>
      </c>
      <c r="BK2113">
        <v>0</v>
      </c>
      <c r="BL2113" s="2">
        <v>24.82</v>
      </c>
      <c r="BM2113" s="2">
        <v>42005.095138888886</v>
      </c>
      <c r="BN2113" s="2">
        <v>5.4</v>
      </c>
      <c r="BO2113" s="2">
        <v>42005.092361111114</v>
      </c>
      <c r="BP2113" s="2">
        <v>6.92</v>
      </c>
      <c r="BQ2113" s="2">
        <v>42005.092361111114</v>
      </c>
      <c r="BR2113" s="2">
        <v>11.07</v>
      </c>
      <c r="BS2113" s="2">
        <v>42005.092361111114</v>
      </c>
      <c r="BT2113">
        <v>0</v>
      </c>
      <c r="BU2113">
        <v>0</v>
      </c>
      <c r="BV2113" t="s">
        <v>135</v>
      </c>
      <c r="BW2113">
        <v>0</v>
      </c>
      <c r="BX2113">
        <v>0</v>
      </c>
      <c r="BY2113" t="s">
        <v>135</v>
      </c>
      <c r="BZ2113">
        <v>0</v>
      </c>
      <c r="CA2113">
        <v>0</v>
      </c>
      <c r="CB2113" t="s">
        <v>135</v>
      </c>
      <c r="CH2113" s="2"/>
      <c r="CJ2113" s="2"/>
      <c r="CL2113" s="2"/>
      <c r="CN2113" s="2"/>
      <c r="CQ2113" s="2"/>
      <c r="CT2113" s="2"/>
      <c r="CW2113" s="2"/>
    </row>
    <row r="2114" spans="1:101" x14ac:dyDescent="0.25">
      <c r="A2114" s="1" t="s">
        <v>163</v>
      </c>
      <c r="B2114" s="75" t="s">
        <v>164</v>
      </c>
      <c r="C2114">
        <v>0</v>
      </c>
      <c r="D2114">
        <v>0</v>
      </c>
      <c r="E2114">
        <v>0</v>
      </c>
      <c r="F2114">
        <v>604324.56000000006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3.91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7490</v>
      </c>
      <c r="AW2114">
        <v>3350</v>
      </c>
      <c r="AX2114">
        <v>1219</v>
      </c>
      <c r="AY2114">
        <v>12059</v>
      </c>
      <c r="AZ2114">
        <v>4202</v>
      </c>
      <c r="BA2114">
        <v>7438</v>
      </c>
      <c r="BB2114">
        <v>1432</v>
      </c>
      <c r="BC2114">
        <v>13072</v>
      </c>
      <c r="BD2114">
        <v>9486</v>
      </c>
      <c r="BE2114">
        <v>9222</v>
      </c>
      <c r="BF2114">
        <v>1768</v>
      </c>
      <c r="BG2114">
        <v>20476</v>
      </c>
      <c r="BH2114">
        <v>0</v>
      </c>
      <c r="BI2114">
        <v>0</v>
      </c>
      <c r="BJ2114">
        <v>0</v>
      </c>
      <c r="BK2114">
        <v>0</v>
      </c>
      <c r="BL2114" s="2">
        <v>24.82</v>
      </c>
      <c r="BM2114" s="2">
        <v>42005.095138888886</v>
      </c>
      <c r="BN2114" s="2">
        <v>5.4</v>
      </c>
      <c r="BO2114" s="2">
        <v>42005.092361111114</v>
      </c>
      <c r="BP2114" s="2">
        <v>6.92</v>
      </c>
      <c r="BQ2114" s="2">
        <v>42005.092361111114</v>
      </c>
      <c r="BR2114" s="2">
        <v>11.07</v>
      </c>
      <c r="BS2114" s="2">
        <v>42005.092361111114</v>
      </c>
      <c r="BT2114">
        <v>0</v>
      </c>
      <c r="BU2114">
        <v>0</v>
      </c>
      <c r="BV2114" t="s">
        <v>135</v>
      </c>
      <c r="BW2114">
        <v>0</v>
      </c>
      <c r="BX2114">
        <v>0</v>
      </c>
      <c r="BY2114" t="s">
        <v>135</v>
      </c>
      <c r="BZ2114">
        <v>0</v>
      </c>
      <c r="CA2114">
        <v>0</v>
      </c>
      <c r="CB2114" t="s">
        <v>135</v>
      </c>
      <c r="CH2114" s="2"/>
      <c r="CJ2114" s="2"/>
      <c r="CL2114" s="2"/>
      <c r="CN2114" s="2"/>
      <c r="CQ2114" s="2"/>
      <c r="CT2114" s="2"/>
      <c r="CW2114" s="2"/>
    </row>
    <row r="2115" spans="1:101" x14ac:dyDescent="0.25">
      <c r="A2115" s="1" t="s">
        <v>163</v>
      </c>
      <c r="B2115" s="75" t="s">
        <v>164</v>
      </c>
      <c r="C2115">
        <v>0</v>
      </c>
      <c r="D2115">
        <v>0</v>
      </c>
      <c r="E2115">
        <v>0</v>
      </c>
      <c r="F2115">
        <v>604324.56000000006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3.91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7490</v>
      </c>
      <c r="AW2115">
        <v>3350</v>
      </c>
      <c r="AX2115">
        <v>1219</v>
      </c>
      <c r="AY2115">
        <v>12059</v>
      </c>
      <c r="AZ2115">
        <v>4202</v>
      </c>
      <c r="BA2115">
        <v>7438</v>
      </c>
      <c r="BB2115">
        <v>1432</v>
      </c>
      <c r="BC2115">
        <v>13072</v>
      </c>
      <c r="BD2115">
        <v>9486</v>
      </c>
      <c r="BE2115">
        <v>9222</v>
      </c>
      <c r="BF2115">
        <v>1768</v>
      </c>
      <c r="BG2115">
        <v>20476</v>
      </c>
      <c r="BH2115">
        <v>0</v>
      </c>
      <c r="BI2115">
        <v>0</v>
      </c>
      <c r="BJ2115">
        <v>0</v>
      </c>
      <c r="BK2115">
        <v>0</v>
      </c>
      <c r="BL2115" s="2">
        <v>24.82</v>
      </c>
      <c r="BM2115" s="2">
        <v>42005.095138888886</v>
      </c>
      <c r="BN2115" s="2">
        <v>5.4</v>
      </c>
      <c r="BO2115" s="2">
        <v>42005.092361111114</v>
      </c>
      <c r="BP2115" s="2">
        <v>6.92</v>
      </c>
      <c r="BQ2115" s="2">
        <v>42005.092361111114</v>
      </c>
      <c r="BR2115" s="2">
        <v>11.07</v>
      </c>
      <c r="BS2115" s="2">
        <v>42005.092361111114</v>
      </c>
      <c r="BT2115">
        <v>0</v>
      </c>
      <c r="BU2115">
        <v>0</v>
      </c>
      <c r="BV2115" t="s">
        <v>135</v>
      </c>
      <c r="BW2115">
        <v>0</v>
      </c>
      <c r="BX2115">
        <v>0</v>
      </c>
      <c r="BY2115" t="s">
        <v>135</v>
      </c>
      <c r="BZ2115">
        <v>0</v>
      </c>
      <c r="CA2115">
        <v>0</v>
      </c>
      <c r="CB2115" t="s">
        <v>135</v>
      </c>
      <c r="CH2115" s="2"/>
      <c r="CJ2115" s="2"/>
      <c r="CL2115" s="2"/>
      <c r="CN2115" s="2"/>
      <c r="CQ2115" s="2"/>
      <c r="CT2115" s="2"/>
      <c r="CW2115" s="2"/>
    </row>
    <row r="2116" spans="1:101" x14ac:dyDescent="0.25">
      <c r="A2116" s="1" t="s">
        <v>163</v>
      </c>
      <c r="B2116" s="75" t="s">
        <v>164</v>
      </c>
      <c r="C2116">
        <v>0</v>
      </c>
      <c r="D2116">
        <v>0</v>
      </c>
      <c r="E2116">
        <v>0</v>
      </c>
      <c r="F2116">
        <v>604324.56000000006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3.91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7490</v>
      </c>
      <c r="AW2116">
        <v>3350</v>
      </c>
      <c r="AX2116">
        <v>1219</v>
      </c>
      <c r="AY2116">
        <v>12059</v>
      </c>
      <c r="AZ2116">
        <v>4202</v>
      </c>
      <c r="BA2116">
        <v>7438</v>
      </c>
      <c r="BB2116">
        <v>1432</v>
      </c>
      <c r="BC2116">
        <v>13072</v>
      </c>
      <c r="BD2116">
        <v>9486</v>
      </c>
      <c r="BE2116">
        <v>9222</v>
      </c>
      <c r="BF2116">
        <v>1768</v>
      </c>
      <c r="BG2116">
        <v>20476</v>
      </c>
      <c r="BH2116">
        <v>0</v>
      </c>
      <c r="BI2116">
        <v>0</v>
      </c>
      <c r="BJ2116">
        <v>0</v>
      </c>
      <c r="BK2116">
        <v>0</v>
      </c>
      <c r="BL2116" s="2">
        <v>24.82</v>
      </c>
      <c r="BM2116" s="2">
        <v>42005.095138888886</v>
      </c>
      <c r="BN2116" s="2">
        <v>5.4</v>
      </c>
      <c r="BO2116" s="2">
        <v>42005.092361111114</v>
      </c>
      <c r="BP2116" s="2">
        <v>6.92</v>
      </c>
      <c r="BQ2116" s="2">
        <v>42005.092361111114</v>
      </c>
      <c r="BR2116" s="2">
        <v>11.07</v>
      </c>
      <c r="BS2116" s="2">
        <v>42005.092361111114</v>
      </c>
      <c r="BT2116">
        <v>0</v>
      </c>
      <c r="BU2116">
        <v>0</v>
      </c>
      <c r="BV2116" t="s">
        <v>135</v>
      </c>
      <c r="BW2116">
        <v>0</v>
      </c>
      <c r="BX2116">
        <v>0</v>
      </c>
      <c r="BY2116" t="s">
        <v>135</v>
      </c>
      <c r="BZ2116">
        <v>0</v>
      </c>
      <c r="CA2116">
        <v>0</v>
      </c>
      <c r="CB2116" t="s">
        <v>135</v>
      </c>
      <c r="CH2116" s="2"/>
      <c r="CJ2116" s="2"/>
      <c r="CL2116" s="2"/>
      <c r="CN2116" s="2"/>
      <c r="CQ2116" s="2"/>
      <c r="CT2116" s="2"/>
      <c r="CW2116" s="2"/>
    </row>
    <row r="2117" spans="1:101" x14ac:dyDescent="0.25">
      <c r="A2117" s="1" t="s">
        <v>163</v>
      </c>
      <c r="B2117" s="75" t="s">
        <v>164</v>
      </c>
      <c r="C2117">
        <v>0</v>
      </c>
      <c r="D2117">
        <v>0</v>
      </c>
      <c r="E2117">
        <v>0</v>
      </c>
      <c r="F2117">
        <v>604324.56000000006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3.91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7490</v>
      </c>
      <c r="AW2117">
        <v>3350</v>
      </c>
      <c r="AX2117">
        <v>1219</v>
      </c>
      <c r="AY2117">
        <v>12059</v>
      </c>
      <c r="AZ2117">
        <v>4202</v>
      </c>
      <c r="BA2117">
        <v>7438</v>
      </c>
      <c r="BB2117">
        <v>1432</v>
      </c>
      <c r="BC2117">
        <v>13072</v>
      </c>
      <c r="BD2117">
        <v>9486</v>
      </c>
      <c r="BE2117">
        <v>9222</v>
      </c>
      <c r="BF2117">
        <v>1768</v>
      </c>
      <c r="BG2117">
        <v>20476</v>
      </c>
      <c r="BH2117">
        <v>0</v>
      </c>
      <c r="BI2117">
        <v>0</v>
      </c>
      <c r="BJ2117">
        <v>0</v>
      </c>
      <c r="BK2117">
        <v>0</v>
      </c>
      <c r="BL2117" s="2">
        <v>24.82</v>
      </c>
      <c r="BM2117" s="2">
        <v>42005.095138888886</v>
      </c>
      <c r="BN2117" s="2">
        <v>5.4</v>
      </c>
      <c r="BO2117" s="2">
        <v>42005.092361111114</v>
      </c>
      <c r="BP2117" s="2">
        <v>6.92</v>
      </c>
      <c r="BQ2117" s="2">
        <v>42005.092361111114</v>
      </c>
      <c r="BR2117" s="2">
        <v>11.07</v>
      </c>
      <c r="BS2117" s="2">
        <v>42005.092361111114</v>
      </c>
      <c r="BT2117">
        <v>0</v>
      </c>
      <c r="BU2117">
        <v>0</v>
      </c>
      <c r="BV2117" t="s">
        <v>135</v>
      </c>
      <c r="BW2117">
        <v>0</v>
      </c>
      <c r="BX2117">
        <v>0</v>
      </c>
      <c r="BY2117" t="s">
        <v>135</v>
      </c>
      <c r="BZ2117">
        <v>0</v>
      </c>
      <c r="CA2117">
        <v>0</v>
      </c>
      <c r="CB2117" t="s">
        <v>135</v>
      </c>
      <c r="CH2117" s="2"/>
      <c r="CJ2117" s="2"/>
      <c r="CL2117" s="2"/>
      <c r="CN2117" s="2"/>
      <c r="CQ2117" s="2"/>
      <c r="CT2117" s="2"/>
      <c r="CW2117" s="2"/>
    </row>
    <row r="2118" spans="1:101" x14ac:dyDescent="0.25">
      <c r="A2118" s="1" t="s">
        <v>163</v>
      </c>
      <c r="B2118" s="75" t="s">
        <v>164</v>
      </c>
      <c r="C2118">
        <v>0</v>
      </c>
      <c r="D2118">
        <v>0</v>
      </c>
      <c r="E2118">
        <v>0</v>
      </c>
      <c r="F2118">
        <v>604324.56000000006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3.91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7490</v>
      </c>
      <c r="AW2118">
        <v>3350</v>
      </c>
      <c r="AX2118">
        <v>1219</v>
      </c>
      <c r="AY2118">
        <v>12059</v>
      </c>
      <c r="AZ2118">
        <v>4202</v>
      </c>
      <c r="BA2118">
        <v>7438</v>
      </c>
      <c r="BB2118">
        <v>1432</v>
      </c>
      <c r="BC2118">
        <v>13072</v>
      </c>
      <c r="BD2118">
        <v>9486</v>
      </c>
      <c r="BE2118">
        <v>9222</v>
      </c>
      <c r="BF2118">
        <v>1768</v>
      </c>
      <c r="BG2118">
        <v>20476</v>
      </c>
      <c r="BH2118">
        <v>0</v>
      </c>
      <c r="BI2118">
        <v>0</v>
      </c>
      <c r="BJ2118">
        <v>0</v>
      </c>
      <c r="BK2118">
        <v>0</v>
      </c>
      <c r="BL2118" s="2">
        <v>24.82</v>
      </c>
      <c r="BM2118" s="2">
        <v>42005.095138888886</v>
      </c>
      <c r="BN2118" s="2">
        <v>5.4</v>
      </c>
      <c r="BO2118" s="2">
        <v>42005.092361111114</v>
      </c>
      <c r="BP2118" s="2">
        <v>6.92</v>
      </c>
      <c r="BQ2118" s="2">
        <v>42005.092361111114</v>
      </c>
      <c r="BR2118" s="2">
        <v>11.07</v>
      </c>
      <c r="BS2118" s="2">
        <v>42005.092361111114</v>
      </c>
      <c r="BT2118">
        <v>0</v>
      </c>
      <c r="BU2118">
        <v>0</v>
      </c>
      <c r="BV2118" t="s">
        <v>135</v>
      </c>
      <c r="BW2118">
        <v>0</v>
      </c>
      <c r="BX2118">
        <v>0</v>
      </c>
      <c r="BY2118" t="s">
        <v>135</v>
      </c>
      <c r="BZ2118">
        <v>0</v>
      </c>
      <c r="CA2118">
        <v>0</v>
      </c>
      <c r="CB2118" t="s">
        <v>135</v>
      </c>
      <c r="CH2118" s="2"/>
      <c r="CJ2118" s="2"/>
      <c r="CL2118" s="2"/>
      <c r="CN2118" s="2"/>
      <c r="CQ2118" s="2"/>
      <c r="CT2118" s="2"/>
      <c r="CW2118" s="2"/>
    </row>
    <row r="2119" spans="1:101" x14ac:dyDescent="0.25">
      <c r="A2119" s="1" t="s">
        <v>163</v>
      </c>
      <c r="B2119" s="75" t="s">
        <v>164</v>
      </c>
      <c r="C2119">
        <v>0</v>
      </c>
      <c r="D2119">
        <v>0</v>
      </c>
      <c r="E2119">
        <v>0</v>
      </c>
      <c r="F2119">
        <v>604324.56000000006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3.91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7490</v>
      </c>
      <c r="AW2119">
        <v>3350</v>
      </c>
      <c r="AX2119">
        <v>1219</v>
      </c>
      <c r="AY2119">
        <v>12059</v>
      </c>
      <c r="AZ2119">
        <v>4202</v>
      </c>
      <c r="BA2119">
        <v>7438</v>
      </c>
      <c r="BB2119">
        <v>1432</v>
      </c>
      <c r="BC2119">
        <v>13072</v>
      </c>
      <c r="BD2119">
        <v>9486</v>
      </c>
      <c r="BE2119">
        <v>9222</v>
      </c>
      <c r="BF2119">
        <v>1768</v>
      </c>
      <c r="BG2119">
        <v>20476</v>
      </c>
      <c r="BH2119">
        <v>0</v>
      </c>
      <c r="BI2119">
        <v>0</v>
      </c>
      <c r="BJ2119">
        <v>0</v>
      </c>
      <c r="BK2119">
        <v>0</v>
      </c>
      <c r="BL2119" s="2">
        <v>24.82</v>
      </c>
      <c r="BM2119" s="2">
        <v>42005.095138888886</v>
      </c>
      <c r="BN2119" s="2">
        <v>5.4</v>
      </c>
      <c r="BO2119" s="2">
        <v>42005.092361111114</v>
      </c>
      <c r="BP2119" s="2">
        <v>6.92</v>
      </c>
      <c r="BQ2119" s="2">
        <v>42005.092361111114</v>
      </c>
      <c r="BR2119" s="2">
        <v>11.07</v>
      </c>
      <c r="BS2119" s="2">
        <v>42005.092361111114</v>
      </c>
      <c r="BT2119">
        <v>0</v>
      </c>
      <c r="BU2119">
        <v>0</v>
      </c>
      <c r="BV2119" t="s">
        <v>135</v>
      </c>
      <c r="BW2119">
        <v>0</v>
      </c>
      <c r="BX2119">
        <v>0</v>
      </c>
      <c r="BY2119" t="s">
        <v>135</v>
      </c>
      <c r="BZ2119">
        <v>0</v>
      </c>
      <c r="CA2119">
        <v>0</v>
      </c>
      <c r="CB2119" t="s">
        <v>135</v>
      </c>
      <c r="CH2119" s="2"/>
      <c r="CJ2119" s="2"/>
      <c r="CL2119" s="2"/>
      <c r="CN2119" s="2"/>
      <c r="CQ2119" s="2"/>
      <c r="CT2119" s="2"/>
      <c r="CW2119" s="2"/>
    </row>
    <row r="2120" spans="1:101" x14ac:dyDescent="0.25">
      <c r="A2120" s="1" t="s">
        <v>163</v>
      </c>
      <c r="B2120" s="75" t="s">
        <v>164</v>
      </c>
      <c r="C2120">
        <v>0</v>
      </c>
      <c r="D2120">
        <v>0</v>
      </c>
      <c r="E2120">
        <v>0</v>
      </c>
      <c r="F2120">
        <v>604324.56000000006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3.91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7490</v>
      </c>
      <c r="AW2120">
        <v>3350</v>
      </c>
      <c r="AX2120">
        <v>1219</v>
      </c>
      <c r="AY2120">
        <v>12059</v>
      </c>
      <c r="AZ2120">
        <v>4202</v>
      </c>
      <c r="BA2120">
        <v>7438</v>
      </c>
      <c r="BB2120">
        <v>1432</v>
      </c>
      <c r="BC2120">
        <v>13072</v>
      </c>
      <c r="BD2120">
        <v>9486</v>
      </c>
      <c r="BE2120">
        <v>9222</v>
      </c>
      <c r="BF2120">
        <v>1768</v>
      </c>
      <c r="BG2120">
        <v>20476</v>
      </c>
      <c r="BH2120">
        <v>0</v>
      </c>
      <c r="BI2120">
        <v>0</v>
      </c>
      <c r="BJ2120">
        <v>0</v>
      </c>
      <c r="BK2120">
        <v>0</v>
      </c>
      <c r="BL2120" s="2">
        <v>24.82</v>
      </c>
      <c r="BM2120" s="2">
        <v>42005.095138888886</v>
      </c>
      <c r="BN2120" s="2">
        <v>5.4</v>
      </c>
      <c r="BO2120" s="2">
        <v>42005.092361111114</v>
      </c>
      <c r="BP2120" s="2">
        <v>6.92</v>
      </c>
      <c r="BQ2120" s="2">
        <v>42005.092361111114</v>
      </c>
      <c r="BR2120" s="2">
        <v>11.07</v>
      </c>
      <c r="BS2120" s="2">
        <v>42005.092361111114</v>
      </c>
      <c r="BT2120">
        <v>0</v>
      </c>
      <c r="BU2120">
        <v>0</v>
      </c>
      <c r="BV2120" t="s">
        <v>135</v>
      </c>
      <c r="BW2120">
        <v>0</v>
      </c>
      <c r="BX2120">
        <v>0</v>
      </c>
      <c r="BY2120" t="s">
        <v>135</v>
      </c>
      <c r="BZ2120">
        <v>0</v>
      </c>
      <c r="CA2120">
        <v>0</v>
      </c>
      <c r="CB2120" t="s">
        <v>135</v>
      </c>
      <c r="CH2120" s="2"/>
      <c r="CJ2120" s="2"/>
      <c r="CL2120" s="2"/>
      <c r="CN2120" s="2"/>
      <c r="CQ2120" s="2"/>
      <c r="CT2120" s="2"/>
      <c r="CW2120" s="2"/>
    </row>
    <row r="2121" spans="1:101" x14ac:dyDescent="0.25">
      <c r="A2121" s="1" t="s">
        <v>163</v>
      </c>
      <c r="B2121" s="75" t="s">
        <v>164</v>
      </c>
      <c r="C2121">
        <v>0</v>
      </c>
      <c r="D2121">
        <v>0</v>
      </c>
      <c r="E2121">
        <v>0</v>
      </c>
      <c r="F2121">
        <v>604324.56000000006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3.91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7490</v>
      </c>
      <c r="AW2121">
        <v>3350</v>
      </c>
      <c r="AX2121">
        <v>1219</v>
      </c>
      <c r="AY2121">
        <v>12059</v>
      </c>
      <c r="AZ2121">
        <v>4202</v>
      </c>
      <c r="BA2121">
        <v>7438</v>
      </c>
      <c r="BB2121">
        <v>1432</v>
      </c>
      <c r="BC2121">
        <v>13072</v>
      </c>
      <c r="BD2121">
        <v>9486</v>
      </c>
      <c r="BE2121">
        <v>9222</v>
      </c>
      <c r="BF2121">
        <v>1768</v>
      </c>
      <c r="BG2121">
        <v>20476</v>
      </c>
      <c r="BH2121">
        <v>0</v>
      </c>
      <c r="BI2121">
        <v>0</v>
      </c>
      <c r="BJ2121">
        <v>0</v>
      </c>
      <c r="BK2121">
        <v>0</v>
      </c>
      <c r="BL2121" s="2">
        <v>24.82</v>
      </c>
      <c r="BM2121" s="2">
        <v>42005.095138888886</v>
      </c>
      <c r="BN2121" s="2">
        <v>5.4</v>
      </c>
      <c r="BO2121" s="2">
        <v>42005.092361111114</v>
      </c>
      <c r="BP2121" s="2">
        <v>6.92</v>
      </c>
      <c r="BQ2121" s="2">
        <v>42005.092361111114</v>
      </c>
      <c r="BR2121" s="2">
        <v>11.07</v>
      </c>
      <c r="BS2121" s="2">
        <v>42005.092361111114</v>
      </c>
      <c r="BT2121">
        <v>0</v>
      </c>
      <c r="BU2121">
        <v>0</v>
      </c>
      <c r="BV2121" t="s">
        <v>135</v>
      </c>
      <c r="BW2121">
        <v>0</v>
      </c>
      <c r="BX2121">
        <v>0</v>
      </c>
      <c r="BY2121" t="s">
        <v>135</v>
      </c>
      <c r="BZ2121">
        <v>0</v>
      </c>
      <c r="CA2121">
        <v>0</v>
      </c>
      <c r="CB2121" t="s">
        <v>135</v>
      </c>
      <c r="CH2121" s="2"/>
      <c r="CJ2121" s="2"/>
      <c r="CL2121" s="2"/>
      <c r="CN2121" s="2"/>
      <c r="CQ2121" s="2"/>
      <c r="CT2121" s="2"/>
      <c r="CW2121" s="2"/>
    </row>
    <row r="2122" spans="1:101" x14ac:dyDescent="0.25">
      <c r="A2122" s="1" t="s">
        <v>163</v>
      </c>
      <c r="B2122" s="75" t="s">
        <v>164</v>
      </c>
      <c r="C2122">
        <v>0</v>
      </c>
      <c r="D2122">
        <v>0</v>
      </c>
      <c r="E2122">
        <v>0</v>
      </c>
      <c r="F2122">
        <v>604324.56000000006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3.91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7490</v>
      </c>
      <c r="AW2122">
        <v>3350</v>
      </c>
      <c r="AX2122">
        <v>1219</v>
      </c>
      <c r="AY2122">
        <v>12059</v>
      </c>
      <c r="AZ2122">
        <v>4202</v>
      </c>
      <c r="BA2122">
        <v>7438</v>
      </c>
      <c r="BB2122">
        <v>1432</v>
      </c>
      <c r="BC2122">
        <v>13072</v>
      </c>
      <c r="BD2122">
        <v>9486</v>
      </c>
      <c r="BE2122">
        <v>9222</v>
      </c>
      <c r="BF2122">
        <v>1768</v>
      </c>
      <c r="BG2122">
        <v>20476</v>
      </c>
      <c r="BH2122">
        <v>0</v>
      </c>
      <c r="BI2122">
        <v>0</v>
      </c>
      <c r="BJ2122">
        <v>0</v>
      </c>
      <c r="BK2122">
        <v>0</v>
      </c>
      <c r="BL2122" s="2">
        <v>24.82</v>
      </c>
      <c r="BM2122" s="2">
        <v>42005.095138888886</v>
      </c>
      <c r="BN2122" s="2">
        <v>5.4</v>
      </c>
      <c r="BO2122" s="2">
        <v>42005.092361111114</v>
      </c>
      <c r="BP2122" s="2">
        <v>6.92</v>
      </c>
      <c r="BQ2122" s="2">
        <v>42005.092361111114</v>
      </c>
      <c r="BR2122" s="2">
        <v>11.07</v>
      </c>
      <c r="BS2122" s="2">
        <v>42005.092361111114</v>
      </c>
      <c r="BT2122">
        <v>0</v>
      </c>
      <c r="BU2122">
        <v>0</v>
      </c>
      <c r="BV2122" t="s">
        <v>135</v>
      </c>
      <c r="BW2122">
        <v>0</v>
      </c>
      <c r="BX2122">
        <v>0</v>
      </c>
      <c r="BY2122" t="s">
        <v>135</v>
      </c>
      <c r="BZ2122">
        <v>0</v>
      </c>
      <c r="CA2122">
        <v>0</v>
      </c>
      <c r="CB2122" t="s">
        <v>135</v>
      </c>
      <c r="CH2122" s="2"/>
      <c r="CJ2122" s="2"/>
      <c r="CL2122" s="2"/>
      <c r="CN2122" s="2"/>
      <c r="CQ2122" s="2"/>
      <c r="CT2122" s="2"/>
      <c r="CW2122" s="2"/>
    </row>
    <row r="2123" spans="1:101" x14ac:dyDescent="0.25">
      <c r="A2123" s="1" t="s">
        <v>163</v>
      </c>
      <c r="B2123" s="75" t="s">
        <v>164</v>
      </c>
      <c r="C2123">
        <v>0</v>
      </c>
      <c r="D2123">
        <v>0</v>
      </c>
      <c r="E2123">
        <v>0</v>
      </c>
      <c r="F2123">
        <v>604324.56000000006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3.91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7490</v>
      </c>
      <c r="AW2123">
        <v>3350</v>
      </c>
      <c r="AX2123">
        <v>1219</v>
      </c>
      <c r="AY2123">
        <v>12059</v>
      </c>
      <c r="AZ2123">
        <v>4202</v>
      </c>
      <c r="BA2123">
        <v>7438</v>
      </c>
      <c r="BB2123">
        <v>1432</v>
      </c>
      <c r="BC2123">
        <v>13072</v>
      </c>
      <c r="BD2123">
        <v>9486</v>
      </c>
      <c r="BE2123">
        <v>9222</v>
      </c>
      <c r="BF2123">
        <v>1768</v>
      </c>
      <c r="BG2123">
        <v>20476</v>
      </c>
      <c r="BH2123">
        <v>0</v>
      </c>
      <c r="BI2123">
        <v>0</v>
      </c>
      <c r="BJ2123">
        <v>0</v>
      </c>
      <c r="BK2123">
        <v>0</v>
      </c>
      <c r="BL2123" s="2">
        <v>24.82</v>
      </c>
      <c r="BM2123" s="2">
        <v>42005.095138888886</v>
      </c>
      <c r="BN2123" s="2">
        <v>5.4</v>
      </c>
      <c r="BO2123" s="2">
        <v>42005.092361111114</v>
      </c>
      <c r="BP2123" s="2">
        <v>6.92</v>
      </c>
      <c r="BQ2123" s="2">
        <v>42005.092361111114</v>
      </c>
      <c r="BR2123" s="2">
        <v>11.07</v>
      </c>
      <c r="BS2123" s="2">
        <v>42005.092361111114</v>
      </c>
      <c r="BT2123">
        <v>0</v>
      </c>
      <c r="BU2123">
        <v>0</v>
      </c>
      <c r="BV2123" t="s">
        <v>135</v>
      </c>
      <c r="BW2123">
        <v>0</v>
      </c>
      <c r="BX2123">
        <v>0</v>
      </c>
      <c r="BY2123" t="s">
        <v>135</v>
      </c>
      <c r="BZ2123">
        <v>0</v>
      </c>
      <c r="CA2123">
        <v>0</v>
      </c>
      <c r="CB2123" t="s">
        <v>135</v>
      </c>
      <c r="CH2123" s="2"/>
      <c r="CJ2123" s="2"/>
      <c r="CL2123" s="2"/>
      <c r="CN2123" s="2"/>
      <c r="CQ2123" s="2"/>
      <c r="CT2123" s="2"/>
      <c r="CW2123" s="2"/>
    </row>
    <row r="2124" spans="1:101" x14ac:dyDescent="0.25">
      <c r="A2124" s="1" t="s">
        <v>163</v>
      </c>
      <c r="B2124" s="75" t="s">
        <v>164</v>
      </c>
      <c r="C2124">
        <v>0</v>
      </c>
      <c r="D2124">
        <v>0</v>
      </c>
      <c r="E2124">
        <v>0</v>
      </c>
      <c r="F2124">
        <v>604324.56000000006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3.91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7490</v>
      </c>
      <c r="AW2124">
        <v>3350</v>
      </c>
      <c r="AX2124">
        <v>1219</v>
      </c>
      <c r="AY2124">
        <v>12059</v>
      </c>
      <c r="AZ2124">
        <v>4202</v>
      </c>
      <c r="BA2124">
        <v>7438</v>
      </c>
      <c r="BB2124">
        <v>1432</v>
      </c>
      <c r="BC2124">
        <v>13072</v>
      </c>
      <c r="BD2124">
        <v>9486</v>
      </c>
      <c r="BE2124">
        <v>9222</v>
      </c>
      <c r="BF2124">
        <v>1768</v>
      </c>
      <c r="BG2124">
        <v>20476</v>
      </c>
      <c r="BH2124">
        <v>0</v>
      </c>
      <c r="BI2124">
        <v>0</v>
      </c>
      <c r="BJ2124">
        <v>0</v>
      </c>
      <c r="BK2124">
        <v>0</v>
      </c>
      <c r="BL2124" s="2">
        <v>24.82</v>
      </c>
      <c r="BM2124" s="2">
        <v>42005.095138888886</v>
      </c>
      <c r="BN2124" s="2">
        <v>5.4</v>
      </c>
      <c r="BO2124" s="2">
        <v>42005.092361111114</v>
      </c>
      <c r="BP2124" s="2">
        <v>6.92</v>
      </c>
      <c r="BQ2124" s="2">
        <v>42005.092361111114</v>
      </c>
      <c r="BR2124" s="2">
        <v>11.07</v>
      </c>
      <c r="BS2124" s="2">
        <v>42005.092361111114</v>
      </c>
      <c r="BT2124">
        <v>0</v>
      </c>
      <c r="BU2124">
        <v>0</v>
      </c>
      <c r="BV2124" t="s">
        <v>135</v>
      </c>
      <c r="BW2124">
        <v>0</v>
      </c>
      <c r="BX2124">
        <v>0</v>
      </c>
      <c r="BY2124" t="s">
        <v>135</v>
      </c>
      <c r="BZ2124">
        <v>0</v>
      </c>
      <c r="CA2124">
        <v>0</v>
      </c>
      <c r="CB2124" t="s">
        <v>135</v>
      </c>
      <c r="CH2124" s="2"/>
      <c r="CJ2124" s="2"/>
      <c r="CL2124" s="2"/>
      <c r="CN2124" s="2"/>
      <c r="CQ2124" s="2"/>
      <c r="CT2124" s="2"/>
      <c r="CW2124" s="2"/>
    </row>
    <row r="2125" spans="1:101" x14ac:dyDescent="0.25">
      <c r="A2125" s="1" t="s">
        <v>163</v>
      </c>
      <c r="B2125" s="75" t="s">
        <v>164</v>
      </c>
      <c r="C2125">
        <v>0</v>
      </c>
      <c r="D2125">
        <v>0</v>
      </c>
      <c r="E2125">
        <v>0</v>
      </c>
      <c r="F2125">
        <v>604324.56000000006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3.91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7490</v>
      </c>
      <c r="AW2125">
        <v>3350</v>
      </c>
      <c r="AX2125">
        <v>1219</v>
      </c>
      <c r="AY2125">
        <v>12059</v>
      </c>
      <c r="AZ2125">
        <v>4202</v>
      </c>
      <c r="BA2125">
        <v>7438</v>
      </c>
      <c r="BB2125">
        <v>1432</v>
      </c>
      <c r="BC2125">
        <v>13072</v>
      </c>
      <c r="BD2125">
        <v>9486</v>
      </c>
      <c r="BE2125">
        <v>9222</v>
      </c>
      <c r="BF2125">
        <v>1768</v>
      </c>
      <c r="BG2125">
        <v>20476</v>
      </c>
      <c r="BH2125">
        <v>0</v>
      </c>
      <c r="BI2125">
        <v>0</v>
      </c>
      <c r="BJ2125">
        <v>0</v>
      </c>
      <c r="BK2125">
        <v>0</v>
      </c>
      <c r="BL2125" s="2">
        <v>24.82</v>
      </c>
      <c r="BM2125" s="2">
        <v>42005.095138888886</v>
      </c>
      <c r="BN2125" s="2">
        <v>5.4</v>
      </c>
      <c r="BO2125" s="2">
        <v>42005.092361111114</v>
      </c>
      <c r="BP2125" s="2">
        <v>6.92</v>
      </c>
      <c r="BQ2125" s="2">
        <v>42005.092361111114</v>
      </c>
      <c r="BR2125" s="2">
        <v>11.07</v>
      </c>
      <c r="BS2125" s="2">
        <v>42005.092361111114</v>
      </c>
      <c r="BT2125">
        <v>0</v>
      </c>
      <c r="BU2125">
        <v>0</v>
      </c>
      <c r="BV2125" t="s">
        <v>135</v>
      </c>
      <c r="BW2125">
        <v>0</v>
      </c>
      <c r="BX2125">
        <v>0</v>
      </c>
      <c r="BY2125" t="s">
        <v>135</v>
      </c>
      <c r="BZ2125">
        <v>0</v>
      </c>
      <c r="CA2125">
        <v>0</v>
      </c>
      <c r="CB2125" t="s">
        <v>135</v>
      </c>
      <c r="CH2125" s="2"/>
      <c r="CJ2125" s="2"/>
      <c r="CL2125" s="2"/>
      <c r="CN2125" s="2"/>
      <c r="CQ2125" s="2"/>
      <c r="CT2125" s="2"/>
      <c r="CW2125" s="2"/>
    </row>
    <row r="2126" spans="1:101" x14ac:dyDescent="0.25">
      <c r="A2126" s="1" t="s">
        <v>163</v>
      </c>
      <c r="B2126" s="75" t="s">
        <v>164</v>
      </c>
      <c r="C2126">
        <v>0</v>
      </c>
      <c r="D2126">
        <v>0</v>
      </c>
      <c r="E2126">
        <v>0</v>
      </c>
      <c r="F2126">
        <v>604324.56000000006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3.91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7490</v>
      </c>
      <c r="AW2126">
        <v>3350</v>
      </c>
      <c r="AX2126">
        <v>1219</v>
      </c>
      <c r="AY2126">
        <v>12059</v>
      </c>
      <c r="AZ2126">
        <v>4202</v>
      </c>
      <c r="BA2126">
        <v>7438</v>
      </c>
      <c r="BB2126">
        <v>1432</v>
      </c>
      <c r="BC2126">
        <v>13072</v>
      </c>
      <c r="BD2126">
        <v>9486</v>
      </c>
      <c r="BE2126">
        <v>9222</v>
      </c>
      <c r="BF2126">
        <v>1768</v>
      </c>
      <c r="BG2126">
        <v>20476</v>
      </c>
      <c r="BH2126">
        <v>0</v>
      </c>
      <c r="BI2126">
        <v>0</v>
      </c>
      <c r="BJ2126">
        <v>0</v>
      </c>
      <c r="BK2126">
        <v>0</v>
      </c>
      <c r="BL2126" s="2">
        <v>24.82</v>
      </c>
      <c r="BM2126" s="2">
        <v>42005.095138888886</v>
      </c>
      <c r="BN2126" s="2">
        <v>5.4</v>
      </c>
      <c r="BO2126" s="2">
        <v>42005.092361111114</v>
      </c>
      <c r="BP2126" s="2">
        <v>6.92</v>
      </c>
      <c r="BQ2126" s="2">
        <v>42005.092361111114</v>
      </c>
      <c r="BR2126" s="2">
        <v>11.07</v>
      </c>
      <c r="BS2126" s="2">
        <v>42005.092361111114</v>
      </c>
      <c r="BT2126">
        <v>0</v>
      </c>
      <c r="BU2126">
        <v>0</v>
      </c>
      <c r="BV2126" t="s">
        <v>135</v>
      </c>
      <c r="BW2126">
        <v>0</v>
      </c>
      <c r="BX2126">
        <v>0</v>
      </c>
      <c r="BY2126" t="s">
        <v>135</v>
      </c>
      <c r="BZ2126">
        <v>0</v>
      </c>
      <c r="CA2126">
        <v>0</v>
      </c>
      <c r="CB2126" t="s">
        <v>135</v>
      </c>
      <c r="CH2126" s="2"/>
      <c r="CJ2126" s="2"/>
      <c r="CL2126" s="2"/>
      <c r="CN2126" s="2"/>
      <c r="CQ2126" s="2"/>
      <c r="CT2126" s="2"/>
      <c r="CW2126" s="2"/>
    </row>
    <row r="2127" spans="1:101" x14ac:dyDescent="0.25">
      <c r="A2127" s="1" t="s">
        <v>163</v>
      </c>
      <c r="B2127" s="75" t="s">
        <v>164</v>
      </c>
      <c r="C2127">
        <v>0</v>
      </c>
      <c r="D2127">
        <v>0</v>
      </c>
      <c r="E2127">
        <v>0</v>
      </c>
      <c r="F2127">
        <v>604324.56000000006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3.91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7490</v>
      </c>
      <c r="AW2127">
        <v>3350</v>
      </c>
      <c r="AX2127">
        <v>1219</v>
      </c>
      <c r="AY2127">
        <v>12059</v>
      </c>
      <c r="AZ2127">
        <v>4202</v>
      </c>
      <c r="BA2127">
        <v>7438</v>
      </c>
      <c r="BB2127">
        <v>1432</v>
      </c>
      <c r="BC2127">
        <v>13072</v>
      </c>
      <c r="BD2127">
        <v>9486</v>
      </c>
      <c r="BE2127">
        <v>9222</v>
      </c>
      <c r="BF2127">
        <v>1768</v>
      </c>
      <c r="BG2127">
        <v>20476</v>
      </c>
      <c r="BH2127">
        <v>0</v>
      </c>
      <c r="BI2127">
        <v>0</v>
      </c>
      <c r="BJ2127">
        <v>0</v>
      </c>
      <c r="BK2127">
        <v>0</v>
      </c>
      <c r="BL2127" s="2">
        <v>24.82</v>
      </c>
      <c r="BM2127" s="2">
        <v>42005.095138888886</v>
      </c>
      <c r="BN2127" s="2">
        <v>5.4</v>
      </c>
      <c r="BO2127" s="2">
        <v>42005.092361111114</v>
      </c>
      <c r="BP2127" s="2">
        <v>6.92</v>
      </c>
      <c r="BQ2127" s="2">
        <v>42005.092361111114</v>
      </c>
      <c r="BR2127" s="2">
        <v>11.07</v>
      </c>
      <c r="BS2127" s="2">
        <v>42005.092361111114</v>
      </c>
      <c r="BT2127">
        <v>0</v>
      </c>
      <c r="BU2127">
        <v>0</v>
      </c>
      <c r="BV2127" t="s">
        <v>135</v>
      </c>
      <c r="BW2127">
        <v>0</v>
      </c>
      <c r="BX2127">
        <v>0</v>
      </c>
      <c r="BY2127" t="s">
        <v>135</v>
      </c>
      <c r="BZ2127">
        <v>0</v>
      </c>
      <c r="CA2127">
        <v>0</v>
      </c>
      <c r="CB2127" t="s">
        <v>135</v>
      </c>
      <c r="CH2127" s="2"/>
      <c r="CJ2127" s="2"/>
      <c r="CL2127" s="2"/>
      <c r="CN2127" s="2"/>
      <c r="CQ2127" s="2"/>
      <c r="CT2127" s="2"/>
      <c r="CW2127" s="2"/>
    </row>
    <row r="2128" spans="1:101" x14ac:dyDescent="0.25">
      <c r="A2128" s="1" t="s">
        <v>163</v>
      </c>
      <c r="B2128" s="75" t="s">
        <v>164</v>
      </c>
      <c r="C2128">
        <v>0</v>
      </c>
      <c r="D2128">
        <v>0</v>
      </c>
      <c r="E2128">
        <v>0</v>
      </c>
      <c r="F2128">
        <v>604324.56000000006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3.91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7490</v>
      </c>
      <c r="AW2128">
        <v>3350</v>
      </c>
      <c r="AX2128">
        <v>1219</v>
      </c>
      <c r="AY2128">
        <v>12059</v>
      </c>
      <c r="AZ2128">
        <v>4202</v>
      </c>
      <c r="BA2128">
        <v>7438</v>
      </c>
      <c r="BB2128">
        <v>1432</v>
      </c>
      <c r="BC2128">
        <v>13072</v>
      </c>
      <c r="BD2128">
        <v>9486</v>
      </c>
      <c r="BE2128">
        <v>9222</v>
      </c>
      <c r="BF2128">
        <v>1768</v>
      </c>
      <c r="BG2128">
        <v>20476</v>
      </c>
      <c r="BH2128">
        <v>0</v>
      </c>
      <c r="BI2128">
        <v>0</v>
      </c>
      <c r="BJ2128">
        <v>0</v>
      </c>
      <c r="BK2128">
        <v>0</v>
      </c>
      <c r="BL2128" s="2">
        <v>24.82</v>
      </c>
      <c r="BM2128" s="2">
        <v>42005.095138888886</v>
      </c>
      <c r="BN2128" s="2">
        <v>5.4</v>
      </c>
      <c r="BO2128" s="2">
        <v>42005.092361111114</v>
      </c>
      <c r="BP2128" s="2">
        <v>6.92</v>
      </c>
      <c r="BQ2128" s="2">
        <v>42005.092361111114</v>
      </c>
      <c r="BR2128" s="2">
        <v>11.07</v>
      </c>
      <c r="BS2128" s="2">
        <v>42005.092361111114</v>
      </c>
      <c r="BT2128">
        <v>0</v>
      </c>
      <c r="BU2128">
        <v>0</v>
      </c>
      <c r="BV2128" t="s">
        <v>135</v>
      </c>
      <c r="BW2128">
        <v>0</v>
      </c>
      <c r="BX2128">
        <v>0</v>
      </c>
      <c r="BY2128" t="s">
        <v>135</v>
      </c>
      <c r="BZ2128">
        <v>0</v>
      </c>
      <c r="CA2128">
        <v>0</v>
      </c>
      <c r="CB2128" t="s">
        <v>135</v>
      </c>
      <c r="CH2128" s="2"/>
      <c r="CJ2128" s="2"/>
      <c r="CL2128" s="2"/>
      <c r="CN2128" s="2"/>
      <c r="CQ2128" s="2"/>
      <c r="CT2128" s="2"/>
      <c r="CW2128" s="2"/>
    </row>
    <row r="2129" spans="1:101" x14ac:dyDescent="0.25">
      <c r="A2129" s="1" t="s">
        <v>163</v>
      </c>
      <c r="B2129" s="75" t="s">
        <v>164</v>
      </c>
      <c r="C2129">
        <v>0</v>
      </c>
      <c r="D2129">
        <v>0</v>
      </c>
      <c r="E2129">
        <v>0</v>
      </c>
      <c r="F2129">
        <v>604324.56000000006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3.91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7490</v>
      </c>
      <c r="AW2129">
        <v>3350</v>
      </c>
      <c r="AX2129">
        <v>1219</v>
      </c>
      <c r="AY2129">
        <v>12059</v>
      </c>
      <c r="AZ2129">
        <v>4202</v>
      </c>
      <c r="BA2129">
        <v>7438</v>
      </c>
      <c r="BB2129">
        <v>1432</v>
      </c>
      <c r="BC2129">
        <v>13072</v>
      </c>
      <c r="BD2129">
        <v>9486</v>
      </c>
      <c r="BE2129">
        <v>9222</v>
      </c>
      <c r="BF2129">
        <v>1768</v>
      </c>
      <c r="BG2129">
        <v>20476</v>
      </c>
      <c r="BH2129">
        <v>0</v>
      </c>
      <c r="BI2129">
        <v>0</v>
      </c>
      <c r="BJ2129">
        <v>0</v>
      </c>
      <c r="BK2129">
        <v>0</v>
      </c>
      <c r="BL2129" s="2">
        <v>24.82</v>
      </c>
      <c r="BM2129" s="2">
        <v>42005.095138888886</v>
      </c>
      <c r="BN2129" s="2">
        <v>5.4</v>
      </c>
      <c r="BO2129" s="2">
        <v>42005.092361111114</v>
      </c>
      <c r="BP2129" s="2">
        <v>6.92</v>
      </c>
      <c r="BQ2129" s="2">
        <v>42005.092361111114</v>
      </c>
      <c r="BR2129" s="2">
        <v>11.07</v>
      </c>
      <c r="BS2129" s="2">
        <v>42005.092361111114</v>
      </c>
      <c r="BT2129">
        <v>0</v>
      </c>
      <c r="BU2129">
        <v>0</v>
      </c>
      <c r="BV2129" t="s">
        <v>135</v>
      </c>
      <c r="BW2129">
        <v>0</v>
      </c>
      <c r="BX2129">
        <v>0</v>
      </c>
      <c r="BY2129" t="s">
        <v>135</v>
      </c>
      <c r="BZ2129">
        <v>0</v>
      </c>
      <c r="CA2129">
        <v>0</v>
      </c>
      <c r="CB2129" t="s">
        <v>135</v>
      </c>
      <c r="CH2129" s="2"/>
      <c r="CJ2129" s="2"/>
      <c r="CL2129" s="2"/>
      <c r="CN2129" s="2"/>
      <c r="CQ2129" s="2"/>
      <c r="CT2129" s="2"/>
      <c r="CW2129" s="2"/>
    </row>
    <row r="2130" spans="1:101" x14ac:dyDescent="0.25">
      <c r="A2130" s="1" t="s">
        <v>163</v>
      </c>
      <c r="B2130" s="75" t="s">
        <v>164</v>
      </c>
      <c r="C2130">
        <v>0</v>
      </c>
      <c r="D2130">
        <v>0</v>
      </c>
      <c r="E2130">
        <v>0</v>
      </c>
      <c r="F2130">
        <v>604324.56000000006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3.91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7490</v>
      </c>
      <c r="AW2130">
        <v>3350</v>
      </c>
      <c r="AX2130">
        <v>1219</v>
      </c>
      <c r="AY2130">
        <v>12059</v>
      </c>
      <c r="AZ2130">
        <v>4202</v>
      </c>
      <c r="BA2130">
        <v>7438</v>
      </c>
      <c r="BB2130">
        <v>1432</v>
      </c>
      <c r="BC2130">
        <v>13072</v>
      </c>
      <c r="BD2130">
        <v>9486</v>
      </c>
      <c r="BE2130">
        <v>9222</v>
      </c>
      <c r="BF2130">
        <v>1768</v>
      </c>
      <c r="BG2130">
        <v>20476</v>
      </c>
      <c r="BH2130">
        <v>0</v>
      </c>
      <c r="BI2130">
        <v>0</v>
      </c>
      <c r="BJ2130">
        <v>0</v>
      </c>
      <c r="BK2130">
        <v>0</v>
      </c>
      <c r="BL2130" s="2">
        <v>24.82</v>
      </c>
      <c r="BM2130" s="2">
        <v>42005.095138888886</v>
      </c>
      <c r="BN2130" s="2">
        <v>5.4</v>
      </c>
      <c r="BO2130" s="2">
        <v>42005.092361111114</v>
      </c>
      <c r="BP2130" s="2">
        <v>6.92</v>
      </c>
      <c r="BQ2130" s="2">
        <v>42005.092361111114</v>
      </c>
      <c r="BR2130" s="2">
        <v>11.07</v>
      </c>
      <c r="BS2130" s="2">
        <v>42005.092361111114</v>
      </c>
      <c r="BT2130">
        <v>0</v>
      </c>
      <c r="BU2130">
        <v>0</v>
      </c>
      <c r="BV2130" t="s">
        <v>135</v>
      </c>
      <c r="BW2130">
        <v>0</v>
      </c>
      <c r="BX2130">
        <v>0</v>
      </c>
      <c r="BY2130" t="s">
        <v>135</v>
      </c>
      <c r="BZ2130">
        <v>0</v>
      </c>
      <c r="CA2130">
        <v>0</v>
      </c>
      <c r="CB2130" t="s">
        <v>135</v>
      </c>
      <c r="CH2130" s="2"/>
      <c r="CJ2130" s="2"/>
      <c r="CL2130" s="2"/>
      <c r="CN2130" s="2"/>
      <c r="CQ2130" s="2"/>
      <c r="CT2130" s="2"/>
      <c r="CW2130" s="2"/>
    </row>
    <row r="2131" spans="1:101" x14ac:dyDescent="0.25">
      <c r="A2131" s="1" t="s">
        <v>163</v>
      </c>
      <c r="B2131" s="75" t="s">
        <v>164</v>
      </c>
      <c r="C2131">
        <v>0</v>
      </c>
      <c r="D2131">
        <v>0</v>
      </c>
      <c r="E2131">
        <v>0</v>
      </c>
      <c r="F2131">
        <v>604324.56000000006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3.91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7490</v>
      </c>
      <c r="AW2131">
        <v>3350</v>
      </c>
      <c r="AX2131">
        <v>1219</v>
      </c>
      <c r="AY2131">
        <v>12059</v>
      </c>
      <c r="AZ2131">
        <v>4202</v>
      </c>
      <c r="BA2131">
        <v>7438</v>
      </c>
      <c r="BB2131">
        <v>1432</v>
      </c>
      <c r="BC2131">
        <v>13072</v>
      </c>
      <c r="BD2131">
        <v>9486</v>
      </c>
      <c r="BE2131">
        <v>9222</v>
      </c>
      <c r="BF2131">
        <v>1768</v>
      </c>
      <c r="BG2131">
        <v>20476</v>
      </c>
      <c r="BH2131">
        <v>0</v>
      </c>
      <c r="BI2131">
        <v>0</v>
      </c>
      <c r="BJ2131">
        <v>0</v>
      </c>
      <c r="BK2131">
        <v>0</v>
      </c>
      <c r="BL2131" s="2">
        <v>24.82</v>
      </c>
      <c r="BM2131" s="2">
        <v>42005.095138888886</v>
      </c>
      <c r="BN2131" s="2">
        <v>5.4</v>
      </c>
      <c r="BO2131" s="2">
        <v>42005.092361111114</v>
      </c>
      <c r="BP2131" s="2">
        <v>6.92</v>
      </c>
      <c r="BQ2131" s="2">
        <v>42005.092361111114</v>
      </c>
      <c r="BR2131" s="2">
        <v>11.07</v>
      </c>
      <c r="BS2131" s="2">
        <v>42005.092361111114</v>
      </c>
      <c r="BT2131">
        <v>0</v>
      </c>
      <c r="BU2131">
        <v>0</v>
      </c>
      <c r="BV2131" t="s">
        <v>135</v>
      </c>
      <c r="BW2131">
        <v>0</v>
      </c>
      <c r="BX2131">
        <v>0</v>
      </c>
      <c r="BY2131" t="s">
        <v>135</v>
      </c>
      <c r="BZ2131">
        <v>0</v>
      </c>
      <c r="CA2131">
        <v>0</v>
      </c>
      <c r="CB2131" t="s">
        <v>135</v>
      </c>
      <c r="CH2131" s="2"/>
      <c r="CJ2131" s="2"/>
      <c r="CL2131" s="2"/>
      <c r="CN2131" s="2"/>
      <c r="CQ2131" s="2"/>
      <c r="CT2131" s="2"/>
      <c r="CW2131" s="2"/>
    </row>
    <row r="2132" spans="1:101" x14ac:dyDescent="0.25">
      <c r="A2132" s="1" t="s">
        <v>163</v>
      </c>
      <c r="B2132" s="75" t="s">
        <v>164</v>
      </c>
      <c r="C2132">
        <v>0</v>
      </c>
      <c r="D2132">
        <v>0</v>
      </c>
      <c r="E2132">
        <v>0</v>
      </c>
      <c r="F2132">
        <v>604324.56000000006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3.91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7490</v>
      </c>
      <c r="AW2132">
        <v>3350</v>
      </c>
      <c r="AX2132">
        <v>1219</v>
      </c>
      <c r="AY2132">
        <v>12059</v>
      </c>
      <c r="AZ2132">
        <v>4202</v>
      </c>
      <c r="BA2132">
        <v>7438</v>
      </c>
      <c r="BB2132">
        <v>1432</v>
      </c>
      <c r="BC2132">
        <v>13072</v>
      </c>
      <c r="BD2132">
        <v>9486</v>
      </c>
      <c r="BE2132">
        <v>9222</v>
      </c>
      <c r="BF2132">
        <v>1768</v>
      </c>
      <c r="BG2132">
        <v>20476</v>
      </c>
      <c r="BH2132">
        <v>0</v>
      </c>
      <c r="BI2132">
        <v>0</v>
      </c>
      <c r="BJ2132">
        <v>0</v>
      </c>
      <c r="BK2132">
        <v>0</v>
      </c>
      <c r="BL2132" s="2">
        <v>24.82</v>
      </c>
      <c r="BM2132" s="2">
        <v>42005.095138888886</v>
      </c>
      <c r="BN2132" s="2">
        <v>5.4</v>
      </c>
      <c r="BO2132" s="2">
        <v>42005.092361111114</v>
      </c>
      <c r="BP2132" s="2">
        <v>6.92</v>
      </c>
      <c r="BQ2132" s="2">
        <v>42005.092361111114</v>
      </c>
      <c r="BR2132" s="2">
        <v>11.07</v>
      </c>
      <c r="BS2132" s="2">
        <v>42005.092361111114</v>
      </c>
      <c r="BT2132">
        <v>0</v>
      </c>
      <c r="BU2132">
        <v>0</v>
      </c>
      <c r="BV2132" t="s">
        <v>135</v>
      </c>
      <c r="BW2132">
        <v>0</v>
      </c>
      <c r="BX2132">
        <v>0</v>
      </c>
      <c r="BY2132" t="s">
        <v>135</v>
      </c>
      <c r="BZ2132">
        <v>0</v>
      </c>
      <c r="CA2132">
        <v>0</v>
      </c>
      <c r="CB2132" t="s">
        <v>135</v>
      </c>
      <c r="CH2132" s="2"/>
      <c r="CJ2132" s="2"/>
      <c r="CL2132" s="2"/>
      <c r="CN2132" s="2"/>
      <c r="CQ2132" s="2"/>
      <c r="CT2132" s="2"/>
      <c r="CW2132" s="2"/>
    </row>
    <row r="2133" spans="1:101" x14ac:dyDescent="0.25">
      <c r="A2133" s="1" t="s">
        <v>163</v>
      </c>
      <c r="B2133" s="75" t="s">
        <v>164</v>
      </c>
      <c r="C2133">
        <v>0</v>
      </c>
      <c r="D2133">
        <v>0</v>
      </c>
      <c r="E2133">
        <v>0</v>
      </c>
      <c r="F2133">
        <v>604324.56000000006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3.91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7490</v>
      </c>
      <c r="AW2133">
        <v>3350</v>
      </c>
      <c r="AX2133">
        <v>1219</v>
      </c>
      <c r="AY2133">
        <v>12059</v>
      </c>
      <c r="AZ2133">
        <v>4202</v>
      </c>
      <c r="BA2133">
        <v>7438</v>
      </c>
      <c r="BB2133">
        <v>1432</v>
      </c>
      <c r="BC2133">
        <v>13072</v>
      </c>
      <c r="BD2133">
        <v>9486</v>
      </c>
      <c r="BE2133">
        <v>9222</v>
      </c>
      <c r="BF2133">
        <v>1768</v>
      </c>
      <c r="BG2133">
        <v>20476</v>
      </c>
      <c r="BH2133">
        <v>0</v>
      </c>
      <c r="BI2133">
        <v>0</v>
      </c>
      <c r="BJ2133">
        <v>0</v>
      </c>
      <c r="BK2133">
        <v>0</v>
      </c>
      <c r="BL2133" s="2">
        <v>24.82</v>
      </c>
      <c r="BM2133" s="2">
        <v>42005.095138888886</v>
      </c>
      <c r="BN2133" s="2">
        <v>5.4</v>
      </c>
      <c r="BO2133" s="2">
        <v>42005.092361111114</v>
      </c>
      <c r="BP2133" s="2">
        <v>6.92</v>
      </c>
      <c r="BQ2133" s="2">
        <v>42005.092361111114</v>
      </c>
      <c r="BR2133" s="2">
        <v>11.07</v>
      </c>
      <c r="BS2133" s="2">
        <v>42005.092361111114</v>
      </c>
      <c r="BT2133">
        <v>0</v>
      </c>
      <c r="BU2133">
        <v>0</v>
      </c>
      <c r="BV2133" t="s">
        <v>135</v>
      </c>
      <c r="BW2133">
        <v>0</v>
      </c>
      <c r="BX2133">
        <v>0</v>
      </c>
      <c r="BY2133" t="s">
        <v>135</v>
      </c>
      <c r="BZ2133">
        <v>0</v>
      </c>
      <c r="CA2133">
        <v>0</v>
      </c>
      <c r="CB2133" t="s">
        <v>135</v>
      </c>
      <c r="CH2133" s="2"/>
      <c r="CJ2133" s="2"/>
      <c r="CL2133" s="2"/>
      <c r="CN2133" s="2"/>
      <c r="CQ2133" s="2"/>
      <c r="CT2133" s="2"/>
      <c r="CW2133" s="2"/>
    </row>
    <row r="2134" spans="1:101" x14ac:dyDescent="0.25">
      <c r="A2134" s="1" t="s">
        <v>163</v>
      </c>
      <c r="B2134" s="75" t="s">
        <v>164</v>
      </c>
      <c r="C2134">
        <v>0</v>
      </c>
      <c r="D2134">
        <v>0</v>
      </c>
      <c r="E2134">
        <v>0</v>
      </c>
      <c r="F2134">
        <v>604324.56000000006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3.91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7490</v>
      </c>
      <c r="AW2134">
        <v>3350</v>
      </c>
      <c r="AX2134">
        <v>1219</v>
      </c>
      <c r="AY2134">
        <v>12059</v>
      </c>
      <c r="AZ2134">
        <v>4202</v>
      </c>
      <c r="BA2134">
        <v>7438</v>
      </c>
      <c r="BB2134">
        <v>1432</v>
      </c>
      <c r="BC2134">
        <v>13072</v>
      </c>
      <c r="BD2134">
        <v>9486</v>
      </c>
      <c r="BE2134">
        <v>9222</v>
      </c>
      <c r="BF2134">
        <v>1768</v>
      </c>
      <c r="BG2134">
        <v>20476</v>
      </c>
      <c r="BH2134">
        <v>0</v>
      </c>
      <c r="BI2134">
        <v>0</v>
      </c>
      <c r="BJ2134">
        <v>0</v>
      </c>
      <c r="BK2134">
        <v>0</v>
      </c>
      <c r="BL2134" s="2">
        <v>24.82</v>
      </c>
      <c r="BM2134" s="2">
        <v>42005.095138888886</v>
      </c>
      <c r="BN2134" s="2">
        <v>5.4</v>
      </c>
      <c r="BO2134" s="2">
        <v>42005.092361111114</v>
      </c>
      <c r="BP2134" s="2">
        <v>6.92</v>
      </c>
      <c r="BQ2134" s="2">
        <v>42005.092361111114</v>
      </c>
      <c r="BR2134" s="2">
        <v>11.07</v>
      </c>
      <c r="BS2134" s="2">
        <v>42005.092361111114</v>
      </c>
      <c r="BT2134">
        <v>0</v>
      </c>
      <c r="BU2134">
        <v>0</v>
      </c>
      <c r="BV2134" t="s">
        <v>135</v>
      </c>
      <c r="BW2134">
        <v>0</v>
      </c>
      <c r="BX2134">
        <v>0</v>
      </c>
      <c r="BY2134" t="s">
        <v>135</v>
      </c>
      <c r="BZ2134">
        <v>0</v>
      </c>
      <c r="CA2134">
        <v>0</v>
      </c>
      <c r="CB2134" t="s">
        <v>135</v>
      </c>
      <c r="CH2134" s="2"/>
      <c r="CJ2134" s="2"/>
      <c r="CL2134" s="2"/>
      <c r="CN2134" s="2"/>
      <c r="CQ2134" s="2"/>
      <c r="CT2134" s="2"/>
      <c r="CW2134" s="2"/>
    </row>
    <row r="2135" spans="1:101" x14ac:dyDescent="0.25">
      <c r="A2135" s="1" t="s">
        <v>163</v>
      </c>
      <c r="B2135" s="75" t="s">
        <v>164</v>
      </c>
      <c r="C2135">
        <v>0</v>
      </c>
      <c r="D2135">
        <v>0</v>
      </c>
      <c r="E2135">
        <v>0</v>
      </c>
      <c r="F2135">
        <v>604324.56000000006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3.91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7490</v>
      </c>
      <c r="AW2135">
        <v>3350</v>
      </c>
      <c r="AX2135">
        <v>1219</v>
      </c>
      <c r="AY2135">
        <v>12059</v>
      </c>
      <c r="AZ2135">
        <v>4202</v>
      </c>
      <c r="BA2135">
        <v>7438</v>
      </c>
      <c r="BB2135">
        <v>1432</v>
      </c>
      <c r="BC2135">
        <v>13072</v>
      </c>
      <c r="BD2135">
        <v>9486</v>
      </c>
      <c r="BE2135">
        <v>9222</v>
      </c>
      <c r="BF2135">
        <v>1768</v>
      </c>
      <c r="BG2135">
        <v>20476</v>
      </c>
      <c r="BH2135">
        <v>0</v>
      </c>
      <c r="BI2135">
        <v>0</v>
      </c>
      <c r="BJ2135">
        <v>0</v>
      </c>
      <c r="BK2135">
        <v>0</v>
      </c>
      <c r="BL2135" s="2">
        <v>24.82</v>
      </c>
      <c r="BM2135" s="2">
        <v>42005.095138888886</v>
      </c>
      <c r="BN2135" s="2">
        <v>5.4</v>
      </c>
      <c r="BO2135" s="2">
        <v>42005.092361111114</v>
      </c>
      <c r="BP2135" s="2">
        <v>6.92</v>
      </c>
      <c r="BQ2135" s="2">
        <v>42005.092361111114</v>
      </c>
      <c r="BR2135" s="2">
        <v>11.07</v>
      </c>
      <c r="BS2135" s="2">
        <v>42005.092361111114</v>
      </c>
      <c r="BT2135">
        <v>0</v>
      </c>
      <c r="BU2135">
        <v>0</v>
      </c>
      <c r="BV2135" t="s">
        <v>135</v>
      </c>
      <c r="BW2135">
        <v>0</v>
      </c>
      <c r="BX2135">
        <v>0</v>
      </c>
      <c r="BY2135" t="s">
        <v>135</v>
      </c>
      <c r="BZ2135">
        <v>0</v>
      </c>
      <c r="CA2135">
        <v>0</v>
      </c>
      <c r="CB2135" t="s">
        <v>135</v>
      </c>
      <c r="CH2135" s="2"/>
      <c r="CJ2135" s="2"/>
      <c r="CL2135" s="2"/>
      <c r="CN2135" s="2"/>
      <c r="CQ2135" s="2"/>
      <c r="CT2135" s="2"/>
      <c r="CW2135" s="2"/>
    </row>
    <row r="2136" spans="1:101" x14ac:dyDescent="0.25">
      <c r="A2136" s="1" t="s">
        <v>163</v>
      </c>
      <c r="B2136" s="75" t="s">
        <v>164</v>
      </c>
      <c r="C2136">
        <v>0</v>
      </c>
      <c r="D2136">
        <v>0</v>
      </c>
      <c r="E2136">
        <v>0</v>
      </c>
      <c r="F2136">
        <v>604324.56000000006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3.91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7490</v>
      </c>
      <c r="AW2136">
        <v>3350</v>
      </c>
      <c r="AX2136">
        <v>1219</v>
      </c>
      <c r="AY2136">
        <v>12059</v>
      </c>
      <c r="AZ2136">
        <v>4202</v>
      </c>
      <c r="BA2136">
        <v>7438</v>
      </c>
      <c r="BB2136">
        <v>1432</v>
      </c>
      <c r="BC2136">
        <v>13072</v>
      </c>
      <c r="BD2136">
        <v>9486</v>
      </c>
      <c r="BE2136">
        <v>9222</v>
      </c>
      <c r="BF2136">
        <v>1768</v>
      </c>
      <c r="BG2136">
        <v>20476</v>
      </c>
      <c r="BH2136">
        <v>0</v>
      </c>
      <c r="BI2136">
        <v>0</v>
      </c>
      <c r="BJ2136">
        <v>0</v>
      </c>
      <c r="BK2136">
        <v>0</v>
      </c>
      <c r="BL2136" s="2">
        <v>24.82</v>
      </c>
      <c r="BM2136" s="2">
        <v>42005.095138888886</v>
      </c>
      <c r="BN2136" s="2">
        <v>5.4</v>
      </c>
      <c r="BO2136" s="2">
        <v>42005.092361111114</v>
      </c>
      <c r="BP2136" s="2">
        <v>6.92</v>
      </c>
      <c r="BQ2136" s="2">
        <v>42005.092361111114</v>
      </c>
      <c r="BR2136" s="2">
        <v>11.07</v>
      </c>
      <c r="BS2136" s="2">
        <v>42005.092361111114</v>
      </c>
      <c r="BT2136">
        <v>0</v>
      </c>
      <c r="BU2136">
        <v>0</v>
      </c>
      <c r="BV2136" t="s">
        <v>135</v>
      </c>
      <c r="BW2136">
        <v>0</v>
      </c>
      <c r="BX2136">
        <v>0</v>
      </c>
      <c r="BY2136" t="s">
        <v>135</v>
      </c>
      <c r="BZ2136">
        <v>0</v>
      </c>
      <c r="CA2136">
        <v>0</v>
      </c>
      <c r="CB2136" t="s">
        <v>135</v>
      </c>
      <c r="CH2136" s="2"/>
      <c r="CJ2136" s="2"/>
      <c r="CL2136" s="2"/>
      <c r="CN2136" s="2"/>
      <c r="CQ2136" s="2"/>
      <c r="CT2136" s="2"/>
      <c r="CW2136" s="2"/>
    </row>
    <row r="2137" spans="1:101" x14ac:dyDescent="0.25">
      <c r="A2137" s="1" t="s">
        <v>163</v>
      </c>
      <c r="B2137" s="75" t="s">
        <v>164</v>
      </c>
      <c r="C2137">
        <v>0</v>
      </c>
      <c r="D2137">
        <v>0</v>
      </c>
      <c r="E2137">
        <v>0</v>
      </c>
      <c r="F2137">
        <v>604324.56000000006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3.91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7490</v>
      </c>
      <c r="AW2137">
        <v>3350</v>
      </c>
      <c r="AX2137">
        <v>1219</v>
      </c>
      <c r="AY2137">
        <v>12059</v>
      </c>
      <c r="AZ2137">
        <v>4202</v>
      </c>
      <c r="BA2137">
        <v>7438</v>
      </c>
      <c r="BB2137">
        <v>1432</v>
      </c>
      <c r="BC2137">
        <v>13072</v>
      </c>
      <c r="BD2137">
        <v>9486</v>
      </c>
      <c r="BE2137">
        <v>9222</v>
      </c>
      <c r="BF2137">
        <v>1768</v>
      </c>
      <c r="BG2137">
        <v>20476</v>
      </c>
      <c r="BH2137">
        <v>0</v>
      </c>
      <c r="BI2137">
        <v>0</v>
      </c>
      <c r="BJ2137">
        <v>0</v>
      </c>
      <c r="BK2137">
        <v>0</v>
      </c>
      <c r="BL2137" s="2">
        <v>24.82</v>
      </c>
      <c r="BM2137" s="2">
        <v>42005.095138888886</v>
      </c>
      <c r="BN2137" s="2">
        <v>5.4</v>
      </c>
      <c r="BO2137" s="2">
        <v>42005.092361111114</v>
      </c>
      <c r="BP2137" s="2">
        <v>6.92</v>
      </c>
      <c r="BQ2137" s="2">
        <v>42005.092361111114</v>
      </c>
      <c r="BR2137" s="2">
        <v>11.07</v>
      </c>
      <c r="BS2137" s="2">
        <v>42005.092361111114</v>
      </c>
      <c r="BT2137">
        <v>0</v>
      </c>
      <c r="BU2137">
        <v>0</v>
      </c>
      <c r="BV2137" t="s">
        <v>135</v>
      </c>
      <c r="BW2137">
        <v>0</v>
      </c>
      <c r="BX2137">
        <v>0</v>
      </c>
      <c r="BY2137" t="s">
        <v>135</v>
      </c>
      <c r="BZ2137">
        <v>0</v>
      </c>
      <c r="CA2137">
        <v>0</v>
      </c>
      <c r="CB2137" t="s">
        <v>135</v>
      </c>
      <c r="CH2137" s="2"/>
      <c r="CJ2137" s="2"/>
      <c r="CL2137" s="2"/>
      <c r="CN2137" s="2"/>
      <c r="CQ2137" s="2"/>
      <c r="CT2137" s="2"/>
      <c r="CW2137" s="2"/>
    </row>
    <row r="2138" spans="1:101" x14ac:dyDescent="0.25">
      <c r="A2138" s="1" t="s">
        <v>163</v>
      </c>
      <c r="B2138" s="75" t="s">
        <v>164</v>
      </c>
      <c r="C2138">
        <v>0</v>
      </c>
      <c r="D2138">
        <v>0</v>
      </c>
      <c r="E2138">
        <v>0</v>
      </c>
      <c r="F2138">
        <v>604324.56000000006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3.91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7490</v>
      </c>
      <c r="AW2138">
        <v>3350</v>
      </c>
      <c r="AX2138">
        <v>1219</v>
      </c>
      <c r="AY2138">
        <v>12059</v>
      </c>
      <c r="AZ2138">
        <v>4202</v>
      </c>
      <c r="BA2138">
        <v>7438</v>
      </c>
      <c r="BB2138">
        <v>1432</v>
      </c>
      <c r="BC2138">
        <v>13072</v>
      </c>
      <c r="BD2138">
        <v>9486</v>
      </c>
      <c r="BE2138">
        <v>9222</v>
      </c>
      <c r="BF2138">
        <v>1768</v>
      </c>
      <c r="BG2138">
        <v>20476</v>
      </c>
      <c r="BH2138">
        <v>0</v>
      </c>
      <c r="BI2138">
        <v>0</v>
      </c>
      <c r="BJ2138">
        <v>0</v>
      </c>
      <c r="BK2138">
        <v>0</v>
      </c>
      <c r="BL2138" s="2">
        <v>24.82</v>
      </c>
      <c r="BM2138" s="2">
        <v>42005.095138888886</v>
      </c>
      <c r="BN2138" s="2">
        <v>5.4</v>
      </c>
      <c r="BO2138" s="2">
        <v>42005.092361111114</v>
      </c>
      <c r="BP2138" s="2">
        <v>6.92</v>
      </c>
      <c r="BQ2138" s="2">
        <v>42005.092361111114</v>
      </c>
      <c r="BR2138" s="2">
        <v>11.07</v>
      </c>
      <c r="BS2138" s="2">
        <v>42005.092361111114</v>
      </c>
      <c r="BT2138">
        <v>0</v>
      </c>
      <c r="BU2138">
        <v>0</v>
      </c>
      <c r="BV2138" t="s">
        <v>135</v>
      </c>
      <c r="BW2138">
        <v>0</v>
      </c>
      <c r="BX2138">
        <v>0</v>
      </c>
      <c r="BY2138" t="s">
        <v>135</v>
      </c>
      <c r="BZ2138">
        <v>0</v>
      </c>
      <c r="CA2138">
        <v>0</v>
      </c>
      <c r="CB2138" t="s">
        <v>135</v>
      </c>
      <c r="CH2138" s="2"/>
      <c r="CJ2138" s="2"/>
      <c r="CL2138" s="2"/>
      <c r="CN2138" s="2"/>
      <c r="CQ2138" s="2"/>
      <c r="CT2138" s="2"/>
      <c r="CW2138" s="2"/>
    </row>
    <row r="2139" spans="1:101" x14ac:dyDescent="0.25">
      <c r="A2139" s="1" t="s">
        <v>163</v>
      </c>
      <c r="B2139" s="75" t="s">
        <v>164</v>
      </c>
      <c r="C2139">
        <v>0</v>
      </c>
      <c r="D2139">
        <v>0</v>
      </c>
      <c r="E2139">
        <v>0</v>
      </c>
      <c r="F2139">
        <v>604324.56000000006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3.91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7490</v>
      </c>
      <c r="AW2139">
        <v>3350</v>
      </c>
      <c r="AX2139">
        <v>1219</v>
      </c>
      <c r="AY2139">
        <v>12059</v>
      </c>
      <c r="AZ2139">
        <v>4202</v>
      </c>
      <c r="BA2139">
        <v>7438</v>
      </c>
      <c r="BB2139">
        <v>1432</v>
      </c>
      <c r="BC2139">
        <v>13072</v>
      </c>
      <c r="BD2139">
        <v>9486</v>
      </c>
      <c r="BE2139">
        <v>9222</v>
      </c>
      <c r="BF2139">
        <v>1768</v>
      </c>
      <c r="BG2139">
        <v>20476</v>
      </c>
      <c r="BH2139">
        <v>0</v>
      </c>
      <c r="BI2139">
        <v>0</v>
      </c>
      <c r="BJ2139">
        <v>0</v>
      </c>
      <c r="BK2139">
        <v>0</v>
      </c>
      <c r="BL2139" s="2">
        <v>24.82</v>
      </c>
      <c r="BM2139" s="2">
        <v>42005.095138888886</v>
      </c>
      <c r="BN2139" s="2">
        <v>5.4</v>
      </c>
      <c r="BO2139" s="2">
        <v>42005.092361111114</v>
      </c>
      <c r="BP2139" s="2">
        <v>6.92</v>
      </c>
      <c r="BQ2139" s="2">
        <v>42005.092361111114</v>
      </c>
      <c r="BR2139" s="2">
        <v>11.07</v>
      </c>
      <c r="BS2139" s="2">
        <v>42005.092361111114</v>
      </c>
      <c r="BT2139">
        <v>0</v>
      </c>
      <c r="BU2139">
        <v>0</v>
      </c>
      <c r="BV2139" t="s">
        <v>135</v>
      </c>
      <c r="BW2139">
        <v>0</v>
      </c>
      <c r="BX2139">
        <v>0</v>
      </c>
      <c r="BY2139" t="s">
        <v>135</v>
      </c>
      <c r="BZ2139">
        <v>0</v>
      </c>
      <c r="CA2139">
        <v>0</v>
      </c>
      <c r="CB2139" t="s">
        <v>135</v>
      </c>
      <c r="CH2139" s="2"/>
      <c r="CJ2139" s="2"/>
      <c r="CL2139" s="2"/>
      <c r="CN2139" s="2"/>
      <c r="CQ2139" s="2"/>
      <c r="CT2139" s="2"/>
      <c r="CW2139" s="2"/>
    </row>
    <row r="2140" spans="1:101" x14ac:dyDescent="0.25">
      <c r="A2140" s="1" t="s">
        <v>163</v>
      </c>
      <c r="B2140" s="75" t="s">
        <v>164</v>
      </c>
      <c r="C2140">
        <v>0</v>
      </c>
      <c r="D2140">
        <v>0</v>
      </c>
      <c r="E2140">
        <v>0</v>
      </c>
      <c r="F2140">
        <v>604324.56000000006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3.91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7490</v>
      </c>
      <c r="AW2140">
        <v>3350</v>
      </c>
      <c r="AX2140">
        <v>1219</v>
      </c>
      <c r="AY2140">
        <v>12059</v>
      </c>
      <c r="AZ2140">
        <v>4202</v>
      </c>
      <c r="BA2140">
        <v>7438</v>
      </c>
      <c r="BB2140">
        <v>1432</v>
      </c>
      <c r="BC2140">
        <v>13072</v>
      </c>
      <c r="BD2140">
        <v>9486</v>
      </c>
      <c r="BE2140">
        <v>9222</v>
      </c>
      <c r="BF2140">
        <v>1768</v>
      </c>
      <c r="BG2140">
        <v>20476</v>
      </c>
      <c r="BH2140">
        <v>0</v>
      </c>
      <c r="BI2140">
        <v>0</v>
      </c>
      <c r="BJ2140">
        <v>0</v>
      </c>
      <c r="BK2140">
        <v>0</v>
      </c>
      <c r="BL2140" s="2">
        <v>24.82</v>
      </c>
      <c r="BM2140" s="2">
        <v>42005.095138888886</v>
      </c>
      <c r="BN2140" s="2">
        <v>5.4</v>
      </c>
      <c r="BO2140" s="2">
        <v>42005.092361111114</v>
      </c>
      <c r="BP2140" s="2">
        <v>6.92</v>
      </c>
      <c r="BQ2140" s="2">
        <v>42005.092361111114</v>
      </c>
      <c r="BR2140" s="2">
        <v>11.07</v>
      </c>
      <c r="BS2140" s="2">
        <v>42005.092361111114</v>
      </c>
      <c r="BT2140">
        <v>0</v>
      </c>
      <c r="BU2140">
        <v>0</v>
      </c>
      <c r="BV2140" t="s">
        <v>135</v>
      </c>
      <c r="BW2140">
        <v>0</v>
      </c>
      <c r="BX2140">
        <v>0</v>
      </c>
      <c r="BY2140" t="s">
        <v>135</v>
      </c>
      <c r="BZ2140">
        <v>0</v>
      </c>
      <c r="CA2140">
        <v>0</v>
      </c>
      <c r="CB2140" t="s">
        <v>135</v>
      </c>
      <c r="CH2140" s="2"/>
      <c r="CJ2140" s="2"/>
      <c r="CL2140" s="2"/>
      <c r="CN2140" s="2"/>
      <c r="CQ2140" s="2"/>
      <c r="CT2140" s="2"/>
      <c r="CW2140" s="2"/>
    </row>
    <row r="2141" spans="1:101" x14ac:dyDescent="0.25">
      <c r="A2141" s="1" t="s">
        <v>163</v>
      </c>
      <c r="B2141" s="75" t="s">
        <v>164</v>
      </c>
      <c r="C2141">
        <v>0</v>
      </c>
      <c r="D2141">
        <v>0</v>
      </c>
      <c r="E2141">
        <v>0</v>
      </c>
      <c r="F2141">
        <v>604324.56000000006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3.91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7490</v>
      </c>
      <c r="AW2141">
        <v>3350</v>
      </c>
      <c r="AX2141">
        <v>1219</v>
      </c>
      <c r="AY2141">
        <v>12059</v>
      </c>
      <c r="AZ2141">
        <v>4202</v>
      </c>
      <c r="BA2141">
        <v>7438</v>
      </c>
      <c r="BB2141">
        <v>1432</v>
      </c>
      <c r="BC2141">
        <v>13072</v>
      </c>
      <c r="BD2141">
        <v>9486</v>
      </c>
      <c r="BE2141">
        <v>9222</v>
      </c>
      <c r="BF2141">
        <v>1768</v>
      </c>
      <c r="BG2141">
        <v>20476</v>
      </c>
      <c r="BH2141">
        <v>0</v>
      </c>
      <c r="BI2141">
        <v>0</v>
      </c>
      <c r="BJ2141">
        <v>0</v>
      </c>
      <c r="BK2141">
        <v>0</v>
      </c>
      <c r="BL2141" s="2">
        <v>24.82</v>
      </c>
      <c r="BM2141" s="2">
        <v>42005.095138888886</v>
      </c>
      <c r="BN2141" s="2">
        <v>5.4</v>
      </c>
      <c r="BO2141" s="2">
        <v>42005.092361111114</v>
      </c>
      <c r="BP2141" s="2">
        <v>6.92</v>
      </c>
      <c r="BQ2141" s="2">
        <v>42005.092361111114</v>
      </c>
      <c r="BR2141" s="2">
        <v>11.07</v>
      </c>
      <c r="BS2141" s="2">
        <v>42005.092361111114</v>
      </c>
      <c r="BT2141">
        <v>0</v>
      </c>
      <c r="BU2141">
        <v>0</v>
      </c>
      <c r="BV2141" t="s">
        <v>135</v>
      </c>
      <c r="BW2141">
        <v>0</v>
      </c>
      <c r="BX2141">
        <v>0</v>
      </c>
      <c r="BY2141" t="s">
        <v>135</v>
      </c>
      <c r="BZ2141">
        <v>0</v>
      </c>
      <c r="CA2141">
        <v>0</v>
      </c>
      <c r="CB2141" t="s">
        <v>135</v>
      </c>
      <c r="CH2141" s="2"/>
      <c r="CJ2141" s="2"/>
      <c r="CL2141" s="2"/>
      <c r="CN2141" s="2"/>
      <c r="CQ2141" s="2"/>
      <c r="CT2141" s="2"/>
      <c r="CW2141" s="2"/>
    </row>
    <row r="2142" spans="1:101" x14ac:dyDescent="0.25">
      <c r="A2142" s="1" t="s">
        <v>163</v>
      </c>
      <c r="B2142" s="75" t="s">
        <v>164</v>
      </c>
      <c r="C2142">
        <v>0</v>
      </c>
      <c r="D2142">
        <v>0</v>
      </c>
      <c r="E2142">
        <v>0</v>
      </c>
      <c r="F2142">
        <v>604324.56000000006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3.91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7490</v>
      </c>
      <c r="AW2142">
        <v>3350</v>
      </c>
      <c r="AX2142">
        <v>1219</v>
      </c>
      <c r="AY2142">
        <v>12059</v>
      </c>
      <c r="AZ2142">
        <v>4202</v>
      </c>
      <c r="BA2142">
        <v>7438</v>
      </c>
      <c r="BB2142">
        <v>1432</v>
      </c>
      <c r="BC2142">
        <v>13072</v>
      </c>
      <c r="BD2142">
        <v>9486</v>
      </c>
      <c r="BE2142">
        <v>9222</v>
      </c>
      <c r="BF2142">
        <v>1768</v>
      </c>
      <c r="BG2142">
        <v>20476</v>
      </c>
      <c r="BH2142">
        <v>0</v>
      </c>
      <c r="BI2142">
        <v>0</v>
      </c>
      <c r="BJ2142">
        <v>0</v>
      </c>
      <c r="BK2142">
        <v>0</v>
      </c>
      <c r="BL2142" s="2">
        <v>24.82</v>
      </c>
      <c r="BM2142" s="2">
        <v>42005.095138888886</v>
      </c>
      <c r="BN2142" s="2">
        <v>5.4</v>
      </c>
      <c r="BO2142" s="2">
        <v>42005.092361111114</v>
      </c>
      <c r="BP2142" s="2">
        <v>6.92</v>
      </c>
      <c r="BQ2142" s="2">
        <v>42005.092361111114</v>
      </c>
      <c r="BR2142" s="2">
        <v>11.07</v>
      </c>
      <c r="BS2142" s="2">
        <v>42005.092361111114</v>
      </c>
      <c r="BT2142">
        <v>0</v>
      </c>
      <c r="BU2142">
        <v>0</v>
      </c>
      <c r="BV2142" t="s">
        <v>135</v>
      </c>
      <c r="BW2142">
        <v>0</v>
      </c>
      <c r="BX2142">
        <v>0</v>
      </c>
      <c r="BY2142" t="s">
        <v>135</v>
      </c>
      <c r="BZ2142">
        <v>0</v>
      </c>
      <c r="CA2142">
        <v>0</v>
      </c>
      <c r="CB2142" t="s">
        <v>135</v>
      </c>
      <c r="CH2142" s="2"/>
      <c r="CJ2142" s="2"/>
      <c r="CL2142" s="2"/>
      <c r="CN2142" s="2"/>
      <c r="CQ2142" s="2"/>
      <c r="CT2142" s="2"/>
      <c r="CW2142" s="2"/>
    </row>
    <row r="2143" spans="1:101" x14ac:dyDescent="0.25">
      <c r="A2143" s="1" t="s">
        <v>163</v>
      </c>
      <c r="B2143" s="75" t="s">
        <v>164</v>
      </c>
      <c r="C2143">
        <v>0</v>
      </c>
      <c r="D2143">
        <v>0</v>
      </c>
      <c r="E2143">
        <v>0</v>
      </c>
      <c r="F2143">
        <v>604324.56000000006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3.91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7490</v>
      </c>
      <c r="AW2143">
        <v>3350</v>
      </c>
      <c r="AX2143">
        <v>1219</v>
      </c>
      <c r="AY2143">
        <v>12059</v>
      </c>
      <c r="AZ2143">
        <v>4202</v>
      </c>
      <c r="BA2143">
        <v>7438</v>
      </c>
      <c r="BB2143">
        <v>1432</v>
      </c>
      <c r="BC2143">
        <v>13072</v>
      </c>
      <c r="BD2143">
        <v>9486</v>
      </c>
      <c r="BE2143">
        <v>9222</v>
      </c>
      <c r="BF2143">
        <v>1768</v>
      </c>
      <c r="BG2143">
        <v>20476</v>
      </c>
      <c r="BH2143">
        <v>0</v>
      </c>
      <c r="BI2143">
        <v>0</v>
      </c>
      <c r="BJ2143">
        <v>0</v>
      </c>
      <c r="BK2143">
        <v>0</v>
      </c>
      <c r="BL2143" s="2">
        <v>24.82</v>
      </c>
      <c r="BM2143" s="2">
        <v>42005.095138888886</v>
      </c>
      <c r="BN2143" s="2">
        <v>5.4</v>
      </c>
      <c r="BO2143" s="2">
        <v>42005.092361111114</v>
      </c>
      <c r="BP2143" s="2">
        <v>6.92</v>
      </c>
      <c r="BQ2143" s="2">
        <v>42005.092361111114</v>
      </c>
      <c r="BR2143" s="2">
        <v>11.07</v>
      </c>
      <c r="BS2143" s="2">
        <v>42005.092361111114</v>
      </c>
      <c r="BT2143">
        <v>0</v>
      </c>
      <c r="BU2143">
        <v>0</v>
      </c>
      <c r="BV2143" t="s">
        <v>135</v>
      </c>
      <c r="BW2143">
        <v>0</v>
      </c>
      <c r="BX2143">
        <v>0</v>
      </c>
      <c r="BY2143" t="s">
        <v>135</v>
      </c>
      <c r="BZ2143">
        <v>0</v>
      </c>
      <c r="CA2143">
        <v>0</v>
      </c>
      <c r="CB2143" t="s">
        <v>135</v>
      </c>
      <c r="CH2143" s="2"/>
      <c r="CJ2143" s="2"/>
      <c r="CL2143" s="2"/>
      <c r="CN2143" s="2"/>
      <c r="CQ2143" s="2"/>
      <c r="CT2143" s="2"/>
      <c r="CW2143" s="2"/>
    </row>
    <row r="2144" spans="1:101" x14ac:dyDescent="0.25">
      <c r="A2144" s="1" t="s">
        <v>163</v>
      </c>
      <c r="B2144" s="75" t="s">
        <v>164</v>
      </c>
      <c r="C2144">
        <v>0</v>
      </c>
      <c r="D2144">
        <v>0</v>
      </c>
      <c r="E2144">
        <v>0</v>
      </c>
      <c r="F2144">
        <v>604324.56000000006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3.91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7490</v>
      </c>
      <c r="AW2144">
        <v>3350</v>
      </c>
      <c r="AX2144">
        <v>1219</v>
      </c>
      <c r="AY2144">
        <v>12059</v>
      </c>
      <c r="AZ2144">
        <v>4202</v>
      </c>
      <c r="BA2144">
        <v>7438</v>
      </c>
      <c r="BB2144">
        <v>1432</v>
      </c>
      <c r="BC2144">
        <v>13072</v>
      </c>
      <c r="BD2144">
        <v>9486</v>
      </c>
      <c r="BE2144">
        <v>9222</v>
      </c>
      <c r="BF2144">
        <v>1768</v>
      </c>
      <c r="BG2144">
        <v>20476</v>
      </c>
      <c r="BH2144">
        <v>0</v>
      </c>
      <c r="BI2144">
        <v>0</v>
      </c>
      <c r="BJ2144">
        <v>0</v>
      </c>
      <c r="BK2144">
        <v>0</v>
      </c>
      <c r="BL2144" s="2">
        <v>24.82</v>
      </c>
      <c r="BM2144" s="2">
        <v>42005.095138888886</v>
      </c>
      <c r="BN2144" s="2">
        <v>5.4</v>
      </c>
      <c r="BO2144" s="2">
        <v>42005.092361111114</v>
      </c>
      <c r="BP2144" s="2">
        <v>6.92</v>
      </c>
      <c r="BQ2144" s="2">
        <v>42005.092361111114</v>
      </c>
      <c r="BR2144" s="2">
        <v>11.07</v>
      </c>
      <c r="BS2144" s="2">
        <v>42005.092361111114</v>
      </c>
      <c r="BT2144">
        <v>0</v>
      </c>
      <c r="BU2144">
        <v>0</v>
      </c>
      <c r="BV2144" t="s">
        <v>135</v>
      </c>
      <c r="BW2144">
        <v>0</v>
      </c>
      <c r="BX2144">
        <v>0</v>
      </c>
      <c r="BY2144" t="s">
        <v>135</v>
      </c>
      <c r="BZ2144">
        <v>0</v>
      </c>
      <c r="CA2144">
        <v>0</v>
      </c>
      <c r="CB2144" t="s">
        <v>135</v>
      </c>
      <c r="CH2144" s="2"/>
      <c r="CJ2144" s="2"/>
      <c r="CL2144" s="2"/>
      <c r="CN2144" s="2"/>
      <c r="CQ2144" s="2"/>
      <c r="CT2144" s="2"/>
      <c r="CW2144" s="2"/>
    </row>
    <row r="2145" spans="1:101" x14ac:dyDescent="0.25">
      <c r="A2145" s="1" t="s">
        <v>163</v>
      </c>
      <c r="B2145" s="75" t="s">
        <v>164</v>
      </c>
      <c r="C2145">
        <v>0</v>
      </c>
      <c r="D2145">
        <v>0</v>
      </c>
      <c r="E2145">
        <v>0</v>
      </c>
      <c r="F2145">
        <v>604324.56000000006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3.91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7490</v>
      </c>
      <c r="AW2145">
        <v>3350</v>
      </c>
      <c r="AX2145">
        <v>1219</v>
      </c>
      <c r="AY2145">
        <v>12059</v>
      </c>
      <c r="AZ2145">
        <v>4202</v>
      </c>
      <c r="BA2145">
        <v>7438</v>
      </c>
      <c r="BB2145">
        <v>1432</v>
      </c>
      <c r="BC2145">
        <v>13072</v>
      </c>
      <c r="BD2145">
        <v>9486</v>
      </c>
      <c r="BE2145">
        <v>9222</v>
      </c>
      <c r="BF2145">
        <v>1768</v>
      </c>
      <c r="BG2145">
        <v>20476</v>
      </c>
      <c r="BH2145">
        <v>0</v>
      </c>
      <c r="BI2145">
        <v>0</v>
      </c>
      <c r="BJ2145">
        <v>0</v>
      </c>
      <c r="BK2145">
        <v>0</v>
      </c>
      <c r="BL2145" s="2">
        <v>24.82</v>
      </c>
      <c r="BM2145" s="2">
        <v>42005.095138888886</v>
      </c>
      <c r="BN2145" s="2">
        <v>5.4</v>
      </c>
      <c r="BO2145" s="2">
        <v>42005.092361111114</v>
      </c>
      <c r="BP2145" s="2">
        <v>6.92</v>
      </c>
      <c r="BQ2145" s="2">
        <v>42005.092361111114</v>
      </c>
      <c r="BR2145" s="2">
        <v>11.07</v>
      </c>
      <c r="BS2145" s="2">
        <v>42005.092361111114</v>
      </c>
      <c r="BT2145">
        <v>0</v>
      </c>
      <c r="BU2145">
        <v>0</v>
      </c>
      <c r="BV2145" t="s">
        <v>135</v>
      </c>
      <c r="BW2145">
        <v>0</v>
      </c>
      <c r="BX2145">
        <v>0</v>
      </c>
      <c r="BY2145" t="s">
        <v>135</v>
      </c>
      <c r="BZ2145">
        <v>0</v>
      </c>
      <c r="CA2145">
        <v>0</v>
      </c>
      <c r="CB2145" t="s">
        <v>135</v>
      </c>
      <c r="CH2145" s="2"/>
      <c r="CJ2145" s="2"/>
      <c r="CL2145" s="2"/>
      <c r="CN2145" s="2"/>
      <c r="CQ2145" s="2"/>
      <c r="CT2145" s="2"/>
      <c r="CW2145" s="2"/>
    </row>
    <row r="2146" spans="1:101" x14ac:dyDescent="0.25">
      <c r="A2146" s="1" t="s">
        <v>163</v>
      </c>
      <c r="B2146" s="75" t="s">
        <v>164</v>
      </c>
      <c r="C2146">
        <v>0</v>
      </c>
      <c r="D2146">
        <v>0</v>
      </c>
      <c r="E2146">
        <v>0</v>
      </c>
      <c r="F2146">
        <v>604324.56000000006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3.91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7490</v>
      </c>
      <c r="AW2146">
        <v>3350</v>
      </c>
      <c r="AX2146">
        <v>1219</v>
      </c>
      <c r="AY2146">
        <v>12059</v>
      </c>
      <c r="AZ2146">
        <v>4202</v>
      </c>
      <c r="BA2146">
        <v>7438</v>
      </c>
      <c r="BB2146">
        <v>1432</v>
      </c>
      <c r="BC2146">
        <v>13072</v>
      </c>
      <c r="BD2146">
        <v>9486</v>
      </c>
      <c r="BE2146">
        <v>9222</v>
      </c>
      <c r="BF2146">
        <v>1768</v>
      </c>
      <c r="BG2146">
        <v>20476</v>
      </c>
      <c r="BH2146">
        <v>0</v>
      </c>
      <c r="BI2146">
        <v>0</v>
      </c>
      <c r="BJ2146">
        <v>0</v>
      </c>
      <c r="BK2146">
        <v>0</v>
      </c>
      <c r="BL2146" s="2">
        <v>24.82</v>
      </c>
      <c r="BM2146" s="2">
        <v>42005.095138888886</v>
      </c>
      <c r="BN2146" s="2">
        <v>5.4</v>
      </c>
      <c r="BO2146" s="2">
        <v>42005.092361111114</v>
      </c>
      <c r="BP2146" s="2">
        <v>6.92</v>
      </c>
      <c r="BQ2146" s="2">
        <v>42005.092361111114</v>
      </c>
      <c r="BR2146" s="2">
        <v>11.07</v>
      </c>
      <c r="BS2146" s="2">
        <v>42005.092361111114</v>
      </c>
      <c r="BT2146">
        <v>0</v>
      </c>
      <c r="BU2146">
        <v>0</v>
      </c>
      <c r="BV2146" t="s">
        <v>135</v>
      </c>
      <c r="BW2146">
        <v>0</v>
      </c>
      <c r="BX2146">
        <v>0</v>
      </c>
      <c r="BY2146" t="s">
        <v>135</v>
      </c>
      <c r="BZ2146">
        <v>0</v>
      </c>
      <c r="CA2146">
        <v>0</v>
      </c>
      <c r="CB2146" t="s">
        <v>135</v>
      </c>
      <c r="CH2146" s="2"/>
      <c r="CJ2146" s="2"/>
      <c r="CL2146" s="2"/>
      <c r="CN2146" s="2"/>
      <c r="CQ2146" s="2"/>
      <c r="CT2146" s="2"/>
      <c r="CW2146" s="2"/>
    </row>
    <row r="2147" spans="1:101" x14ac:dyDescent="0.25">
      <c r="A2147" s="1" t="s">
        <v>163</v>
      </c>
      <c r="B2147" s="75" t="s">
        <v>164</v>
      </c>
      <c r="C2147">
        <v>0</v>
      </c>
      <c r="D2147">
        <v>0</v>
      </c>
      <c r="E2147">
        <v>0</v>
      </c>
      <c r="F2147">
        <v>604324.56000000006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3.91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7490</v>
      </c>
      <c r="AW2147">
        <v>3350</v>
      </c>
      <c r="AX2147">
        <v>1219</v>
      </c>
      <c r="AY2147">
        <v>12059</v>
      </c>
      <c r="AZ2147">
        <v>4202</v>
      </c>
      <c r="BA2147">
        <v>7438</v>
      </c>
      <c r="BB2147">
        <v>1432</v>
      </c>
      <c r="BC2147">
        <v>13072</v>
      </c>
      <c r="BD2147">
        <v>9486</v>
      </c>
      <c r="BE2147">
        <v>9222</v>
      </c>
      <c r="BF2147">
        <v>1768</v>
      </c>
      <c r="BG2147">
        <v>20476</v>
      </c>
      <c r="BH2147">
        <v>0</v>
      </c>
      <c r="BI2147">
        <v>0</v>
      </c>
      <c r="BJ2147">
        <v>0</v>
      </c>
      <c r="BK2147">
        <v>0</v>
      </c>
      <c r="BL2147" s="2">
        <v>24.82</v>
      </c>
      <c r="BM2147" s="2">
        <v>42005.095138888886</v>
      </c>
      <c r="BN2147" s="2">
        <v>5.4</v>
      </c>
      <c r="BO2147" s="2">
        <v>42005.092361111114</v>
      </c>
      <c r="BP2147" s="2">
        <v>6.92</v>
      </c>
      <c r="BQ2147" s="2">
        <v>42005.092361111114</v>
      </c>
      <c r="BR2147" s="2">
        <v>11.07</v>
      </c>
      <c r="BS2147" s="2">
        <v>42005.092361111114</v>
      </c>
      <c r="BT2147">
        <v>0</v>
      </c>
      <c r="BU2147">
        <v>0</v>
      </c>
      <c r="BV2147" t="s">
        <v>135</v>
      </c>
      <c r="BW2147">
        <v>0</v>
      </c>
      <c r="BX2147">
        <v>0</v>
      </c>
      <c r="BY2147" t="s">
        <v>135</v>
      </c>
      <c r="BZ2147">
        <v>0</v>
      </c>
      <c r="CA2147">
        <v>0</v>
      </c>
      <c r="CB2147" t="s">
        <v>135</v>
      </c>
      <c r="CH2147" s="2"/>
      <c r="CJ2147" s="2"/>
      <c r="CL2147" s="2"/>
      <c r="CN2147" s="2"/>
      <c r="CQ2147" s="2"/>
      <c r="CT2147" s="2"/>
      <c r="CW2147" s="2"/>
    </row>
    <row r="2148" spans="1:101" x14ac:dyDescent="0.25">
      <c r="A2148" s="1" t="s">
        <v>163</v>
      </c>
      <c r="B2148" s="75" t="s">
        <v>164</v>
      </c>
      <c r="C2148">
        <v>0</v>
      </c>
      <c r="D2148">
        <v>0</v>
      </c>
      <c r="E2148">
        <v>0</v>
      </c>
      <c r="F2148">
        <v>604324.56000000006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3.91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7490</v>
      </c>
      <c r="AW2148">
        <v>3350</v>
      </c>
      <c r="AX2148">
        <v>1219</v>
      </c>
      <c r="AY2148">
        <v>12059</v>
      </c>
      <c r="AZ2148">
        <v>4202</v>
      </c>
      <c r="BA2148">
        <v>7438</v>
      </c>
      <c r="BB2148">
        <v>1432</v>
      </c>
      <c r="BC2148">
        <v>13072</v>
      </c>
      <c r="BD2148">
        <v>9486</v>
      </c>
      <c r="BE2148">
        <v>9222</v>
      </c>
      <c r="BF2148">
        <v>1768</v>
      </c>
      <c r="BG2148">
        <v>20476</v>
      </c>
      <c r="BH2148">
        <v>0</v>
      </c>
      <c r="BI2148">
        <v>0</v>
      </c>
      <c r="BJ2148">
        <v>0</v>
      </c>
      <c r="BK2148">
        <v>0</v>
      </c>
      <c r="BL2148" s="2">
        <v>24.82</v>
      </c>
      <c r="BM2148" s="2">
        <v>42005.095138888886</v>
      </c>
      <c r="BN2148" s="2">
        <v>5.4</v>
      </c>
      <c r="BO2148" s="2">
        <v>42005.092361111114</v>
      </c>
      <c r="BP2148" s="2">
        <v>6.92</v>
      </c>
      <c r="BQ2148" s="2">
        <v>42005.092361111114</v>
      </c>
      <c r="BR2148" s="2">
        <v>11.07</v>
      </c>
      <c r="BS2148" s="2">
        <v>42005.092361111114</v>
      </c>
      <c r="BT2148">
        <v>0</v>
      </c>
      <c r="BU2148">
        <v>0</v>
      </c>
      <c r="BV2148" t="s">
        <v>135</v>
      </c>
      <c r="BW2148">
        <v>0</v>
      </c>
      <c r="BX2148">
        <v>0</v>
      </c>
      <c r="BY2148" t="s">
        <v>135</v>
      </c>
      <c r="BZ2148">
        <v>0</v>
      </c>
      <c r="CA2148">
        <v>0</v>
      </c>
      <c r="CB2148" t="s">
        <v>135</v>
      </c>
      <c r="CH2148" s="2"/>
      <c r="CJ2148" s="2"/>
      <c r="CL2148" s="2"/>
      <c r="CN2148" s="2"/>
      <c r="CQ2148" s="2"/>
      <c r="CT2148" s="2"/>
      <c r="CW2148" s="2"/>
    </row>
    <row r="2149" spans="1:101" x14ac:dyDescent="0.25">
      <c r="A2149" s="1" t="s">
        <v>163</v>
      </c>
      <c r="B2149" s="75" t="s">
        <v>164</v>
      </c>
      <c r="C2149">
        <v>0</v>
      </c>
      <c r="D2149">
        <v>0</v>
      </c>
      <c r="E2149">
        <v>0</v>
      </c>
      <c r="F2149">
        <v>604324.56000000006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3.91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7490</v>
      </c>
      <c r="AW2149">
        <v>3350</v>
      </c>
      <c r="AX2149">
        <v>1219</v>
      </c>
      <c r="AY2149">
        <v>12059</v>
      </c>
      <c r="AZ2149">
        <v>4202</v>
      </c>
      <c r="BA2149">
        <v>7438</v>
      </c>
      <c r="BB2149">
        <v>1432</v>
      </c>
      <c r="BC2149">
        <v>13072</v>
      </c>
      <c r="BD2149">
        <v>9486</v>
      </c>
      <c r="BE2149">
        <v>9222</v>
      </c>
      <c r="BF2149">
        <v>1768</v>
      </c>
      <c r="BG2149">
        <v>20476</v>
      </c>
      <c r="BH2149">
        <v>0</v>
      </c>
      <c r="BI2149">
        <v>0</v>
      </c>
      <c r="BJ2149">
        <v>0</v>
      </c>
      <c r="BK2149">
        <v>0</v>
      </c>
      <c r="BL2149" s="2">
        <v>24.82</v>
      </c>
      <c r="BM2149" s="2">
        <v>42005.095138888886</v>
      </c>
      <c r="BN2149" s="2">
        <v>5.4</v>
      </c>
      <c r="BO2149" s="2">
        <v>42005.092361111114</v>
      </c>
      <c r="BP2149" s="2">
        <v>6.92</v>
      </c>
      <c r="BQ2149" s="2">
        <v>42005.092361111114</v>
      </c>
      <c r="BR2149" s="2">
        <v>11.07</v>
      </c>
      <c r="BS2149" s="2">
        <v>42005.092361111114</v>
      </c>
      <c r="BT2149">
        <v>0</v>
      </c>
      <c r="BU2149">
        <v>0</v>
      </c>
      <c r="BV2149" t="s">
        <v>135</v>
      </c>
      <c r="BW2149">
        <v>0</v>
      </c>
      <c r="BX2149">
        <v>0</v>
      </c>
      <c r="BY2149" t="s">
        <v>135</v>
      </c>
      <c r="BZ2149">
        <v>0</v>
      </c>
      <c r="CA2149">
        <v>0</v>
      </c>
      <c r="CB2149" t="s">
        <v>135</v>
      </c>
      <c r="CH2149" s="2"/>
      <c r="CJ2149" s="2"/>
      <c r="CL2149" s="2"/>
      <c r="CN2149" s="2"/>
      <c r="CQ2149" s="2"/>
      <c r="CT2149" s="2"/>
      <c r="CW2149" s="2"/>
    </row>
    <row r="2150" spans="1:101" x14ac:dyDescent="0.25">
      <c r="A2150" s="1" t="s">
        <v>163</v>
      </c>
      <c r="B2150" s="75" t="s">
        <v>164</v>
      </c>
      <c r="C2150">
        <v>0</v>
      </c>
      <c r="D2150">
        <v>0</v>
      </c>
      <c r="E2150">
        <v>0</v>
      </c>
      <c r="F2150">
        <v>604324.56000000006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3.91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7490</v>
      </c>
      <c r="AW2150">
        <v>3350</v>
      </c>
      <c r="AX2150">
        <v>1219</v>
      </c>
      <c r="AY2150">
        <v>12059</v>
      </c>
      <c r="AZ2150">
        <v>4202</v>
      </c>
      <c r="BA2150">
        <v>7438</v>
      </c>
      <c r="BB2150">
        <v>1432</v>
      </c>
      <c r="BC2150">
        <v>13072</v>
      </c>
      <c r="BD2150">
        <v>9486</v>
      </c>
      <c r="BE2150">
        <v>9222</v>
      </c>
      <c r="BF2150">
        <v>1768</v>
      </c>
      <c r="BG2150">
        <v>20476</v>
      </c>
      <c r="BH2150">
        <v>0</v>
      </c>
      <c r="BI2150">
        <v>0</v>
      </c>
      <c r="BJ2150">
        <v>0</v>
      </c>
      <c r="BK2150">
        <v>0</v>
      </c>
      <c r="BL2150" s="2">
        <v>24.82</v>
      </c>
      <c r="BM2150" s="2">
        <v>42005.095138888886</v>
      </c>
      <c r="BN2150" s="2">
        <v>5.4</v>
      </c>
      <c r="BO2150" s="2">
        <v>42005.092361111114</v>
      </c>
      <c r="BP2150" s="2">
        <v>6.92</v>
      </c>
      <c r="BQ2150" s="2">
        <v>42005.092361111114</v>
      </c>
      <c r="BR2150" s="2">
        <v>11.07</v>
      </c>
      <c r="BS2150" s="2">
        <v>42005.092361111114</v>
      </c>
      <c r="BT2150">
        <v>0</v>
      </c>
      <c r="BU2150">
        <v>0</v>
      </c>
      <c r="BV2150" t="s">
        <v>135</v>
      </c>
      <c r="BW2150">
        <v>0</v>
      </c>
      <c r="BX2150">
        <v>0</v>
      </c>
      <c r="BY2150" t="s">
        <v>135</v>
      </c>
      <c r="BZ2150">
        <v>0</v>
      </c>
      <c r="CA2150">
        <v>0</v>
      </c>
      <c r="CB2150" t="s">
        <v>135</v>
      </c>
      <c r="CH2150" s="2"/>
      <c r="CJ2150" s="2"/>
      <c r="CL2150" s="2"/>
      <c r="CN2150" s="2"/>
      <c r="CQ2150" s="2"/>
      <c r="CT2150" s="2"/>
      <c r="CW2150" s="2"/>
    </row>
    <row r="2151" spans="1:101" x14ac:dyDescent="0.25">
      <c r="A2151" s="1" t="s">
        <v>163</v>
      </c>
      <c r="B2151" s="75" t="s">
        <v>164</v>
      </c>
      <c r="C2151">
        <v>0</v>
      </c>
      <c r="D2151">
        <v>0</v>
      </c>
      <c r="E2151">
        <v>0</v>
      </c>
      <c r="F2151">
        <v>604324.56000000006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3.91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7490</v>
      </c>
      <c r="AW2151">
        <v>3350</v>
      </c>
      <c r="AX2151">
        <v>1219</v>
      </c>
      <c r="AY2151">
        <v>12059</v>
      </c>
      <c r="AZ2151">
        <v>4202</v>
      </c>
      <c r="BA2151">
        <v>7438</v>
      </c>
      <c r="BB2151">
        <v>1432</v>
      </c>
      <c r="BC2151">
        <v>13072</v>
      </c>
      <c r="BD2151">
        <v>9486</v>
      </c>
      <c r="BE2151">
        <v>9222</v>
      </c>
      <c r="BF2151">
        <v>1768</v>
      </c>
      <c r="BG2151">
        <v>20476</v>
      </c>
      <c r="BH2151">
        <v>0</v>
      </c>
      <c r="BI2151">
        <v>0</v>
      </c>
      <c r="BJ2151">
        <v>0</v>
      </c>
      <c r="BK2151">
        <v>0</v>
      </c>
      <c r="BL2151" s="2">
        <v>24.82</v>
      </c>
      <c r="BM2151" s="2">
        <v>42005.095138888886</v>
      </c>
      <c r="BN2151" s="2">
        <v>5.4</v>
      </c>
      <c r="BO2151" s="2">
        <v>42005.092361111114</v>
      </c>
      <c r="BP2151" s="2">
        <v>6.92</v>
      </c>
      <c r="BQ2151" s="2">
        <v>42005.092361111114</v>
      </c>
      <c r="BR2151" s="2">
        <v>11.07</v>
      </c>
      <c r="BS2151" s="2">
        <v>42005.092361111114</v>
      </c>
      <c r="BT2151">
        <v>0</v>
      </c>
      <c r="BU2151">
        <v>0</v>
      </c>
      <c r="BV2151" t="s">
        <v>135</v>
      </c>
      <c r="BW2151">
        <v>0</v>
      </c>
      <c r="BX2151">
        <v>0</v>
      </c>
      <c r="BY2151" t="s">
        <v>135</v>
      </c>
      <c r="BZ2151">
        <v>0</v>
      </c>
      <c r="CA2151">
        <v>0</v>
      </c>
      <c r="CB2151" t="s">
        <v>135</v>
      </c>
      <c r="CH2151" s="2"/>
      <c r="CJ2151" s="2"/>
      <c r="CL2151" s="2"/>
      <c r="CN2151" s="2"/>
      <c r="CQ2151" s="2"/>
      <c r="CT2151" s="2"/>
      <c r="CW2151" s="2"/>
    </row>
    <row r="2152" spans="1:101" x14ac:dyDescent="0.25">
      <c r="A2152" s="1" t="s">
        <v>163</v>
      </c>
      <c r="B2152" s="75" t="s">
        <v>164</v>
      </c>
      <c r="C2152">
        <v>0</v>
      </c>
      <c r="D2152">
        <v>0</v>
      </c>
      <c r="E2152">
        <v>0</v>
      </c>
      <c r="F2152">
        <v>604324.56000000006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3.91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7490</v>
      </c>
      <c r="AW2152">
        <v>3350</v>
      </c>
      <c r="AX2152">
        <v>1219</v>
      </c>
      <c r="AY2152">
        <v>12059</v>
      </c>
      <c r="AZ2152">
        <v>4202</v>
      </c>
      <c r="BA2152">
        <v>7438</v>
      </c>
      <c r="BB2152">
        <v>1432</v>
      </c>
      <c r="BC2152">
        <v>13072</v>
      </c>
      <c r="BD2152">
        <v>9486</v>
      </c>
      <c r="BE2152">
        <v>9222</v>
      </c>
      <c r="BF2152">
        <v>1768</v>
      </c>
      <c r="BG2152">
        <v>20476</v>
      </c>
      <c r="BH2152">
        <v>0</v>
      </c>
      <c r="BI2152">
        <v>0</v>
      </c>
      <c r="BJ2152">
        <v>0</v>
      </c>
      <c r="BK2152">
        <v>0</v>
      </c>
      <c r="BL2152" s="2">
        <v>24.82</v>
      </c>
      <c r="BM2152" s="2">
        <v>42005.095138888886</v>
      </c>
      <c r="BN2152" s="2">
        <v>5.4</v>
      </c>
      <c r="BO2152" s="2">
        <v>42005.092361111114</v>
      </c>
      <c r="BP2152" s="2">
        <v>6.92</v>
      </c>
      <c r="BQ2152" s="2">
        <v>42005.092361111114</v>
      </c>
      <c r="BR2152" s="2">
        <v>11.07</v>
      </c>
      <c r="BS2152" s="2">
        <v>42005.092361111114</v>
      </c>
      <c r="BT2152">
        <v>0</v>
      </c>
      <c r="BU2152">
        <v>0</v>
      </c>
      <c r="BV2152" t="s">
        <v>135</v>
      </c>
      <c r="BW2152">
        <v>0</v>
      </c>
      <c r="BX2152">
        <v>0</v>
      </c>
      <c r="BY2152" t="s">
        <v>135</v>
      </c>
      <c r="BZ2152">
        <v>0</v>
      </c>
      <c r="CA2152">
        <v>0</v>
      </c>
      <c r="CB2152" t="s">
        <v>135</v>
      </c>
      <c r="CH2152" s="2"/>
      <c r="CJ2152" s="2"/>
      <c r="CL2152" s="2"/>
      <c r="CN2152" s="2"/>
      <c r="CQ2152" s="2"/>
      <c r="CT2152" s="2"/>
      <c r="CW2152" s="2"/>
    </row>
    <row r="2153" spans="1:101" x14ac:dyDescent="0.25">
      <c r="A2153" s="1" t="s">
        <v>163</v>
      </c>
      <c r="B2153" s="75" t="s">
        <v>164</v>
      </c>
      <c r="C2153">
        <v>0</v>
      </c>
      <c r="D2153">
        <v>0</v>
      </c>
      <c r="E2153">
        <v>0</v>
      </c>
      <c r="F2153">
        <v>604324.56000000006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3.91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7490</v>
      </c>
      <c r="AW2153">
        <v>3350</v>
      </c>
      <c r="AX2153">
        <v>1219</v>
      </c>
      <c r="AY2153">
        <v>12059</v>
      </c>
      <c r="AZ2153">
        <v>4202</v>
      </c>
      <c r="BA2153">
        <v>7438</v>
      </c>
      <c r="BB2153">
        <v>1432</v>
      </c>
      <c r="BC2153">
        <v>13072</v>
      </c>
      <c r="BD2153">
        <v>9486</v>
      </c>
      <c r="BE2153">
        <v>9222</v>
      </c>
      <c r="BF2153">
        <v>1768</v>
      </c>
      <c r="BG2153">
        <v>20476</v>
      </c>
      <c r="BH2153">
        <v>0</v>
      </c>
      <c r="BI2153">
        <v>0</v>
      </c>
      <c r="BJ2153">
        <v>0</v>
      </c>
      <c r="BK2153">
        <v>0</v>
      </c>
      <c r="BL2153" s="2">
        <v>24.82</v>
      </c>
      <c r="BM2153" s="2">
        <v>42005.095138888886</v>
      </c>
      <c r="BN2153" s="2">
        <v>5.4</v>
      </c>
      <c r="BO2153" s="2">
        <v>42005.092361111114</v>
      </c>
      <c r="BP2153" s="2">
        <v>6.92</v>
      </c>
      <c r="BQ2153" s="2">
        <v>42005.092361111114</v>
      </c>
      <c r="BR2153" s="2">
        <v>11.07</v>
      </c>
      <c r="BS2153" s="2">
        <v>42005.092361111114</v>
      </c>
      <c r="BT2153">
        <v>0</v>
      </c>
      <c r="BU2153">
        <v>0</v>
      </c>
      <c r="BV2153" t="s">
        <v>135</v>
      </c>
      <c r="BW2153">
        <v>0</v>
      </c>
      <c r="BX2153">
        <v>0</v>
      </c>
      <c r="BY2153" t="s">
        <v>135</v>
      </c>
      <c r="BZ2153">
        <v>0</v>
      </c>
      <c r="CA2153">
        <v>0</v>
      </c>
      <c r="CB2153" t="s">
        <v>135</v>
      </c>
      <c r="CH2153" s="2"/>
      <c r="CJ2153" s="2"/>
      <c r="CL2153" s="2"/>
      <c r="CN2153" s="2"/>
      <c r="CQ2153" s="2"/>
      <c r="CT2153" s="2"/>
      <c r="CW2153" s="2"/>
    </row>
    <row r="2154" spans="1:101" x14ac:dyDescent="0.25">
      <c r="A2154" s="1" t="s">
        <v>163</v>
      </c>
      <c r="B2154" s="75" t="s">
        <v>164</v>
      </c>
      <c r="C2154">
        <v>0</v>
      </c>
      <c r="D2154">
        <v>0</v>
      </c>
      <c r="E2154">
        <v>0</v>
      </c>
      <c r="F2154">
        <v>604324.56000000006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3.91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7490</v>
      </c>
      <c r="AW2154">
        <v>3350</v>
      </c>
      <c r="AX2154">
        <v>1219</v>
      </c>
      <c r="AY2154">
        <v>12059</v>
      </c>
      <c r="AZ2154">
        <v>4202</v>
      </c>
      <c r="BA2154">
        <v>7438</v>
      </c>
      <c r="BB2154">
        <v>1432</v>
      </c>
      <c r="BC2154">
        <v>13072</v>
      </c>
      <c r="BD2154">
        <v>9486</v>
      </c>
      <c r="BE2154">
        <v>9222</v>
      </c>
      <c r="BF2154">
        <v>1768</v>
      </c>
      <c r="BG2154">
        <v>20476</v>
      </c>
      <c r="BH2154">
        <v>0</v>
      </c>
      <c r="BI2154">
        <v>0</v>
      </c>
      <c r="BJ2154">
        <v>0</v>
      </c>
      <c r="BK2154">
        <v>0</v>
      </c>
      <c r="BL2154" s="2">
        <v>24.82</v>
      </c>
      <c r="BM2154" s="2">
        <v>42005.095138888886</v>
      </c>
      <c r="BN2154" s="2">
        <v>5.4</v>
      </c>
      <c r="BO2154" s="2">
        <v>42005.092361111114</v>
      </c>
      <c r="BP2154" s="2">
        <v>6.92</v>
      </c>
      <c r="BQ2154" s="2">
        <v>42005.092361111114</v>
      </c>
      <c r="BR2154" s="2">
        <v>11.07</v>
      </c>
      <c r="BS2154" s="2">
        <v>42005.092361111114</v>
      </c>
      <c r="BT2154">
        <v>0</v>
      </c>
      <c r="BU2154">
        <v>0</v>
      </c>
      <c r="BV2154" t="s">
        <v>135</v>
      </c>
      <c r="BW2154">
        <v>0</v>
      </c>
      <c r="BX2154">
        <v>0</v>
      </c>
      <c r="BY2154" t="s">
        <v>135</v>
      </c>
      <c r="BZ2154">
        <v>0</v>
      </c>
      <c r="CA2154">
        <v>0</v>
      </c>
      <c r="CB2154" t="s">
        <v>135</v>
      </c>
      <c r="CH2154" s="2"/>
      <c r="CJ2154" s="2"/>
      <c r="CL2154" s="2"/>
      <c r="CN2154" s="2"/>
      <c r="CQ2154" s="2"/>
      <c r="CT2154" s="2"/>
      <c r="CW2154" s="2"/>
    </row>
    <row r="2155" spans="1:101" x14ac:dyDescent="0.25">
      <c r="A2155" s="1" t="s">
        <v>163</v>
      </c>
      <c r="B2155" s="75" t="s">
        <v>164</v>
      </c>
      <c r="C2155">
        <v>0</v>
      </c>
      <c r="D2155">
        <v>0</v>
      </c>
      <c r="E2155">
        <v>0</v>
      </c>
      <c r="F2155">
        <v>604324.56000000006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3.91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7490</v>
      </c>
      <c r="AW2155">
        <v>3350</v>
      </c>
      <c r="AX2155">
        <v>1219</v>
      </c>
      <c r="AY2155">
        <v>12059</v>
      </c>
      <c r="AZ2155">
        <v>4202</v>
      </c>
      <c r="BA2155">
        <v>7438</v>
      </c>
      <c r="BB2155">
        <v>1432</v>
      </c>
      <c r="BC2155">
        <v>13072</v>
      </c>
      <c r="BD2155">
        <v>9486</v>
      </c>
      <c r="BE2155">
        <v>9222</v>
      </c>
      <c r="BF2155">
        <v>1768</v>
      </c>
      <c r="BG2155">
        <v>20476</v>
      </c>
      <c r="BH2155">
        <v>0</v>
      </c>
      <c r="BI2155">
        <v>0</v>
      </c>
      <c r="BJ2155">
        <v>0</v>
      </c>
      <c r="BK2155">
        <v>0</v>
      </c>
      <c r="BL2155" s="2">
        <v>24.82</v>
      </c>
      <c r="BM2155" s="2">
        <v>42005.095138888886</v>
      </c>
      <c r="BN2155" s="2">
        <v>5.4</v>
      </c>
      <c r="BO2155" s="2">
        <v>42005.092361111114</v>
      </c>
      <c r="BP2155" s="2">
        <v>6.92</v>
      </c>
      <c r="BQ2155" s="2">
        <v>42005.092361111114</v>
      </c>
      <c r="BR2155" s="2">
        <v>11.07</v>
      </c>
      <c r="BS2155" s="2">
        <v>42005.092361111114</v>
      </c>
      <c r="BT2155">
        <v>0</v>
      </c>
      <c r="BU2155">
        <v>0</v>
      </c>
      <c r="BV2155" t="s">
        <v>135</v>
      </c>
      <c r="BW2155">
        <v>0</v>
      </c>
      <c r="BX2155">
        <v>0</v>
      </c>
      <c r="BY2155" t="s">
        <v>135</v>
      </c>
      <c r="BZ2155">
        <v>0</v>
      </c>
      <c r="CA2155">
        <v>0</v>
      </c>
      <c r="CB2155" t="s">
        <v>135</v>
      </c>
      <c r="CH2155" s="2"/>
      <c r="CJ2155" s="2"/>
      <c r="CL2155" s="2"/>
      <c r="CN2155" s="2"/>
      <c r="CQ2155" s="2"/>
      <c r="CT2155" s="2"/>
      <c r="CW2155" s="2"/>
    </row>
    <row r="2156" spans="1:101" x14ac:dyDescent="0.25">
      <c r="A2156" s="1" t="s">
        <v>163</v>
      </c>
      <c r="B2156" s="75" t="s">
        <v>164</v>
      </c>
      <c r="C2156">
        <v>0</v>
      </c>
      <c r="D2156">
        <v>0</v>
      </c>
      <c r="E2156">
        <v>0</v>
      </c>
      <c r="F2156">
        <v>604324.56000000006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3.91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7490</v>
      </c>
      <c r="AW2156">
        <v>3350</v>
      </c>
      <c r="AX2156">
        <v>1219</v>
      </c>
      <c r="AY2156">
        <v>12059</v>
      </c>
      <c r="AZ2156">
        <v>4202</v>
      </c>
      <c r="BA2156">
        <v>7438</v>
      </c>
      <c r="BB2156">
        <v>1432</v>
      </c>
      <c r="BC2156">
        <v>13072</v>
      </c>
      <c r="BD2156">
        <v>9486</v>
      </c>
      <c r="BE2156">
        <v>9222</v>
      </c>
      <c r="BF2156">
        <v>1768</v>
      </c>
      <c r="BG2156">
        <v>20476</v>
      </c>
      <c r="BH2156">
        <v>0</v>
      </c>
      <c r="BI2156">
        <v>0</v>
      </c>
      <c r="BJ2156">
        <v>0</v>
      </c>
      <c r="BK2156">
        <v>0</v>
      </c>
      <c r="BL2156" s="2">
        <v>24.82</v>
      </c>
      <c r="BM2156" s="2">
        <v>42005.095138888886</v>
      </c>
      <c r="BN2156" s="2">
        <v>5.4</v>
      </c>
      <c r="BO2156" s="2">
        <v>42005.092361111114</v>
      </c>
      <c r="BP2156" s="2">
        <v>6.92</v>
      </c>
      <c r="BQ2156" s="2">
        <v>42005.092361111114</v>
      </c>
      <c r="BR2156" s="2">
        <v>11.07</v>
      </c>
      <c r="BS2156" s="2">
        <v>42005.092361111114</v>
      </c>
      <c r="BT2156">
        <v>0</v>
      </c>
      <c r="BU2156">
        <v>0</v>
      </c>
      <c r="BV2156" t="s">
        <v>135</v>
      </c>
      <c r="BW2156">
        <v>0</v>
      </c>
      <c r="BX2156">
        <v>0</v>
      </c>
      <c r="BY2156" t="s">
        <v>135</v>
      </c>
      <c r="BZ2156">
        <v>0</v>
      </c>
      <c r="CA2156">
        <v>0</v>
      </c>
      <c r="CB2156" t="s">
        <v>135</v>
      </c>
      <c r="CH2156" s="2"/>
      <c r="CJ2156" s="2"/>
      <c r="CL2156" s="2"/>
      <c r="CN2156" s="2"/>
      <c r="CQ2156" s="2"/>
      <c r="CT2156" s="2"/>
      <c r="CW2156" s="2"/>
    </row>
    <row r="2157" spans="1:101" x14ac:dyDescent="0.25">
      <c r="A2157" s="1" t="s">
        <v>163</v>
      </c>
      <c r="B2157" s="75" t="s">
        <v>164</v>
      </c>
      <c r="C2157">
        <v>0</v>
      </c>
      <c r="D2157">
        <v>0</v>
      </c>
      <c r="E2157">
        <v>0</v>
      </c>
      <c r="F2157">
        <v>604324.56000000006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3.91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7490</v>
      </c>
      <c r="AW2157">
        <v>3350</v>
      </c>
      <c r="AX2157">
        <v>1219</v>
      </c>
      <c r="AY2157">
        <v>12059</v>
      </c>
      <c r="AZ2157">
        <v>4202</v>
      </c>
      <c r="BA2157">
        <v>7438</v>
      </c>
      <c r="BB2157">
        <v>1432</v>
      </c>
      <c r="BC2157">
        <v>13072</v>
      </c>
      <c r="BD2157">
        <v>9486</v>
      </c>
      <c r="BE2157">
        <v>9222</v>
      </c>
      <c r="BF2157">
        <v>1768</v>
      </c>
      <c r="BG2157">
        <v>20476</v>
      </c>
      <c r="BH2157">
        <v>0</v>
      </c>
      <c r="BI2157">
        <v>0</v>
      </c>
      <c r="BJ2157">
        <v>0</v>
      </c>
      <c r="BK2157">
        <v>0</v>
      </c>
      <c r="BL2157" s="2">
        <v>24.82</v>
      </c>
      <c r="BM2157" s="2">
        <v>42005.095138888886</v>
      </c>
      <c r="BN2157" s="2">
        <v>5.4</v>
      </c>
      <c r="BO2157" s="2">
        <v>42005.092361111114</v>
      </c>
      <c r="BP2157" s="2">
        <v>6.92</v>
      </c>
      <c r="BQ2157" s="2">
        <v>42005.092361111114</v>
      </c>
      <c r="BR2157" s="2">
        <v>11.07</v>
      </c>
      <c r="BS2157" s="2">
        <v>42005.092361111114</v>
      </c>
      <c r="BT2157">
        <v>0</v>
      </c>
      <c r="BU2157">
        <v>0</v>
      </c>
      <c r="BV2157" t="s">
        <v>135</v>
      </c>
      <c r="BW2157">
        <v>0</v>
      </c>
      <c r="BX2157">
        <v>0</v>
      </c>
      <c r="BY2157" t="s">
        <v>135</v>
      </c>
      <c r="BZ2157">
        <v>0</v>
      </c>
      <c r="CA2157">
        <v>0</v>
      </c>
      <c r="CB2157" t="s">
        <v>135</v>
      </c>
      <c r="CH2157" s="2"/>
      <c r="CJ2157" s="2"/>
      <c r="CL2157" s="2"/>
      <c r="CN2157" s="2"/>
      <c r="CQ2157" s="2"/>
      <c r="CT2157" s="2"/>
      <c r="CW2157" s="2"/>
    </row>
    <row r="2158" spans="1:101" x14ac:dyDescent="0.25">
      <c r="A2158" s="1" t="s">
        <v>163</v>
      </c>
      <c r="B2158" s="75" t="s">
        <v>164</v>
      </c>
      <c r="C2158">
        <v>0</v>
      </c>
      <c r="D2158">
        <v>0</v>
      </c>
      <c r="E2158">
        <v>0</v>
      </c>
      <c r="F2158">
        <v>604324.56000000006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3.91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7490</v>
      </c>
      <c r="AW2158">
        <v>3350</v>
      </c>
      <c r="AX2158">
        <v>1219</v>
      </c>
      <c r="AY2158">
        <v>12059</v>
      </c>
      <c r="AZ2158">
        <v>4202</v>
      </c>
      <c r="BA2158">
        <v>7438</v>
      </c>
      <c r="BB2158">
        <v>1432</v>
      </c>
      <c r="BC2158">
        <v>13072</v>
      </c>
      <c r="BD2158">
        <v>9486</v>
      </c>
      <c r="BE2158">
        <v>9222</v>
      </c>
      <c r="BF2158">
        <v>1768</v>
      </c>
      <c r="BG2158">
        <v>20476</v>
      </c>
      <c r="BH2158">
        <v>0</v>
      </c>
      <c r="BI2158">
        <v>0</v>
      </c>
      <c r="BJ2158">
        <v>0</v>
      </c>
      <c r="BK2158">
        <v>0</v>
      </c>
      <c r="BL2158" s="2">
        <v>24.82</v>
      </c>
      <c r="BM2158" s="2">
        <v>42005.095138888886</v>
      </c>
      <c r="BN2158" s="2">
        <v>5.4</v>
      </c>
      <c r="BO2158" s="2">
        <v>42005.092361111114</v>
      </c>
      <c r="BP2158" s="2">
        <v>6.92</v>
      </c>
      <c r="BQ2158" s="2">
        <v>42005.092361111114</v>
      </c>
      <c r="BR2158" s="2">
        <v>11.07</v>
      </c>
      <c r="BS2158" s="2">
        <v>42005.092361111114</v>
      </c>
      <c r="BT2158">
        <v>0</v>
      </c>
      <c r="BU2158">
        <v>0</v>
      </c>
      <c r="BV2158" t="s">
        <v>135</v>
      </c>
      <c r="BW2158">
        <v>0</v>
      </c>
      <c r="BX2158">
        <v>0</v>
      </c>
      <c r="BY2158" t="s">
        <v>135</v>
      </c>
      <c r="BZ2158">
        <v>0</v>
      </c>
      <c r="CA2158">
        <v>0</v>
      </c>
      <c r="CB2158" t="s">
        <v>135</v>
      </c>
      <c r="CH2158" s="2"/>
      <c r="CJ2158" s="2"/>
      <c r="CL2158" s="2"/>
      <c r="CN2158" s="2"/>
      <c r="CQ2158" s="2"/>
      <c r="CT2158" s="2"/>
      <c r="CW2158" s="2"/>
    </row>
    <row r="2159" spans="1:101" x14ac:dyDescent="0.25">
      <c r="A2159" s="1" t="s">
        <v>163</v>
      </c>
      <c r="B2159" s="75" t="s">
        <v>164</v>
      </c>
      <c r="C2159">
        <v>0</v>
      </c>
      <c r="D2159">
        <v>0</v>
      </c>
      <c r="E2159">
        <v>0</v>
      </c>
      <c r="F2159">
        <v>604324.56000000006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3.91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7490</v>
      </c>
      <c r="AW2159">
        <v>3350</v>
      </c>
      <c r="AX2159">
        <v>1219</v>
      </c>
      <c r="AY2159">
        <v>12059</v>
      </c>
      <c r="AZ2159">
        <v>4202</v>
      </c>
      <c r="BA2159">
        <v>7438</v>
      </c>
      <c r="BB2159">
        <v>1432</v>
      </c>
      <c r="BC2159">
        <v>13072</v>
      </c>
      <c r="BD2159">
        <v>9486</v>
      </c>
      <c r="BE2159">
        <v>9222</v>
      </c>
      <c r="BF2159">
        <v>1768</v>
      </c>
      <c r="BG2159">
        <v>20476</v>
      </c>
      <c r="BH2159">
        <v>0</v>
      </c>
      <c r="BI2159">
        <v>0</v>
      </c>
      <c r="BJ2159">
        <v>0</v>
      </c>
      <c r="BK2159">
        <v>0</v>
      </c>
      <c r="BL2159" s="2">
        <v>24.82</v>
      </c>
      <c r="BM2159" s="2">
        <v>42005.095138888886</v>
      </c>
      <c r="BN2159" s="2">
        <v>5.4</v>
      </c>
      <c r="BO2159" s="2">
        <v>42005.092361111114</v>
      </c>
      <c r="BP2159" s="2">
        <v>6.92</v>
      </c>
      <c r="BQ2159" s="2">
        <v>42005.092361111114</v>
      </c>
      <c r="BR2159" s="2">
        <v>11.07</v>
      </c>
      <c r="BS2159" s="2">
        <v>42005.092361111114</v>
      </c>
      <c r="BT2159">
        <v>0</v>
      </c>
      <c r="BU2159">
        <v>0</v>
      </c>
      <c r="BV2159" t="s">
        <v>135</v>
      </c>
      <c r="BW2159">
        <v>0</v>
      </c>
      <c r="BX2159">
        <v>0</v>
      </c>
      <c r="BY2159" t="s">
        <v>135</v>
      </c>
      <c r="BZ2159">
        <v>0</v>
      </c>
      <c r="CA2159">
        <v>0</v>
      </c>
      <c r="CB2159" t="s">
        <v>135</v>
      </c>
      <c r="CH2159" s="2"/>
      <c r="CJ2159" s="2"/>
      <c r="CL2159" s="2"/>
      <c r="CN2159" s="2"/>
      <c r="CQ2159" s="2"/>
      <c r="CT2159" s="2"/>
      <c r="CW2159" s="2"/>
    </row>
    <row r="2160" spans="1:101" x14ac:dyDescent="0.25">
      <c r="A2160" s="1" t="s">
        <v>163</v>
      </c>
      <c r="B2160" s="75" t="s">
        <v>164</v>
      </c>
      <c r="C2160">
        <v>0</v>
      </c>
      <c r="D2160">
        <v>0</v>
      </c>
      <c r="E2160">
        <v>0</v>
      </c>
      <c r="F2160">
        <v>604324.56000000006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3.91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7490</v>
      </c>
      <c r="AW2160">
        <v>3350</v>
      </c>
      <c r="AX2160">
        <v>1219</v>
      </c>
      <c r="AY2160">
        <v>12059</v>
      </c>
      <c r="AZ2160">
        <v>4202</v>
      </c>
      <c r="BA2160">
        <v>7438</v>
      </c>
      <c r="BB2160">
        <v>1432</v>
      </c>
      <c r="BC2160">
        <v>13072</v>
      </c>
      <c r="BD2160">
        <v>9486</v>
      </c>
      <c r="BE2160">
        <v>9222</v>
      </c>
      <c r="BF2160">
        <v>1768</v>
      </c>
      <c r="BG2160">
        <v>20476</v>
      </c>
      <c r="BH2160">
        <v>0</v>
      </c>
      <c r="BI2160">
        <v>0</v>
      </c>
      <c r="BJ2160">
        <v>0</v>
      </c>
      <c r="BK2160">
        <v>0</v>
      </c>
      <c r="BL2160" s="2">
        <v>24.82</v>
      </c>
      <c r="BM2160" s="2">
        <v>42005.095138888886</v>
      </c>
      <c r="BN2160" s="2">
        <v>5.4</v>
      </c>
      <c r="BO2160" s="2">
        <v>42005.092361111114</v>
      </c>
      <c r="BP2160" s="2">
        <v>6.92</v>
      </c>
      <c r="BQ2160" s="2">
        <v>42005.092361111114</v>
      </c>
      <c r="BR2160" s="2">
        <v>11.07</v>
      </c>
      <c r="BS2160" s="2">
        <v>42005.092361111114</v>
      </c>
      <c r="BT2160">
        <v>0</v>
      </c>
      <c r="BU2160">
        <v>0</v>
      </c>
      <c r="BV2160" t="s">
        <v>135</v>
      </c>
      <c r="BW2160">
        <v>0</v>
      </c>
      <c r="BX2160">
        <v>0</v>
      </c>
      <c r="BY2160" t="s">
        <v>135</v>
      </c>
      <c r="BZ2160">
        <v>0</v>
      </c>
      <c r="CA2160">
        <v>0</v>
      </c>
      <c r="CB2160" t="s">
        <v>135</v>
      </c>
      <c r="CH2160" s="2"/>
      <c r="CJ2160" s="2"/>
      <c r="CL2160" s="2"/>
      <c r="CN2160" s="2"/>
      <c r="CQ2160" s="2"/>
      <c r="CT2160" s="2"/>
      <c r="CW2160" s="2"/>
    </row>
    <row r="2161" spans="1:101" x14ac:dyDescent="0.25">
      <c r="A2161" s="1" t="s">
        <v>163</v>
      </c>
      <c r="B2161" s="75" t="s">
        <v>164</v>
      </c>
      <c r="C2161">
        <v>0</v>
      </c>
      <c r="D2161">
        <v>0</v>
      </c>
      <c r="E2161">
        <v>0</v>
      </c>
      <c r="F2161">
        <v>604324.56000000006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3.91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7490</v>
      </c>
      <c r="AW2161">
        <v>3350</v>
      </c>
      <c r="AX2161">
        <v>1219</v>
      </c>
      <c r="AY2161">
        <v>12059</v>
      </c>
      <c r="AZ2161">
        <v>4202</v>
      </c>
      <c r="BA2161">
        <v>7438</v>
      </c>
      <c r="BB2161">
        <v>1432</v>
      </c>
      <c r="BC2161">
        <v>13072</v>
      </c>
      <c r="BD2161">
        <v>9486</v>
      </c>
      <c r="BE2161">
        <v>9222</v>
      </c>
      <c r="BF2161">
        <v>1768</v>
      </c>
      <c r="BG2161">
        <v>20476</v>
      </c>
      <c r="BH2161">
        <v>0</v>
      </c>
      <c r="BI2161">
        <v>0</v>
      </c>
      <c r="BJ2161">
        <v>0</v>
      </c>
      <c r="BK2161">
        <v>0</v>
      </c>
      <c r="BL2161" s="2">
        <v>24.82</v>
      </c>
      <c r="BM2161" s="2">
        <v>42005.095138888886</v>
      </c>
      <c r="BN2161" s="2">
        <v>5.4</v>
      </c>
      <c r="BO2161" s="2">
        <v>42005.092361111114</v>
      </c>
      <c r="BP2161" s="2">
        <v>6.92</v>
      </c>
      <c r="BQ2161" s="2">
        <v>42005.092361111114</v>
      </c>
      <c r="BR2161" s="2">
        <v>11.07</v>
      </c>
      <c r="BS2161" s="2">
        <v>42005.092361111114</v>
      </c>
      <c r="BT2161">
        <v>0</v>
      </c>
      <c r="BU2161">
        <v>0</v>
      </c>
      <c r="BV2161" t="s">
        <v>135</v>
      </c>
      <c r="BW2161">
        <v>0</v>
      </c>
      <c r="BX2161">
        <v>0</v>
      </c>
      <c r="BY2161" t="s">
        <v>135</v>
      </c>
      <c r="BZ2161">
        <v>0</v>
      </c>
      <c r="CA2161">
        <v>0</v>
      </c>
      <c r="CB2161" t="s">
        <v>135</v>
      </c>
      <c r="CH2161" s="2"/>
      <c r="CJ2161" s="2"/>
      <c r="CL2161" s="2"/>
      <c r="CN2161" s="2"/>
      <c r="CQ2161" s="2"/>
      <c r="CT2161" s="2"/>
      <c r="CW2161" s="2"/>
    </row>
    <row r="2162" spans="1:101" x14ac:dyDescent="0.25">
      <c r="A2162" s="1" t="s">
        <v>163</v>
      </c>
      <c r="B2162" s="75" t="s">
        <v>164</v>
      </c>
      <c r="C2162">
        <v>0</v>
      </c>
      <c r="D2162">
        <v>0</v>
      </c>
      <c r="E2162">
        <v>0</v>
      </c>
      <c r="F2162">
        <v>604324.56000000006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3.91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7490</v>
      </c>
      <c r="AW2162">
        <v>3350</v>
      </c>
      <c r="AX2162">
        <v>1219</v>
      </c>
      <c r="AY2162">
        <v>12059</v>
      </c>
      <c r="AZ2162">
        <v>4202</v>
      </c>
      <c r="BA2162">
        <v>7438</v>
      </c>
      <c r="BB2162">
        <v>1432</v>
      </c>
      <c r="BC2162">
        <v>13072</v>
      </c>
      <c r="BD2162">
        <v>9486</v>
      </c>
      <c r="BE2162">
        <v>9222</v>
      </c>
      <c r="BF2162">
        <v>1768</v>
      </c>
      <c r="BG2162">
        <v>20476</v>
      </c>
      <c r="BH2162">
        <v>0</v>
      </c>
      <c r="BI2162">
        <v>0</v>
      </c>
      <c r="BJ2162">
        <v>0</v>
      </c>
      <c r="BK2162">
        <v>0</v>
      </c>
      <c r="BL2162" s="2">
        <v>24.82</v>
      </c>
      <c r="BM2162" s="2">
        <v>42005.095138888886</v>
      </c>
      <c r="BN2162" s="2">
        <v>5.4</v>
      </c>
      <c r="BO2162" s="2">
        <v>42005.092361111114</v>
      </c>
      <c r="BP2162" s="2">
        <v>6.92</v>
      </c>
      <c r="BQ2162" s="2">
        <v>42005.092361111114</v>
      </c>
      <c r="BR2162" s="2">
        <v>11.07</v>
      </c>
      <c r="BS2162" s="2">
        <v>42005.092361111114</v>
      </c>
      <c r="BT2162">
        <v>0</v>
      </c>
      <c r="BU2162">
        <v>0</v>
      </c>
      <c r="BV2162" t="s">
        <v>135</v>
      </c>
      <c r="BW2162">
        <v>0</v>
      </c>
      <c r="BX2162">
        <v>0</v>
      </c>
      <c r="BY2162" t="s">
        <v>135</v>
      </c>
      <c r="BZ2162">
        <v>0</v>
      </c>
      <c r="CA2162">
        <v>0</v>
      </c>
      <c r="CB2162" t="s">
        <v>135</v>
      </c>
      <c r="CH2162" s="2"/>
      <c r="CJ2162" s="2"/>
      <c r="CL2162" s="2"/>
      <c r="CN2162" s="2"/>
      <c r="CQ2162" s="2"/>
      <c r="CT2162" s="2"/>
      <c r="CW2162" s="2"/>
    </row>
    <row r="2163" spans="1:101" x14ac:dyDescent="0.25">
      <c r="A2163" s="1" t="s">
        <v>163</v>
      </c>
      <c r="B2163" s="75" t="s">
        <v>164</v>
      </c>
      <c r="C2163">
        <v>0</v>
      </c>
      <c r="D2163">
        <v>0</v>
      </c>
      <c r="E2163">
        <v>0</v>
      </c>
      <c r="F2163">
        <v>604324.56000000006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3.91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7490</v>
      </c>
      <c r="AW2163">
        <v>3350</v>
      </c>
      <c r="AX2163">
        <v>1219</v>
      </c>
      <c r="AY2163">
        <v>12059</v>
      </c>
      <c r="AZ2163">
        <v>4202</v>
      </c>
      <c r="BA2163">
        <v>7438</v>
      </c>
      <c r="BB2163">
        <v>1432</v>
      </c>
      <c r="BC2163">
        <v>13072</v>
      </c>
      <c r="BD2163">
        <v>9486</v>
      </c>
      <c r="BE2163">
        <v>9222</v>
      </c>
      <c r="BF2163">
        <v>1768</v>
      </c>
      <c r="BG2163">
        <v>20476</v>
      </c>
      <c r="BH2163">
        <v>0</v>
      </c>
      <c r="BI2163">
        <v>0</v>
      </c>
      <c r="BJ2163">
        <v>0</v>
      </c>
      <c r="BK2163">
        <v>0</v>
      </c>
      <c r="BL2163" s="2">
        <v>24.82</v>
      </c>
      <c r="BM2163" s="2">
        <v>42005.095138888886</v>
      </c>
      <c r="BN2163" s="2">
        <v>5.4</v>
      </c>
      <c r="BO2163" s="2">
        <v>42005.092361111114</v>
      </c>
      <c r="BP2163" s="2">
        <v>6.92</v>
      </c>
      <c r="BQ2163" s="2">
        <v>42005.092361111114</v>
      </c>
      <c r="BR2163" s="2">
        <v>11.07</v>
      </c>
      <c r="BS2163" s="2">
        <v>42005.092361111114</v>
      </c>
      <c r="BT2163">
        <v>0</v>
      </c>
      <c r="BU2163">
        <v>0</v>
      </c>
      <c r="BV2163" t="s">
        <v>135</v>
      </c>
      <c r="BW2163">
        <v>0</v>
      </c>
      <c r="BX2163">
        <v>0</v>
      </c>
      <c r="BY2163" t="s">
        <v>135</v>
      </c>
      <c r="BZ2163">
        <v>0</v>
      </c>
      <c r="CA2163">
        <v>0</v>
      </c>
      <c r="CB2163" t="s">
        <v>135</v>
      </c>
      <c r="CH2163" s="2"/>
      <c r="CJ2163" s="2"/>
      <c r="CL2163" s="2"/>
      <c r="CN2163" s="2"/>
      <c r="CQ2163" s="2"/>
      <c r="CT2163" s="2"/>
      <c r="CW2163" s="2"/>
    </row>
    <row r="2164" spans="1:101" x14ac:dyDescent="0.25">
      <c r="A2164" s="1" t="s">
        <v>163</v>
      </c>
      <c r="B2164" s="75" t="s">
        <v>164</v>
      </c>
      <c r="C2164">
        <v>0</v>
      </c>
      <c r="D2164">
        <v>0</v>
      </c>
      <c r="E2164">
        <v>0</v>
      </c>
      <c r="F2164">
        <v>604324.56000000006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3.91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7490</v>
      </c>
      <c r="AW2164">
        <v>3350</v>
      </c>
      <c r="AX2164">
        <v>1219</v>
      </c>
      <c r="AY2164">
        <v>12059</v>
      </c>
      <c r="AZ2164">
        <v>4202</v>
      </c>
      <c r="BA2164">
        <v>7438</v>
      </c>
      <c r="BB2164">
        <v>1432</v>
      </c>
      <c r="BC2164">
        <v>13072</v>
      </c>
      <c r="BD2164">
        <v>9486</v>
      </c>
      <c r="BE2164">
        <v>9222</v>
      </c>
      <c r="BF2164">
        <v>1768</v>
      </c>
      <c r="BG2164">
        <v>20476</v>
      </c>
      <c r="BH2164">
        <v>0</v>
      </c>
      <c r="BI2164">
        <v>0</v>
      </c>
      <c r="BJ2164">
        <v>0</v>
      </c>
      <c r="BK2164">
        <v>0</v>
      </c>
      <c r="BL2164" s="2">
        <v>24.82</v>
      </c>
      <c r="BM2164" s="2">
        <v>42005.095138888886</v>
      </c>
      <c r="BN2164" s="2">
        <v>5.4</v>
      </c>
      <c r="BO2164" s="2">
        <v>42005.092361111114</v>
      </c>
      <c r="BP2164" s="2">
        <v>6.92</v>
      </c>
      <c r="BQ2164" s="2">
        <v>42005.092361111114</v>
      </c>
      <c r="BR2164" s="2">
        <v>11.07</v>
      </c>
      <c r="BS2164" s="2">
        <v>42005.092361111114</v>
      </c>
      <c r="BT2164">
        <v>0</v>
      </c>
      <c r="BU2164">
        <v>0</v>
      </c>
      <c r="BV2164" t="s">
        <v>135</v>
      </c>
      <c r="BW2164">
        <v>0</v>
      </c>
      <c r="BX2164">
        <v>0</v>
      </c>
      <c r="BY2164" t="s">
        <v>135</v>
      </c>
      <c r="BZ2164">
        <v>0</v>
      </c>
      <c r="CA2164">
        <v>0</v>
      </c>
      <c r="CB2164" t="s">
        <v>135</v>
      </c>
      <c r="CH2164" s="2"/>
      <c r="CJ2164" s="2"/>
      <c r="CL2164" s="2"/>
      <c r="CN2164" s="2"/>
      <c r="CQ2164" s="2"/>
      <c r="CT2164" s="2"/>
      <c r="CW2164" s="2"/>
    </row>
    <row r="2165" spans="1:101" x14ac:dyDescent="0.25">
      <c r="A2165" s="1" t="s">
        <v>163</v>
      </c>
      <c r="B2165" s="75" t="s">
        <v>164</v>
      </c>
      <c r="C2165">
        <v>0</v>
      </c>
      <c r="D2165">
        <v>0</v>
      </c>
      <c r="E2165">
        <v>0</v>
      </c>
      <c r="F2165">
        <v>604324.56000000006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3.91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7490</v>
      </c>
      <c r="AW2165">
        <v>3350</v>
      </c>
      <c r="AX2165">
        <v>1219</v>
      </c>
      <c r="AY2165">
        <v>12059</v>
      </c>
      <c r="AZ2165">
        <v>4202</v>
      </c>
      <c r="BA2165">
        <v>7438</v>
      </c>
      <c r="BB2165">
        <v>1432</v>
      </c>
      <c r="BC2165">
        <v>13072</v>
      </c>
      <c r="BD2165">
        <v>9486</v>
      </c>
      <c r="BE2165">
        <v>9222</v>
      </c>
      <c r="BF2165">
        <v>1768</v>
      </c>
      <c r="BG2165">
        <v>20476</v>
      </c>
      <c r="BH2165">
        <v>0</v>
      </c>
      <c r="BI2165">
        <v>0</v>
      </c>
      <c r="BJ2165">
        <v>0</v>
      </c>
      <c r="BK2165">
        <v>0</v>
      </c>
      <c r="BL2165" s="2">
        <v>24.82</v>
      </c>
      <c r="BM2165" s="2">
        <v>42005.095138888886</v>
      </c>
      <c r="BN2165" s="2">
        <v>5.4</v>
      </c>
      <c r="BO2165" s="2">
        <v>42005.092361111114</v>
      </c>
      <c r="BP2165" s="2">
        <v>6.92</v>
      </c>
      <c r="BQ2165" s="2">
        <v>42005.092361111114</v>
      </c>
      <c r="BR2165" s="2">
        <v>11.07</v>
      </c>
      <c r="BS2165" s="2">
        <v>42005.092361111114</v>
      </c>
      <c r="BT2165">
        <v>0</v>
      </c>
      <c r="BU2165">
        <v>0</v>
      </c>
      <c r="BV2165" t="s">
        <v>135</v>
      </c>
      <c r="BW2165">
        <v>0</v>
      </c>
      <c r="BX2165">
        <v>0</v>
      </c>
      <c r="BY2165" t="s">
        <v>135</v>
      </c>
      <c r="BZ2165">
        <v>0</v>
      </c>
      <c r="CA2165">
        <v>0</v>
      </c>
      <c r="CB2165" t="s">
        <v>135</v>
      </c>
      <c r="CH2165" s="2"/>
      <c r="CJ2165" s="2"/>
      <c r="CL2165" s="2"/>
      <c r="CN2165" s="2"/>
      <c r="CQ2165" s="2"/>
      <c r="CT2165" s="2"/>
      <c r="CW2165" s="2"/>
    </row>
    <row r="2166" spans="1:101" x14ac:dyDescent="0.25">
      <c r="A2166" s="1" t="s">
        <v>163</v>
      </c>
      <c r="B2166" s="75" t="s">
        <v>164</v>
      </c>
      <c r="C2166">
        <v>0</v>
      </c>
      <c r="D2166">
        <v>0</v>
      </c>
      <c r="E2166">
        <v>0</v>
      </c>
      <c r="F2166">
        <v>604324.56000000006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3.91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7490</v>
      </c>
      <c r="AW2166">
        <v>3350</v>
      </c>
      <c r="AX2166">
        <v>1219</v>
      </c>
      <c r="AY2166">
        <v>12059</v>
      </c>
      <c r="AZ2166">
        <v>4202</v>
      </c>
      <c r="BA2166">
        <v>7438</v>
      </c>
      <c r="BB2166">
        <v>1432</v>
      </c>
      <c r="BC2166">
        <v>13072</v>
      </c>
      <c r="BD2166">
        <v>9486</v>
      </c>
      <c r="BE2166">
        <v>9222</v>
      </c>
      <c r="BF2166">
        <v>1768</v>
      </c>
      <c r="BG2166">
        <v>20476</v>
      </c>
      <c r="BH2166">
        <v>0</v>
      </c>
      <c r="BI2166">
        <v>0</v>
      </c>
      <c r="BJ2166">
        <v>0</v>
      </c>
      <c r="BK2166">
        <v>0</v>
      </c>
      <c r="BL2166" s="2">
        <v>24.82</v>
      </c>
      <c r="BM2166" s="2">
        <v>42005.095138888886</v>
      </c>
      <c r="BN2166" s="2">
        <v>5.4</v>
      </c>
      <c r="BO2166" s="2">
        <v>42005.092361111114</v>
      </c>
      <c r="BP2166" s="2">
        <v>6.92</v>
      </c>
      <c r="BQ2166" s="2">
        <v>42005.092361111114</v>
      </c>
      <c r="BR2166" s="2">
        <v>11.07</v>
      </c>
      <c r="BS2166" s="2">
        <v>42005.092361111114</v>
      </c>
      <c r="BT2166">
        <v>0</v>
      </c>
      <c r="BU2166">
        <v>0</v>
      </c>
      <c r="BV2166" t="s">
        <v>135</v>
      </c>
      <c r="BW2166">
        <v>0</v>
      </c>
      <c r="BX2166">
        <v>0</v>
      </c>
      <c r="BY2166" t="s">
        <v>135</v>
      </c>
      <c r="BZ2166">
        <v>0</v>
      </c>
      <c r="CA2166">
        <v>0</v>
      </c>
      <c r="CB2166" t="s">
        <v>135</v>
      </c>
      <c r="CH2166" s="2"/>
      <c r="CJ2166" s="2"/>
      <c r="CL2166" s="2"/>
      <c r="CN2166" s="2"/>
      <c r="CQ2166" s="2"/>
      <c r="CT2166" s="2"/>
      <c r="CW2166" s="2"/>
    </row>
    <row r="2167" spans="1:101" x14ac:dyDescent="0.25">
      <c r="A2167" s="1" t="s">
        <v>163</v>
      </c>
      <c r="B2167" s="75" t="s">
        <v>164</v>
      </c>
      <c r="C2167">
        <v>0</v>
      </c>
      <c r="D2167">
        <v>0</v>
      </c>
      <c r="E2167">
        <v>0</v>
      </c>
      <c r="F2167">
        <v>604324.56000000006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3.91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7490</v>
      </c>
      <c r="AW2167">
        <v>3350</v>
      </c>
      <c r="AX2167">
        <v>1219</v>
      </c>
      <c r="AY2167">
        <v>12059</v>
      </c>
      <c r="AZ2167">
        <v>4202</v>
      </c>
      <c r="BA2167">
        <v>7438</v>
      </c>
      <c r="BB2167">
        <v>1432</v>
      </c>
      <c r="BC2167">
        <v>13072</v>
      </c>
      <c r="BD2167">
        <v>9486</v>
      </c>
      <c r="BE2167">
        <v>9222</v>
      </c>
      <c r="BF2167">
        <v>1768</v>
      </c>
      <c r="BG2167">
        <v>20476</v>
      </c>
      <c r="BH2167">
        <v>0</v>
      </c>
      <c r="BI2167">
        <v>0</v>
      </c>
      <c r="BJ2167">
        <v>0</v>
      </c>
      <c r="BK2167">
        <v>0</v>
      </c>
      <c r="BL2167" s="2">
        <v>24.82</v>
      </c>
      <c r="BM2167" s="2">
        <v>42005.095138888886</v>
      </c>
      <c r="BN2167" s="2">
        <v>5.4</v>
      </c>
      <c r="BO2167" s="2">
        <v>42005.092361111114</v>
      </c>
      <c r="BP2167" s="2">
        <v>6.92</v>
      </c>
      <c r="BQ2167" s="2">
        <v>42005.092361111114</v>
      </c>
      <c r="BR2167" s="2">
        <v>11.07</v>
      </c>
      <c r="BS2167" s="2">
        <v>42005.092361111114</v>
      </c>
      <c r="BT2167">
        <v>0</v>
      </c>
      <c r="BU2167">
        <v>0</v>
      </c>
      <c r="BV2167" t="s">
        <v>135</v>
      </c>
      <c r="BW2167">
        <v>0</v>
      </c>
      <c r="BX2167">
        <v>0</v>
      </c>
      <c r="BY2167" t="s">
        <v>135</v>
      </c>
      <c r="BZ2167">
        <v>0</v>
      </c>
      <c r="CA2167">
        <v>0</v>
      </c>
      <c r="CB2167" t="s">
        <v>135</v>
      </c>
      <c r="CH2167" s="2"/>
      <c r="CJ2167" s="2"/>
      <c r="CL2167" s="2"/>
      <c r="CN2167" s="2"/>
      <c r="CQ2167" s="2"/>
      <c r="CT2167" s="2"/>
      <c r="CW2167" s="2"/>
    </row>
    <row r="2168" spans="1:101" x14ac:dyDescent="0.25">
      <c r="A2168" s="1" t="s">
        <v>163</v>
      </c>
      <c r="B2168" s="75" t="s">
        <v>164</v>
      </c>
      <c r="C2168">
        <v>0</v>
      </c>
      <c r="D2168">
        <v>0</v>
      </c>
      <c r="E2168">
        <v>0</v>
      </c>
      <c r="F2168">
        <v>604324.56000000006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3.91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7490</v>
      </c>
      <c r="AW2168">
        <v>3350</v>
      </c>
      <c r="AX2168">
        <v>1219</v>
      </c>
      <c r="AY2168">
        <v>12059</v>
      </c>
      <c r="AZ2168">
        <v>4202</v>
      </c>
      <c r="BA2168">
        <v>7438</v>
      </c>
      <c r="BB2168">
        <v>1432</v>
      </c>
      <c r="BC2168">
        <v>13072</v>
      </c>
      <c r="BD2168">
        <v>9486</v>
      </c>
      <c r="BE2168">
        <v>9222</v>
      </c>
      <c r="BF2168">
        <v>1768</v>
      </c>
      <c r="BG2168">
        <v>20476</v>
      </c>
      <c r="BH2168">
        <v>0</v>
      </c>
      <c r="BI2168">
        <v>0</v>
      </c>
      <c r="BJ2168">
        <v>0</v>
      </c>
      <c r="BK2168">
        <v>0</v>
      </c>
      <c r="BL2168" s="2">
        <v>24.82</v>
      </c>
      <c r="BM2168" s="2">
        <v>42005.095138888886</v>
      </c>
      <c r="BN2168" s="2">
        <v>5.4</v>
      </c>
      <c r="BO2168" s="2">
        <v>42005.092361111114</v>
      </c>
      <c r="BP2168" s="2">
        <v>6.92</v>
      </c>
      <c r="BQ2168" s="2">
        <v>42005.092361111114</v>
      </c>
      <c r="BR2168" s="2">
        <v>11.07</v>
      </c>
      <c r="BS2168" s="2">
        <v>42005.092361111114</v>
      </c>
      <c r="BT2168">
        <v>0</v>
      </c>
      <c r="BU2168">
        <v>0</v>
      </c>
      <c r="BV2168" t="s">
        <v>135</v>
      </c>
      <c r="BW2168">
        <v>0</v>
      </c>
      <c r="BX2168">
        <v>0</v>
      </c>
      <c r="BY2168" t="s">
        <v>135</v>
      </c>
      <c r="BZ2168">
        <v>0</v>
      </c>
      <c r="CA2168">
        <v>0</v>
      </c>
      <c r="CB2168" t="s">
        <v>135</v>
      </c>
      <c r="CH2168" s="2"/>
      <c r="CJ2168" s="2"/>
      <c r="CL2168" s="2"/>
      <c r="CN2168" s="2"/>
      <c r="CQ2168" s="2"/>
      <c r="CT2168" s="2"/>
      <c r="CW2168" s="2"/>
    </row>
    <row r="2169" spans="1:101" x14ac:dyDescent="0.25">
      <c r="A2169" s="1" t="s">
        <v>163</v>
      </c>
      <c r="B2169" s="75" t="s">
        <v>164</v>
      </c>
      <c r="C2169">
        <v>0</v>
      </c>
      <c r="D2169">
        <v>0</v>
      </c>
      <c r="E2169">
        <v>0</v>
      </c>
      <c r="F2169">
        <v>604324.56000000006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3.91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7490</v>
      </c>
      <c r="AW2169">
        <v>3350</v>
      </c>
      <c r="AX2169">
        <v>1219</v>
      </c>
      <c r="AY2169">
        <v>12059</v>
      </c>
      <c r="AZ2169">
        <v>4202</v>
      </c>
      <c r="BA2169">
        <v>7438</v>
      </c>
      <c r="BB2169">
        <v>1432</v>
      </c>
      <c r="BC2169">
        <v>13072</v>
      </c>
      <c r="BD2169">
        <v>9486</v>
      </c>
      <c r="BE2169">
        <v>9222</v>
      </c>
      <c r="BF2169">
        <v>1768</v>
      </c>
      <c r="BG2169">
        <v>20476</v>
      </c>
      <c r="BH2169">
        <v>0</v>
      </c>
      <c r="BI2169">
        <v>0</v>
      </c>
      <c r="BJ2169">
        <v>0</v>
      </c>
      <c r="BK2169">
        <v>0</v>
      </c>
      <c r="BL2169" s="2">
        <v>24.82</v>
      </c>
      <c r="BM2169" s="2">
        <v>42005.095138888886</v>
      </c>
      <c r="BN2169" s="2">
        <v>5.4</v>
      </c>
      <c r="BO2169" s="2">
        <v>42005.092361111114</v>
      </c>
      <c r="BP2169" s="2">
        <v>6.92</v>
      </c>
      <c r="BQ2169" s="2">
        <v>42005.092361111114</v>
      </c>
      <c r="BR2169" s="2">
        <v>11.07</v>
      </c>
      <c r="BS2169" s="2">
        <v>42005.092361111114</v>
      </c>
      <c r="BT2169">
        <v>0</v>
      </c>
      <c r="BU2169">
        <v>0</v>
      </c>
      <c r="BV2169" t="s">
        <v>135</v>
      </c>
      <c r="BW2169">
        <v>0</v>
      </c>
      <c r="BX2169">
        <v>0</v>
      </c>
      <c r="BY2169" t="s">
        <v>135</v>
      </c>
      <c r="BZ2169">
        <v>0</v>
      </c>
      <c r="CA2169">
        <v>0</v>
      </c>
      <c r="CB2169" t="s">
        <v>135</v>
      </c>
      <c r="CH2169" s="2"/>
      <c r="CJ2169" s="2"/>
      <c r="CL2169" s="2"/>
      <c r="CN2169" s="2"/>
      <c r="CQ2169" s="2"/>
      <c r="CT2169" s="2"/>
      <c r="CW2169" s="2"/>
    </row>
    <row r="2170" spans="1:101" x14ac:dyDescent="0.25">
      <c r="A2170" s="1" t="s">
        <v>163</v>
      </c>
      <c r="B2170" s="75" t="s">
        <v>164</v>
      </c>
      <c r="C2170">
        <v>0</v>
      </c>
      <c r="D2170">
        <v>0</v>
      </c>
      <c r="E2170">
        <v>0</v>
      </c>
      <c r="F2170">
        <v>604324.56000000006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3.91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7490</v>
      </c>
      <c r="AW2170">
        <v>3350</v>
      </c>
      <c r="AX2170">
        <v>1219</v>
      </c>
      <c r="AY2170">
        <v>12059</v>
      </c>
      <c r="AZ2170">
        <v>4202</v>
      </c>
      <c r="BA2170">
        <v>7438</v>
      </c>
      <c r="BB2170">
        <v>1432</v>
      </c>
      <c r="BC2170">
        <v>13072</v>
      </c>
      <c r="BD2170">
        <v>9486</v>
      </c>
      <c r="BE2170">
        <v>9222</v>
      </c>
      <c r="BF2170">
        <v>1768</v>
      </c>
      <c r="BG2170">
        <v>20476</v>
      </c>
      <c r="BH2170">
        <v>0</v>
      </c>
      <c r="BI2170">
        <v>0</v>
      </c>
      <c r="BJ2170">
        <v>0</v>
      </c>
      <c r="BK2170">
        <v>0</v>
      </c>
      <c r="BL2170" s="2">
        <v>24.82</v>
      </c>
      <c r="BM2170" s="2">
        <v>42005.095138888886</v>
      </c>
      <c r="BN2170" s="2">
        <v>5.4</v>
      </c>
      <c r="BO2170" s="2">
        <v>42005.092361111114</v>
      </c>
      <c r="BP2170" s="2">
        <v>6.92</v>
      </c>
      <c r="BQ2170" s="2">
        <v>42005.092361111114</v>
      </c>
      <c r="BR2170" s="2">
        <v>11.07</v>
      </c>
      <c r="BS2170" s="2">
        <v>42005.092361111114</v>
      </c>
      <c r="BT2170">
        <v>0</v>
      </c>
      <c r="BU2170">
        <v>0</v>
      </c>
      <c r="BV2170" t="s">
        <v>135</v>
      </c>
      <c r="BW2170">
        <v>0</v>
      </c>
      <c r="BX2170">
        <v>0</v>
      </c>
      <c r="BY2170" t="s">
        <v>135</v>
      </c>
      <c r="BZ2170">
        <v>0</v>
      </c>
      <c r="CA2170">
        <v>0</v>
      </c>
      <c r="CB2170" t="s">
        <v>135</v>
      </c>
      <c r="CH2170" s="2"/>
      <c r="CJ2170" s="2"/>
      <c r="CL2170" s="2"/>
      <c r="CN2170" s="2"/>
      <c r="CQ2170" s="2"/>
      <c r="CT2170" s="2"/>
      <c r="CW2170" s="2"/>
    </row>
    <row r="2171" spans="1:101" x14ac:dyDescent="0.25">
      <c r="A2171" s="1" t="s">
        <v>163</v>
      </c>
      <c r="B2171" s="75" t="s">
        <v>164</v>
      </c>
      <c r="C2171">
        <v>0</v>
      </c>
      <c r="D2171">
        <v>0</v>
      </c>
      <c r="E2171">
        <v>0</v>
      </c>
      <c r="F2171">
        <v>604324.56000000006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3.91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7490</v>
      </c>
      <c r="AW2171">
        <v>3350</v>
      </c>
      <c r="AX2171">
        <v>1219</v>
      </c>
      <c r="AY2171">
        <v>12059</v>
      </c>
      <c r="AZ2171">
        <v>4202</v>
      </c>
      <c r="BA2171">
        <v>7438</v>
      </c>
      <c r="BB2171">
        <v>1432</v>
      </c>
      <c r="BC2171">
        <v>13072</v>
      </c>
      <c r="BD2171">
        <v>9486</v>
      </c>
      <c r="BE2171">
        <v>9222</v>
      </c>
      <c r="BF2171">
        <v>1768</v>
      </c>
      <c r="BG2171">
        <v>20476</v>
      </c>
      <c r="BH2171">
        <v>0</v>
      </c>
      <c r="BI2171">
        <v>0</v>
      </c>
      <c r="BJ2171">
        <v>0</v>
      </c>
      <c r="BK2171">
        <v>0</v>
      </c>
      <c r="BL2171" s="2">
        <v>24.82</v>
      </c>
      <c r="BM2171" s="2">
        <v>42005.095138888886</v>
      </c>
      <c r="BN2171" s="2">
        <v>5.4</v>
      </c>
      <c r="BO2171" s="2">
        <v>42005.092361111114</v>
      </c>
      <c r="BP2171" s="2">
        <v>6.92</v>
      </c>
      <c r="BQ2171" s="2">
        <v>42005.092361111114</v>
      </c>
      <c r="BR2171" s="2">
        <v>11.07</v>
      </c>
      <c r="BS2171" s="2">
        <v>42005.092361111114</v>
      </c>
      <c r="BT2171">
        <v>0</v>
      </c>
      <c r="BU2171">
        <v>0</v>
      </c>
      <c r="BV2171" t="s">
        <v>135</v>
      </c>
      <c r="BW2171">
        <v>0</v>
      </c>
      <c r="BX2171">
        <v>0</v>
      </c>
      <c r="BY2171" t="s">
        <v>135</v>
      </c>
      <c r="BZ2171">
        <v>0</v>
      </c>
      <c r="CA2171">
        <v>0</v>
      </c>
      <c r="CB2171" t="s">
        <v>135</v>
      </c>
      <c r="CH2171" s="2"/>
      <c r="CJ2171" s="2"/>
      <c r="CL2171" s="2"/>
      <c r="CN2171" s="2"/>
      <c r="CQ2171" s="2"/>
      <c r="CT2171" s="2"/>
      <c r="CW2171" s="2"/>
    </row>
    <row r="2172" spans="1:101" x14ac:dyDescent="0.25">
      <c r="A2172" s="1" t="s">
        <v>163</v>
      </c>
      <c r="B2172" s="75" t="s">
        <v>164</v>
      </c>
      <c r="C2172">
        <v>0</v>
      </c>
      <c r="D2172">
        <v>0</v>
      </c>
      <c r="E2172">
        <v>0</v>
      </c>
      <c r="F2172">
        <v>604324.56000000006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3.91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7490</v>
      </c>
      <c r="AW2172">
        <v>3350</v>
      </c>
      <c r="AX2172">
        <v>1219</v>
      </c>
      <c r="AY2172">
        <v>12059</v>
      </c>
      <c r="AZ2172">
        <v>4202</v>
      </c>
      <c r="BA2172">
        <v>7438</v>
      </c>
      <c r="BB2172">
        <v>1432</v>
      </c>
      <c r="BC2172">
        <v>13072</v>
      </c>
      <c r="BD2172">
        <v>9486</v>
      </c>
      <c r="BE2172">
        <v>9222</v>
      </c>
      <c r="BF2172">
        <v>1768</v>
      </c>
      <c r="BG2172">
        <v>20476</v>
      </c>
      <c r="BH2172">
        <v>0</v>
      </c>
      <c r="BI2172">
        <v>0</v>
      </c>
      <c r="BJ2172">
        <v>0</v>
      </c>
      <c r="BK2172">
        <v>0</v>
      </c>
      <c r="BL2172" s="2">
        <v>24.82</v>
      </c>
      <c r="BM2172" s="2">
        <v>42005.095138888886</v>
      </c>
      <c r="BN2172" s="2">
        <v>5.4</v>
      </c>
      <c r="BO2172" s="2">
        <v>42005.092361111114</v>
      </c>
      <c r="BP2172" s="2">
        <v>6.92</v>
      </c>
      <c r="BQ2172" s="2">
        <v>42005.092361111114</v>
      </c>
      <c r="BR2172" s="2">
        <v>11.07</v>
      </c>
      <c r="BS2172" s="2">
        <v>42005.092361111114</v>
      </c>
      <c r="BT2172">
        <v>0</v>
      </c>
      <c r="BU2172">
        <v>0</v>
      </c>
      <c r="BV2172" t="s">
        <v>135</v>
      </c>
      <c r="BW2172">
        <v>0</v>
      </c>
      <c r="BX2172">
        <v>0</v>
      </c>
      <c r="BY2172" t="s">
        <v>135</v>
      </c>
      <c r="BZ2172">
        <v>0</v>
      </c>
      <c r="CA2172">
        <v>0</v>
      </c>
      <c r="CB2172" t="s">
        <v>135</v>
      </c>
      <c r="CH2172" s="2"/>
      <c r="CJ2172" s="2"/>
      <c r="CL2172" s="2"/>
      <c r="CN2172" s="2"/>
      <c r="CQ2172" s="2"/>
      <c r="CT2172" s="2"/>
      <c r="CW2172" s="2"/>
    </row>
    <row r="2173" spans="1:101" x14ac:dyDescent="0.25">
      <c r="A2173" s="1" t="s">
        <v>163</v>
      </c>
      <c r="B2173" s="75" t="s">
        <v>164</v>
      </c>
      <c r="C2173">
        <v>0</v>
      </c>
      <c r="D2173">
        <v>0</v>
      </c>
      <c r="E2173">
        <v>0</v>
      </c>
      <c r="F2173">
        <v>604324.56000000006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3.91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7490</v>
      </c>
      <c r="AW2173">
        <v>3350</v>
      </c>
      <c r="AX2173">
        <v>1219</v>
      </c>
      <c r="AY2173">
        <v>12059</v>
      </c>
      <c r="AZ2173">
        <v>4202</v>
      </c>
      <c r="BA2173">
        <v>7438</v>
      </c>
      <c r="BB2173">
        <v>1432</v>
      </c>
      <c r="BC2173">
        <v>13072</v>
      </c>
      <c r="BD2173">
        <v>9486</v>
      </c>
      <c r="BE2173">
        <v>9222</v>
      </c>
      <c r="BF2173">
        <v>1768</v>
      </c>
      <c r="BG2173">
        <v>20476</v>
      </c>
      <c r="BH2173">
        <v>0</v>
      </c>
      <c r="BI2173">
        <v>0</v>
      </c>
      <c r="BJ2173">
        <v>0</v>
      </c>
      <c r="BK2173">
        <v>0</v>
      </c>
      <c r="BL2173" s="2">
        <v>24.82</v>
      </c>
      <c r="BM2173" s="2">
        <v>42005.095138888886</v>
      </c>
      <c r="BN2173" s="2">
        <v>5.4</v>
      </c>
      <c r="BO2173" s="2">
        <v>42005.092361111114</v>
      </c>
      <c r="BP2173" s="2">
        <v>6.92</v>
      </c>
      <c r="BQ2173" s="2">
        <v>42005.092361111114</v>
      </c>
      <c r="BR2173" s="2">
        <v>11.07</v>
      </c>
      <c r="BS2173" s="2">
        <v>42005.092361111114</v>
      </c>
      <c r="BT2173">
        <v>0</v>
      </c>
      <c r="BU2173">
        <v>0</v>
      </c>
      <c r="BV2173" t="s">
        <v>135</v>
      </c>
      <c r="BW2173">
        <v>0</v>
      </c>
      <c r="BX2173">
        <v>0</v>
      </c>
      <c r="BY2173" t="s">
        <v>135</v>
      </c>
      <c r="BZ2173">
        <v>0</v>
      </c>
      <c r="CA2173">
        <v>0</v>
      </c>
      <c r="CB2173" t="s">
        <v>135</v>
      </c>
      <c r="CH2173" s="2"/>
      <c r="CJ2173" s="2"/>
      <c r="CL2173" s="2"/>
      <c r="CN2173" s="2"/>
      <c r="CQ2173" s="2"/>
      <c r="CT2173" s="2"/>
      <c r="CW2173" s="2"/>
    </row>
    <row r="2174" spans="1:101" x14ac:dyDescent="0.25">
      <c r="A2174" s="1" t="s">
        <v>163</v>
      </c>
      <c r="B2174" s="75" t="s">
        <v>164</v>
      </c>
      <c r="C2174">
        <v>0</v>
      </c>
      <c r="D2174">
        <v>0</v>
      </c>
      <c r="E2174">
        <v>0</v>
      </c>
      <c r="F2174">
        <v>604324.56000000006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3.91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7490</v>
      </c>
      <c r="AW2174">
        <v>3350</v>
      </c>
      <c r="AX2174">
        <v>1219</v>
      </c>
      <c r="AY2174">
        <v>12059</v>
      </c>
      <c r="AZ2174">
        <v>4202</v>
      </c>
      <c r="BA2174">
        <v>7438</v>
      </c>
      <c r="BB2174">
        <v>1432</v>
      </c>
      <c r="BC2174">
        <v>13072</v>
      </c>
      <c r="BD2174">
        <v>9486</v>
      </c>
      <c r="BE2174">
        <v>9222</v>
      </c>
      <c r="BF2174">
        <v>1768</v>
      </c>
      <c r="BG2174">
        <v>20476</v>
      </c>
      <c r="BH2174">
        <v>0</v>
      </c>
      <c r="BI2174">
        <v>0</v>
      </c>
      <c r="BJ2174">
        <v>0</v>
      </c>
      <c r="BK2174">
        <v>0</v>
      </c>
      <c r="BL2174" s="2">
        <v>24.82</v>
      </c>
      <c r="BM2174" s="2">
        <v>42005.095138888886</v>
      </c>
      <c r="BN2174" s="2">
        <v>5.4</v>
      </c>
      <c r="BO2174" s="2">
        <v>42005.092361111114</v>
      </c>
      <c r="BP2174" s="2">
        <v>6.92</v>
      </c>
      <c r="BQ2174" s="2">
        <v>42005.092361111114</v>
      </c>
      <c r="BR2174" s="2">
        <v>11.07</v>
      </c>
      <c r="BS2174" s="2">
        <v>42005.092361111114</v>
      </c>
      <c r="BT2174">
        <v>0</v>
      </c>
      <c r="BU2174">
        <v>0</v>
      </c>
      <c r="BV2174" t="s">
        <v>135</v>
      </c>
      <c r="BW2174">
        <v>0</v>
      </c>
      <c r="BX2174">
        <v>0</v>
      </c>
      <c r="BY2174" t="s">
        <v>135</v>
      </c>
      <c r="BZ2174">
        <v>0</v>
      </c>
      <c r="CA2174">
        <v>0</v>
      </c>
      <c r="CB2174" t="s">
        <v>135</v>
      </c>
      <c r="CH2174" s="2"/>
      <c r="CJ2174" s="2"/>
      <c r="CL2174" s="2"/>
      <c r="CN2174" s="2"/>
      <c r="CQ2174" s="2"/>
      <c r="CT2174" s="2"/>
      <c r="CW2174" s="2"/>
    </row>
    <row r="2175" spans="1:101" x14ac:dyDescent="0.25">
      <c r="A2175" s="1" t="s">
        <v>163</v>
      </c>
      <c r="B2175" s="75" t="s">
        <v>164</v>
      </c>
      <c r="C2175">
        <v>0</v>
      </c>
      <c r="D2175">
        <v>0</v>
      </c>
      <c r="E2175">
        <v>0</v>
      </c>
      <c r="F2175">
        <v>604324.56000000006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3.91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7490</v>
      </c>
      <c r="AW2175">
        <v>3350</v>
      </c>
      <c r="AX2175">
        <v>1219</v>
      </c>
      <c r="AY2175">
        <v>12059</v>
      </c>
      <c r="AZ2175">
        <v>4202</v>
      </c>
      <c r="BA2175">
        <v>7438</v>
      </c>
      <c r="BB2175">
        <v>1432</v>
      </c>
      <c r="BC2175">
        <v>13072</v>
      </c>
      <c r="BD2175">
        <v>9486</v>
      </c>
      <c r="BE2175">
        <v>9222</v>
      </c>
      <c r="BF2175">
        <v>1768</v>
      </c>
      <c r="BG2175">
        <v>20476</v>
      </c>
      <c r="BH2175">
        <v>0</v>
      </c>
      <c r="BI2175">
        <v>0</v>
      </c>
      <c r="BJ2175">
        <v>0</v>
      </c>
      <c r="BK2175">
        <v>0</v>
      </c>
      <c r="BL2175" s="2">
        <v>24.82</v>
      </c>
      <c r="BM2175" s="2">
        <v>42005.095138888886</v>
      </c>
      <c r="BN2175" s="2">
        <v>5.4</v>
      </c>
      <c r="BO2175" s="2">
        <v>42005.092361111114</v>
      </c>
      <c r="BP2175" s="2">
        <v>6.92</v>
      </c>
      <c r="BQ2175" s="2">
        <v>42005.092361111114</v>
      </c>
      <c r="BR2175" s="2">
        <v>11.07</v>
      </c>
      <c r="BS2175" s="2">
        <v>42005.092361111114</v>
      </c>
      <c r="BT2175">
        <v>0</v>
      </c>
      <c r="BU2175">
        <v>0</v>
      </c>
      <c r="BV2175" t="s">
        <v>135</v>
      </c>
      <c r="BW2175">
        <v>0</v>
      </c>
      <c r="BX2175">
        <v>0</v>
      </c>
      <c r="BY2175" t="s">
        <v>135</v>
      </c>
      <c r="BZ2175">
        <v>0</v>
      </c>
      <c r="CA2175">
        <v>0</v>
      </c>
      <c r="CB2175" t="s">
        <v>135</v>
      </c>
      <c r="CH2175" s="2"/>
      <c r="CJ2175" s="2"/>
      <c r="CL2175" s="2"/>
      <c r="CN2175" s="2"/>
      <c r="CQ2175" s="2"/>
      <c r="CT2175" s="2"/>
      <c r="CW2175" s="2"/>
    </row>
    <row r="2176" spans="1:101" x14ac:dyDescent="0.25">
      <c r="A2176" s="1" t="s">
        <v>163</v>
      </c>
      <c r="B2176" s="75" t="s">
        <v>164</v>
      </c>
      <c r="C2176">
        <v>0</v>
      </c>
      <c r="D2176">
        <v>0</v>
      </c>
      <c r="E2176">
        <v>0</v>
      </c>
      <c r="F2176">
        <v>604324.56000000006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3.91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7490</v>
      </c>
      <c r="AW2176">
        <v>3350</v>
      </c>
      <c r="AX2176">
        <v>1219</v>
      </c>
      <c r="AY2176">
        <v>12059</v>
      </c>
      <c r="AZ2176">
        <v>4202</v>
      </c>
      <c r="BA2176">
        <v>7438</v>
      </c>
      <c r="BB2176">
        <v>1432</v>
      </c>
      <c r="BC2176">
        <v>13072</v>
      </c>
      <c r="BD2176">
        <v>9486</v>
      </c>
      <c r="BE2176">
        <v>9222</v>
      </c>
      <c r="BF2176">
        <v>1768</v>
      </c>
      <c r="BG2176">
        <v>20476</v>
      </c>
      <c r="BH2176">
        <v>0</v>
      </c>
      <c r="BI2176">
        <v>0</v>
      </c>
      <c r="BJ2176">
        <v>0</v>
      </c>
      <c r="BK2176">
        <v>0</v>
      </c>
      <c r="BL2176" s="2">
        <v>24.82</v>
      </c>
      <c r="BM2176" s="2">
        <v>42005.095138888886</v>
      </c>
      <c r="BN2176" s="2">
        <v>5.4</v>
      </c>
      <c r="BO2176" s="2">
        <v>42005.092361111114</v>
      </c>
      <c r="BP2176" s="2">
        <v>6.92</v>
      </c>
      <c r="BQ2176" s="2">
        <v>42005.092361111114</v>
      </c>
      <c r="BR2176" s="2">
        <v>11.07</v>
      </c>
      <c r="BS2176" s="2">
        <v>42005.092361111114</v>
      </c>
      <c r="BT2176">
        <v>0</v>
      </c>
      <c r="BU2176">
        <v>0</v>
      </c>
      <c r="BV2176" t="s">
        <v>135</v>
      </c>
      <c r="BW2176">
        <v>0</v>
      </c>
      <c r="BX2176">
        <v>0</v>
      </c>
      <c r="BY2176" t="s">
        <v>135</v>
      </c>
      <c r="BZ2176">
        <v>0</v>
      </c>
      <c r="CA2176">
        <v>0</v>
      </c>
      <c r="CB2176" t="s">
        <v>135</v>
      </c>
      <c r="CH2176" s="2"/>
      <c r="CJ2176" s="2"/>
      <c r="CL2176" s="2"/>
      <c r="CN2176" s="2"/>
      <c r="CQ2176" s="2"/>
      <c r="CT2176" s="2"/>
      <c r="CW2176" s="2"/>
    </row>
    <row r="2177" spans="1:101" x14ac:dyDescent="0.25">
      <c r="A2177" s="1" t="s">
        <v>163</v>
      </c>
      <c r="B2177" s="75" t="s">
        <v>164</v>
      </c>
      <c r="C2177">
        <v>0</v>
      </c>
      <c r="D2177">
        <v>0</v>
      </c>
      <c r="E2177">
        <v>0</v>
      </c>
      <c r="F2177">
        <v>604324.56000000006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3.91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7490</v>
      </c>
      <c r="AW2177">
        <v>3350</v>
      </c>
      <c r="AX2177">
        <v>1219</v>
      </c>
      <c r="AY2177">
        <v>12059</v>
      </c>
      <c r="AZ2177">
        <v>4202</v>
      </c>
      <c r="BA2177">
        <v>7438</v>
      </c>
      <c r="BB2177">
        <v>1432</v>
      </c>
      <c r="BC2177">
        <v>13072</v>
      </c>
      <c r="BD2177">
        <v>9486</v>
      </c>
      <c r="BE2177">
        <v>9222</v>
      </c>
      <c r="BF2177">
        <v>1768</v>
      </c>
      <c r="BG2177">
        <v>20476</v>
      </c>
      <c r="BH2177">
        <v>0</v>
      </c>
      <c r="BI2177">
        <v>0</v>
      </c>
      <c r="BJ2177">
        <v>0</v>
      </c>
      <c r="BK2177">
        <v>0</v>
      </c>
      <c r="BL2177" s="2">
        <v>24.82</v>
      </c>
      <c r="BM2177" s="2">
        <v>42005.095138888886</v>
      </c>
      <c r="BN2177" s="2">
        <v>5.4</v>
      </c>
      <c r="BO2177" s="2">
        <v>42005.092361111114</v>
      </c>
      <c r="BP2177" s="2">
        <v>6.92</v>
      </c>
      <c r="BQ2177" s="2">
        <v>42005.092361111114</v>
      </c>
      <c r="BR2177" s="2">
        <v>11.07</v>
      </c>
      <c r="BS2177" s="2">
        <v>42005.092361111114</v>
      </c>
      <c r="BT2177">
        <v>0</v>
      </c>
      <c r="BU2177">
        <v>0</v>
      </c>
      <c r="BV2177" t="s">
        <v>135</v>
      </c>
      <c r="BW2177">
        <v>0</v>
      </c>
      <c r="BX2177">
        <v>0</v>
      </c>
      <c r="BY2177" t="s">
        <v>135</v>
      </c>
      <c r="BZ2177">
        <v>0</v>
      </c>
      <c r="CA2177">
        <v>0</v>
      </c>
      <c r="CB2177" t="s">
        <v>135</v>
      </c>
      <c r="CH2177" s="2"/>
      <c r="CJ2177" s="2"/>
      <c r="CL2177" s="2"/>
      <c r="CN2177" s="2"/>
      <c r="CQ2177" s="2"/>
      <c r="CT2177" s="2"/>
      <c r="CW2177" s="2"/>
    </row>
    <row r="2178" spans="1:101" x14ac:dyDescent="0.25">
      <c r="A2178" s="1" t="s">
        <v>163</v>
      </c>
      <c r="B2178" s="75" t="s">
        <v>164</v>
      </c>
      <c r="C2178">
        <v>0</v>
      </c>
      <c r="D2178">
        <v>0</v>
      </c>
      <c r="E2178">
        <v>0</v>
      </c>
      <c r="F2178">
        <v>604324.56000000006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3.91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7490</v>
      </c>
      <c r="AW2178">
        <v>3350</v>
      </c>
      <c r="AX2178">
        <v>1219</v>
      </c>
      <c r="AY2178">
        <v>12059</v>
      </c>
      <c r="AZ2178">
        <v>4202</v>
      </c>
      <c r="BA2178">
        <v>7438</v>
      </c>
      <c r="BB2178">
        <v>1432</v>
      </c>
      <c r="BC2178">
        <v>13072</v>
      </c>
      <c r="BD2178">
        <v>9486</v>
      </c>
      <c r="BE2178">
        <v>9222</v>
      </c>
      <c r="BF2178">
        <v>1768</v>
      </c>
      <c r="BG2178">
        <v>20476</v>
      </c>
      <c r="BH2178">
        <v>0</v>
      </c>
      <c r="BI2178">
        <v>0</v>
      </c>
      <c r="BJ2178">
        <v>0</v>
      </c>
      <c r="BK2178">
        <v>0</v>
      </c>
      <c r="BL2178" s="2">
        <v>24.82</v>
      </c>
      <c r="BM2178" s="2">
        <v>42005.095138888886</v>
      </c>
      <c r="BN2178" s="2">
        <v>5.4</v>
      </c>
      <c r="BO2178" s="2">
        <v>42005.092361111114</v>
      </c>
      <c r="BP2178" s="2">
        <v>6.92</v>
      </c>
      <c r="BQ2178" s="2">
        <v>42005.092361111114</v>
      </c>
      <c r="BR2178" s="2">
        <v>11.07</v>
      </c>
      <c r="BS2178" s="2">
        <v>42005.092361111114</v>
      </c>
      <c r="BT2178">
        <v>0</v>
      </c>
      <c r="BU2178">
        <v>0</v>
      </c>
      <c r="BV2178" t="s">
        <v>135</v>
      </c>
      <c r="BW2178">
        <v>0</v>
      </c>
      <c r="BX2178">
        <v>0</v>
      </c>
      <c r="BY2178" t="s">
        <v>135</v>
      </c>
      <c r="BZ2178">
        <v>0</v>
      </c>
      <c r="CA2178">
        <v>0</v>
      </c>
      <c r="CB2178" t="s">
        <v>135</v>
      </c>
      <c r="CH2178" s="2"/>
      <c r="CJ2178" s="2"/>
      <c r="CL2178" s="2"/>
      <c r="CN2178" s="2"/>
      <c r="CQ2178" s="2"/>
      <c r="CT2178" s="2"/>
      <c r="CW2178" s="2"/>
    </row>
    <row r="2179" spans="1:101" x14ac:dyDescent="0.25">
      <c r="A2179" s="1" t="s">
        <v>163</v>
      </c>
      <c r="B2179" s="75" t="s">
        <v>164</v>
      </c>
      <c r="C2179">
        <v>0</v>
      </c>
      <c r="D2179">
        <v>0</v>
      </c>
      <c r="E2179">
        <v>0</v>
      </c>
      <c r="F2179">
        <v>604324.56000000006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3.91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7490</v>
      </c>
      <c r="AW2179">
        <v>3350</v>
      </c>
      <c r="AX2179">
        <v>1219</v>
      </c>
      <c r="AY2179">
        <v>12059</v>
      </c>
      <c r="AZ2179">
        <v>4202</v>
      </c>
      <c r="BA2179">
        <v>7438</v>
      </c>
      <c r="BB2179">
        <v>1432</v>
      </c>
      <c r="BC2179">
        <v>13072</v>
      </c>
      <c r="BD2179">
        <v>9486</v>
      </c>
      <c r="BE2179">
        <v>9222</v>
      </c>
      <c r="BF2179">
        <v>1768</v>
      </c>
      <c r="BG2179">
        <v>20476</v>
      </c>
      <c r="BH2179">
        <v>0</v>
      </c>
      <c r="BI2179">
        <v>0</v>
      </c>
      <c r="BJ2179">
        <v>0</v>
      </c>
      <c r="BK2179">
        <v>0</v>
      </c>
      <c r="BL2179" s="2">
        <v>24.82</v>
      </c>
      <c r="BM2179" s="2">
        <v>42005.095138888886</v>
      </c>
      <c r="BN2179" s="2">
        <v>5.4</v>
      </c>
      <c r="BO2179" s="2">
        <v>42005.092361111114</v>
      </c>
      <c r="BP2179" s="2">
        <v>6.92</v>
      </c>
      <c r="BQ2179" s="2">
        <v>42005.092361111114</v>
      </c>
      <c r="BR2179" s="2">
        <v>11.07</v>
      </c>
      <c r="BS2179" s="2">
        <v>42005.092361111114</v>
      </c>
      <c r="BT2179">
        <v>0</v>
      </c>
      <c r="BU2179">
        <v>0</v>
      </c>
      <c r="BV2179" t="s">
        <v>135</v>
      </c>
      <c r="BW2179">
        <v>0</v>
      </c>
      <c r="BX2179">
        <v>0</v>
      </c>
      <c r="BY2179" t="s">
        <v>135</v>
      </c>
      <c r="BZ2179">
        <v>0</v>
      </c>
      <c r="CA2179">
        <v>0</v>
      </c>
      <c r="CB2179" t="s">
        <v>135</v>
      </c>
      <c r="CH2179" s="2"/>
      <c r="CJ2179" s="2"/>
      <c r="CL2179" s="2"/>
      <c r="CN2179" s="2"/>
      <c r="CQ2179" s="2"/>
      <c r="CT2179" s="2"/>
      <c r="CW2179" s="2"/>
    </row>
    <row r="2180" spans="1:101" x14ac:dyDescent="0.25">
      <c r="A2180" s="1" t="s">
        <v>163</v>
      </c>
      <c r="B2180" s="75" t="s">
        <v>164</v>
      </c>
      <c r="C2180">
        <v>0</v>
      </c>
      <c r="D2180">
        <v>0</v>
      </c>
      <c r="E2180">
        <v>0</v>
      </c>
      <c r="F2180">
        <v>604324.56000000006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3.91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7490</v>
      </c>
      <c r="AW2180">
        <v>3350</v>
      </c>
      <c r="AX2180">
        <v>1219</v>
      </c>
      <c r="AY2180">
        <v>12059</v>
      </c>
      <c r="AZ2180">
        <v>4202</v>
      </c>
      <c r="BA2180">
        <v>7438</v>
      </c>
      <c r="BB2180">
        <v>1432</v>
      </c>
      <c r="BC2180">
        <v>13072</v>
      </c>
      <c r="BD2180">
        <v>9486</v>
      </c>
      <c r="BE2180">
        <v>9222</v>
      </c>
      <c r="BF2180">
        <v>1768</v>
      </c>
      <c r="BG2180">
        <v>20476</v>
      </c>
      <c r="BH2180">
        <v>0</v>
      </c>
      <c r="BI2180">
        <v>0</v>
      </c>
      <c r="BJ2180">
        <v>0</v>
      </c>
      <c r="BK2180">
        <v>0</v>
      </c>
      <c r="BL2180" s="2">
        <v>24.82</v>
      </c>
      <c r="BM2180" s="2">
        <v>42005.095138888886</v>
      </c>
      <c r="BN2180" s="2">
        <v>5.4</v>
      </c>
      <c r="BO2180" s="2">
        <v>42005.092361111114</v>
      </c>
      <c r="BP2180" s="2">
        <v>6.92</v>
      </c>
      <c r="BQ2180" s="2">
        <v>42005.092361111114</v>
      </c>
      <c r="BR2180" s="2">
        <v>11.07</v>
      </c>
      <c r="BS2180" s="2">
        <v>42005.092361111114</v>
      </c>
      <c r="BT2180">
        <v>0</v>
      </c>
      <c r="BU2180">
        <v>0</v>
      </c>
      <c r="BV2180" t="s">
        <v>135</v>
      </c>
      <c r="BW2180">
        <v>0</v>
      </c>
      <c r="BX2180">
        <v>0</v>
      </c>
      <c r="BY2180" t="s">
        <v>135</v>
      </c>
      <c r="BZ2180">
        <v>0</v>
      </c>
      <c r="CA2180">
        <v>0</v>
      </c>
      <c r="CB2180" t="s">
        <v>135</v>
      </c>
      <c r="CH2180" s="2"/>
      <c r="CJ2180" s="2"/>
      <c r="CL2180" s="2"/>
      <c r="CN2180" s="2"/>
      <c r="CQ2180" s="2"/>
      <c r="CT2180" s="2"/>
      <c r="CW2180" s="2"/>
    </row>
    <row r="2181" spans="1:101" x14ac:dyDescent="0.25">
      <c r="A2181" s="1" t="s">
        <v>163</v>
      </c>
      <c r="B2181" s="75" t="s">
        <v>164</v>
      </c>
      <c r="C2181">
        <v>0</v>
      </c>
      <c r="D2181">
        <v>0</v>
      </c>
      <c r="E2181">
        <v>0</v>
      </c>
      <c r="F2181">
        <v>604324.56000000006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3.91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7490</v>
      </c>
      <c r="AW2181">
        <v>3350</v>
      </c>
      <c r="AX2181">
        <v>1219</v>
      </c>
      <c r="AY2181">
        <v>12059</v>
      </c>
      <c r="AZ2181">
        <v>4202</v>
      </c>
      <c r="BA2181">
        <v>7438</v>
      </c>
      <c r="BB2181">
        <v>1432</v>
      </c>
      <c r="BC2181">
        <v>13072</v>
      </c>
      <c r="BD2181">
        <v>9486</v>
      </c>
      <c r="BE2181">
        <v>9222</v>
      </c>
      <c r="BF2181">
        <v>1768</v>
      </c>
      <c r="BG2181">
        <v>20476</v>
      </c>
      <c r="BH2181">
        <v>0</v>
      </c>
      <c r="BI2181">
        <v>0</v>
      </c>
      <c r="BJ2181">
        <v>0</v>
      </c>
      <c r="BK2181">
        <v>0</v>
      </c>
      <c r="BL2181" s="2">
        <v>24.82</v>
      </c>
      <c r="BM2181" s="2">
        <v>42005.095138888886</v>
      </c>
      <c r="BN2181" s="2">
        <v>5.4</v>
      </c>
      <c r="BO2181" s="2">
        <v>42005.092361111114</v>
      </c>
      <c r="BP2181" s="2">
        <v>6.92</v>
      </c>
      <c r="BQ2181" s="2">
        <v>42005.092361111114</v>
      </c>
      <c r="BR2181" s="2">
        <v>11.07</v>
      </c>
      <c r="BS2181" s="2">
        <v>42005.092361111114</v>
      </c>
      <c r="BT2181">
        <v>0</v>
      </c>
      <c r="BU2181">
        <v>0</v>
      </c>
      <c r="BV2181" t="s">
        <v>135</v>
      </c>
      <c r="BW2181">
        <v>0</v>
      </c>
      <c r="BX2181">
        <v>0</v>
      </c>
      <c r="BY2181" t="s">
        <v>135</v>
      </c>
      <c r="BZ2181">
        <v>0</v>
      </c>
      <c r="CA2181">
        <v>0</v>
      </c>
      <c r="CB2181" t="s">
        <v>135</v>
      </c>
      <c r="CH2181" s="2"/>
      <c r="CJ2181" s="2"/>
      <c r="CL2181" s="2"/>
      <c r="CN2181" s="2"/>
      <c r="CQ2181" s="2"/>
      <c r="CT2181" s="2"/>
      <c r="CW2181" s="2"/>
    </row>
    <row r="2182" spans="1:101" x14ac:dyDescent="0.25">
      <c r="A2182" s="1" t="s">
        <v>163</v>
      </c>
      <c r="B2182" s="75" t="s">
        <v>164</v>
      </c>
      <c r="C2182">
        <v>0</v>
      </c>
      <c r="D2182">
        <v>0</v>
      </c>
      <c r="E2182">
        <v>0</v>
      </c>
      <c r="F2182">
        <v>604324.56000000006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3.91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7490</v>
      </c>
      <c r="AW2182">
        <v>3350</v>
      </c>
      <c r="AX2182">
        <v>1219</v>
      </c>
      <c r="AY2182">
        <v>12059</v>
      </c>
      <c r="AZ2182">
        <v>4202</v>
      </c>
      <c r="BA2182">
        <v>7438</v>
      </c>
      <c r="BB2182">
        <v>1432</v>
      </c>
      <c r="BC2182">
        <v>13072</v>
      </c>
      <c r="BD2182">
        <v>9486</v>
      </c>
      <c r="BE2182">
        <v>9222</v>
      </c>
      <c r="BF2182">
        <v>1768</v>
      </c>
      <c r="BG2182">
        <v>20476</v>
      </c>
      <c r="BH2182">
        <v>0</v>
      </c>
      <c r="BI2182">
        <v>0</v>
      </c>
      <c r="BJ2182">
        <v>0</v>
      </c>
      <c r="BK2182">
        <v>0</v>
      </c>
      <c r="BL2182" s="2">
        <v>24.82</v>
      </c>
      <c r="BM2182" s="2">
        <v>42005.095138888886</v>
      </c>
      <c r="BN2182" s="2">
        <v>5.4</v>
      </c>
      <c r="BO2182" s="2">
        <v>42005.092361111114</v>
      </c>
      <c r="BP2182" s="2">
        <v>6.92</v>
      </c>
      <c r="BQ2182" s="2">
        <v>42005.092361111114</v>
      </c>
      <c r="BR2182" s="2">
        <v>11.07</v>
      </c>
      <c r="BS2182" s="2">
        <v>42005.092361111114</v>
      </c>
      <c r="BT2182">
        <v>0</v>
      </c>
      <c r="BU2182">
        <v>0</v>
      </c>
      <c r="BV2182" t="s">
        <v>135</v>
      </c>
      <c r="BW2182">
        <v>0</v>
      </c>
      <c r="BX2182">
        <v>0</v>
      </c>
      <c r="BY2182" t="s">
        <v>135</v>
      </c>
      <c r="BZ2182">
        <v>0</v>
      </c>
      <c r="CA2182">
        <v>0</v>
      </c>
      <c r="CB2182" t="s">
        <v>135</v>
      </c>
      <c r="CH2182" s="2"/>
      <c r="CJ2182" s="2"/>
      <c r="CL2182" s="2"/>
      <c r="CN2182" s="2"/>
      <c r="CQ2182" s="2"/>
      <c r="CT2182" s="2"/>
      <c r="CW2182" s="2"/>
    </row>
    <row r="2183" spans="1:101" x14ac:dyDescent="0.25">
      <c r="A2183" s="1" t="s">
        <v>163</v>
      </c>
      <c r="B2183" s="75" t="s">
        <v>164</v>
      </c>
      <c r="C2183">
        <v>0</v>
      </c>
      <c r="D2183">
        <v>0</v>
      </c>
      <c r="E2183">
        <v>0</v>
      </c>
      <c r="F2183">
        <v>604324.56000000006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3.91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7490</v>
      </c>
      <c r="AW2183">
        <v>3350</v>
      </c>
      <c r="AX2183">
        <v>1219</v>
      </c>
      <c r="AY2183">
        <v>12059</v>
      </c>
      <c r="AZ2183">
        <v>4202</v>
      </c>
      <c r="BA2183">
        <v>7438</v>
      </c>
      <c r="BB2183">
        <v>1432</v>
      </c>
      <c r="BC2183">
        <v>13072</v>
      </c>
      <c r="BD2183">
        <v>9486</v>
      </c>
      <c r="BE2183">
        <v>9222</v>
      </c>
      <c r="BF2183">
        <v>1768</v>
      </c>
      <c r="BG2183">
        <v>20476</v>
      </c>
      <c r="BH2183">
        <v>0</v>
      </c>
      <c r="BI2183">
        <v>0</v>
      </c>
      <c r="BJ2183">
        <v>0</v>
      </c>
      <c r="BK2183">
        <v>0</v>
      </c>
      <c r="BL2183" s="2">
        <v>24.82</v>
      </c>
      <c r="BM2183" s="2">
        <v>42005.095138888886</v>
      </c>
      <c r="BN2183" s="2">
        <v>5.4</v>
      </c>
      <c r="BO2183" s="2">
        <v>42005.092361111114</v>
      </c>
      <c r="BP2183" s="2">
        <v>6.92</v>
      </c>
      <c r="BQ2183" s="2">
        <v>42005.092361111114</v>
      </c>
      <c r="BR2183" s="2">
        <v>11.07</v>
      </c>
      <c r="BS2183" s="2">
        <v>42005.092361111114</v>
      </c>
      <c r="BT2183">
        <v>0</v>
      </c>
      <c r="BU2183">
        <v>0</v>
      </c>
      <c r="BV2183" t="s">
        <v>135</v>
      </c>
      <c r="BW2183">
        <v>0</v>
      </c>
      <c r="BX2183">
        <v>0</v>
      </c>
      <c r="BY2183" t="s">
        <v>135</v>
      </c>
      <c r="BZ2183">
        <v>0</v>
      </c>
      <c r="CA2183">
        <v>0</v>
      </c>
      <c r="CB2183" t="s">
        <v>135</v>
      </c>
      <c r="CH2183" s="2"/>
      <c r="CJ2183" s="2"/>
      <c r="CL2183" s="2"/>
      <c r="CN2183" s="2"/>
      <c r="CQ2183" s="2"/>
      <c r="CT2183" s="2"/>
      <c r="CW2183" s="2"/>
    </row>
    <row r="2184" spans="1:101" x14ac:dyDescent="0.25">
      <c r="A2184" s="1" t="s">
        <v>163</v>
      </c>
      <c r="B2184" s="75" t="s">
        <v>164</v>
      </c>
      <c r="C2184">
        <v>0</v>
      </c>
      <c r="D2184">
        <v>0</v>
      </c>
      <c r="E2184">
        <v>0</v>
      </c>
      <c r="F2184">
        <v>604324.56000000006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3.91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7490</v>
      </c>
      <c r="AW2184">
        <v>3350</v>
      </c>
      <c r="AX2184">
        <v>1219</v>
      </c>
      <c r="AY2184">
        <v>12059</v>
      </c>
      <c r="AZ2184">
        <v>4202</v>
      </c>
      <c r="BA2184">
        <v>7438</v>
      </c>
      <c r="BB2184">
        <v>1432</v>
      </c>
      <c r="BC2184">
        <v>13072</v>
      </c>
      <c r="BD2184">
        <v>9486</v>
      </c>
      <c r="BE2184">
        <v>9222</v>
      </c>
      <c r="BF2184">
        <v>1768</v>
      </c>
      <c r="BG2184">
        <v>20476</v>
      </c>
      <c r="BH2184">
        <v>0</v>
      </c>
      <c r="BI2184">
        <v>0</v>
      </c>
      <c r="BJ2184">
        <v>0</v>
      </c>
      <c r="BK2184">
        <v>0</v>
      </c>
      <c r="BL2184" s="2">
        <v>24.82</v>
      </c>
      <c r="BM2184" s="2">
        <v>42005.095138888886</v>
      </c>
      <c r="BN2184" s="2">
        <v>5.4</v>
      </c>
      <c r="BO2184" s="2">
        <v>42005.092361111114</v>
      </c>
      <c r="BP2184" s="2">
        <v>6.92</v>
      </c>
      <c r="BQ2184" s="2">
        <v>42005.092361111114</v>
      </c>
      <c r="BR2184" s="2">
        <v>11.07</v>
      </c>
      <c r="BS2184" s="2">
        <v>42005.092361111114</v>
      </c>
      <c r="BT2184">
        <v>0</v>
      </c>
      <c r="BU2184">
        <v>0</v>
      </c>
      <c r="BV2184" t="s">
        <v>135</v>
      </c>
      <c r="BW2184">
        <v>0</v>
      </c>
      <c r="BX2184">
        <v>0</v>
      </c>
      <c r="BY2184" t="s">
        <v>135</v>
      </c>
      <c r="BZ2184">
        <v>0</v>
      </c>
      <c r="CA2184">
        <v>0</v>
      </c>
      <c r="CB2184" t="s">
        <v>135</v>
      </c>
      <c r="CH2184" s="2"/>
      <c r="CJ2184" s="2"/>
      <c r="CL2184" s="2"/>
      <c r="CN2184" s="2"/>
      <c r="CQ2184" s="2"/>
      <c r="CT2184" s="2"/>
      <c r="CW2184" s="2"/>
    </row>
    <row r="2185" spans="1:101" x14ac:dyDescent="0.25">
      <c r="A2185" s="1" t="s">
        <v>163</v>
      </c>
      <c r="B2185" s="75" t="s">
        <v>164</v>
      </c>
      <c r="C2185">
        <v>0</v>
      </c>
      <c r="D2185">
        <v>0</v>
      </c>
      <c r="E2185">
        <v>0</v>
      </c>
      <c r="F2185">
        <v>604324.56000000006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3.91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7490</v>
      </c>
      <c r="AW2185">
        <v>3350</v>
      </c>
      <c r="AX2185">
        <v>1219</v>
      </c>
      <c r="AY2185">
        <v>12059</v>
      </c>
      <c r="AZ2185">
        <v>4202</v>
      </c>
      <c r="BA2185">
        <v>7438</v>
      </c>
      <c r="BB2185">
        <v>1432</v>
      </c>
      <c r="BC2185">
        <v>13072</v>
      </c>
      <c r="BD2185">
        <v>9486</v>
      </c>
      <c r="BE2185">
        <v>9222</v>
      </c>
      <c r="BF2185">
        <v>1768</v>
      </c>
      <c r="BG2185">
        <v>20476</v>
      </c>
      <c r="BH2185">
        <v>0</v>
      </c>
      <c r="BI2185">
        <v>0</v>
      </c>
      <c r="BJ2185">
        <v>0</v>
      </c>
      <c r="BK2185">
        <v>0</v>
      </c>
      <c r="BL2185" s="2">
        <v>24.82</v>
      </c>
      <c r="BM2185" s="2">
        <v>42005.095138888886</v>
      </c>
      <c r="BN2185" s="2">
        <v>5.4</v>
      </c>
      <c r="BO2185" s="2">
        <v>42005.092361111114</v>
      </c>
      <c r="BP2185" s="2">
        <v>6.92</v>
      </c>
      <c r="BQ2185" s="2">
        <v>42005.092361111114</v>
      </c>
      <c r="BR2185" s="2">
        <v>11.07</v>
      </c>
      <c r="BS2185" s="2">
        <v>42005.092361111114</v>
      </c>
      <c r="BT2185">
        <v>0</v>
      </c>
      <c r="BU2185">
        <v>0</v>
      </c>
      <c r="BV2185" t="s">
        <v>135</v>
      </c>
      <c r="BW2185">
        <v>0</v>
      </c>
      <c r="BX2185">
        <v>0</v>
      </c>
      <c r="BY2185" t="s">
        <v>135</v>
      </c>
      <c r="BZ2185">
        <v>0</v>
      </c>
      <c r="CA2185">
        <v>0</v>
      </c>
      <c r="CB2185" t="s">
        <v>135</v>
      </c>
      <c r="CH2185" s="2"/>
      <c r="CJ2185" s="2"/>
      <c r="CL2185" s="2"/>
      <c r="CN2185" s="2"/>
      <c r="CQ2185" s="2"/>
      <c r="CT2185" s="2"/>
      <c r="CW2185" s="2"/>
    </row>
    <row r="2186" spans="1:101" x14ac:dyDescent="0.25">
      <c r="A2186" s="1" t="s">
        <v>163</v>
      </c>
      <c r="B2186" s="75" t="s">
        <v>164</v>
      </c>
      <c r="C2186">
        <v>0</v>
      </c>
      <c r="D2186">
        <v>0</v>
      </c>
      <c r="E2186">
        <v>0</v>
      </c>
      <c r="F2186">
        <v>604324.56000000006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3.91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7490</v>
      </c>
      <c r="AW2186">
        <v>3350</v>
      </c>
      <c r="AX2186">
        <v>1219</v>
      </c>
      <c r="AY2186">
        <v>12059</v>
      </c>
      <c r="AZ2186">
        <v>4202</v>
      </c>
      <c r="BA2186">
        <v>7438</v>
      </c>
      <c r="BB2186">
        <v>1432</v>
      </c>
      <c r="BC2186">
        <v>13072</v>
      </c>
      <c r="BD2186">
        <v>9486</v>
      </c>
      <c r="BE2186">
        <v>9222</v>
      </c>
      <c r="BF2186">
        <v>1768</v>
      </c>
      <c r="BG2186">
        <v>20476</v>
      </c>
      <c r="BH2186">
        <v>0</v>
      </c>
      <c r="BI2186">
        <v>0</v>
      </c>
      <c r="BJ2186">
        <v>0</v>
      </c>
      <c r="BK2186">
        <v>0</v>
      </c>
      <c r="BL2186" s="2">
        <v>24.82</v>
      </c>
      <c r="BM2186" s="2">
        <v>42005.095138888886</v>
      </c>
      <c r="BN2186" s="2">
        <v>5.4</v>
      </c>
      <c r="BO2186" s="2">
        <v>42005.092361111114</v>
      </c>
      <c r="BP2186" s="2">
        <v>6.92</v>
      </c>
      <c r="BQ2186" s="2">
        <v>42005.092361111114</v>
      </c>
      <c r="BR2186" s="2">
        <v>11.07</v>
      </c>
      <c r="BS2186" s="2">
        <v>42005.092361111114</v>
      </c>
      <c r="BT2186">
        <v>0</v>
      </c>
      <c r="BU2186">
        <v>0</v>
      </c>
      <c r="BV2186" t="s">
        <v>135</v>
      </c>
      <c r="BW2186">
        <v>0</v>
      </c>
      <c r="BX2186">
        <v>0</v>
      </c>
      <c r="BY2186" t="s">
        <v>135</v>
      </c>
      <c r="BZ2186">
        <v>0</v>
      </c>
      <c r="CA2186">
        <v>0</v>
      </c>
      <c r="CB2186" t="s">
        <v>135</v>
      </c>
      <c r="CH2186" s="2"/>
      <c r="CJ2186" s="2"/>
      <c r="CL2186" s="2"/>
      <c r="CN2186" s="2"/>
      <c r="CQ2186" s="2"/>
      <c r="CT2186" s="2"/>
      <c r="CW2186" s="2"/>
    </row>
    <row r="2187" spans="1:101" x14ac:dyDescent="0.25">
      <c r="A2187" s="1" t="s">
        <v>163</v>
      </c>
      <c r="B2187" s="75" t="s">
        <v>164</v>
      </c>
      <c r="C2187">
        <v>0</v>
      </c>
      <c r="D2187">
        <v>0</v>
      </c>
      <c r="E2187">
        <v>0</v>
      </c>
      <c r="F2187">
        <v>604324.56000000006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3.91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7490</v>
      </c>
      <c r="AW2187">
        <v>3350</v>
      </c>
      <c r="AX2187">
        <v>1219</v>
      </c>
      <c r="AY2187">
        <v>12059</v>
      </c>
      <c r="AZ2187">
        <v>4202</v>
      </c>
      <c r="BA2187">
        <v>7438</v>
      </c>
      <c r="BB2187">
        <v>1432</v>
      </c>
      <c r="BC2187">
        <v>13072</v>
      </c>
      <c r="BD2187">
        <v>9486</v>
      </c>
      <c r="BE2187">
        <v>9222</v>
      </c>
      <c r="BF2187">
        <v>1768</v>
      </c>
      <c r="BG2187">
        <v>20476</v>
      </c>
      <c r="BH2187">
        <v>0</v>
      </c>
      <c r="BI2187">
        <v>0</v>
      </c>
      <c r="BJ2187">
        <v>0</v>
      </c>
      <c r="BK2187">
        <v>0</v>
      </c>
      <c r="BL2187" s="2">
        <v>24.82</v>
      </c>
      <c r="BM2187" s="2">
        <v>42005.095138888886</v>
      </c>
      <c r="BN2187" s="2">
        <v>5.4</v>
      </c>
      <c r="BO2187" s="2">
        <v>42005.092361111114</v>
      </c>
      <c r="BP2187" s="2">
        <v>6.92</v>
      </c>
      <c r="BQ2187" s="2">
        <v>42005.092361111114</v>
      </c>
      <c r="BR2187" s="2">
        <v>11.07</v>
      </c>
      <c r="BS2187" s="2">
        <v>42005.092361111114</v>
      </c>
      <c r="BT2187">
        <v>0</v>
      </c>
      <c r="BU2187">
        <v>0</v>
      </c>
      <c r="BV2187" t="s">
        <v>135</v>
      </c>
      <c r="BW2187">
        <v>0</v>
      </c>
      <c r="BX2187">
        <v>0</v>
      </c>
      <c r="BY2187" t="s">
        <v>135</v>
      </c>
      <c r="BZ2187">
        <v>0</v>
      </c>
      <c r="CA2187">
        <v>0</v>
      </c>
      <c r="CB2187" t="s">
        <v>135</v>
      </c>
      <c r="CH2187" s="2"/>
      <c r="CJ2187" s="2"/>
      <c r="CL2187" s="2"/>
      <c r="CN2187" s="2"/>
      <c r="CQ2187" s="2"/>
      <c r="CT2187" s="2"/>
      <c r="CW2187" s="2"/>
    </row>
    <row r="2188" spans="1:101" x14ac:dyDescent="0.25">
      <c r="A2188" s="1" t="s">
        <v>163</v>
      </c>
      <c r="B2188" s="75" t="s">
        <v>164</v>
      </c>
      <c r="C2188">
        <v>0</v>
      </c>
      <c r="D2188">
        <v>0</v>
      </c>
      <c r="E2188">
        <v>0</v>
      </c>
      <c r="F2188">
        <v>604324.56000000006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3.91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7490</v>
      </c>
      <c r="AW2188">
        <v>3350</v>
      </c>
      <c r="AX2188">
        <v>1219</v>
      </c>
      <c r="AY2188">
        <v>12059</v>
      </c>
      <c r="AZ2188">
        <v>4202</v>
      </c>
      <c r="BA2188">
        <v>7438</v>
      </c>
      <c r="BB2188">
        <v>1432</v>
      </c>
      <c r="BC2188">
        <v>13072</v>
      </c>
      <c r="BD2188">
        <v>9486</v>
      </c>
      <c r="BE2188">
        <v>9222</v>
      </c>
      <c r="BF2188">
        <v>1768</v>
      </c>
      <c r="BG2188">
        <v>20476</v>
      </c>
      <c r="BH2188">
        <v>0</v>
      </c>
      <c r="BI2188">
        <v>0</v>
      </c>
      <c r="BJ2188">
        <v>0</v>
      </c>
      <c r="BK2188">
        <v>0</v>
      </c>
      <c r="BL2188" s="2">
        <v>24.82</v>
      </c>
      <c r="BM2188" s="2">
        <v>42005.095138888886</v>
      </c>
      <c r="BN2188" s="2">
        <v>5.4</v>
      </c>
      <c r="BO2188" s="2">
        <v>42005.092361111114</v>
      </c>
      <c r="BP2188" s="2">
        <v>6.92</v>
      </c>
      <c r="BQ2188" s="2">
        <v>42005.092361111114</v>
      </c>
      <c r="BR2188" s="2">
        <v>11.07</v>
      </c>
      <c r="BS2188" s="2">
        <v>42005.092361111114</v>
      </c>
      <c r="BT2188">
        <v>0</v>
      </c>
      <c r="BU2188">
        <v>0</v>
      </c>
      <c r="BV2188" t="s">
        <v>135</v>
      </c>
      <c r="BW2188">
        <v>0</v>
      </c>
      <c r="BX2188">
        <v>0</v>
      </c>
      <c r="BY2188" t="s">
        <v>135</v>
      </c>
      <c r="BZ2188">
        <v>0</v>
      </c>
      <c r="CA2188">
        <v>0</v>
      </c>
      <c r="CB2188" t="s">
        <v>135</v>
      </c>
      <c r="CH2188" s="2"/>
      <c r="CJ2188" s="2"/>
      <c r="CL2188" s="2"/>
      <c r="CN2188" s="2"/>
      <c r="CQ2188" s="2"/>
      <c r="CT2188" s="2"/>
      <c r="CW2188" s="2"/>
    </row>
    <row r="2189" spans="1:101" x14ac:dyDescent="0.25">
      <c r="A2189" s="1" t="s">
        <v>163</v>
      </c>
      <c r="B2189" s="75" t="s">
        <v>164</v>
      </c>
      <c r="C2189">
        <v>0</v>
      </c>
      <c r="D2189">
        <v>0</v>
      </c>
      <c r="E2189">
        <v>0</v>
      </c>
      <c r="F2189">
        <v>604324.56000000006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3.91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7490</v>
      </c>
      <c r="AW2189">
        <v>3350</v>
      </c>
      <c r="AX2189">
        <v>1219</v>
      </c>
      <c r="AY2189">
        <v>12059</v>
      </c>
      <c r="AZ2189">
        <v>4202</v>
      </c>
      <c r="BA2189">
        <v>7438</v>
      </c>
      <c r="BB2189">
        <v>1432</v>
      </c>
      <c r="BC2189">
        <v>13072</v>
      </c>
      <c r="BD2189">
        <v>9486</v>
      </c>
      <c r="BE2189">
        <v>9222</v>
      </c>
      <c r="BF2189">
        <v>1768</v>
      </c>
      <c r="BG2189">
        <v>20476</v>
      </c>
      <c r="BH2189">
        <v>0</v>
      </c>
      <c r="BI2189">
        <v>0</v>
      </c>
      <c r="BJ2189">
        <v>0</v>
      </c>
      <c r="BK2189">
        <v>0</v>
      </c>
      <c r="BL2189" s="2">
        <v>24.82</v>
      </c>
      <c r="BM2189" s="2">
        <v>42005.095138888886</v>
      </c>
      <c r="BN2189" s="2">
        <v>5.4</v>
      </c>
      <c r="BO2189" s="2">
        <v>42005.092361111114</v>
      </c>
      <c r="BP2189" s="2">
        <v>6.92</v>
      </c>
      <c r="BQ2189" s="2">
        <v>42005.092361111114</v>
      </c>
      <c r="BR2189" s="2">
        <v>11.07</v>
      </c>
      <c r="BS2189" s="2">
        <v>42005.092361111114</v>
      </c>
      <c r="BT2189">
        <v>0</v>
      </c>
      <c r="BU2189">
        <v>0</v>
      </c>
      <c r="BV2189" t="s">
        <v>135</v>
      </c>
      <c r="BW2189">
        <v>0</v>
      </c>
      <c r="BX2189">
        <v>0</v>
      </c>
      <c r="BY2189" t="s">
        <v>135</v>
      </c>
      <c r="BZ2189">
        <v>0</v>
      </c>
      <c r="CA2189">
        <v>0</v>
      </c>
      <c r="CB2189" t="s">
        <v>135</v>
      </c>
      <c r="CH2189" s="2"/>
      <c r="CJ2189" s="2"/>
      <c r="CL2189" s="2"/>
      <c r="CN2189" s="2"/>
      <c r="CQ2189" s="2"/>
      <c r="CT2189" s="2"/>
      <c r="CW2189" s="2"/>
    </row>
    <row r="2190" spans="1:101" x14ac:dyDescent="0.25">
      <c r="A2190" s="1" t="s">
        <v>163</v>
      </c>
      <c r="B2190" s="75" t="s">
        <v>164</v>
      </c>
      <c r="C2190">
        <v>0</v>
      </c>
      <c r="D2190">
        <v>0</v>
      </c>
      <c r="E2190">
        <v>0</v>
      </c>
      <c r="F2190">
        <v>604324.56000000006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3.91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7490</v>
      </c>
      <c r="AW2190">
        <v>3350</v>
      </c>
      <c r="AX2190">
        <v>1219</v>
      </c>
      <c r="AY2190">
        <v>12059</v>
      </c>
      <c r="AZ2190">
        <v>4202</v>
      </c>
      <c r="BA2190">
        <v>7438</v>
      </c>
      <c r="BB2190">
        <v>1432</v>
      </c>
      <c r="BC2190">
        <v>13072</v>
      </c>
      <c r="BD2190">
        <v>9486</v>
      </c>
      <c r="BE2190">
        <v>9222</v>
      </c>
      <c r="BF2190">
        <v>1768</v>
      </c>
      <c r="BG2190">
        <v>20476</v>
      </c>
      <c r="BH2190">
        <v>0</v>
      </c>
      <c r="BI2190">
        <v>0</v>
      </c>
      <c r="BJ2190">
        <v>0</v>
      </c>
      <c r="BK2190">
        <v>0</v>
      </c>
      <c r="BL2190" s="2">
        <v>24.82</v>
      </c>
      <c r="BM2190" s="2">
        <v>42005.095138888886</v>
      </c>
      <c r="BN2190" s="2">
        <v>5.4</v>
      </c>
      <c r="BO2190" s="2">
        <v>42005.092361111114</v>
      </c>
      <c r="BP2190" s="2">
        <v>6.92</v>
      </c>
      <c r="BQ2190" s="2">
        <v>42005.092361111114</v>
      </c>
      <c r="BR2190" s="2">
        <v>11.07</v>
      </c>
      <c r="BS2190" s="2">
        <v>42005.092361111114</v>
      </c>
      <c r="BT2190">
        <v>0</v>
      </c>
      <c r="BU2190">
        <v>0</v>
      </c>
      <c r="BV2190" t="s">
        <v>135</v>
      </c>
      <c r="BW2190">
        <v>0</v>
      </c>
      <c r="BX2190">
        <v>0</v>
      </c>
      <c r="BY2190" t="s">
        <v>135</v>
      </c>
      <c r="BZ2190">
        <v>0</v>
      </c>
      <c r="CA2190">
        <v>0</v>
      </c>
      <c r="CB2190" t="s">
        <v>135</v>
      </c>
      <c r="CH2190" s="2"/>
      <c r="CJ2190" s="2"/>
      <c r="CL2190" s="2"/>
      <c r="CN2190" s="2"/>
      <c r="CQ2190" s="2"/>
      <c r="CT2190" s="2"/>
      <c r="CW2190" s="2"/>
    </row>
    <row r="2191" spans="1:101" x14ac:dyDescent="0.25">
      <c r="A2191" s="1" t="s">
        <v>163</v>
      </c>
      <c r="B2191" s="75" t="s">
        <v>164</v>
      </c>
      <c r="C2191">
        <v>0</v>
      </c>
      <c r="D2191">
        <v>0</v>
      </c>
      <c r="E2191">
        <v>0</v>
      </c>
      <c r="F2191">
        <v>604324.56000000006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3.91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7490</v>
      </c>
      <c r="AW2191">
        <v>3350</v>
      </c>
      <c r="AX2191">
        <v>1219</v>
      </c>
      <c r="AY2191">
        <v>12059</v>
      </c>
      <c r="AZ2191">
        <v>4202</v>
      </c>
      <c r="BA2191">
        <v>7438</v>
      </c>
      <c r="BB2191">
        <v>1432</v>
      </c>
      <c r="BC2191">
        <v>13072</v>
      </c>
      <c r="BD2191">
        <v>9486</v>
      </c>
      <c r="BE2191">
        <v>9222</v>
      </c>
      <c r="BF2191">
        <v>1768</v>
      </c>
      <c r="BG2191">
        <v>20476</v>
      </c>
      <c r="BH2191">
        <v>0</v>
      </c>
      <c r="BI2191">
        <v>0</v>
      </c>
      <c r="BJ2191">
        <v>0</v>
      </c>
      <c r="BK2191">
        <v>0</v>
      </c>
      <c r="BL2191" s="2">
        <v>24.82</v>
      </c>
      <c r="BM2191" s="2">
        <v>42005.095138888886</v>
      </c>
      <c r="BN2191" s="2">
        <v>5.4</v>
      </c>
      <c r="BO2191" s="2">
        <v>42005.092361111114</v>
      </c>
      <c r="BP2191" s="2">
        <v>6.92</v>
      </c>
      <c r="BQ2191" s="2">
        <v>42005.092361111114</v>
      </c>
      <c r="BR2191" s="2">
        <v>11.07</v>
      </c>
      <c r="BS2191" s="2">
        <v>42005.092361111114</v>
      </c>
      <c r="BT2191">
        <v>0</v>
      </c>
      <c r="BU2191">
        <v>0</v>
      </c>
      <c r="BV2191" t="s">
        <v>135</v>
      </c>
      <c r="BW2191">
        <v>0</v>
      </c>
      <c r="BX2191">
        <v>0</v>
      </c>
      <c r="BY2191" t="s">
        <v>135</v>
      </c>
      <c r="BZ2191">
        <v>0</v>
      </c>
      <c r="CA2191">
        <v>0</v>
      </c>
      <c r="CB2191" t="s">
        <v>135</v>
      </c>
      <c r="CH2191" s="2"/>
      <c r="CJ2191" s="2"/>
      <c r="CL2191" s="2"/>
      <c r="CN2191" s="2"/>
      <c r="CQ2191" s="2"/>
      <c r="CT2191" s="2"/>
      <c r="CW2191" s="2"/>
    </row>
    <row r="2192" spans="1:101" x14ac:dyDescent="0.25">
      <c r="A2192" s="1" t="s">
        <v>163</v>
      </c>
      <c r="B2192" s="75" t="s">
        <v>164</v>
      </c>
      <c r="C2192">
        <v>0</v>
      </c>
      <c r="D2192">
        <v>0</v>
      </c>
      <c r="E2192">
        <v>0</v>
      </c>
      <c r="F2192">
        <v>604324.56000000006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3.91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7490</v>
      </c>
      <c r="AW2192">
        <v>3350</v>
      </c>
      <c r="AX2192">
        <v>1219</v>
      </c>
      <c r="AY2192">
        <v>12059</v>
      </c>
      <c r="AZ2192">
        <v>4202</v>
      </c>
      <c r="BA2192">
        <v>7438</v>
      </c>
      <c r="BB2192">
        <v>1432</v>
      </c>
      <c r="BC2192">
        <v>13072</v>
      </c>
      <c r="BD2192">
        <v>9486</v>
      </c>
      <c r="BE2192">
        <v>9222</v>
      </c>
      <c r="BF2192">
        <v>1768</v>
      </c>
      <c r="BG2192">
        <v>20476</v>
      </c>
      <c r="BH2192">
        <v>0</v>
      </c>
      <c r="BI2192">
        <v>0</v>
      </c>
      <c r="BJ2192">
        <v>0</v>
      </c>
      <c r="BK2192">
        <v>0</v>
      </c>
      <c r="BL2192" s="2">
        <v>24.82</v>
      </c>
      <c r="BM2192" s="2">
        <v>42005.095138888886</v>
      </c>
      <c r="BN2192" s="2">
        <v>5.4</v>
      </c>
      <c r="BO2192" s="2">
        <v>42005.092361111114</v>
      </c>
      <c r="BP2192" s="2">
        <v>6.92</v>
      </c>
      <c r="BQ2192" s="2">
        <v>42005.092361111114</v>
      </c>
      <c r="BR2192" s="2">
        <v>11.07</v>
      </c>
      <c r="BS2192" s="2">
        <v>42005.092361111114</v>
      </c>
      <c r="BT2192">
        <v>0</v>
      </c>
      <c r="BU2192">
        <v>0</v>
      </c>
      <c r="BV2192" t="s">
        <v>135</v>
      </c>
      <c r="BW2192">
        <v>0</v>
      </c>
      <c r="BX2192">
        <v>0</v>
      </c>
      <c r="BY2192" t="s">
        <v>135</v>
      </c>
      <c r="BZ2192">
        <v>0</v>
      </c>
      <c r="CA2192">
        <v>0</v>
      </c>
      <c r="CB2192" t="s">
        <v>135</v>
      </c>
      <c r="CH2192" s="2"/>
      <c r="CJ2192" s="2"/>
      <c r="CL2192" s="2"/>
      <c r="CN2192" s="2"/>
      <c r="CQ2192" s="2"/>
      <c r="CT2192" s="2"/>
      <c r="CW2192" s="2"/>
    </row>
    <row r="2193" spans="1:101" x14ac:dyDescent="0.25">
      <c r="A2193" s="1" t="s">
        <v>163</v>
      </c>
      <c r="B2193" s="75" t="s">
        <v>164</v>
      </c>
      <c r="C2193">
        <v>0</v>
      </c>
      <c r="D2193">
        <v>0</v>
      </c>
      <c r="E2193">
        <v>0</v>
      </c>
      <c r="F2193">
        <v>604324.56000000006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3.91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7490</v>
      </c>
      <c r="AW2193">
        <v>3350</v>
      </c>
      <c r="AX2193">
        <v>1219</v>
      </c>
      <c r="AY2193">
        <v>12059</v>
      </c>
      <c r="AZ2193">
        <v>4202</v>
      </c>
      <c r="BA2193">
        <v>7438</v>
      </c>
      <c r="BB2193">
        <v>1432</v>
      </c>
      <c r="BC2193">
        <v>13072</v>
      </c>
      <c r="BD2193">
        <v>9486</v>
      </c>
      <c r="BE2193">
        <v>9222</v>
      </c>
      <c r="BF2193">
        <v>1768</v>
      </c>
      <c r="BG2193">
        <v>20476</v>
      </c>
      <c r="BH2193">
        <v>0</v>
      </c>
      <c r="BI2193">
        <v>0</v>
      </c>
      <c r="BJ2193">
        <v>0</v>
      </c>
      <c r="BK2193">
        <v>0</v>
      </c>
      <c r="BL2193" s="2">
        <v>24.82</v>
      </c>
      <c r="BM2193" s="2">
        <v>42005.095138888886</v>
      </c>
      <c r="BN2193" s="2">
        <v>5.4</v>
      </c>
      <c r="BO2193" s="2">
        <v>42005.092361111114</v>
      </c>
      <c r="BP2193" s="2">
        <v>6.92</v>
      </c>
      <c r="BQ2193" s="2">
        <v>42005.092361111114</v>
      </c>
      <c r="BR2193" s="2">
        <v>11.07</v>
      </c>
      <c r="BS2193" s="2">
        <v>42005.092361111114</v>
      </c>
      <c r="BT2193">
        <v>0</v>
      </c>
      <c r="BU2193">
        <v>0</v>
      </c>
      <c r="BV2193" t="s">
        <v>135</v>
      </c>
      <c r="BW2193">
        <v>0</v>
      </c>
      <c r="BX2193">
        <v>0</v>
      </c>
      <c r="BY2193" t="s">
        <v>135</v>
      </c>
      <c r="BZ2193">
        <v>0</v>
      </c>
      <c r="CA2193">
        <v>0</v>
      </c>
      <c r="CB2193" t="s">
        <v>135</v>
      </c>
      <c r="CH2193" s="2"/>
      <c r="CJ2193" s="2"/>
      <c r="CL2193" s="2"/>
      <c r="CN2193" s="2"/>
      <c r="CQ2193" s="2"/>
      <c r="CT2193" s="2"/>
      <c r="CW2193" s="2"/>
    </row>
    <row r="2194" spans="1:101" x14ac:dyDescent="0.25">
      <c r="A2194" s="1" t="s">
        <v>163</v>
      </c>
      <c r="B2194" s="75" t="s">
        <v>164</v>
      </c>
      <c r="C2194">
        <v>0</v>
      </c>
      <c r="D2194">
        <v>0</v>
      </c>
      <c r="E2194">
        <v>0</v>
      </c>
      <c r="F2194">
        <v>604324.56000000006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3.91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7490</v>
      </c>
      <c r="AW2194">
        <v>3350</v>
      </c>
      <c r="AX2194">
        <v>1219</v>
      </c>
      <c r="AY2194">
        <v>12059</v>
      </c>
      <c r="AZ2194">
        <v>4202</v>
      </c>
      <c r="BA2194">
        <v>7438</v>
      </c>
      <c r="BB2194">
        <v>1432</v>
      </c>
      <c r="BC2194">
        <v>13072</v>
      </c>
      <c r="BD2194">
        <v>9486</v>
      </c>
      <c r="BE2194">
        <v>9222</v>
      </c>
      <c r="BF2194">
        <v>1768</v>
      </c>
      <c r="BG2194">
        <v>20476</v>
      </c>
      <c r="BH2194">
        <v>0</v>
      </c>
      <c r="BI2194">
        <v>0</v>
      </c>
      <c r="BJ2194">
        <v>0</v>
      </c>
      <c r="BK2194">
        <v>0</v>
      </c>
      <c r="BL2194" s="2">
        <v>24.82</v>
      </c>
      <c r="BM2194" s="2">
        <v>42005.095138888886</v>
      </c>
      <c r="BN2194" s="2">
        <v>5.4</v>
      </c>
      <c r="BO2194" s="2">
        <v>42005.092361111114</v>
      </c>
      <c r="BP2194" s="2">
        <v>6.92</v>
      </c>
      <c r="BQ2194" s="2">
        <v>42005.092361111114</v>
      </c>
      <c r="BR2194" s="2">
        <v>11.07</v>
      </c>
      <c r="BS2194" s="2">
        <v>42005.092361111114</v>
      </c>
      <c r="BT2194">
        <v>0</v>
      </c>
      <c r="BU2194">
        <v>0</v>
      </c>
      <c r="BV2194" t="s">
        <v>135</v>
      </c>
      <c r="BW2194">
        <v>0</v>
      </c>
      <c r="BX2194">
        <v>0</v>
      </c>
      <c r="BY2194" t="s">
        <v>135</v>
      </c>
      <c r="BZ2194">
        <v>0</v>
      </c>
      <c r="CA2194">
        <v>0</v>
      </c>
      <c r="CB2194" t="s">
        <v>135</v>
      </c>
      <c r="CH2194" s="2"/>
      <c r="CJ2194" s="2"/>
      <c r="CL2194" s="2"/>
      <c r="CN2194" s="2"/>
      <c r="CQ2194" s="2"/>
      <c r="CT2194" s="2"/>
      <c r="CW2194" s="2"/>
    </row>
    <row r="2195" spans="1:101" x14ac:dyDescent="0.25">
      <c r="A2195" s="1" t="s">
        <v>163</v>
      </c>
      <c r="B2195" s="75" t="s">
        <v>164</v>
      </c>
      <c r="C2195">
        <v>0</v>
      </c>
      <c r="D2195">
        <v>0</v>
      </c>
      <c r="E2195">
        <v>0</v>
      </c>
      <c r="F2195">
        <v>604324.56000000006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3.91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7490</v>
      </c>
      <c r="AW2195">
        <v>3350</v>
      </c>
      <c r="AX2195">
        <v>1219</v>
      </c>
      <c r="AY2195">
        <v>12059</v>
      </c>
      <c r="AZ2195">
        <v>4202</v>
      </c>
      <c r="BA2195">
        <v>7438</v>
      </c>
      <c r="BB2195">
        <v>1432</v>
      </c>
      <c r="BC2195">
        <v>13072</v>
      </c>
      <c r="BD2195">
        <v>9486</v>
      </c>
      <c r="BE2195">
        <v>9222</v>
      </c>
      <c r="BF2195">
        <v>1768</v>
      </c>
      <c r="BG2195">
        <v>20476</v>
      </c>
      <c r="BH2195">
        <v>0</v>
      </c>
      <c r="BI2195">
        <v>0</v>
      </c>
      <c r="BJ2195">
        <v>0</v>
      </c>
      <c r="BK2195">
        <v>0</v>
      </c>
      <c r="BL2195" s="2">
        <v>24.82</v>
      </c>
      <c r="BM2195" s="2">
        <v>42005.095138888886</v>
      </c>
      <c r="BN2195" s="2">
        <v>5.4</v>
      </c>
      <c r="BO2195" s="2">
        <v>42005.092361111114</v>
      </c>
      <c r="BP2195" s="2">
        <v>6.92</v>
      </c>
      <c r="BQ2195" s="2">
        <v>42005.092361111114</v>
      </c>
      <c r="BR2195" s="2">
        <v>11.07</v>
      </c>
      <c r="BS2195" s="2">
        <v>42005.092361111114</v>
      </c>
      <c r="BT2195">
        <v>0</v>
      </c>
      <c r="BU2195">
        <v>0</v>
      </c>
      <c r="BV2195" t="s">
        <v>135</v>
      </c>
      <c r="BW2195">
        <v>0</v>
      </c>
      <c r="BX2195">
        <v>0</v>
      </c>
      <c r="BY2195" t="s">
        <v>135</v>
      </c>
      <c r="BZ2195">
        <v>0</v>
      </c>
      <c r="CA2195">
        <v>0</v>
      </c>
      <c r="CB2195" t="s">
        <v>135</v>
      </c>
      <c r="CH2195" s="2"/>
      <c r="CJ2195" s="2"/>
      <c r="CL2195" s="2"/>
      <c r="CN2195" s="2"/>
      <c r="CQ2195" s="2"/>
      <c r="CT2195" s="2"/>
      <c r="CW2195" s="2"/>
    </row>
    <row r="2196" spans="1:101" x14ac:dyDescent="0.25">
      <c r="A2196" s="1" t="s">
        <v>163</v>
      </c>
      <c r="B2196" s="75" t="s">
        <v>164</v>
      </c>
      <c r="C2196">
        <v>0</v>
      </c>
      <c r="D2196">
        <v>0</v>
      </c>
      <c r="E2196">
        <v>0</v>
      </c>
      <c r="F2196">
        <v>604324.56000000006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3.91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7490</v>
      </c>
      <c r="AW2196">
        <v>3350</v>
      </c>
      <c r="AX2196">
        <v>1219</v>
      </c>
      <c r="AY2196">
        <v>12059</v>
      </c>
      <c r="AZ2196">
        <v>4202</v>
      </c>
      <c r="BA2196">
        <v>7438</v>
      </c>
      <c r="BB2196">
        <v>1432</v>
      </c>
      <c r="BC2196">
        <v>13072</v>
      </c>
      <c r="BD2196">
        <v>9486</v>
      </c>
      <c r="BE2196">
        <v>9222</v>
      </c>
      <c r="BF2196">
        <v>1768</v>
      </c>
      <c r="BG2196">
        <v>20476</v>
      </c>
      <c r="BH2196">
        <v>0</v>
      </c>
      <c r="BI2196">
        <v>0</v>
      </c>
      <c r="BJ2196">
        <v>0</v>
      </c>
      <c r="BK2196">
        <v>0</v>
      </c>
      <c r="BL2196" s="2">
        <v>24.82</v>
      </c>
      <c r="BM2196" s="2">
        <v>42005.095138888886</v>
      </c>
      <c r="BN2196" s="2">
        <v>5.4</v>
      </c>
      <c r="BO2196" s="2">
        <v>42005.092361111114</v>
      </c>
      <c r="BP2196" s="2">
        <v>6.92</v>
      </c>
      <c r="BQ2196" s="2">
        <v>42005.092361111114</v>
      </c>
      <c r="BR2196" s="2">
        <v>11.07</v>
      </c>
      <c r="BS2196" s="2">
        <v>42005.092361111114</v>
      </c>
      <c r="BT2196">
        <v>0</v>
      </c>
      <c r="BU2196">
        <v>0</v>
      </c>
      <c r="BV2196" t="s">
        <v>135</v>
      </c>
      <c r="BW2196">
        <v>0</v>
      </c>
      <c r="BX2196">
        <v>0</v>
      </c>
      <c r="BY2196" t="s">
        <v>135</v>
      </c>
      <c r="BZ2196">
        <v>0</v>
      </c>
      <c r="CA2196">
        <v>0</v>
      </c>
      <c r="CB2196" t="s">
        <v>135</v>
      </c>
      <c r="CH2196" s="2"/>
      <c r="CJ2196" s="2"/>
      <c r="CL2196" s="2"/>
      <c r="CN2196" s="2"/>
      <c r="CQ2196" s="2"/>
      <c r="CT2196" s="2"/>
      <c r="CW2196" s="2"/>
    </row>
    <row r="2197" spans="1:101" x14ac:dyDescent="0.25">
      <c r="A2197" s="1" t="s">
        <v>163</v>
      </c>
      <c r="B2197" s="75" t="s">
        <v>164</v>
      </c>
      <c r="C2197">
        <v>0</v>
      </c>
      <c r="D2197">
        <v>0</v>
      </c>
      <c r="E2197">
        <v>0</v>
      </c>
      <c r="F2197">
        <v>604324.56000000006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3.91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7490</v>
      </c>
      <c r="AW2197">
        <v>3350</v>
      </c>
      <c r="AX2197">
        <v>1219</v>
      </c>
      <c r="AY2197">
        <v>12059</v>
      </c>
      <c r="AZ2197">
        <v>4202</v>
      </c>
      <c r="BA2197">
        <v>7438</v>
      </c>
      <c r="BB2197">
        <v>1432</v>
      </c>
      <c r="BC2197">
        <v>13072</v>
      </c>
      <c r="BD2197">
        <v>9486</v>
      </c>
      <c r="BE2197">
        <v>9222</v>
      </c>
      <c r="BF2197">
        <v>1768</v>
      </c>
      <c r="BG2197">
        <v>20476</v>
      </c>
      <c r="BH2197">
        <v>0</v>
      </c>
      <c r="BI2197">
        <v>0</v>
      </c>
      <c r="BJ2197">
        <v>0</v>
      </c>
      <c r="BK2197">
        <v>0</v>
      </c>
      <c r="BL2197" s="2">
        <v>24.82</v>
      </c>
      <c r="BM2197" s="2">
        <v>42005.095138888886</v>
      </c>
      <c r="BN2197" s="2">
        <v>5.4</v>
      </c>
      <c r="BO2197" s="2">
        <v>42005.092361111114</v>
      </c>
      <c r="BP2197" s="2">
        <v>6.92</v>
      </c>
      <c r="BQ2197" s="2">
        <v>42005.092361111114</v>
      </c>
      <c r="BR2197" s="2">
        <v>11.07</v>
      </c>
      <c r="BS2197" s="2">
        <v>42005.092361111114</v>
      </c>
      <c r="BT2197">
        <v>0</v>
      </c>
      <c r="BU2197">
        <v>0</v>
      </c>
      <c r="BV2197" t="s">
        <v>135</v>
      </c>
      <c r="BW2197">
        <v>0</v>
      </c>
      <c r="BX2197">
        <v>0</v>
      </c>
      <c r="BY2197" t="s">
        <v>135</v>
      </c>
      <c r="BZ2197">
        <v>0</v>
      </c>
      <c r="CA2197">
        <v>0</v>
      </c>
      <c r="CB2197" t="s">
        <v>135</v>
      </c>
      <c r="CH2197" s="2"/>
      <c r="CJ2197" s="2"/>
      <c r="CL2197" s="2"/>
      <c r="CN2197" s="2"/>
      <c r="CQ2197" s="2"/>
      <c r="CT2197" s="2"/>
      <c r="CW2197" s="2"/>
    </row>
    <row r="2198" spans="1:101" x14ac:dyDescent="0.25">
      <c r="A2198" s="1" t="s">
        <v>163</v>
      </c>
      <c r="B2198" s="75" t="s">
        <v>164</v>
      </c>
      <c r="C2198">
        <v>0</v>
      </c>
      <c r="D2198">
        <v>0</v>
      </c>
      <c r="E2198">
        <v>0</v>
      </c>
      <c r="F2198">
        <v>604324.56000000006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3.91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7490</v>
      </c>
      <c r="AW2198">
        <v>3350</v>
      </c>
      <c r="AX2198">
        <v>1219</v>
      </c>
      <c r="AY2198">
        <v>12059</v>
      </c>
      <c r="AZ2198">
        <v>4202</v>
      </c>
      <c r="BA2198">
        <v>7438</v>
      </c>
      <c r="BB2198">
        <v>1432</v>
      </c>
      <c r="BC2198">
        <v>13072</v>
      </c>
      <c r="BD2198">
        <v>9486</v>
      </c>
      <c r="BE2198">
        <v>9222</v>
      </c>
      <c r="BF2198">
        <v>1768</v>
      </c>
      <c r="BG2198">
        <v>20476</v>
      </c>
      <c r="BH2198">
        <v>0</v>
      </c>
      <c r="BI2198">
        <v>0</v>
      </c>
      <c r="BJ2198">
        <v>0</v>
      </c>
      <c r="BK2198">
        <v>0</v>
      </c>
      <c r="BL2198" s="2">
        <v>24.82</v>
      </c>
      <c r="BM2198" s="2">
        <v>42005.095138888886</v>
      </c>
      <c r="BN2198" s="2">
        <v>5.4</v>
      </c>
      <c r="BO2198" s="2">
        <v>42005.092361111114</v>
      </c>
      <c r="BP2198" s="2">
        <v>6.92</v>
      </c>
      <c r="BQ2198" s="2">
        <v>42005.092361111114</v>
      </c>
      <c r="BR2198" s="2">
        <v>11.07</v>
      </c>
      <c r="BS2198" s="2">
        <v>42005.092361111114</v>
      </c>
      <c r="BT2198">
        <v>0</v>
      </c>
      <c r="BU2198">
        <v>0</v>
      </c>
      <c r="BV2198" t="s">
        <v>135</v>
      </c>
      <c r="BW2198">
        <v>0</v>
      </c>
      <c r="BX2198">
        <v>0</v>
      </c>
      <c r="BY2198" t="s">
        <v>135</v>
      </c>
      <c r="BZ2198">
        <v>0</v>
      </c>
      <c r="CA2198">
        <v>0</v>
      </c>
      <c r="CB2198" t="s">
        <v>135</v>
      </c>
      <c r="CH2198" s="2"/>
      <c r="CJ2198" s="2"/>
      <c r="CL2198" s="2"/>
      <c r="CN2198" s="2"/>
      <c r="CQ2198" s="2"/>
      <c r="CT2198" s="2"/>
      <c r="CW2198" s="2"/>
    </row>
    <row r="2199" spans="1:101" x14ac:dyDescent="0.25">
      <c r="A2199" s="1" t="s">
        <v>163</v>
      </c>
      <c r="B2199" s="75" t="s">
        <v>164</v>
      </c>
      <c r="C2199">
        <v>0</v>
      </c>
      <c r="D2199">
        <v>0</v>
      </c>
      <c r="E2199">
        <v>0</v>
      </c>
      <c r="F2199">
        <v>604324.56000000006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3.91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7490</v>
      </c>
      <c r="AW2199">
        <v>3350</v>
      </c>
      <c r="AX2199">
        <v>1219</v>
      </c>
      <c r="AY2199">
        <v>12059</v>
      </c>
      <c r="AZ2199">
        <v>4202</v>
      </c>
      <c r="BA2199">
        <v>7438</v>
      </c>
      <c r="BB2199">
        <v>1432</v>
      </c>
      <c r="BC2199">
        <v>13072</v>
      </c>
      <c r="BD2199">
        <v>9486</v>
      </c>
      <c r="BE2199">
        <v>9222</v>
      </c>
      <c r="BF2199">
        <v>1768</v>
      </c>
      <c r="BG2199">
        <v>20476</v>
      </c>
      <c r="BH2199">
        <v>0</v>
      </c>
      <c r="BI2199">
        <v>0</v>
      </c>
      <c r="BJ2199">
        <v>0</v>
      </c>
      <c r="BK2199">
        <v>0</v>
      </c>
      <c r="BL2199" s="2">
        <v>24.82</v>
      </c>
      <c r="BM2199" s="2">
        <v>42005.095138888886</v>
      </c>
      <c r="BN2199" s="2">
        <v>5.4</v>
      </c>
      <c r="BO2199" s="2">
        <v>42005.092361111114</v>
      </c>
      <c r="BP2199" s="2">
        <v>6.92</v>
      </c>
      <c r="BQ2199" s="2">
        <v>42005.092361111114</v>
      </c>
      <c r="BR2199" s="2">
        <v>11.07</v>
      </c>
      <c r="BS2199" s="2">
        <v>42005.092361111114</v>
      </c>
      <c r="BT2199">
        <v>0</v>
      </c>
      <c r="BU2199">
        <v>0</v>
      </c>
      <c r="BV2199" t="s">
        <v>135</v>
      </c>
      <c r="BW2199">
        <v>0</v>
      </c>
      <c r="BX2199">
        <v>0</v>
      </c>
      <c r="BY2199" t="s">
        <v>135</v>
      </c>
      <c r="BZ2199">
        <v>0</v>
      </c>
      <c r="CA2199">
        <v>0</v>
      </c>
      <c r="CB2199" t="s">
        <v>135</v>
      </c>
      <c r="CH2199" s="2"/>
      <c r="CJ2199" s="2"/>
      <c r="CL2199" s="2"/>
      <c r="CN2199" s="2"/>
      <c r="CQ2199" s="2"/>
      <c r="CT2199" s="2"/>
      <c r="CW2199" s="2"/>
    </row>
    <row r="2200" spans="1:101" x14ac:dyDescent="0.25">
      <c r="A2200" s="1" t="s">
        <v>163</v>
      </c>
      <c r="B2200" s="75" t="s">
        <v>164</v>
      </c>
      <c r="C2200">
        <v>0</v>
      </c>
      <c r="D2200">
        <v>0</v>
      </c>
      <c r="E2200">
        <v>0</v>
      </c>
      <c r="F2200">
        <v>604324.56000000006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3.91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7490</v>
      </c>
      <c r="AW2200">
        <v>3350</v>
      </c>
      <c r="AX2200">
        <v>1219</v>
      </c>
      <c r="AY2200">
        <v>12059</v>
      </c>
      <c r="AZ2200">
        <v>4202</v>
      </c>
      <c r="BA2200">
        <v>7438</v>
      </c>
      <c r="BB2200">
        <v>1432</v>
      </c>
      <c r="BC2200">
        <v>13072</v>
      </c>
      <c r="BD2200">
        <v>9486</v>
      </c>
      <c r="BE2200">
        <v>9222</v>
      </c>
      <c r="BF2200">
        <v>1768</v>
      </c>
      <c r="BG2200">
        <v>20476</v>
      </c>
      <c r="BH2200">
        <v>0</v>
      </c>
      <c r="BI2200">
        <v>0</v>
      </c>
      <c r="BJ2200">
        <v>0</v>
      </c>
      <c r="BK2200">
        <v>0</v>
      </c>
      <c r="BL2200" s="2">
        <v>24.82</v>
      </c>
      <c r="BM2200" s="2">
        <v>42005.095138888886</v>
      </c>
      <c r="BN2200" s="2">
        <v>5.4</v>
      </c>
      <c r="BO2200" s="2">
        <v>42005.092361111114</v>
      </c>
      <c r="BP2200" s="2">
        <v>6.92</v>
      </c>
      <c r="BQ2200" s="2">
        <v>42005.092361111114</v>
      </c>
      <c r="BR2200" s="2">
        <v>11.07</v>
      </c>
      <c r="BS2200" s="2">
        <v>42005.092361111114</v>
      </c>
      <c r="BT2200">
        <v>0</v>
      </c>
      <c r="BU2200">
        <v>0</v>
      </c>
      <c r="BV2200" t="s">
        <v>135</v>
      </c>
      <c r="BW2200">
        <v>0</v>
      </c>
      <c r="BX2200">
        <v>0</v>
      </c>
      <c r="BY2200" t="s">
        <v>135</v>
      </c>
      <c r="BZ2200">
        <v>0</v>
      </c>
      <c r="CA2200">
        <v>0</v>
      </c>
      <c r="CB2200" t="s">
        <v>135</v>
      </c>
      <c r="CH2200" s="2"/>
      <c r="CJ2200" s="2"/>
      <c r="CL2200" s="2"/>
      <c r="CN2200" s="2"/>
      <c r="CQ2200" s="2"/>
      <c r="CT2200" s="2"/>
      <c r="CW2200" s="2"/>
    </row>
    <row r="2201" spans="1:101" x14ac:dyDescent="0.25">
      <c r="A2201" s="1" t="s">
        <v>163</v>
      </c>
      <c r="B2201" s="75" t="s">
        <v>164</v>
      </c>
      <c r="C2201">
        <v>0</v>
      </c>
      <c r="D2201">
        <v>0</v>
      </c>
      <c r="E2201">
        <v>0</v>
      </c>
      <c r="F2201">
        <v>604324.56000000006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3.91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7490</v>
      </c>
      <c r="AW2201">
        <v>3350</v>
      </c>
      <c r="AX2201">
        <v>1219</v>
      </c>
      <c r="AY2201">
        <v>12059</v>
      </c>
      <c r="AZ2201">
        <v>4202</v>
      </c>
      <c r="BA2201">
        <v>7438</v>
      </c>
      <c r="BB2201">
        <v>1432</v>
      </c>
      <c r="BC2201">
        <v>13072</v>
      </c>
      <c r="BD2201">
        <v>9486</v>
      </c>
      <c r="BE2201">
        <v>9222</v>
      </c>
      <c r="BF2201">
        <v>1768</v>
      </c>
      <c r="BG2201">
        <v>20476</v>
      </c>
      <c r="BH2201">
        <v>0</v>
      </c>
      <c r="BI2201">
        <v>0</v>
      </c>
      <c r="BJ2201">
        <v>0</v>
      </c>
      <c r="BK2201">
        <v>0</v>
      </c>
      <c r="BL2201" s="2">
        <v>24.82</v>
      </c>
      <c r="BM2201" s="2">
        <v>42005.095138888886</v>
      </c>
      <c r="BN2201" s="2">
        <v>5.4</v>
      </c>
      <c r="BO2201" s="2">
        <v>42005.092361111114</v>
      </c>
      <c r="BP2201" s="2">
        <v>6.92</v>
      </c>
      <c r="BQ2201" s="2">
        <v>42005.092361111114</v>
      </c>
      <c r="BR2201" s="2">
        <v>11.07</v>
      </c>
      <c r="BS2201" s="2">
        <v>42005.092361111114</v>
      </c>
      <c r="BT2201">
        <v>0</v>
      </c>
      <c r="BU2201">
        <v>0</v>
      </c>
      <c r="BV2201" t="s">
        <v>135</v>
      </c>
      <c r="BW2201">
        <v>0</v>
      </c>
      <c r="BX2201">
        <v>0</v>
      </c>
      <c r="BY2201" t="s">
        <v>135</v>
      </c>
      <c r="BZ2201">
        <v>0</v>
      </c>
      <c r="CA2201">
        <v>0</v>
      </c>
      <c r="CB2201" t="s">
        <v>135</v>
      </c>
      <c r="CH2201" s="2"/>
      <c r="CJ2201" s="2"/>
      <c r="CL2201" s="2"/>
      <c r="CN2201" s="2"/>
      <c r="CQ2201" s="2"/>
      <c r="CT2201" s="2"/>
      <c r="CW2201" s="2"/>
    </row>
    <row r="2202" spans="1:101" x14ac:dyDescent="0.25">
      <c r="A2202" s="1" t="s">
        <v>163</v>
      </c>
      <c r="B2202" s="75" t="s">
        <v>164</v>
      </c>
      <c r="C2202">
        <v>0</v>
      </c>
      <c r="D2202">
        <v>0</v>
      </c>
      <c r="E2202">
        <v>0</v>
      </c>
      <c r="F2202">
        <v>604324.56000000006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3.91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7490</v>
      </c>
      <c r="AW2202">
        <v>3350</v>
      </c>
      <c r="AX2202">
        <v>1219</v>
      </c>
      <c r="AY2202">
        <v>12059</v>
      </c>
      <c r="AZ2202">
        <v>4202</v>
      </c>
      <c r="BA2202">
        <v>7438</v>
      </c>
      <c r="BB2202">
        <v>1432</v>
      </c>
      <c r="BC2202">
        <v>13072</v>
      </c>
      <c r="BD2202">
        <v>9486</v>
      </c>
      <c r="BE2202">
        <v>9222</v>
      </c>
      <c r="BF2202">
        <v>1768</v>
      </c>
      <c r="BG2202">
        <v>20476</v>
      </c>
      <c r="BH2202">
        <v>0</v>
      </c>
      <c r="BI2202">
        <v>0</v>
      </c>
      <c r="BJ2202">
        <v>0</v>
      </c>
      <c r="BK2202">
        <v>0</v>
      </c>
      <c r="BL2202" s="2">
        <v>24.82</v>
      </c>
      <c r="BM2202" s="2">
        <v>42005.095138888886</v>
      </c>
      <c r="BN2202" s="2">
        <v>5.4</v>
      </c>
      <c r="BO2202" s="2">
        <v>42005.092361111114</v>
      </c>
      <c r="BP2202" s="2">
        <v>6.92</v>
      </c>
      <c r="BQ2202" s="2">
        <v>42005.092361111114</v>
      </c>
      <c r="BR2202" s="2">
        <v>11.07</v>
      </c>
      <c r="BS2202" s="2">
        <v>42005.092361111114</v>
      </c>
      <c r="BT2202">
        <v>0</v>
      </c>
      <c r="BU2202">
        <v>0</v>
      </c>
      <c r="BV2202" t="s">
        <v>135</v>
      </c>
      <c r="BW2202">
        <v>0</v>
      </c>
      <c r="BX2202">
        <v>0</v>
      </c>
      <c r="BY2202" t="s">
        <v>135</v>
      </c>
      <c r="BZ2202">
        <v>0</v>
      </c>
      <c r="CA2202">
        <v>0</v>
      </c>
      <c r="CB2202" t="s">
        <v>135</v>
      </c>
      <c r="CH2202" s="2"/>
      <c r="CJ2202" s="2"/>
      <c r="CL2202" s="2"/>
      <c r="CN2202" s="2"/>
      <c r="CQ2202" s="2"/>
      <c r="CT2202" s="2"/>
      <c r="CW2202" s="2"/>
    </row>
    <row r="2203" spans="1:101" x14ac:dyDescent="0.25">
      <c r="A2203" s="1" t="s">
        <v>163</v>
      </c>
      <c r="B2203" s="75" t="s">
        <v>164</v>
      </c>
      <c r="C2203">
        <v>0</v>
      </c>
      <c r="D2203">
        <v>0</v>
      </c>
      <c r="E2203">
        <v>0</v>
      </c>
      <c r="F2203">
        <v>604324.56000000006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3.91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7490</v>
      </c>
      <c r="AW2203">
        <v>3350</v>
      </c>
      <c r="AX2203">
        <v>1219</v>
      </c>
      <c r="AY2203">
        <v>12059</v>
      </c>
      <c r="AZ2203">
        <v>4202</v>
      </c>
      <c r="BA2203">
        <v>7438</v>
      </c>
      <c r="BB2203">
        <v>1432</v>
      </c>
      <c r="BC2203">
        <v>13072</v>
      </c>
      <c r="BD2203">
        <v>9486</v>
      </c>
      <c r="BE2203">
        <v>9222</v>
      </c>
      <c r="BF2203">
        <v>1768</v>
      </c>
      <c r="BG2203">
        <v>20476</v>
      </c>
      <c r="BH2203">
        <v>0</v>
      </c>
      <c r="BI2203">
        <v>0</v>
      </c>
      <c r="BJ2203">
        <v>0</v>
      </c>
      <c r="BK2203">
        <v>0</v>
      </c>
      <c r="BL2203" s="2">
        <v>24.82</v>
      </c>
      <c r="BM2203" s="2">
        <v>42005.095138888886</v>
      </c>
      <c r="BN2203" s="2">
        <v>5.4</v>
      </c>
      <c r="BO2203" s="2">
        <v>42005.092361111114</v>
      </c>
      <c r="BP2203" s="2">
        <v>6.92</v>
      </c>
      <c r="BQ2203" s="2">
        <v>42005.092361111114</v>
      </c>
      <c r="BR2203" s="2">
        <v>11.07</v>
      </c>
      <c r="BS2203" s="2">
        <v>42005.092361111114</v>
      </c>
      <c r="BT2203">
        <v>0</v>
      </c>
      <c r="BU2203">
        <v>0</v>
      </c>
      <c r="BV2203" t="s">
        <v>135</v>
      </c>
      <c r="BW2203">
        <v>0</v>
      </c>
      <c r="BX2203">
        <v>0</v>
      </c>
      <c r="BY2203" t="s">
        <v>135</v>
      </c>
      <c r="BZ2203">
        <v>0</v>
      </c>
      <c r="CA2203">
        <v>0</v>
      </c>
      <c r="CB2203" t="s">
        <v>135</v>
      </c>
      <c r="CH2203" s="2"/>
      <c r="CJ2203" s="2"/>
      <c r="CL2203" s="2"/>
      <c r="CN2203" s="2"/>
      <c r="CQ2203" s="2"/>
      <c r="CT2203" s="2"/>
      <c r="CW2203" s="2"/>
    </row>
    <row r="2204" spans="1:101" x14ac:dyDescent="0.25">
      <c r="A2204" s="1" t="s">
        <v>163</v>
      </c>
      <c r="B2204" s="75" t="s">
        <v>164</v>
      </c>
      <c r="C2204">
        <v>0</v>
      </c>
      <c r="D2204">
        <v>0</v>
      </c>
      <c r="E2204">
        <v>0</v>
      </c>
      <c r="F2204">
        <v>604324.56000000006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3.91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7490</v>
      </c>
      <c r="AW2204">
        <v>3350</v>
      </c>
      <c r="AX2204">
        <v>1219</v>
      </c>
      <c r="AY2204">
        <v>12059</v>
      </c>
      <c r="AZ2204">
        <v>4202</v>
      </c>
      <c r="BA2204">
        <v>7438</v>
      </c>
      <c r="BB2204">
        <v>1432</v>
      </c>
      <c r="BC2204">
        <v>13072</v>
      </c>
      <c r="BD2204">
        <v>9486</v>
      </c>
      <c r="BE2204">
        <v>9222</v>
      </c>
      <c r="BF2204">
        <v>1768</v>
      </c>
      <c r="BG2204">
        <v>20476</v>
      </c>
      <c r="BH2204">
        <v>0</v>
      </c>
      <c r="BI2204">
        <v>0</v>
      </c>
      <c r="BJ2204">
        <v>0</v>
      </c>
      <c r="BK2204">
        <v>0</v>
      </c>
      <c r="BL2204" s="2">
        <v>24.82</v>
      </c>
      <c r="BM2204" s="2">
        <v>42005.095138888886</v>
      </c>
      <c r="BN2204" s="2">
        <v>5.4</v>
      </c>
      <c r="BO2204" s="2">
        <v>42005.092361111114</v>
      </c>
      <c r="BP2204" s="2">
        <v>6.92</v>
      </c>
      <c r="BQ2204" s="2">
        <v>42005.092361111114</v>
      </c>
      <c r="BR2204" s="2">
        <v>11.07</v>
      </c>
      <c r="BS2204" s="2">
        <v>42005.092361111114</v>
      </c>
      <c r="BT2204">
        <v>0</v>
      </c>
      <c r="BU2204">
        <v>0</v>
      </c>
      <c r="BV2204" t="s">
        <v>135</v>
      </c>
      <c r="BW2204">
        <v>0</v>
      </c>
      <c r="BX2204">
        <v>0</v>
      </c>
      <c r="BY2204" t="s">
        <v>135</v>
      </c>
      <c r="BZ2204">
        <v>0</v>
      </c>
      <c r="CA2204">
        <v>0</v>
      </c>
      <c r="CB2204" t="s">
        <v>135</v>
      </c>
      <c r="CH2204" s="2"/>
      <c r="CJ2204" s="2"/>
      <c r="CL2204" s="2"/>
      <c r="CN2204" s="2"/>
      <c r="CQ2204" s="2"/>
      <c r="CT2204" s="2"/>
      <c r="CW2204" s="2"/>
    </row>
    <row r="2205" spans="1:101" x14ac:dyDescent="0.25">
      <c r="A2205" s="1" t="s">
        <v>163</v>
      </c>
      <c r="B2205" s="75" t="s">
        <v>164</v>
      </c>
      <c r="C2205">
        <v>0</v>
      </c>
      <c r="D2205">
        <v>0</v>
      </c>
      <c r="E2205">
        <v>0</v>
      </c>
      <c r="F2205">
        <v>604324.56000000006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3.91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7490</v>
      </c>
      <c r="AW2205">
        <v>3350</v>
      </c>
      <c r="AX2205">
        <v>1219</v>
      </c>
      <c r="AY2205">
        <v>12059</v>
      </c>
      <c r="AZ2205">
        <v>4202</v>
      </c>
      <c r="BA2205">
        <v>7438</v>
      </c>
      <c r="BB2205">
        <v>1432</v>
      </c>
      <c r="BC2205">
        <v>13072</v>
      </c>
      <c r="BD2205">
        <v>9486</v>
      </c>
      <c r="BE2205">
        <v>9222</v>
      </c>
      <c r="BF2205">
        <v>1768</v>
      </c>
      <c r="BG2205">
        <v>20476</v>
      </c>
      <c r="BH2205">
        <v>0</v>
      </c>
      <c r="BI2205">
        <v>0</v>
      </c>
      <c r="BJ2205">
        <v>0</v>
      </c>
      <c r="BK2205">
        <v>0</v>
      </c>
      <c r="BL2205" s="2">
        <v>24.82</v>
      </c>
      <c r="BM2205" s="2">
        <v>42005.095138888886</v>
      </c>
      <c r="BN2205" s="2">
        <v>5.4</v>
      </c>
      <c r="BO2205" s="2">
        <v>42005.092361111114</v>
      </c>
      <c r="BP2205" s="2">
        <v>6.92</v>
      </c>
      <c r="BQ2205" s="2">
        <v>42005.092361111114</v>
      </c>
      <c r="BR2205" s="2">
        <v>11.07</v>
      </c>
      <c r="BS2205" s="2">
        <v>42005.092361111114</v>
      </c>
      <c r="BT2205">
        <v>0</v>
      </c>
      <c r="BU2205">
        <v>0</v>
      </c>
      <c r="BV2205" t="s">
        <v>135</v>
      </c>
      <c r="BW2205">
        <v>0</v>
      </c>
      <c r="BX2205">
        <v>0</v>
      </c>
      <c r="BY2205" t="s">
        <v>135</v>
      </c>
      <c r="BZ2205">
        <v>0</v>
      </c>
      <c r="CA2205">
        <v>0</v>
      </c>
      <c r="CB2205" t="s">
        <v>135</v>
      </c>
      <c r="CH2205" s="2"/>
      <c r="CJ2205" s="2"/>
      <c r="CL2205" s="2"/>
      <c r="CN2205" s="2"/>
      <c r="CQ2205" s="2"/>
      <c r="CT2205" s="2"/>
      <c r="CW2205" s="2"/>
    </row>
    <row r="2206" spans="1:101" x14ac:dyDescent="0.25">
      <c r="A2206" s="1" t="s">
        <v>163</v>
      </c>
      <c r="B2206" s="75" t="s">
        <v>164</v>
      </c>
      <c r="C2206">
        <v>0</v>
      </c>
      <c r="D2206">
        <v>0</v>
      </c>
      <c r="E2206">
        <v>0</v>
      </c>
      <c r="F2206">
        <v>604324.56000000006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3.91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7490</v>
      </c>
      <c r="AW2206">
        <v>3350</v>
      </c>
      <c r="AX2206">
        <v>1219</v>
      </c>
      <c r="AY2206">
        <v>12059</v>
      </c>
      <c r="AZ2206">
        <v>4202</v>
      </c>
      <c r="BA2206">
        <v>7438</v>
      </c>
      <c r="BB2206">
        <v>1432</v>
      </c>
      <c r="BC2206">
        <v>13072</v>
      </c>
      <c r="BD2206">
        <v>9486</v>
      </c>
      <c r="BE2206">
        <v>9222</v>
      </c>
      <c r="BF2206">
        <v>1768</v>
      </c>
      <c r="BG2206">
        <v>20476</v>
      </c>
      <c r="BH2206">
        <v>0</v>
      </c>
      <c r="BI2206">
        <v>0</v>
      </c>
      <c r="BJ2206">
        <v>0</v>
      </c>
      <c r="BK2206">
        <v>0</v>
      </c>
      <c r="BL2206" s="2">
        <v>24.82</v>
      </c>
      <c r="BM2206" s="2">
        <v>42005.095138888886</v>
      </c>
      <c r="BN2206" s="2">
        <v>5.4</v>
      </c>
      <c r="BO2206" s="2">
        <v>42005.092361111114</v>
      </c>
      <c r="BP2206" s="2">
        <v>6.92</v>
      </c>
      <c r="BQ2206" s="2">
        <v>42005.092361111114</v>
      </c>
      <c r="BR2206" s="2">
        <v>11.07</v>
      </c>
      <c r="BS2206" s="2">
        <v>42005.092361111114</v>
      </c>
      <c r="BT2206">
        <v>0</v>
      </c>
      <c r="BU2206">
        <v>0</v>
      </c>
      <c r="BV2206" t="s">
        <v>135</v>
      </c>
      <c r="BW2206">
        <v>0</v>
      </c>
      <c r="BX2206">
        <v>0</v>
      </c>
      <c r="BY2206" t="s">
        <v>135</v>
      </c>
      <c r="BZ2206">
        <v>0</v>
      </c>
      <c r="CA2206">
        <v>0</v>
      </c>
      <c r="CB2206" t="s">
        <v>135</v>
      </c>
      <c r="CH2206" s="2"/>
      <c r="CJ2206" s="2"/>
      <c r="CL2206" s="2"/>
      <c r="CN2206" s="2"/>
      <c r="CQ2206" s="2"/>
      <c r="CT2206" s="2"/>
      <c r="CW2206" s="2"/>
    </row>
    <row r="2207" spans="1:101" x14ac:dyDescent="0.25">
      <c r="A2207" s="1" t="s">
        <v>163</v>
      </c>
      <c r="B2207" s="75" t="s">
        <v>164</v>
      </c>
      <c r="C2207">
        <v>0</v>
      </c>
      <c r="D2207">
        <v>0</v>
      </c>
      <c r="E2207">
        <v>0</v>
      </c>
      <c r="F2207">
        <v>604324.56000000006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3.91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7490</v>
      </c>
      <c r="AW2207">
        <v>3350</v>
      </c>
      <c r="AX2207">
        <v>1219</v>
      </c>
      <c r="AY2207">
        <v>12059</v>
      </c>
      <c r="AZ2207">
        <v>4202</v>
      </c>
      <c r="BA2207">
        <v>7438</v>
      </c>
      <c r="BB2207">
        <v>1432</v>
      </c>
      <c r="BC2207">
        <v>13072</v>
      </c>
      <c r="BD2207">
        <v>9486</v>
      </c>
      <c r="BE2207">
        <v>9222</v>
      </c>
      <c r="BF2207">
        <v>1768</v>
      </c>
      <c r="BG2207">
        <v>20476</v>
      </c>
      <c r="BH2207">
        <v>0</v>
      </c>
      <c r="BI2207">
        <v>0</v>
      </c>
      <c r="BJ2207">
        <v>0</v>
      </c>
      <c r="BK2207">
        <v>0</v>
      </c>
      <c r="BL2207" s="2">
        <v>24.82</v>
      </c>
      <c r="BM2207" s="2">
        <v>42005.095138888886</v>
      </c>
      <c r="BN2207" s="2">
        <v>5.4</v>
      </c>
      <c r="BO2207" s="2">
        <v>42005.092361111114</v>
      </c>
      <c r="BP2207" s="2">
        <v>6.92</v>
      </c>
      <c r="BQ2207" s="2">
        <v>42005.092361111114</v>
      </c>
      <c r="BR2207" s="2">
        <v>11.07</v>
      </c>
      <c r="BS2207" s="2">
        <v>42005.092361111114</v>
      </c>
      <c r="BT2207">
        <v>0</v>
      </c>
      <c r="BU2207">
        <v>0</v>
      </c>
      <c r="BV2207" t="s">
        <v>135</v>
      </c>
      <c r="BW2207">
        <v>0</v>
      </c>
      <c r="BX2207">
        <v>0</v>
      </c>
      <c r="BY2207" t="s">
        <v>135</v>
      </c>
      <c r="BZ2207">
        <v>0</v>
      </c>
      <c r="CA2207">
        <v>0</v>
      </c>
      <c r="CB2207" t="s">
        <v>135</v>
      </c>
      <c r="CH2207" s="2"/>
      <c r="CJ2207" s="2"/>
      <c r="CL2207" s="2"/>
      <c r="CN2207" s="2"/>
      <c r="CQ2207" s="2"/>
      <c r="CT2207" s="2"/>
      <c r="CW2207" s="2"/>
    </row>
    <row r="2208" spans="1:101" x14ac:dyDescent="0.25">
      <c r="A2208" s="1" t="s">
        <v>163</v>
      </c>
      <c r="B2208" s="75" t="s">
        <v>164</v>
      </c>
      <c r="C2208">
        <v>0</v>
      </c>
      <c r="D2208">
        <v>0</v>
      </c>
      <c r="E2208">
        <v>0</v>
      </c>
      <c r="F2208">
        <v>604324.56000000006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3.91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7490</v>
      </c>
      <c r="AW2208">
        <v>3350</v>
      </c>
      <c r="AX2208">
        <v>1219</v>
      </c>
      <c r="AY2208">
        <v>12059</v>
      </c>
      <c r="AZ2208">
        <v>4202</v>
      </c>
      <c r="BA2208">
        <v>7438</v>
      </c>
      <c r="BB2208">
        <v>1432</v>
      </c>
      <c r="BC2208">
        <v>13072</v>
      </c>
      <c r="BD2208">
        <v>9486</v>
      </c>
      <c r="BE2208">
        <v>9222</v>
      </c>
      <c r="BF2208">
        <v>1768</v>
      </c>
      <c r="BG2208">
        <v>20476</v>
      </c>
      <c r="BH2208">
        <v>0</v>
      </c>
      <c r="BI2208">
        <v>0</v>
      </c>
      <c r="BJ2208">
        <v>0</v>
      </c>
      <c r="BK2208">
        <v>0</v>
      </c>
      <c r="BL2208" s="2">
        <v>24.82</v>
      </c>
      <c r="BM2208" s="2">
        <v>42005.095138888886</v>
      </c>
      <c r="BN2208" s="2">
        <v>5.4</v>
      </c>
      <c r="BO2208" s="2">
        <v>42005.092361111114</v>
      </c>
      <c r="BP2208" s="2">
        <v>6.92</v>
      </c>
      <c r="BQ2208" s="2">
        <v>42005.092361111114</v>
      </c>
      <c r="BR2208" s="2">
        <v>11.07</v>
      </c>
      <c r="BS2208" s="2">
        <v>42005.092361111114</v>
      </c>
      <c r="BT2208">
        <v>0</v>
      </c>
      <c r="BU2208">
        <v>0</v>
      </c>
      <c r="BV2208" t="s">
        <v>135</v>
      </c>
      <c r="BW2208">
        <v>0</v>
      </c>
      <c r="BX2208">
        <v>0</v>
      </c>
      <c r="BY2208" t="s">
        <v>135</v>
      </c>
      <c r="BZ2208">
        <v>0</v>
      </c>
      <c r="CA2208">
        <v>0</v>
      </c>
      <c r="CB2208" t="s">
        <v>135</v>
      </c>
      <c r="CH2208" s="2"/>
      <c r="CJ2208" s="2"/>
      <c r="CL2208" s="2"/>
      <c r="CN2208" s="2"/>
      <c r="CQ2208" s="2"/>
      <c r="CT2208" s="2"/>
      <c r="CW2208" s="2"/>
    </row>
    <row r="2209" spans="1:101" x14ac:dyDescent="0.25">
      <c r="A2209" s="1" t="s">
        <v>163</v>
      </c>
      <c r="B2209" s="75" t="s">
        <v>164</v>
      </c>
      <c r="C2209">
        <v>0</v>
      </c>
      <c r="D2209">
        <v>0</v>
      </c>
      <c r="E2209">
        <v>0</v>
      </c>
      <c r="F2209">
        <v>604324.56000000006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3.91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7490</v>
      </c>
      <c r="AW2209">
        <v>3350</v>
      </c>
      <c r="AX2209">
        <v>1219</v>
      </c>
      <c r="AY2209">
        <v>12059</v>
      </c>
      <c r="AZ2209">
        <v>4202</v>
      </c>
      <c r="BA2209">
        <v>7438</v>
      </c>
      <c r="BB2209">
        <v>1432</v>
      </c>
      <c r="BC2209">
        <v>13072</v>
      </c>
      <c r="BD2209">
        <v>9486</v>
      </c>
      <c r="BE2209">
        <v>9222</v>
      </c>
      <c r="BF2209">
        <v>1768</v>
      </c>
      <c r="BG2209">
        <v>20476</v>
      </c>
      <c r="BH2209">
        <v>0</v>
      </c>
      <c r="BI2209">
        <v>0</v>
      </c>
      <c r="BJ2209">
        <v>0</v>
      </c>
      <c r="BK2209">
        <v>0</v>
      </c>
      <c r="BL2209" s="2">
        <v>24.82</v>
      </c>
      <c r="BM2209" s="2">
        <v>42005.095138888886</v>
      </c>
      <c r="BN2209" s="2">
        <v>5.4</v>
      </c>
      <c r="BO2209" s="2">
        <v>42005.092361111114</v>
      </c>
      <c r="BP2209" s="2">
        <v>6.92</v>
      </c>
      <c r="BQ2209" s="2">
        <v>42005.092361111114</v>
      </c>
      <c r="BR2209" s="2">
        <v>11.07</v>
      </c>
      <c r="BS2209" s="2">
        <v>42005.092361111114</v>
      </c>
      <c r="BT2209">
        <v>0</v>
      </c>
      <c r="BU2209">
        <v>0</v>
      </c>
      <c r="BV2209" t="s">
        <v>135</v>
      </c>
      <c r="BW2209">
        <v>0</v>
      </c>
      <c r="BX2209">
        <v>0</v>
      </c>
      <c r="BY2209" t="s">
        <v>135</v>
      </c>
      <c r="BZ2209">
        <v>0</v>
      </c>
      <c r="CA2209">
        <v>0</v>
      </c>
      <c r="CB2209" t="s">
        <v>135</v>
      </c>
      <c r="CH2209" s="2"/>
      <c r="CJ2209" s="2"/>
      <c r="CL2209" s="2"/>
      <c r="CN2209" s="2"/>
      <c r="CQ2209" s="2"/>
      <c r="CT2209" s="2"/>
      <c r="CW2209" s="2"/>
    </row>
    <row r="2210" spans="1:101" x14ac:dyDescent="0.25">
      <c r="A2210" s="1" t="s">
        <v>163</v>
      </c>
      <c r="B2210" s="75" t="s">
        <v>164</v>
      </c>
      <c r="C2210">
        <v>0</v>
      </c>
      <c r="D2210">
        <v>0</v>
      </c>
      <c r="E2210">
        <v>0</v>
      </c>
      <c r="F2210">
        <v>604324.56000000006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3.91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7490</v>
      </c>
      <c r="AW2210">
        <v>3350</v>
      </c>
      <c r="AX2210">
        <v>1219</v>
      </c>
      <c r="AY2210">
        <v>12059</v>
      </c>
      <c r="AZ2210">
        <v>4202</v>
      </c>
      <c r="BA2210">
        <v>7438</v>
      </c>
      <c r="BB2210">
        <v>1432</v>
      </c>
      <c r="BC2210">
        <v>13072</v>
      </c>
      <c r="BD2210">
        <v>9486</v>
      </c>
      <c r="BE2210">
        <v>9222</v>
      </c>
      <c r="BF2210">
        <v>1768</v>
      </c>
      <c r="BG2210">
        <v>20476</v>
      </c>
      <c r="BH2210">
        <v>0</v>
      </c>
      <c r="BI2210">
        <v>0</v>
      </c>
      <c r="BJ2210">
        <v>0</v>
      </c>
      <c r="BK2210">
        <v>0</v>
      </c>
      <c r="BL2210" s="2">
        <v>24.82</v>
      </c>
      <c r="BM2210" s="2">
        <v>42005.095138888886</v>
      </c>
      <c r="BN2210" s="2">
        <v>5.4</v>
      </c>
      <c r="BO2210" s="2">
        <v>42005.092361111114</v>
      </c>
      <c r="BP2210" s="2">
        <v>6.92</v>
      </c>
      <c r="BQ2210" s="2">
        <v>42005.092361111114</v>
      </c>
      <c r="BR2210" s="2">
        <v>11.07</v>
      </c>
      <c r="BS2210" s="2">
        <v>42005.092361111114</v>
      </c>
      <c r="BT2210">
        <v>0</v>
      </c>
      <c r="BU2210">
        <v>0</v>
      </c>
      <c r="BV2210" t="s">
        <v>135</v>
      </c>
      <c r="BW2210">
        <v>0</v>
      </c>
      <c r="BX2210">
        <v>0</v>
      </c>
      <c r="BY2210" t="s">
        <v>135</v>
      </c>
      <c r="BZ2210">
        <v>0</v>
      </c>
      <c r="CA2210">
        <v>0</v>
      </c>
      <c r="CB2210" t="s">
        <v>135</v>
      </c>
      <c r="CH2210" s="2"/>
      <c r="CJ2210" s="2"/>
      <c r="CL2210" s="2"/>
      <c r="CN2210" s="2"/>
      <c r="CQ2210" s="2"/>
      <c r="CT2210" s="2"/>
      <c r="CW2210" s="2"/>
    </row>
    <row r="2211" spans="1:101" x14ac:dyDescent="0.25">
      <c r="A2211" s="1" t="s">
        <v>163</v>
      </c>
      <c r="B2211" s="75" t="s">
        <v>164</v>
      </c>
      <c r="C2211">
        <v>0</v>
      </c>
      <c r="D2211">
        <v>0</v>
      </c>
      <c r="E2211">
        <v>0</v>
      </c>
      <c r="F2211">
        <v>604324.56000000006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3.91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7490</v>
      </c>
      <c r="AW2211">
        <v>3350</v>
      </c>
      <c r="AX2211">
        <v>1219</v>
      </c>
      <c r="AY2211">
        <v>12059</v>
      </c>
      <c r="AZ2211">
        <v>4202</v>
      </c>
      <c r="BA2211">
        <v>7438</v>
      </c>
      <c r="BB2211">
        <v>1432</v>
      </c>
      <c r="BC2211">
        <v>13072</v>
      </c>
      <c r="BD2211">
        <v>9486</v>
      </c>
      <c r="BE2211">
        <v>9222</v>
      </c>
      <c r="BF2211">
        <v>1768</v>
      </c>
      <c r="BG2211">
        <v>20476</v>
      </c>
      <c r="BH2211">
        <v>0</v>
      </c>
      <c r="BI2211">
        <v>0</v>
      </c>
      <c r="BJ2211">
        <v>0</v>
      </c>
      <c r="BK2211">
        <v>0</v>
      </c>
      <c r="BL2211" s="2">
        <v>24.82</v>
      </c>
      <c r="BM2211" s="2">
        <v>42005.095138888886</v>
      </c>
      <c r="BN2211" s="2">
        <v>5.4</v>
      </c>
      <c r="BO2211" s="2">
        <v>42005.092361111114</v>
      </c>
      <c r="BP2211" s="2">
        <v>6.92</v>
      </c>
      <c r="BQ2211" s="2">
        <v>42005.092361111114</v>
      </c>
      <c r="BR2211" s="2">
        <v>11.07</v>
      </c>
      <c r="BS2211" s="2">
        <v>42005.092361111114</v>
      </c>
      <c r="BT2211">
        <v>0</v>
      </c>
      <c r="BU2211">
        <v>0</v>
      </c>
      <c r="BV2211" t="s">
        <v>135</v>
      </c>
      <c r="BW2211">
        <v>0</v>
      </c>
      <c r="BX2211">
        <v>0</v>
      </c>
      <c r="BY2211" t="s">
        <v>135</v>
      </c>
      <c r="BZ2211">
        <v>0</v>
      </c>
      <c r="CA2211">
        <v>0</v>
      </c>
      <c r="CB2211" t="s">
        <v>135</v>
      </c>
      <c r="CH2211" s="2"/>
      <c r="CJ2211" s="2"/>
      <c r="CL2211" s="2"/>
      <c r="CN2211" s="2"/>
      <c r="CQ2211" s="2"/>
      <c r="CT2211" s="2"/>
      <c r="CW2211" s="2"/>
    </row>
    <row r="2212" spans="1:101" x14ac:dyDescent="0.25">
      <c r="A2212" s="1" t="s">
        <v>163</v>
      </c>
      <c r="B2212" s="75" t="s">
        <v>164</v>
      </c>
      <c r="C2212">
        <v>0</v>
      </c>
      <c r="D2212">
        <v>0</v>
      </c>
      <c r="E2212">
        <v>0</v>
      </c>
      <c r="F2212">
        <v>604324.56000000006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3.91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7490</v>
      </c>
      <c r="AW2212">
        <v>3350</v>
      </c>
      <c r="AX2212">
        <v>1219</v>
      </c>
      <c r="AY2212">
        <v>12059</v>
      </c>
      <c r="AZ2212">
        <v>4202</v>
      </c>
      <c r="BA2212">
        <v>7438</v>
      </c>
      <c r="BB2212">
        <v>1432</v>
      </c>
      <c r="BC2212">
        <v>13072</v>
      </c>
      <c r="BD2212">
        <v>9486</v>
      </c>
      <c r="BE2212">
        <v>9222</v>
      </c>
      <c r="BF2212">
        <v>1768</v>
      </c>
      <c r="BG2212">
        <v>20476</v>
      </c>
      <c r="BH2212">
        <v>0</v>
      </c>
      <c r="BI2212">
        <v>0</v>
      </c>
      <c r="BJ2212">
        <v>0</v>
      </c>
      <c r="BK2212">
        <v>0</v>
      </c>
      <c r="BL2212" s="2">
        <v>24.82</v>
      </c>
      <c r="BM2212" s="2">
        <v>42005.095138888886</v>
      </c>
      <c r="BN2212" s="2">
        <v>5.4</v>
      </c>
      <c r="BO2212" s="2">
        <v>42005.092361111114</v>
      </c>
      <c r="BP2212" s="2">
        <v>6.92</v>
      </c>
      <c r="BQ2212" s="2">
        <v>42005.092361111114</v>
      </c>
      <c r="BR2212" s="2">
        <v>11.07</v>
      </c>
      <c r="BS2212" s="2">
        <v>42005.092361111114</v>
      </c>
      <c r="BT2212">
        <v>0</v>
      </c>
      <c r="BU2212">
        <v>0</v>
      </c>
      <c r="BV2212" t="s">
        <v>135</v>
      </c>
      <c r="BW2212">
        <v>0</v>
      </c>
      <c r="BX2212">
        <v>0</v>
      </c>
      <c r="BY2212" t="s">
        <v>135</v>
      </c>
      <c r="BZ2212">
        <v>0</v>
      </c>
      <c r="CA2212">
        <v>0</v>
      </c>
      <c r="CB2212" t="s">
        <v>135</v>
      </c>
      <c r="CH2212" s="2"/>
      <c r="CJ2212" s="2"/>
      <c r="CL2212" s="2"/>
      <c r="CN2212" s="2"/>
      <c r="CQ2212" s="2"/>
      <c r="CT2212" s="2"/>
      <c r="CW2212" s="2"/>
    </row>
    <row r="2213" spans="1:101" x14ac:dyDescent="0.25">
      <c r="A2213" s="1" t="s">
        <v>163</v>
      </c>
      <c r="B2213" s="75" t="s">
        <v>164</v>
      </c>
      <c r="C2213">
        <v>0</v>
      </c>
      <c r="D2213">
        <v>0</v>
      </c>
      <c r="E2213">
        <v>0</v>
      </c>
      <c r="F2213">
        <v>604324.56000000006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3.91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7490</v>
      </c>
      <c r="AW2213">
        <v>3350</v>
      </c>
      <c r="AX2213">
        <v>1219</v>
      </c>
      <c r="AY2213">
        <v>12059</v>
      </c>
      <c r="AZ2213">
        <v>4202</v>
      </c>
      <c r="BA2213">
        <v>7438</v>
      </c>
      <c r="BB2213">
        <v>1432</v>
      </c>
      <c r="BC2213">
        <v>13072</v>
      </c>
      <c r="BD2213">
        <v>9486</v>
      </c>
      <c r="BE2213">
        <v>9222</v>
      </c>
      <c r="BF2213">
        <v>1768</v>
      </c>
      <c r="BG2213">
        <v>20476</v>
      </c>
      <c r="BH2213">
        <v>0</v>
      </c>
      <c r="BI2213">
        <v>0</v>
      </c>
      <c r="BJ2213">
        <v>0</v>
      </c>
      <c r="BK2213">
        <v>0</v>
      </c>
      <c r="BL2213" s="2">
        <v>24.82</v>
      </c>
      <c r="BM2213" s="2">
        <v>42005.095138888886</v>
      </c>
      <c r="BN2213" s="2">
        <v>5.4</v>
      </c>
      <c r="BO2213" s="2">
        <v>42005.092361111114</v>
      </c>
      <c r="BP2213" s="2">
        <v>6.92</v>
      </c>
      <c r="BQ2213" s="2">
        <v>42005.092361111114</v>
      </c>
      <c r="BR2213" s="2">
        <v>11.07</v>
      </c>
      <c r="BS2213" s="2">
        <v>42005.092361111114</v>
      </c>
      <c r="BT2213">
        <v>0</v>
      </c>
      <c r="BU2213">
        <v>0</v>
      </c>
      <c r="BV2213" t="s">
        <v>135</v>
      </c>
      <c r="BW2213">
        <v>0</v>
      </c>
      <c r="BX2213">
        <v>0</v>
      </c>
      <c r="BY2213" t="s">
        <v>135</v>
      </c>
      <c r="BZ2213">
        <v>0</v>
      </c>
      <c r="CA2213">
        <v>0</v>
      </c>
      <c r="CB2213" t="s">
        <v>135</v>
      </c>
      <c r="CH2213" s="2"/>
      <c r="CJ2213" s="2"/>
      <c r="CL2213" s="2"/>
      <c r="CN2213" s="2"/>
      <c r="CQ2213" s="2"/>
      <c r="CT2213" s="2"/>
      <c r="CW2213" s="2"/>
    </row>
    <row r="2214" spans="1:101" x14ac:dyDescent="0.25">
      <c r="A2214" s="1" t="s">
        <v>163</v>
      </c>
      <c r="B2214" s="75" t="s">
        <v>164</v>
      </c>
      <c r="C2214">
        <v>0</v>
      </c>
      <c r="D2214">
        <v>0</v>
      </c>
      <c r="E2214">
        <v>0</v>
      </c>
      <c r="F2214">
        <v>604324.56000000006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3.91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7490</v>
      </c>
      <c r="AW2214">
        <v>3350</v>
      </c>
      <c r="AX2214">
        <v>1219</v>
      </c>
      <c r="AY2214">
        <v>12059</v>
      </c>
      <c r="AZ2214">
        <v>4202</v>
      </c>
      <c r="BA2214">
        <v>7438</v>
      </c>
      <c r="BB2214">
        <v>1432</v>
      </c>
      <c r="BC2214">
        <v>13072</v>
      </c>
      <c r="BD2214">
        <v>9486</v>
      </c>
      <c r="BE2214">
        <v>9222</v>
      </c>
      <c r="BF2214">
        <v>1768</v>
      </c>
      <c r="BG2214">
        <v>20476</v>
      </c>
      <c r="BH2214">
        <v>0</v>
      </c>
      <c r="BI2214">
        <v>0</v>
      </c>
      <c r="BJ2214">
        <v>0</v>
      </c>
      <c r="BK2214">
        <v>0</v>
      </c>
      <c r="BL2214" s="2">
        <v>24.82</v>
      </c>
      <c r="BM2214" s="2">
        <v>42005.095138888886</v>
      </c>
      <c r="BN2214" s="2">
        <v>5.4</v>
      </c>
      <c r="BO2214" s="2">
        <v>42005.092361111114</v>
      </c>
      <c r="BP2214" s="2">
        <v>6.92</v>
      </c>
      <c r="BQ2214" s="2">
        <v>42005.092361111114</v>
      </c>
      <c r="BR2214" s="2">
        <v>11.07</v>
      </c>
      <c r="BS2214" s="2">
        <v>42005.092361111114</v>
      </c>
      <c r="BT2214">
        <v>0</v>
      </c>
      <c r="BU2214">
        <v>0</v>
      </c>
      <c r="BV2214" t="s">
        <v>135</v>
      </c>
      <c r="BW2214">
        <v>0</v>
      </c>
      <c r="BX2214">
        <v>0</v>
      </c>
      <c r="BY2214" t="s">
        <v>135</v>
      </c>
      <c r="BZ2214">
        <v>0</v>
      </c>
      <c r="CA2214">
        <v>0</v>
      </c>
      <c r="CB2214" t="s">
        <v>135</v>
      </c>
      <c r="CH2214" s="2"/>
      <c r="CJ2214" s="2"/>
      <c r="CL2214" s="2"/>
      <c r="CN2214" s="2"/>
      <c r="CQ2214" s="2"/>
      <c r="CT2214" s="2"/>
      <c r="CW2214" s="2"/>
    </row>
    <row r="2215" spans="1:101" x14ac:dyDescent="0.25">
      <c r="A2215" s="1" t="s">
        <v>163</v>
      </c>
      <c r="B2215" s="75" t="s">
        <v>164</v>
      </c>
      <c r="C2215">
        <v>0</v>
      </c>
      <c r="D2215">
        <v>0</v>
      </c>
      <c r="E2215">
        <v>0</v>
      </c>
      <c r="F2215">
        <v>604324.56000000006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3.91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7490</v>
      </c>
      <c r="AW2215">
        <v>3350</v>
      </c>
      <c r="AX2215">
        <v>1219</v>
      </c>
      <c r="AY2215">
        <v>12059</v>
      </c>
      <c r="AZ2215">
        <v>4202</v>
      </c>
      <c r="BA2215">
        <v>7438</v>
      </c>
      <c r="BB2215">
        <v>1432</v>
      </c>
      <c r="BC2215">
        <v>13072</v>
      </c>
      <c r="BD2215">
        <v>9486</v>
      </c>
      <c r="BE2215">
        <v>9222</v>
      </c>
      <c r="BF2215">
        <v>1768</v>
      </c>
      <c r="BG2215">
        <v>20476</v>
      </c>
      <c r="BH2215">
        <v>0</v>
      </c>
      <c r="BI2215">
        <v>0</v>
      </c>
      <c r="BJ2215">
        <v>0</v>
      </c>
      <c r="BK2215">
        <v>0</v>
      </c>
      <c r="BL2215" s="2">
        <v>24.82</v>
      </c>
      <c r="BM2215" s="2">
        <v>42005.095138888886</v>
      </c>
      <c r="BN2215" s="2">
        <v>5.4</v>
      </c>
      <c r="BO2215" s="2">
        <v>42005.092361111114</v>
      </c>
      <c r="BP2215" s="2">
        <v>6.92</v>
      </c>
      <c r="BQ2215" s="2">
        <v>42005.092361111114</v>
      </c>
      <c r="BR2215" s="2">
        <v>11.07</v>
      </c>
      <c r="BS2215" s="2">
        <v>42005.092361111114</v>
      </c>
      <c r="BT2215">
        <v>0</v>
      </c>
      <c r="BU2215">
        <v>0</v>
      </c>
      <c r="BV2215" t="s">
        <v>135</v>
      </c>
      <c r="BW2215">
        <v>0</v>
      </c>
      <c r="BX2215">
        <v>0</v>
      </c>
      <c r="BY2215" t="s">
        <v>135</v>
      </c>
      <c r="BZ2215">
        <v>0</v>
      </c>
      <c r="CA2215">
        <v>0</v>
      </c>
      <c r="CB2215" t="s">
        <v>135</v>
      </c>
      <c r="CH2215" s="2"/>
      <c r="CJ2215" s="2"/>
      <c r="CL2215" s="2"/>
      <c r="CN2215" s="2"/>
      <c r="CQ2215" s="2"/>
      <c r="CT2215" s="2"/>
      <c r="CW2215" s="2"/>
    </row>
    <row r="2216" spans="1:101" x14ac:dyDescent="0.25">
      <c r="A2216" s="1" t="s">
        <v>163</v>
      </c>
      <c r="B2216" s="75" t="s">
        <v>164</v>
      </c>
      <c r="C2216">
        <v>0</v>
      </c>
      <c r="D2216">
        <v>0</v>
      </c>
      <c r="E2216">
        <v>0</v>
      </c>
      <c r="F2216">
        <v>604324.56000000006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3.91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7490</v>
      </c>
      <c r="AW2216">
        <v>3350</v>
      </c>
      <c r="AX2216">
        <v>1219</v>
      </c>
      <c r="AY2216">
        <v>12059</v>
      </c>
      <c r="AZ2216">
        <v>4202</v>
      </c>
      <c r="BA2216">
        <v>7438</v>
      </c>
      <c r="BB2216">
        <v>1432</v>
      </c>
      <c r="BC2216">
        <v>13072</v>
      </c>
      <c r="BD2216">
        <v>9486</v>
      </c>
      <c r="BE2216">
        <v>9222</v>
      </c>
      <c r="BF2216">
        <v>1768</v>
      </c>
      <c r="BG2216">
        <v>20476</v>
      </c>
      <c r="BH2216">
        <v>0</v>
      </c>
      <c r="BI2216">
        <v>0</v>
      </c>
      <c r="BJ2216">
        <v>0</v>
      </c>
      <c r="BK2216">
        <v>0</v>
      </c>
      <c r="BL2216" s="2">
        <v>24.82</v>
      </c>
      <c r="BM2216" s="2">
        <v>42005.095138888886</v>
      </c>
      <c r="BN2216" s="2">
        <v>5.4</v>
      </c>
      <c r="BO2216" s="2">
        <v>42005.092361111114</v>
      </c>
      <c r="BP2216" s="2">
        <v>6.92</v>
      </c>
      <c r="BQ2216" s="2">
        <v>42005.092361111114</v>
      </c>
      <c r="BR2216" s="2">
        <v>11.07</v>
      </c>
      <c r="BS2216" s="2">
        <v>42005.092361111114</v>
      </c>
      <c r="BT2216">
        <v>0</v>
      </c>
      <c r="BU2216">
        <v>0</v>
      </c>
      <c r="BV2216" t="s">
        <v>135</v>
      </c>
      <c r="BW2216">
        <v>0</v>
      </c>
      <c r="BX2216">
        <v>0</v>
      </c>
      <c r="BY2216" t="s">
        <v>135</v>
      </c>
      <c r="BZ2216">
        <v>0</v>
      </c>
      <c r="CA2216">
        <v>0</v>
      </c>
      <c r="CB2216" t="s">
        <v>135</v>
      </c>
      <c r="CH2216" s="2"/>
      <c r="CJ2216" s="2"/>
      <c r="CL2216" s="2"/>
      <c r="CN2216" s="2"/>
      <c r="CQ2216" s="2"/>
      <c r="CT2216" s="2"/>
      <c r="CW2216" s="2"/>
    </row>
    <row r="2217" spans="1:101" x14ac:dyDescent="0.25">
      <c r="A2217" s="1" t="s">
        <v>163</v>
      </c>
      <c r="B2217" s="75" t="s">
        <v>164</v>
      </c>
      <c r="C2217">
        <v>0</v>
      </c>
      <c r="D2217">
        <v>0</v>
      </c>
      <c r="E2217">
        <v>0</v>
      </c>
      <c r="F2217">
        <v>604324.56000000006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3.91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7490</v>
      </c>
      <c r="AW2217">
        <v>3350</v>
      </c>
      <c r="AX2217">
        <v>1219</v>
      </c>
      <c r="AY2217">
        <v>12059</v>
      </c>
      <c r="AZ2217">
        <v>4202</v>
      </c>
      <c r="BA2217">
        <v>7438</v>
      </c>
      <c r="BB2217">
        <v>1432</v>
      </c>
      <c r="BC2217">
        <v>13072</v>
      </c>
      <c r="BD2217">
        <v>9486</v>
      </c>
      <c r="BE2217">
        <v>9222</v>
      </c>
      <c r="BF2217">
        <v>1768</v>
      </c>
      <c r="BG2217">
        <v>20476</v>
      </c>
      <c r="BH2217">
        <v>0</v>
      </c>
      <c r="BI2217">
        <v>0</v>
      </c>
      <c r="BJ2217">
        <v>0</v>
      </c>
      <c r="BK2217">
        <v>0</v>
      </c>
      <c r="BL2217" s="2">
        <v>24.82</v>
      </c>
      <c r="BM2217" s="2">
        <v>42005.095138888886</v>
      </c>
      <c r="BN2217" s="2">
        <v>5.4</v>
      </c>
      <c r="BO2217" s="2">
        <v>42005.092361111114</v>
      </c>
      <c r="BP2217" s="2">
        <v>6.92</v>
      </c>
      <c r="BQ2217" s="2">
        <v>42005.092361111114</v>
      </c>
      <c r="BR2217" s="2">
        <v>11.07</v>
      </c>
      <c r="BS2217" s="2">
        <v>42005.092361111114</v>
      </c>
      <c r="BT2217">
        <v>0</v>
      </c>
      <c r="BU2217">
        <v>0</v>
      </c>
      <c r="BV2217" t="s">
        <v>135</v>
      </c>
      <c r="BW2217">
        <v>0</v>
      </c>
      <c r="BX2217">
        <v>0</v>
      </c>
      <c r="BY2217" t="s">
        <v>135</v>
      </c>
      <c r="BZ2217">
        <v>0</v>
      </c>
      <c r="CA2217">
        <v>0</v>
      </c>
      <c r="CB2217" t="s">
        <v>135</v>
      </c>
      <c r="CH2217" s="2"/>
      <c r="CJ2217" s="2"/>
      <c r="CL2217" s="2"/>
      <c r="CN2217" s="2"/>
      <c r="CQ2217" s="2"/>
      <c r="CT2217" s="2"/>
      <c r="CW2217" s="2"/>
    </row>
    <row r="2218" spans="1:101" x14ac:dyDescent="0.25">
      <c r="A2218" s="1" t="s">
        <v>163</v>
      </c>
      <c r="B2218" s="75" t="s">
        <v>164</v>
      </c>
      <c r="C2218">
        <v>0</v>
      </c>
      <c r="D2218">
        <v>0</v>
      </c>
      <c r="E2218">
        <v>0</v>
      </c>
      <c r="F2218">
        <v>604324.56000000006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3.91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7490</v>
      </c>
      <c r="AW2218">
        <v>3350</v>
      </c>
      <c r="AX2218">
        <v>1219</v>
      </c>
      <c r="AY2218">
        <v>12059</v>
      </c>
      <c r="AZ2218">
        <v>4202</v>
      </c>
      <c r="BA2218">
        <v>7438</v>
      </c>
      <c r="BB2218">
        <v>1432</v>
      </c>
      <c r="BC2218">
        <v>13072</v>
      </c>
      <c r="BD2218">
        <v>9486</v>
      </c>
      <c r="BE2218">
        <v>9222</v>
      </c>
      <c r="BF2218">
        <v>1768</v>
      </c>
      <c r="BG2218">
        <v>20476</v>
      </c>
      <c r="BH2218">
        <v>0</v>
      </c>
      <c r="BI2218">
        <v>0</v>
      </c>
      <c r="BJ2218">
        <v>0</v>
      </c>
      <c r="BK2218">
        <v>0</v>
      </c>
      <c r="BL2218" s="2">
        <v>24.82</v>
      </c>
      <c r="BM2218" s="2">
        <v>42005.095138888886</v>
      </c>
      <c r="BN2218" s="2">
        <v>5.4</v>
      </c>
      <c r="BO2218" s="2">
        <v>42005.092361111114</v>
      </c>
      <c r="BP2218" s="2">
        <v>6.92</v>
      </c>
      <c r="BQ2218" s="2">
        <v>42005.092361111114</v>
      </c>
      <c r="BR2218" s="2">
        <v>11.07</v>
      </c>
      <c r="BS2218" s="2">
        <v>42005.092361111114</v>
      </c>
      <c r="BT2218">
        <v>0</v>
      </c>
      <c r="BU2218">
        <v>0</v>
      </c>
      <c r="BV2218" t="s">
        <v>135</v>
      </c>
      <c r="BW2218">
        <v>0</v>
      </c>
      <c r="BX2218">
        <v>0</v>
      </c>
      <c r="BY2218" t="s">
        <v>135</v>
      </c>
      <c r="BZ2218">
        <v>0</v>
      </c>
      <c r="CA2218">
        <v>0</v>
      </c>
      <c r="CB2218" t="s">
        <v>135</v>
      </c>
      <c r="CH2218" s="2"/>
      <c r="CJ2218" s="2"/>
      <c r="CL2218" s="2"/>
      <c r="CN2218" s="2"/>
      <c r="CQ2218" s="2"/>
      <c r="CT2218" s="2"/>
      <c r="CW2218" s="2"/>
    </row>
    <row r="2219" spans="1:101" x14ac:dyDescent="0.25">
      <c r="A2219" s="1" t="s">
        <v>163</v>
      </c>
      <c r="B2219" s="75" t="s">
        <v>164</v>
      </c>
      <c r="C2219">
        <v>0</v>
      </c>
      <c r="D2219">
        <v>0</v>
      </c>
      <c r="E2219">
        <v>0</v>
      </c>
      <c r="F2219">
        <v>604324.56000000006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3.91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7490</v>
      </c>
      <c r="AW2219">
        <v>3350</v>
      </c>
      <c r="AX2219">
        <v>1219</v>
      </c>
      <c r="AY2219">
        <v>12059</v>
      </c>
      <c r="AZ2219">
        <v>4202</v>
      </c>
      <c r="BA2219">
        <v>7438</v>
      </c>
      <c r="BB2219">
        <v>1432</v>
      </c>
      <c r="BC2219">
        <v>13072</v>
      </c>
      <c r="BD2219">
        <v>9486</v>
      </c>
      <c r="BE2219">
        <v>9222</v>
      </c>
      <c r="BF2219">
        <v>1768</v>
      </c>
      <c r="BG2219">
        <v>20476</v>
      </c>
      <c r="BH2219">
        <v>0</v>
      </c>
      <c r="BI2219">
        <v>0</v>
      </c>
      <c r="BJ2219">
        <v>0</v>
      </c>
      <c r="BK2219">
        <v>0</v>
      </c>
      <c r="BL2219" s="2">
        <v>24.82</v>
      </c>
      <c r="BM2219" s="2">
        <v>42005.095138888886</v>
      </c>
      <c r="BN2219" s="2">
        <v>5.4</v>
      </c>
      <c r="BO2219" s="2">
        <v>42005.092361111114</v>
      </c>
      <c r="BP2219" s="2">
        <v>6.92</v>
      </c>
      <c r="BQ2219" s="2">
        <v>42005.092361111114</v>
      </c>
      <c r="BR2219" s="2">
        <v>11.07</v>
      </c>
      <c r="BS2219" s="2">
        <v>42005.092361111114</v>
      </c>
      <c r="BT2219">
        <v>0</v>
      </c>
      <c r="BU2219">
        <v>0</v>
      </c>
      <c r="BV2219" t="s">
        <v>135</v>
      </c>
      <c r="BW2219">
        <v>0</v>
      </c>
      <c r="BX2219">
        <v>0</v>
      </c>
      <c r="BY2219" t="s">
        <v>135</v>
      </c>
      <c r="BZ2219">
        <v>0</v>
      </c>
      <c r="CA2219">
        <v>0</v>
      </c>
      <c r="CB2219" t="s">
        <v>135</v>
      </c>
      <c r="CH2219" s="2"/>
      <c r="CJ2219" s="2"/>
      <c r="CL2219" s="2"/>
      <c r="CN2219" s="2"/>
      <c r="CQ2219" s="2"/>
      <c r="CT2219" s="2"/>
      <c r="CW2219" s="2"/>
    </row>
    <row r="2220" spans="1:101" x14ac:dyDescent="0.25">
      <c r="A2220" s="1" t="s">
        <v>163</v>
      </c>
      <c r="B2220" s="75" t="s">
        <v>164</v>
      </c>
      <c r="C2220">
        <v>0</v>
      </c>
      <c r="D2220">
        <v>0</v>
      </c>
      <c r="E2220">
        <v>0</v>
      </c>
      <c r="F2220">
        <v>604324.56000000006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3.91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7490</v>
      </c>
      <c r="AW2220">
        <v>3350</v>
      </c>
      <c r="AX2220">
        <v>1219</v>
      </c>
      <c r="AY2220">
        <v>12059</v>
      </c>
      <c r="AZ2220">
        <v>4202</v>
      </c>
      <c r="BA2220">
        <v>7438</v>
      </c>
      <c r="BB2220">
        <v>1432</v>
      </c>
      <c r="BC2220">
        <v>13072</v>
      </c>
      <c r="BD2220">
        <v>9486</v>
      </c>
      <c r="BE2220">
        <v>9222</v>
      </c>
      <c r="BF2220">
        <v>1768</v>
      </c>
      <c r="BG2220">
        <v>20476</v>
      </c>
      <c r="BH2220">
        <v>0</v>
      </c>
      <c r="BI2220">
        <v>0</v>
      </c>
      <c r="BJ2220">
        <v>0</v>
      </c>
      <c r="BK2220">
        <v>0</v>
      </c>
      <c r="BL2220" s="2">
        <v>24.82</v>
      </c>
      <c r="BM2220" s="2">
        <v>42005.095138888886</v>
      </c>
      <c r="BN2220" s="2">
        <v>5.4</v>
      </c>
      <c r="BO2220" s="2">
        <v>42005.092361111114</v>
      </c>
      <c r="BP2220" s="2">
        <v>6.92</v>
      </c>
      <c r="BQ2220" s="2">
        <v>42005.092361111114</v>
      </c>
      <c r="BR2220" s="2">
        <v>11.07</v>
      </c>
      <c r="BS2220" s="2">
        <v>42005.092361111114</v>
      </c>
      <c r="BT2220">
        <v>0</v>
      </c>
      <c r="BU2220">
        <v>0</v>
      </c>
      <c r="BV2220" t="s">
        <v>135</v>
      </c>
      <c r="BW2220">
        <v>0</v>
      </c>
      <c r="BX2220">
        <v>0</v>
      </c>
      <c r="BY2220" t="s">
        <v>135</v>
      </c>
      <c r="BZ2220">
        <v>0</v>
      </c>
      <c r="CA2220">
        <v>0</v>
      </c>
      <c r="CB2220" t="s">
        <v>135</v>
      </c>
      <c r="CH2220" s="2"/>
      <c r="CJ2220" s="2"/>
      <c r="CL2220" s="2"/>
      <c r="CN2220" s="2"/>
      <c r="CQ2220" s="2"/>
      <c r="CT2220" s="2"/>
      <c r="CW2220" s="2"/>
    </row>
    <row r="2221" spans="1:101" x14ac:dyDescent="0.25">
      <c r="A2221" s="1" t="s">
        <v>163</v>
      </c>
      <c r="B2221" s="75" t="s">
        <v>164</v>
      </c>
      <c r="C2221">
        <v>0</v>
      </c>
      <c r="D2221">
        <v>0</v>
      </c>
      <c r="E2221">
        <v>0</v>
      </c>
      <c r="F2221">
        <v>604324.56000000006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3.91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7490</v>
      </c>
      <c r="AW2221">
        <v>3350</v>
      </c>
      <c r="AX2221">
        <v>1219</v>
      </c>
      <c r="AY2221">
        <v>12059</v>
      </c>
      <c r="AZ2221">
        <v>4202</v>
      </c>
      <c r="BA2221">
        <v>7438</v>
      </c>
      <c r="BB2221">
        <v>1432</v>
      </c>
      <c r="BC2221">
        <v>13072</v>
      </c>
      <c r="BD2221">
        <v>9486</v>
      </c>
      <c r="BE2221">
        <v>9222</v>
      </c>
      <c r="BF2221">
        <v>1768</v>
      </c>
      <c r="BG2221">
        <v>20476</v>
      </c>
      <c r="BH2221">
        <v>0</v>
      </c>
      <c r="BI2221">
        <v>0</v>
      </c>
      <c r="BJ2221">
        <v>0</v>
      </c>
      <c r="BK2221">
        <v>0</v>
      </c>
      <c r="BL2221" s="2">
        <v>24.82</v>
      </c>
      <c r="BM2221" s="2">
        <v>42005.095138888886</v>
      </c>
      <c r="BN2221" s="2">
        <v>5.4</v>
      </c>
      <c r="BO2221" s="2">
        <v>42005.092361111114</v>
      </c>
      <c r="BP2221" s="2">
        <v>6.92</v>
      </c>
      <c r="BQ2221" s="2">
        <v>42005.092361111114</v>
      </c>
      <c r="BR2221" s="2">
        <v>11.07</v>
      </c>
      <c r="BS2221" s="2">
        <v>42005.092361111114</v>
      </c>
      <c r="BT2221">
        <v>0</v>
      </c>
      <c r="BU2221">
        <v>0</v>
      </c>
      <c r="BV2221" t="s">
        <v>135</v>
      </c>
      <c r="BW2221">
        <v>0</v>
      </c>
      <c r="BX2221">
        <v>0</v>
      </c>
      <c r="BY2221" t="s">
        <v>135</v>
      </c>
      <c r="BZ2221">
        <v>0</v>
      </c>
      <c r="CA2221">
        <v>0</v>
      </c>
      <c r="CB2221" t="s">
        <v>135</v>
      </c>
      <c r="CH2221" s="2"/>
      <c r="CJ2221" s="2"/>
      <c r="CL2221" s="2"/>
      <c r="CN2221" s="2"/>
      <c r="CQ2221" s="2"/>
      <c r="CT2221" s="2"/>
      <c r="CW2221" s="2"/>
    </row>
    <row r="2222" spans="1:101" x14ac:dyDescent="0.25">
      <c r="A2222" s="1" t="s">
        <v>163</v>
      </c>
      <c r="B2222" s="75" t="s">
        <v>164</v>
      </c>
      <c r="C2222">
        <v>0</v>
      </c>
      <c r="D2222">
        <v>0</v>
      </c>
      <c r="E2222">
        <v>0</v>
      </c>
      <c r="F2222">
        <v>604324.56000000006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3.91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7490</v>
      </c>
      <c r="AW2222">
        <v>3350</v>
      </c>
      <c r="AX2222">
        <v>1219</v>
      </c>
      <c r="AY2222">
        <v>12059</v>
      </c>
      <c r="AZ2222">
        <v>4202</v>
      </c>
      <c r="BA2222">
        <v>7438</v>
      </c>
      <c r="BB2222">
        <v>1432</v>
      </c>
      <c r="BC2222">
        <v>13072</v>
      </c>
      <c r="BD2222">
        <v>9486</v>
      </c>
      <c r="BE2222">
        <v>9222</v>
      </c>
      <c r="BF2222">
        <v>1768</v>
      </c>
      <c r="BG2222">
        <v>20476</v>
      </c>
      <c r="BH2222">
        <v>0</v>
      </c>
      <c r="BI2222">
        <v>0</v>
      </c>
      <c r="BJ2222">
        <v>0</v>
      </c>
      <c r="BK2222">
        <v>0</v>
      </c>
      <c r="BL2222" s="2">
        <v>24.82</v>
      </c>
      <c r="BM2222" s="2">
        <v>42005.095138888886</v>
      </c>
      <c r="BN2222" s="2">
        <v>5.4</v>
      </c>
      <c r="BO2222" s="2">
        <v>42005.092361111114</v>
      </c>
      <c r="BP2222" s="2">
        <v>6.92</v>
      </c>
      <c r="BQ2222" s="2">
        <v>42005.092361111114</v>
      </c>
      <c r="BR2222" s="2">
        <v>11.07</v>
      </c>
      <c r="BS2222" s="2">
        <v>42005.092361111114</v>
      </c>
      <c r="BT2222">
        <v>0</v>
      </c>
      <c r="BU2222">
        <v>0</v>
      </c>
      <c r="BV2222" t="s">
        <v>135</v>
      </c>
      <c r="BW2222">
        <v>0</v>
      </c>
      <c r="BX2222">
        <v>0</v>
      </c>
      <c r="BY2222" t="s">
        <v>135</v>
      </c>
      <c r="BZ2222">
        <v>0</v>
      </c>
      <c r="CA2222">
        <v>0</v>
      </c>
      <c r="CB2222" t="s">
        <v>135</v>
      </c>
      <c r="CH2222" s="2"/>
      <c r="CJ2222" s="2"/>
      <c r="CL2222" s="2"/>
      <c r="CN2222" s="2"/>
      <c r="CQ2222" s="2"/>
      <c r="CT2222" s="2"/>
      <c r="CW2222" s="2"/>
    </row>
    <row r="2223" spans="1:101" x14ac:dyDescent="0.25">
      <c r="A2223" s="1" t="s">
        <v>163</v>
      </c>
      <c r="B2223" s="75" t="s">
        <v>164</v>
      </c>
      <c r="C2223">
        <v>0</v>
      </c>
      <c r="D2223">
        <v>0</v>
      </c>
      <c r="E2223">
        <v>0</v>
      </c>
      <c r="F2223">
        <v>604324.56000000006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3.91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7490</v>
      </c>
      <c r="AW2223">
        <v>3350</v>
      </c>
      <c r="AX2223">
        <v>1219</v>
      </c>
      <c r="AY2223">
        <v>12059</v>
      </c>
      <c r="AZ2223">
        <v>4202</v>
      </c>
      <c r="BA2223">
        <v>7438</v>
      </c>
      <c r="BB2223">
        <v>1432</v>
      </c>
      <c r="BC2223">
        <v>13072</v>
      </c>
      <c r="BD2223">
        <v>9486</v>
      </c>
      <c r="BE2223">
        <v>9222</v>
      </c>
      <c r="BF2223">
        <v>1768</v>
      </c>
      <c r="BG2223">
        <v>20476</v>
      </c>
      <c r="BH2223">
        <v>0</v>
      </c>
      <c r="BI2223">
        <v>0</v>
      </c>
      <c r="BJ2223">
        <v>0</v>
      </c>
      <c r="BK2223">
        <v>0</v>
      </c>
      <c r="BL2223" s="2">
        <v>24.82</v>
      </c>
      <c r="BM2223" s="2">
        <v>42005.095138888886</v>
      </c>
      <c r="BN2223" s="2">
        <v>5.4</v>
      </c>
      <c r="BO2223" s="2">
        <v>42005.092361111114</v>
      </c>
      <c r="BP2223" s="2">
        <v>6.92</v>
      </c>
      <c r="BQ2223" s="2">
        <v>42005.092361111114</v>
      </c>
      <c r="BR2223" s="2">
        <v>11.07</v>
      </c>
      <c r="BS2223" s="2">
        <v>42005.092361111114</v>
      </c>
      <c r="BT2223">
        <v>0</v>
      </c>
      <c r="BU2223">
        <v>0</v>
      </c>
      <c r="BV2223" t="s">
        <v>135</v>
      </c>
      <c r="BW2223">
        <v>0</v>
      </c>
      <c r="BX2223">
        <v>0</v>
      </c>
      <c r="BY2223" t="s">
        <v>135</v>
      </c>
      <c r="BZ2223">
        <v>0</v>
      </c>
      <c r="CA2223">
        <v>0</v>
      </c>
      <c r="CB2223" t="s">
        <v>135</v>
      </c>
      <c r="CH2223" s="2"/>
      <c r="CJ2223" s="2"/>
      <c r="CL2223" s="2"/>
      <c r="CN2223" s="2"/>
      <c r="CQ2223" s="2"/>
      <c r="CT2223" s="2"/>
      <c r="CW2223" s="2"/>
    </row>
    <row r="2224" spans="1:101" x14ac:dyDescent="0.25">
      <c r="A2224" s="1" t="s">
        <v>163</v>
      </c>
      <c r="B2224" s="75" t="s">
        <v>164</v>
      </c>
      <c r="C2224">
        <v>0</v>
      </c>
      <c r="D2224">
        <v>0</v>
      </c>
      <c r="E2224">
        <v>0</v>
      </c>
      <c r="F2224">
        <v>604324.56000000006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3.91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7490</v>
      </c>
      <c r="AW2224">
        <v>3350</v>
      </c>
      <c r="AX2224">
        <v>1219</v>
      </c>
      <c r="AY2224">
        <v>12059</v>
      </c>
      <c r="AZ2224">
        <v>4202</v>
      </c>
      <c r="BA2224">
        <v>7438</v>
      </c>
      <c r="BB2224">
        <v>1432</v>
      </c>
      <c r="BC2224">
        <v>13072</v>
      </c>
      <c r="BD2224">
        <v>9486</v>
      </c>
      <c r="BE2224">
        <v>9222</v>
      </c>
      <c r="BF2224">
        <v>1768</v>
      </c>
      <c r="BG2224">
        <v>20476</v>
      </c>
      <c r="BH2224">
        <v>0</v>
      </c>
      <c r="BI2224">
        <v>0</v>
      </c>
      <c r="BJ2224">
        <v>0</v>
      </c>
      <c r="BK2224">
        <v>0</v>
      </c>
      <c r="BL2224" s="2">
        <v>24.82</v>
      </c>
      <c r="BM2224" s="2">
        <v>42005.095138888886</v>
      </c>
      <c r="BN2224" s="2">
        <v>5.4</v>
      </c>
      <c r="BO2224" s="2">
        <v>42005.092361111114</v>
      </c>
      <c r="BP2224" s="2">
        <v>6.92</v>
      </c>
      <c r="BQ2224" s="2">
        <v>42005.092361111114</v>
      </c>
      <c r="BR2224" s="2">
        <v>11.07</v>
      </c>
      <c r="BS2224" s="2">
        <v>42005.092361111114</v>
      </c>
      <c r="BT2224">
        <v>0</v>
      </c>
      <c r="BU2224">
        <v>0</v>
      </c>
      <c r="BV2224" t="s">
        <v>135</v>
      </c>
      <c r="BW2224">
        <v>0</v>
      </c>
      <c r="BX2224">
        <v>0</v>
      </c>
      <c r="BY2224" t="s">
        <v>135</v>
      </c>
      <c r="BZ2224">
        <v>0</v>
      </c>
      <c r="CA2224">
        <v>0</v>
      </c>
      <c r="CB2224" t="s">
        <v>135</v>
      </c>
      <c r="CH2224" s="2"/>
      <c r="CJ2224" s="2"/>
      <c r="CL2224" s="2"/>
      <c r="CN2224" s="2"/>
      <c r="CQ2224" s="2"/>
      <c r="CT2224" s="2"/>
      <c r="CW2224" s="2"/>
    </row>
    <row r="2225" spans="1:101" x14ac:dyDescent="0.25">
      <c r="A2225" s="1" t="s">
        <v>163</v>
      </c>
      <c r="B2225" s="75" t="s">
        <v>164</v>
      </c>
      <c r="C2225">
        <v>0</v>
      </c>
      <c r="D2225">
        <v>0</v>
      </c>
      <c r="E2225">
        <v>0</v>
      </c>
      <c r="F2225">
        <v>604324.56000000006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3.91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7490</v>
      </c>
      <c r="AW2225">
        <v>3350</v>
      </c>
      <c r="AX2225">
        <v>1219</v>
      </c>
      <c r="AY2225">
        <v>12059</v>
      </c>
      <c r="AZ2225">
        <v>4202</v>
      </c>
      <c r="BA2225">
        <v>7438</v>
      </c>
      <c r="BB2225">
        <v>1432</v>
      </c>
      <c r="BC2225">
        <v>13072</v>
      </c>
      <c r="BD2225">
        <v>9486</v>
      </c>
      <c r="BE2225">
        <v>9222</v>
      </c>
      <c r="BF2225">
        <v>1768</v>
      </c>
      <c r="BG2225">
        <v>20476</v>
      </c>
      <c r="BH2225">
        <v>0</v>
      </c>
      <c r="BI2225">
        <v>0</v>
      </c>
      <c r="BJ2225">
        <v>0</v>
      </c>
      <c r="BK2225">
        <v>0</v>
      </c>
      <c r="BL2225" s="2">
        <v>24.82</v>
      </c>
      <c r="BM2225" s="2">
        <v>42005.095138888886</v>
      </c>
      <c r="BN2225" s="2">
        <v>5.4</v>
      </c>
      <c r="BO2225" s="2">
        <v>42005.092361111114</v>
      </c>
      <c r="BP2225" s="2">
        <v>6.92</v>
      </c>
      <c r="BQ2225" s="2">
        <v>42005.092361111114</v>
      </c>
      <c r="BR2225" s="2">
        <v>11.07</v>
      </c>
      <c r="BS2225" s="2">
        <v>42005.092361111114</v>
      </c>
      <c r="BT2225">
        <v>0</v>
      </c>
      <c r="BU2225">
        <v>0</v>
      </c>
      <c r="BV2225" t="s">
        <v>135</v>
      </c>
      <c r="BW2225">
        <v>0</v>
      </c>
      <c r="BX2225">
        <v>0</v>
      </c>
      <c r="BY2225" t="s">
        <v>135</v>
      </c>
      <c r="BZ2225">
        <v>0</v>
      </c>
      <c r="CA2225">
        <v>0</v>
      </c>
      <c r="CB2225" t="s">
        <v>135</v>
      </c>
      <c r="CH2225" s="2"/>
      <c r="CJ2225" s="2"/>
      <c r="CL2225" s="2"/>
      <c r="CN2225" s="2"/>
      <c r="CQ2225" s="2"/>
      <c r="CT2225" s="2"/>
      <c r="CW2225" s="2"/>
    </row>
    <row r="2226" spans="1:101" x14ac:dyDescent="0.25">
      <c r="A2226" s="1" t="s">
        <v>163</v>
      </c>
      <c r="B2226" s="75" t="s">
        <v>164</v>
      </c>
      <c r="C2226">
        <v>0</v>
      </c>
      <c r="D2226">
        <v>0</v>
      </c>
      <c r="E2226">
        <v>0</v>
      </c>
      <c r="F2226">
        <v>604324.56000000006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3.91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7490</v>
      </c>
      <c r="AW2226">
        <v>3350</v>
      </c>
      <c r="AX2226">
        <v>1219</v>
      </c>
      <c r="AY2226">
        <v>12059</v>
      </c>
      <c r="AZ2226">
        <v>4202</v>
      </c>
      <c r="BA2226">
        <v>7438</v>
      </c>
      <c r="BB2226">
        <v>1432</v>
      </c>
      <c r="BC2226">
        <v>13072</v>
      </c>
      <c r="BD2226">
        <v>9486</v>
      </c>
      <c r="BE2226">
        <v>9222</v>
      </c>
      <c r="BF2226">
        <v>1768</v>
      </c>
      <c r="BG2226">
        <v>20476</v>
      </c>
      <c r="BH2226">
        <v>0</v>
      </c>
      <c r="BI2226">
        <v>0</v>
      </c>
      <c r="BJ2226">
        <v>0</v>
      </c>
      <c r="BK2226">
        <v>0</v>
      </c>
      <c r="BL2226" s="2">
        <v>24.82</v>
      </c>
      <c r="BM2226" s="2">
        <v>42005.095138888886</v>
      </c>
      <c r="BN2226" s="2">
        <v>5.4</v>
      </c>
      <c r="BO2226" s="2">
        <v>42005.092361111114</v>
      </c>
      <c r="BP2226" s="2">
        <v>6.92</v>
      </c>
      <c r="BQ2226" s="2">
        <v>42005.092361111114</v>
      </c>
      <c r="BR2226" s="2">
        <v>11.07</v>
      </c>
      <c r="BS2226" s="2">
        <v>42005.092361111114</v>
      </c>
      <c r="BT2226">
        <v>0</v>
      </c>
      <c r="BU2226">
        <v>0</v>
      </c>
      <c r="BV2226" t="s">
        <v>135</v>
      </c>
      <c r="BW2226">
        <v>0</v>
      </c>
      <c r="BX2226">
        <v>0</v>
      </c>
      <c r="BY2226" t="s">
        <v>135</v>
      </c>
      <c r="BZ2226">
        <v>0</v>
      </c>
      <c r="CA2226">
        <v>0</v>
      </c>
      <c r="CB2226" t="s">
        <v>135</v>
      </c>
      <c r="CH2226" s="2"/>
      <c r="CJ2226" s="2"/>
      <c r="CL2226" s="2"/>
      <c r="CN2226" s="2"/>
      <c r="CQ2226" s="2"/>
      <c r="CT2226" s="2"/>
      <c r="CW2226" s="2"/>
    </row>
    <row r="2227" spans="1:101" x14ac:dyDescent="0.25">
      <c r="A2227" s="1" t="s">
        <v>163</v>
      </c>
      <c r="B2227" s="75" t="s">
        <v>164</v>
      </c>
      <c r="C2227">
        <v>0</v>
      </c>
      <c r="D2227">
        <v>0</v>
      </c>
      <c r="E2227">
        <v>0</v>
      </c>
      <c r="F2227">
        <v>604324.56000000006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3.91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7490</v>
      </c>
      <c r="AW2227">
        <v>3350</v>
      </c>
      <c r="AX2227">
        <v>1219</v>
      </c>
      <c r="AY2227">
        <v>12059</v>
      </c>
      <c r="AZ2227">
        <v>4202</v>
      </c>
      <c r="BA2227">
        <v>7438</v>
      </c>
      <c r="BB2227">
        <v>1432</v>
      </c>
      <c r="BC2227">
        <v>13072</v>
      </c>
      <c r="BD2227">
        <v>9486</v>
      </c>
      <c r="BE2227">
        <v>9222</v>
      </c>
      <c r="BF2227">
        <v>1768</v>
      </c>
      <c r="BG2227">
        <v>20476</v>
      </c>
      <c r="BH2227">
        <v>0</v>
      </c>
      <c r="BI2227">
        <v>0</v>
      </c>
      <c r="BJ2227">
        <v>0</v>
      </c>
      <c r="BK2227">
        <v>0</v>
      </c>
      <c r="BL2227" s="2">
        <v>24.82</v>
      </c>
      <c r="BM2227" s="2">
        <v>42005.095138888886</v>
      </c>
      <c r="BN2227" s="2">
        <v>5.4</v>
      </c>
      <c r="BO2227" s="2">
        <v>42005.092361111114</v>
      </c>
      <c r="BP2227" s="2">
        <v>6.92</v>
      </c>
      <c r="BQ2227" s="2">
        <v>42005.092361111114</v>
      </c>
      <c r="BR2227" s="2">
        <v>11.07</v>
      </c>
      <c r="BS2227" s="2">
        <v>42005.092361111114</v>
      </c>
      <c r="BT2227">
        <v>0</v>
      </c>
      <c r="BU2227">
        <v>0</v>
      </c>
      <c r="BV2227" t="s">
        <v>135</v>
      </c>
      <c r="BW2227">
        <v>0</v>
      </c>
      <c r="BX2227">
        <v>0</v>
      </c>
      <c r="BY2227" t="s">
        <v>135</v>
      </c>
      <c r="BZ2227">
        <v>0</v>
      </c>
      <c r="CA2227">
        <v>0</v>
      </c>
      <c r="CB2227" t="s">
        <v>135</v>
      </c>
      <c r="CH2227" s="2"/>
      <c r="CJ2227" s="2"/>
      <c r="CL2227" s="2"/>
      <c r="CN2227" s="2"/>
      <c r="CQ2227" s="2"/>
      <c r="CT2227" s="2"/>
      <c r="CW2227" s="2"/>
    </row>
    <row r="2228" spans="1:101" x14ac:dyDescent="0.25">
      <c r="A2228" s="1" t="s">
        <v>163</v>
      </c>
      <c r="B2228" s="75" t="s">
        <v>164</v>
      </c>
      <c r="C2228">
        <v>0</v>
      </c>
      <c r="D2228">
        <v>0</v>
      </c>
      <c r="E2228">
        <v>0</v>
      </c>
      <c r="F2228">
        <v>604324.56000000006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3.91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7490</v>
      </c>
      <c r="AW2228">
        <v>3350</v>
      </c>
      <c r="AX2228">
        <v>1219</v>
      </c>
      <c r="AY2228">
        <v>12059</v>
      </c>
      <c r="AZ2228">
        <v>4202</v>
      </c>
      <c r="BA2228">
        <v>7438</v>
      </c>
      <c r="BB2228">
        <v>1432</v>
      </c>
      <c r="BC2228">
        <v>13072</v>
      </c>
      <c r="BD2228">
        <v>9486</v>
      </c>
      <c r="BE2228">
        <v>9222</v>
      </c>
      <c r="BF2228">
        <v>1768</v>
      </c>
      <c r="BG2228">
        <v>20476</v>
      </c>
      <c r="BH2228">
        <v>0</v>
      </c>
      <c r="BI2228">
        <v>0</v>
      </c>
      <c r="BJ2228">
        <v>0</v>
      </c>
      <c r="BK2228">
        <v>0</v>
      </c>
      <c r="BL2228" s="2">
        <v>24.82</v>
      </c>
      <c r="BM2228" s="2">
        <v>42005.095138888886</v>
      </c>
      <c r="BN2228" s="2">
        <v>5.4</v>
      </c>
      <c r="BO2228" s="2">
        <v>42005.092361111114</v>
      </c>
      <c r="BP2228" s="2">
        <v>6.92</v>
      </c>
      <c r="BQ2228" s="2">
        <v>42005.092361111114</v>
      </c>
      <c r="BR2228" s="2">
        <v>11.07</v>
      </c>
      <c r="BS2228" s="2">
        <v>42005.092361111114</v>
      </c>
      <c r="BT2228">
        <v>0</v>
      </c>
      <c r="BU2228">
        <v>0</v>
      </c>
      <c r="BV2228" t="s">
        <v>135</v>
      </c>
      <c r="BW2228">
        <v>0</v>
      </c>
      <c r="BX2228">
        <v>0</v>
      </c>
      <c r="BY2228" t="s">
        <v>135</v>
      </c>
      <c r="BZ2228">
        <v>0</v>
      </c>
      <c r="CA2228">
        <v>0</v>
      </c>
      <c r="CB2228" t="s">
        <v>135</v>
      </c>
      <c r="CH2228" s="2"/>
      <c r="CJ2228" s="2"/>
      <c r="CL2228" s="2"/>
      <c r="CN2228" s="2"/>
      <c r="CQ2228" s="2"/>
      <c r="CT2228" s="2"/>
      <c r="CW2228" s="2"/>
    </row>
    <row r="2229" spans="1:101" x14ac:dyDescent="0.25">
      <c r="A2229" s="1" t="s">
        <v>163</v>
      </c>
      <c r="B2229" s="75" t="s">
        <v>164</v>
      </c>
      <c r="C2229">
        <v>0</v>
      </c>
      <c r="D2229">
        <v>0</v>
      </c>
      <c r="E2229">
        <v>0</v>
      </c>
      <c r="F2229">
        <v>604324.56000000006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3.91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7490</v>
      </c>
      <c r="AW2229">
        <v>3350</v>
      </c>
      <c r="AX2229">
        <v>1219</v>
      </c>
      <c r="AY2229">
        <v>12059</v>
      </c>
      <c r="AZ2229">
        <v>4202</v>
      </c>
      <c r="BA2229">
        <v>7438</v>
      </c>
      <c r="BB2229">
        <v>1432</v>
      </c>
      <c r="BC2229">
        <v>13072</v>
      </c>
      <c r="BD2229">
        <v>9486</v>
      </c>
      <c r="BE2229">
        <v>9222</v>
      </c>
      <c r="BF2229">
        <v>1768</v>
      </c>
      <c r="BG2229">
        <v>20476</v>
      </c>
      <c r="BH2229">
        <v>0</v>
      </c>
      <c r="BI2229">
        <v>0</v>
      </c>
      <c r="BJ2229">
        <v>0</v>
      </c>
      <c r="BK2229">
        <v>0</v>
      </c>
      <c r="BL2229" s="2">
        <v>24.82</v>
      </c>
      <c r="BM2229" s="2">
        <v>42005.095138888886</v>
      </c>
      <c r="BN2229" s="2">
        <v>5.4</v>
      </c>
      <c r="BO2229" s="2">
        <v>42005.092361111114</v>
      </c>
      <c r="BP2229" s="2">
        <v>6.92</v>
      </c>
      <c r="BQ2229" s="2">
        <v>42005.092361111114</v>
      </c>
      <c r="BR2229" s="2">
        <v>11.07</v>
      </c>
      <c r="BS2229" s="2">
        <v>42005.092361111114</v>
      </c>
      <c r="BT2229">
        <v>0</v>
      </c>
      <c r="BU2229">
        <v>0</v>
      </c>
      <c r="BV2229" t="s">
        <v>135</v>
      </c>
      <c r="BW2229">
        <v>0</v>
      </c>
      <c r="BX2229">
        <v>0</v>
      </c>
      <c r="BY2229" t="s">
        <v>135</v>
      </c>
      <c r="BZ2229">
        <v>0</v>
      </c>
      <c r="CA2229">
        <v>0</v>
      </c>
      <c r="CB2229" t="s">
        <v>135</v>
      </c>
      <c r="CH2229" s="2"/>
      <c r="CJ2229" s="2"/>
      <c r="CL2229" s="2"/>
      <c r="CN2229" s="2"/>
      <c r="CQ2229" s="2"/>
      <c r="CT2229" s="2"/>
      <c r="CW2229" s="2"/>
    </row>
    <row r="2230" spans="1:101" x14ac:dyDescent="0.25">
      <c r="A2230" s="1" t="s">
        <v>163</v>
      </c>
      <c r="B2230" s="75" t="s">
        <v>164</v>
      </c>
      <c r="C2230">
        <v>0</v>
      </c>
      <c r="D2230">
        <v>0</v>
      </c>
      <c r="E2230">
        <v>0</v>
      </c>
      <c r="F2230">
        <v>604324.56000000006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3.91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7490</v>
      </c>
      <c r="AW2230">
        <v>3350</v>
      </c>
      <c r="AX2230">
        <v>1219</v>
      </c>
      <c r="AY2230">
        <v>12059</v>
      </c>
      <c r="AZ2230">
        <v>4202</v>
      </c>
      <c r="BA2230">
        <v>7438</v>
      </c>
      <c r="BB2230">
        <v>1432</v>
      </c>
      <c r="BC2230">
        <v>13072</v>
      </c>
      <c r="BD2230">
        <v>9486</v>
      </c>
      <c r="BE2230">
        <v>9222</v>
      </c>
      <c r="BF2230">
        <v>1768</v>
      </c>
      <c r="BG2230">
        <v>20476</v>
      </c>
      <c r="BH2230">
        <v>0</v>
      </c>
      <c r="BI2230">
        <v>0</v>
      </c>
      <c r="BJ2230">
        <v>0</v>
      </c>
      <c r="BK2230">
        <v>0</v>
      </c>
      <c r="BL2230" s="2">
        <v>24.82</v>
      </c>
      <c r="BM2230" s="2">
        <v>42005.095138888886</v>
      </c>
      <c r="BN2230" s="2">
        <v>5.4</v>
      </c>
      <c r="BO2230" s="2">
        <v>42005.092361111114</v>
      </c>
      <c r="BP2230" s="2">
        <v>6.92</v>
      </c>
      <c r="BQ2230" s="2">
        <v>42005.092361111114</v>
      </c>
      <c r="BR2230" s="2">
        <v>11.07</v>
      </c>
      <c r="BS2230" s="2">
        <v>42005.092361111114</v>
      </c>
      <c r="BT2230">
        <v>0</v>
      </c>
      <c r="BU2230">
        <v>0</v>
      </c>
      <c r="BV2230" t="s">
        <v>135</v>
      </c>
      <c r="BW2230">
        <v>0</v>
      </c>
      <c r="BX2230">
        <v>0</v>
      </c>
      <c r="BY2230" t="s">
        <v>135</v>
      </c>
      <c r="BZ2230">
        <v>0</v>
      </c>
      <c r="CA2230">
        <v>0</v>
      </c>
      <c r="CB2230" t="s">
        <v>135</v>
      </c>
      <c r="CH2230" s="2"/>
      <c r="CJ2230" s="2"/>
      <c r="CL2230" s="2"/>
      <c r="CN2230" s="2"/>
      <c r="CQ2230" s="2"/>
      <c r="CT2230" s="2"/>
      <c r="CW2230" s="2"/>
    </row>
    <row r="2231" spans="1:101" x14ac:dyDescent="0.25">
      <c r="A2231" s="1" t="s">
        <v>163</v>
      </c>
      <c r="B2231" s="75" t="s">
        <v>164</v>
      </c>
      <c r="C2231">
        <v>0</v>
      </c>
      <c r="D2231">
        <v>0</v>
      </c>
      <c r="E2231">
        <v>0</v>
      </c>
      <c r="F2231">
        <v>604324.56000000006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3.91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7490</v>
      </c>
      <c r="AW2231">
        <v>3350</v>
      </c>
      <c r="AX2231">
        <v>1219</v>
      </c>
      <c r="AY2231">
        <v>12059</v>
      </c>
      <c r="AZ2231">
        <v>4202</v>
      </c>
      <c r="BA2231">
        <v>7438</v>
      </c>
      <c r="BB2231">
        <v>1432</v>
      </c>
      <c r="BC2231">
        <v>13072</v>
      </c>
      <c r="BD2231">
        <v>9486</v>
      </c>
      <c r="BE2231">
        <v>9222</v>
      </c>
      <c r="BF2231">
        <v>1768</v>
      </c>
      <c r="BG2231">
        <v>20476</v>
      </c>
      <c r="BH2231">
        <v>0</v>
      </c>
      <c r="BI2231">
        <v>0</v>
      </c>
      <c r="BJ2231">
        <v>0</v>
      </c>
      <c r="BK2231">
        <v>0</v>
      </c>
      <c r="BL2231" s="2">
        <v>24.82</v>
      </c>
      <c r="BM2231" s="2">
        <v>42005.095138888886</v>
      </c>
      <c r="BN2231" s="2">
        <v>5.4</v>
      </c>
      <c r="BO2231" s="2">
        <v>42005.092361111114</v>
      </c>
      <c r="BP2231" s="2">
        <v>6.92</v>
      </c>
      <c r="BQ2231" s="2">
        <v>42005.092361111114</v>
      </c>
      <c r="BR2231" s="2">
        <v>11.07</v>
      </c>
      <c r="BS2231" s="2">
        <v>42005.092361111114</v>
      </c>
      <c r="BT2231">
        <v>0</v>
      </c>
      <c r="BU2231">
        <v>0</v>
      </c>
      <c r="BV2231" t="s">
        <v>135</v>
      </c>
      <c r="BW2231">
        <v>0</v>
      </c>
      <c r="BX2231">
        <v>0</v>
      </c>
      <c r="BY2231" t="s">
        <v>135</v>
      </c>
      <c r="BZ2231">
        <v>0</v>
      </c>
      <c r="CA2231">
        <v>0</v>
      </c>
      <c r="CB2231" t="s">
        <v>135</v>
      </c>
      <c r="CH2231" s="2"/>
      <c r="CJ2231" s="2"/>
      <c r="CL2231" s="2"/>
      <c r="CN2231" s="2"/>
      <c r="CQ2231" s="2"/>
      <c r="CT2231" s="2"/>
      <c r="CW2231" s="2"/>
    </row>
    <row r="2232" spans="1:101" x14ac:dyDescent="0.25">
      <c r="A2232" s="1" t="s">
        <v>163</v>
      </c>
      <c r="B2232" s="75" t="s">
        <v>164</v>
      </c>
      <c r="C2232">
        <v>0</v>
      </c>
      <c r="D2232">
        <v>0</v>
      </c>
      <c r="E2232">
        <v>0</v>
      </c>
      <c r="F2232">
        <v>604324.56000000006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3.91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7490</v>
      </c>
      <c r="AW2232">
        <v>3350</v>
      </c>
      <c r="AX2232">
        <v>1219</v>
      </c>
      <c r="AY2232">
        <v>12059</v>
      </c>
      <c r="AZ2232">
        <v>4202</v>
      </c>
      <c r="BA2232">
        <v>7438</v>
      </c>
      <c r="BB2232">
        <v>1432</v>
      </c>
      <c r="BC2232">
        <v>13072</v>
      </c>
      <c r="BD2232">
        <v>9486</v>
      </c>
      <c r="BE2232">
        <v>9222</v>
      </c>
      <c r="BF2232">
        <v>1768</v>
      </c>
      <c r="BG2232">
        <v>20476</v>
      </c>
      <c r="BH2232">
        <v>0</v>
      </c>
      <c r="BI2232">
        <v>0</v>
      </c>
      <c r="BJ2232">
        <v>0</v>
      </c>
      <c r="BK2232">
        <v>0</v>
      </c>
      <c r="BL2232" s="2">
        <v>24.82</v>
      </c>
      <c r="BM2232" s="2">
        <v>42005.095138888886</v>
      </c>
      <c r="BN2232" s="2">
        <v>5.4</v>
      </c>
      <c r="BO2232" s="2">
        <v>42005.092361111114</v>
      </c>
      <c r="BP2232" s="2">
        <v>6.92</v>
      </c>
      <c r="BQ2232" s="2">
        <v>42005.092361111114</v>
      </c>
      <c r="BR2232" s="2">
        <v>11.07</v>
      </c>
      <c r="BS2232" s="2">
        <v>42005.092361111114</v>
      </c>
      <c r="BT2232">
        <v>0</v>
      </c>
      <c r="BU2232">
        <v>0</v>
      </c>
      <c r="BV2232" t="s">
        <v>135</v>
      </c>
      <c r="BW2232">
        <v>0</v>
      </c>
      <c r="BX2232">
        <v>0</v>
      </c>
      <c r="BY2232" t="s">
        <v>135</v>
      </c>
      <c r="BZ2232">
        <v>0</v>
      </c>
      <c r="CA2232">
        <v>0</v>
      </c>
      <c r="CB2232" t="s">
        <v>135</v>
      </c>
      <c r="CH2232" s="2"/>
      <c r="CJ2232" s="2"/>
      <c r="CL2232" s="2"/>
      <c r="CN2232" s="2"/>
      <c r="CQ2232" s="2"/>
      <c r="CT2232" s="2"/>
      <c r="CW2232" s="2"/>
    </row>
    <row r="2233" spans="1:101" x14ac:dyDescent="0.25">
      <c r="A2233" s="1" t="s">
        <v>163</v>
      </c>
      <c r="B2233" s="75" t="s">
        <v>164</v>
      </c>
      <c r="C2233">
        <v>0</v>
      </c>
      <c r="D2233">
        <v>0</v>
      </c>
      <c r="E2233">
        <v>0</v>
      </c>
      <c r="F2233">
        <v>604324.56000000006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3.91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7490</v>
      </c>
      <c r="AW2233">
        <v>3350</v>
      </c>
      <c r="AX2233">
        <v>1219</v>
      </c>
      <c r="AY2233">
        <v>12059</v>
      </c>
      <c r="AZ2233">
        <v>4202</v>
      </c>
      <c r="BA2233">
        <v>7438</v>
      </c>
      <c r="BB2233">
        <v>1432</v>
      </c>
      <c r="BC2233">
        <v>13072</v>
      </c>
      <c r="BD2233">
        <v>9486</v>
      </c>
      <c r="BE2233">
        <v>9222</v>
      </c>
      <c r="BF2233">
        <v>1768</v>
      </c>
      <c r="BG2233">
        <v>20476</v>
      </c>
      <c r="BH2233">
        <v>0</v>
      </c>
      <c r="BI2233">
        <v>0</v>
      </c>
      <c r="BJ2233">
        <v>0</v>
      </c>
      <c r="BK2233">
        <v>0</v>
      </c>
      <c r="BL2233" s="2">
        <v>24.82</v>
      </c>
      <c r="BM2233" s="2">
        <v>42005.095138888886</v>
      </c>
      <c r="BN2233" s="2">
        <v>5.4</v>
      </c>
      <c r="BO2233" s="2">
        <v>42005.092361111114</v>
      </c>
      <c r="BP2233" s="2">
        <v>6.92</v>
      </c>
      <c r="BQ2233" s="2">
        <v>42005.092361111114</v>
      </c>
      <c r="BR2233" s="2">
        <v>11.07</v>
      </c>
      <c r="BS2233" s="2">
        <v>42005.092361111114</v>
      </c>
      <c r="BT2233">
        <v>0</v>
      </c>
      <c r="BU2233">
        <v>0</v>
      </c>
      <c r="BV2233" t="s">
        <v>135</v>
      </c>
      <c r="BW2233">
        <v>0</v>
      </c>
      <c r="BX2233">
        <v>0</v>
      </c>
      <c r="BY2233" t="s">
        <v>135</v>
      </c>
      <c r="BZ2233">
        <v>0</v>
      </c>
      <c r="CA2233">
        <v>0</v>
      </c>
      <c r="CB2233" t="s">
        <v>135</v>
      </c>
      <c r="CH2233" s="2"/>
      <c r="CJ2233" s="2"/>
      <c r="CL2233" s="2"/>
      <c r="CN2233" s="2"/>
      <c r="CQ2233" s="2"/>
      <c r="CT2233" s="2"/>
      <c r="CW2233" s="2"/>
    </row>
    <row r="2234" spans="1:101" x14ac:dyDescent="0.25">
      <c r="A2234" s="1" t="s">
        <v>163</v>
      </c>
      <c r="B2234" s="75" t="s">
        <v>164</v>
      </c>
      <c r="C2234">
        <v>0</v>
      </c>
      <c r="D2234">
        <v>0</v>
      </c>
      <c r="E2234">
        <v>0</v>
      </c>
      <c r="F2234">
        <v>604324.56000000006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3.91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7490</v>
      </c>
      <c r="AW2234">
        <v>3350</v>
      </c>
      <c r="AX2234">
        <v>1219</v>
      </c>
      <c r="AY2234">
        <v>12059</v>
      </c>
      <c r="AZ2234">
        <v>4202</v>
      </c>
      <c r="BA2234">
        <v>7438</v>
      </c>
      <c r="BB2234">
        <v>1432</v>
      </c>
      <c r="BC2234">
        <v>13072</v>
      </c>
      <c r="BD2234">
        <v>9486</v>
      </c>
      <c r="BE2234">
        <v>9222</v>
      </c>
      <c r="BF2234">
        <v>1768</v>
      </c>
      <c r="BG2234">
        <v>20476</v>
      </c>
      <c r="BH2234">
        <v>0</v>
      </c>
      <c r="BI2234">
        <v>0</v>
      </c>
      <c r="BJ2234">
        <v>0</v>
      </c>
      <c r="BK2234">
        <v>0</v>
      </c>
      <c r="BL2234" s="2">
        <v>24.82</v>
      </c>
      <c r="BM2234" s="2">
        <v>42005.095138888886</v>
      </c>
      <c r="BN2234" s="2">
        <v>5.4</v>
      </c>
      <c r="BO2234" s="2">
        <v>42005.092361111114</v>
      </c>
      <c r="BP2234" s="2">
        <v>6.92</v>
      </c>
      <c r="BQ2234" s="2">
        <v>42005.092361111114</v>
      </c>
      <c r="BR2234" s="2">
        <v>11.07</v>
      </c>
      <c r="BS2234" s="2">
        <v>42005.092361111114</v>
      </c>
      <c r="BT2234">
        <v>0</v>
      </c>
      <c r="BU2234">
        <v>0</v>
      </c>
      <c r="BV2234" t="s">
        <v>135</v>
      </c>
      <c r="BW2234">
        <v>0</v>
      </c>
      <c r="BX2234">
        <v>0</v>
      </c>
      <c r="BY2234" t="s">
        <v>135</v>
      </c>
      <c r="BZ2234">
        <v>0</v>
      </c>
      <c r="CA2234">
        <v>0</v>
      </c>
      <c r="CB2234" t="s">
        <v>135</v>
      </c>
      <c r="CH2234" s="2"/>
      <c r="CJ2234" s="2"/>
      <c r="CL2234" s="2"/>
      <c r="CN2234" s="2"/>
      <c r="CQ2234" s="2"/>
      <c r="CT2234" s="2"/>
      <c r="CW2234" s="2"/>
    </row>
    <row r="2235" spans="1:101" x14ac:dyDescent="0.25">
      <c r="A2235" s="1" t="s">
        <v>163</v>
      </c>
      <c r="B2235" s="75" t="s">
        <v>164</v>
      </c>
      <c r="C2235">
        <v>0</v>
      </c>
      <c r="D2235">
        <v>0</v>
      </c>
      <c r="E2235">
        <v>0</v>
      </c>
      <c r="F2235">
        <v>604324.56000000006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3.91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7490</v>
      </c>
      <c r="AW2235">
        <v>3350</v>
      </c>
      <c r="AX2235">
        <v>1219</v>
      </c>
      <c r="AY2235">
        <v>12059</v>
      </c>
      <c r="AZ2235">
        <v>4202</v>
      </c>
      <c r="BA2235">
        <v>7438</v>
      </c>
      <c r="BB2235">
        <v>1432</v>
      </c>
      <c r="BC2235">
        <v>13072</v>
      </c>
      <c r="BD2235">
        <v>9486</v>
      </c>
      <c r="BE2235">
        <v>9222</v>
      </c>
      <c r="BF2235">
        <v>1768</v>
      </c>
      <c r="BG2235">
        <v>20476</v>
      </c>
      <c r="BH2235">
        <v>0</v>
      </c>
      <c r="BI2235">
        <v>0</v>
      </c>
      <c r="BJ2235">
        <v>0</v>
      </c>
      <c r="BK2235">
        <v>0</v>
      </c>
      <c r="BL2235" s="2">
        <v>24.82</v>
      </c>
      <c r="BM2235" s="2">
        <v>42005.095138888886</v>
      </c>
      <c r="BN2235" s="2">
        <v>5.4</v>
      </c>
      <c r="BO2235" s="2">
        <v>42005.092361111114</v>
      </c>
      <c r="BP2235" s="2">
        <v>6.92</v>
      </c>
      <c r="BQ2235" s="2">
        <v>42005.092361111114</v>
      </c>
      <c r="BR2235" s="2">
        <v>11.07</v>
      </c>
      <c r="BS2235" s="2">
        <v>42005.092361111114</v>
      </c>
      <c r="BT2235">
        <v>0</v>
      </c>
      <c r="BU2235">
        <v>0</v>
      </c>
      <c r="BV2235" t="s">
        <v>135</v>
      </c>
      <c r="BW2235">
        <v>0</v>
      </c>
      <c r="BX2235">
        <v>0</v>
      </c>
      <c r="BY2235" t="s">
        <v>135</v>
      </c>
      <c r="BZ2235">
        <v>0</v>
      </c>
      <c r="CA2235">
        <v>0</v>
      </c>
      <c r="CB2235" t="s">
        <v>135</v>
      </c>
      <c r="CH2235" s="2"/>
      <c r="CJ2235" s="2"/>
      <c r="CL2235" s="2"/>
      <c r="CN2235" s="2"/>
      <c r="CQ2235" s="2"/>
      <c r="CT2235" s="2"/>
      <c r="CW2235" s="2"/>
    </row>
    <row r="2236" spans="1:101" x14ac:dyDescent="0.25">
      <c r="A2236" s="1" t="s">
        <v>163</v>
      </c>
      <c r="B2236" s="75" t="s">
        <v>164</v>
      </c>
      <c r="C2236">
        <v>0</v>
      </c>
      <c r="D2236">
        <v>0</v>
      </c>
      <c r="E2236">
        <v>0</v>
      </c>
      <c r="F2236">
        <v>604324.56000000006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3.91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7490</v>
      </c>
      <c r="AW2236">
        <v>3350</v>
      </c>
      <c r="AX2236">
        <v>1219</v>
      </c>
      <c r="AY2236">
        <v>12059</v>
      </c>
      <c r="AZ2236">
        <v>4202</v>
      </c>
      <c r="BA2236">
        <v>7438</v>
      </c>
      <c r="BB2236">
        <v>1432</v>
      </c>
      <c r="BC2236">
        <v>13072</v>
      </c>
      <c r="BD2236">
        <v>9486</v>
      </c>
      <c r="BE2236">
        <v>9222</v>
      </c>
      <c r="BF2236">
        <v>1768</v>
      </c>
      <c r="BG2236">
        <v>20476</v>
      </c>
      <c r="BH2236">
        <v>0</v>
      </c>
      <c r="BI2236">
        <v>0</v>
      </c>
      <c r="BJ2236">
        <v>0</v>
      </c>
      <c r="BK2236">
        <v>0</v>
      </c>
      <c r="BL2236" s="2">
        <v>24.82</v>
      </c>
      <c r="BM2236" s="2">
        <v>42005.095138888886</v>
      </c>
      <c r="BN2236" s="2">
        <v>5.4</v>
      </c>
      <c r="BO2236" s="2">
        <v>42005.092361111114</v>
      </c>
      <c r="BP2236" s="2">
        <v>6.92</v>
      </c>
      <c r="BQ2236" s="2">
        <v>42005.092361111114</v>
      </c>
      <c r="BR2236" s="2">
        <v>11.07</v>
      </c>
      <c r="BS2236" s="2">
        <v>42005.092361111114</v>
      </c>
      <c r="BT2236">
        <v>0</v>
      </c>
      <c r="BU2236">
        <v>0</v>
      </c>
      <c r="BV2236" t="s">
        <v>135</v>
      </c>
      <c r="BW2236">
        <v>0</v>
      </c>
      <c r="BX2236">
        <v>0</v>
      </c>
      <c r="BY2236" t="s">
        <v>135</v>
      </c>
      <c r="BZ2236">
        <v>0</v>
      </c>
      <c r="CA2236">
        <v>0</v>
      </c>
      <c r="CB2236" t="s">
        <v>135</v>
      </c>
      <c r="CH2236" s="2"/>
      <c r="CJ2236" s="2"/>
      <c r="CL2236" s="2"/>
      <c r="CN2236" s="2"/>
      <c r="CQ2236" s="2"/>
      <c r="CT2236" s="2"/>
      <c r="CW2236" s="2"/>
    </row>
    <row r="2237" spans="1:101" x14ac:dyDescent="0.25">
      <c r="A2237" s="1" t="s">
        <v>163</v>
      </c>
      <c r="B2237" s="75" t="s">
        <v>164</v>
      </c>
      <c r="C2237">
        <v>0</v>
      </c>
      <c r="D2237">
        <v>0</v>
      </c>
      <c r="E2237">
        <v>0</v>
      </c>
      <c r="F2237">
        <v>604324.56000000006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3.91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7490</v>
      </c>
      <c r="AW2237">
        <v>3350</v>
      </c>
      <c r="AX2237">
        <v>1219</v>
      </c>
      <c r="AY2237">
        <v>12059</v>
      </c>
      <c r="AZ2237">
        <v>4202</v>
      </c>
      <c r="BA2237">
        <v>7438</v>
      </c>
      <c r="BB2237">
        <v>1432</v>
      </c>
      <c r="BC2237">
        <v>13072</v>
      </c>
      <c r="BD2237">
        <v>9486</v>
      </c>
      <c r="BE2237">
        <v>9222</v>
      </c>
      <c r="BF2237">
        <v>1768</v>
      </c>
      <c r="BG2237">
        <v>20476</v>
      </c>
      <c r="BH2237">
        <v>0</v>
      </c>
      <c r="BI2237">
        <v>0</v>
      </c>
      <c r="BJ2237">
        <v>0</v>
      </c>
      <c r="BK2237">
        <v>0</v>
      </c>
      <c r="BL2237" s="2">
        <v>24.82</v>
      </c>
      <c r="BM2237" s="2">
        <v>42005.095138888886</v>
      </c>
      <c r="BN2237" s="2">
        <v>5.4</v>
      </c>
      <c r="BO2237" s="2">
        <v>42005.092361111114</v>
      </c>
      <c r="BP2237" s="2">
        <v>6.92</v>
      </c>
      <c r="BQ2237" s="2">
        <v>42005.092361111114</v>
      </c>
      <c r="BR2237" s="2">
        <v>11.07</v>
      </c>
      <c r="BS2237" s="2">
        <v>42005.092361111114</v>
      </c>
      <c r="BT2237">
        <v>0</v>
      </c>
      <c r="BU2237">
        <v>0</v>
      </c>
      <c r="BV2237" t="s">
        <v>135</v>
      </c>
      <c r="BW2237">
        <v>0</v>
      </c>
      <c r="BX2237">
        <v>0</v>
      </c>
      <c r="BY2237" t="s">
        <v>135</v>
      </c>
      <c r="BZ2237">
        <v>0</v>
      </c>
      <c r="CA2237">
        <v>0</v>
      </c>
      <c r="CB2237" t="s">
        <v>135</v>
      </c>
      <c r="CH2237" s="2"/>
      <c r="CJ2237" s="2"/>
      <c r="CL2237" s="2"/>
      <c r="CN2237" s="2"/>
      <c r="CQ2237" s="2"/>
      <c r="CT2237" s="2"/>
      <c r="CW2237" s="2"/>
    </row>
    <row r="2238" spans="1:101" x14ac:dyDescent="0.25">
      <c r="A2238" s="1" t="s">
        <v>163</v>
      </c>
      <c r="B2238" s="75" t="s">
        <v>164</v>
      </c>
      <c r="C2238">
        <v>0</v>
      </c>
      <c r="D2238">
        <v>0</v>
      </c>
      <c r="E2238">
        <v>0</v>
      </c>
      <c r="F2238">
        <v>604324.56000000006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3.91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7490</v>
      </c>
      <c r="AW2238">
        <v>3350</v>
      </c>
      <c r="AX2238">
        <v>1219</v>
      </c>
      <c r="AY2238">
        <v>12059</v>
      </c>
      <c r="AZ2238">
        <v>4202</v>
      </c>
      <c r="BA2238">
        <v>7438</v>
      </c>
      <c r="BB2238">
        <v>1432</v>
      </c>
      <c r="BC2238">
        <v>13072</v>
      </c>
      <c r="BD2238">
        <v>9486</v>
      </c>
      <c r="BE2238">
        <v>9222</v>
      </c>
      <c r="BF2238">
        <v>1768</v>
      </c>
      <c r="BG2238">
        <v>20476</v>
      </c>
      <c r="BH2238">
        <v>0</v>
      </c>
      <c r="BI2238">
        <v>0</v>
      </c>
      <c r="BJ2238">
        <v>0</v>
      </c>
      <c r="BK2238">
        <v>0</v>
      </c>
      <c r="BL2238" s="2">
        <v>24.82</v>
      </c>
      <c r="BM2238" s="2">
        <v>42005.095138888886</v>
      </c>
      <c r="BN2238" s="2">
        <v>5.4</v>
      </c>
      <c r="BO2238" s="2">
        <v>42005.092361111114</v>
      </c>
      <c r="BP2238" s="2">
        <v>6.92</v>
      </c>
      <c r="BQ2238" s="2">
        <v>42005.092361111114</v>
      </c>
      <c r="BR2238" s="2">
        <v>11.07</v>
      </c>
      <c r="BS2238" s="2">
        <v>42005.092361111114</v>
      </c>
      <c r="BT2238">
        <v>0</v>
      </c>
      <c r="BU2238">
        <v>0</v>
      </c>
      <c r="BV2238" t="s">
        <v>135</v>
      </c>
      <c r="BW2238">
        <v>0</v>
      </c>
      <c r="BX2238">
        <v>0</v>
      </c>
      <c r="BY2238" t="s">
        <v>135</v>
      </c>
      <c r="BZ2238">
        <v>0</v>
      </c>
      <c r="CA2238">
        <v>0</v>
      </c>
      <c r="CB2238" t="s">
        <v>135</v>
      </c>
      <c r="CH2238" s="2"/>
      <c r="CJ2238" s="2"/>
      <c r="CL2238" s="2"/>
      <c r="CN2238" s="2"/>
      <c r="CQ2238" s="2"/>
      <c r="CT2238" s="2"/>
      <c r="CW2238" s="2"/>
    </row>
    <row r="2239" spans="1:101" x14ac:dyDescent="0.25">
      <c r="A2239" s="1" t="s">
        <v>163</v>
      </c>
      <c r="B2239" s="75" t="s">
        <v>164</v>
      </c>
      <c r="C2239">
        <v>0</v>
      </c>
      <c r="D2239">
        <v>0</v>
      </c>
      <c r="E2239">
        <v>0</v>
      </c>
      <c r="F2239">
        <v>604324.56000000006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3.91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7490</v>
      </c>
      <c r="AW2239">
        <v>3350</v>
      </c>
      <c r="AX2239">
        <v>1219</v>
      </c>
      <c r="AY2239">
        <v>12059</v>
      </c>
      <c r="AZ2239">
        <v>4202</v>
      </c>
      <c r="BA2239">
        <v>7438</v>
      </c>
      <c r="BB2239">
        <v>1432</v>
      </c>
      <c r="BC2239">
        <v>13072</v>
      </c>
      <c r="BD2239">
        <v>9486</v>
      </c>
      <c r="BE2239">
        <v>9222</v>
      </c>
      <c r="BF2239">
        <v>1768</v>
      </c>
      <c r="BG2239">
        <v>20476</v>
      </c>
      <c r="BH2239">
        <v>0</v>
      </c>
      <c r="BI2239">
        <v>0</v>
      </c>
      <c r="BJ2239">
        <v>0</v>
      </c>
      <c r="BK2239">
        <v>0</v>
      </c>
      <c r="BL2239" s="2">
        <v>24.82</v>
      </c>
      <c r="BM2239" s="2">
        <v>42005.095138888886</v>
      </c>
      <c r="BN2239" s="2">
        <v>5.4</v>
      </c>
      <c r="BO2239" s="2">
        <v>42005.092361111114</v>
      </c>
      <c r="BP2239" s="2">
        <v>6.92</v>
      </c>
      <c r="BQ2239" s="2">
        <v>42005.092361111114</v>
      </c>
      <c r="BR2239" s="2">
        <v>11.07</v>
      </c>
      <c r="BS2239" s="2">
        <v>42005.092361111114</v>
      </c>
      <c r="BT2239">
        <v>0</v>
      </c>
      <c r="BU2239">
        <v>0</v>
      </c>
      <c r="BV2239" t="s">
        <v>135</v>
      </c>
      <c r="BW2239">
        <v>0</v>
      </c>
      <c r="BX2239">
        <v>0</v>
      </c>
      <c r="BY2239" t="s">
        <v>135</v>
      </c>
      <c r="BZ2239">
        <v>0</v>
      </c>
      <c r="CA2239">
        <v>0</v>
      </c>
      <c r="CB2239" t="s">
        <v>135</v>
      </c>
      <c r="CH2239" s="2"/>
      <c r="CJ2239" s="2"/>
      <c r="CL2239" s="2"/>
      <c r="CN2239" s="2"/>
      <c r="CQ2239" s="2"/>
      <c r="CT2239" s="2"/>
      <c r="CW2239" s="2"/>
    </row>
    <row r="2240" spans="1:101" x14ac:dyDescent="0.25">
      <c r="A2240" s="1" t="s">
        <v>163</v>
      </c>
      <c r="B2240" s="75" t="s">
        <v>164</v>
      </c>
      <c r="C2240">
        <v>0</v>
      </c>
      <c r="D2240">
        <v>0</v>
      </c>
      <c r="E2240">
        <v>0</v>
      </c>
      <c r="F2240">
        <v>604324.56000000006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3.91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7490</v>
      </c>
      <c r="AW2240">
        <v>3350</v>
      </c>
      <c r="AX2240">
        <v>1219</v>
      </c>
      <c r="AY2240">
        <v>12059</v>
      </c>
      <c r="AZ2240">
        <v>4202</v>
      </c>
      <c r="BA2240">
        <v>7438</v>
      </c>
      <c r="BB2240">
        <v>1432</v>
      </c>
      <c r="BC2240">
        <v>13072</v>
      </c>
      <c r="BD2240">
        <v>9486</v>
      </c>
      <c r="BE2240">
        <v>9222</v>
      </c>
      <c r="BF2240">
        <v>1768</v>
      </c>
      <c r="BG2240">
        <v>20476</v>
      </c>
      <c r="BH2240">
        <v>0</v>
      </c>
      <c r="BI2240">
        <v>0</v>
      </c>
      <c r="BJ2240">
        <v>0</v>
      </c>
      <c r="BK2240">
        <v>0</v>
      </c>
      <c r="BL2240" s="2">
        <v>24.82</v>
      </c>
      <c r="BM2240" s="2">
        <v>42005.095138888886</v>
      </c>
      <c r="BN2240" s="2">
        <v>5.4</v>
      </c>
      <c r="BO2240" s="2">
        <v>42005.092361111114</v>
      </c>
      <c r="BP2240" s="2">
        <v>6.92</v>
      </c>
      <c r="BQ2240" s="2">
        <v>42005.092361111114</v>
      </c>
      <c r="BR2240" s="2">
        <v>11.07</v>
      </c>
      <c r="BS2240" s="2">
        <v>42005.092361111114</v>
      </c>
      <c r="BT2240">
        <v>0</v>
      </c>
      <c r="BU2240">
        <v>0</v>
      </c>
      <c r="BV2240" t="s">
        <v>135</v>
      </c>
      <c r="BW2240">
        <v>0</v>
      </c>
      <c r="BX2240">
        <v>0</v>
      </c>
      <c r="BY2240" t="s">
        <v>135</v>
      </c>
      <c r="BZ2240">
        <v>0</v>
      </c>
      <c r="CA2240">
        <v>0</v>
      </c>
      <c r="CB2240" t="s">
        <v>135</v>
      </c>
      <c r="CH2240" s="2"/>
      <c r="CJ2240" s="2"/>
      <c r="CL2240" s="2"/>
      <c r="CN2240" s="2"/>
      <c r="CQ2240" s="2"/>
      <c r="CT2240" s="2"/>
      <c r="CW2240" s="2"/>
    </row>
    <row r="2241" spans="1:101" x14ac:dyDescent="0.25">
      <c r="A2241" s="1" t="s">
        <v>163</v>
      </c>
      <c r="B2241" s="75" t="s">
        <v>164</v>
      </c>
      <c r="C2241">
        <v>0</v>
      </c>
      <c r="D2241">
        <v>0</v>
      </c>
      <c r="E2241">
        <v>0</v>
      </c>
      <c r="F2241">
        <v>604324.56000000006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3.91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7490</v>
      </c>
      <c r="AW2241">
        <v>3350</v>
      </c>
      <c r="AX2241">
        <v>1219</v>
      </c>
      <c r="AY2241">
        <v>12059</v>
      </c>
      <c r="AZ2241">
        <v>4202</v>
      </c>
      <c r="BA2241">
        <v>7438</v>
      </c>
      <c r="BB2241">
        <v>1432</v>
      </c>
      <c r="BC2241">
        <v>13072</v>
      </c>
      <c r="BD2241">
        <v>9486</v>
      </c>
      <c r="BE2241">
        <v>9222</v>
      </c>
      <c r="BF2241">
        <v>1768</v>
      </c>
      <c r="BG2241">
        <v>20476</v>
      </c>
      <c r="BH2241">
        <v>0</v>
      </c>
      <c r="BI2241">
        <v>0</v>
      </c>
      <c r="BJ2241">
        <v>0</v>
      </c>
      <c r="BK2241">
        <v>0</v>
      </c>
      <c r="BL2241" s="2">
        <v>24.82</v>
      </c>
      <c r="BM2241" s="2">
        <v>42005.095138888886</v>
      </c>
      <c r="BN2241" s="2">
        <v>5.4</v>
      </c>
      <c r="BO2241" s="2">
        <v>42005.092361111114</v>
      </c>
      <c r="BP2241" s="2">
        <v>6.92</v>
      </c>
      <c r="BQ2241" s="2">
        <v>42005.092361111114</v>
      </c>
      <c r="BR2241" s="2">
        <v>11.07</v>
      </c>
      <c r="BS2241" s="2">
        <v>42005.092361111114</v>
      </c>
      <c r="BT2241">
        <v>0</v>
      </c>
      <c r="BU2241">
        <v>0</v>
      </c>
      <c r="BV2241" t="s">
        <v>135</v>
      </c>
      <c r="BW2241">
        <v>0</v>
      </c>
      <c r="BX2241">
        <v>0</v>
      </c>
      <c r="BY2241" t="s">
        <v>135</v>
      </c>
      <c r="BZ2241">
        <v>0</v>
      </c>
      <c r="CA2241">
        <v>0</v>
      </c>
      <c r="CB2241" t="s">
        <v>135</v>
      </c>
      <c r="CH2241" s="2"/>
      <c r="CJ2241" s="2"/>
      <c r="CL2241" s="2"/>
      <c r="CN2241" s="2"/>
      <c r="CQ2241" s="2"/>
      <c r="CT2241" s="2"/>
      <c r="CW2241" s="2"/>
    </row>
    <row r="2242" spans="1:101" x14ac:dyDescent="0.25">
      <c r="A2242" s="1" t="s">
        <v>163</v>
      </c>
      <c r="B2242" s="75" t="s">
        <v>164</v>
      </c>
      <c r="C2242">
        <v>0</v>
      </c>
      <c r="D2242">
        <v>0</v>
      </c>
      <c r="E2242">
        <v>0</v>
      </c>
      <c r="F2242">
        <v>604324.56000000006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3.91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7490</v>
      </c>
      <c r="AW2242">
        <v>3350</v>
      </c>
      <c r="AX2242">
        <v>1219</v>
      </c>
      <c r="AY2242">
        <v>12059</v>
      </c>
      <c r="AZ2242">
        <v>4202</v>
      </c>
      <c r="BA2242">
        <v>7438</v>
      </c>
      <c r="BB2242">
        <v>1432</v>
      </c>
      <c r="BC2242">
        <v>13072</v>
      </c>
      <c r="BD2242">
        <v>9486</v>
      </c>
      <c r="BE2242">
        <v>9222</v>
      </c>
      <c r="BF2242">
        <v>1768</v>
      </c>
      <c r="BG2242">
        <v>20476</v>
      </c>
      <c r="BH2242">
        <v>0</v>
      </c>
      <c r="BI2242">
        <v>0</v>
      </c>
      <c r="BJ2242">
        <v>0</v>
      </c>
      <c r="BK2242">
        <v>0</v>
      </c>
      <c r="BL2242" s="2">
        <v>24.82</v>
      </c>
      <c r="BM2242" s="2">
        <v>42005.095138888886</v>
      </c>
      <c r="BN2242" s="2">
        <v>5.4</v>
      </c>
      <c r="BO2242" s="2">
        <v>42005.092361111114</v>
      </c>
      <c r="BP2242" s="2">
        <v>6.92</v>
      </c>
      <c r="BQ2242" s="2">
        <v>42005.092361111114</v>
      </c>
      <c r="BR2242" s="2">
        <v>11.07</v>
      </c>
      <c r="BS2242" s="2">
        <v>42005.092361111114</v>
      </c>
      <c r="BT2242">
        <v>0</v>
      </c>
      <c r="BU2242">
        <v>0</v>
      </c>
      <c r="BV2242" t="s">
        <v>135</v>
      </c>
      <c r="BW2242">
        <v>0</v>
      </c>
      <c r="BX2242">
        <v>0</v>
      </c>
      <c r="BY2242" t="s">
        <v>135</v>
      </c>
      <c r="BZ2242">
        <v>0</v>
      </c>
      <c r="CA2242">
        <v>0</v>
      </c>
      <c r="CB2242" t="s">
        <v>135</v>
      </c>
      <c r="CH2242" s="2"/>
      <c r="CJ2242" s="2"/>
      <c r="CL2242" s="2"/>
      <c r="CN2242" s="2"/>
      <c r="CQ2242" s="2"/>
      <c r="CT2242" s="2"/>
      <c r="CW2242" s="2"/>
    </row>
    <row r="2243" spans="1:101" x14ac:dyDescent="0.25">
      <c r="A2243" s="1" t="s">
        <v>163</v>
      </c>
      <c r="B2243" s="75" t="s">
        <v>164</v>
      </c>
      <c r="C2243">
        <v>0</v>
      </c>
      <c r="D2243">
        <v>0</v>
      </c>
      <c r="E2243">
        <v>0</v>
      </c>
      <c r="F2243">
        <v>604324.56000000006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3.91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7490</v>
      </c>
      <c r="AW2243">
        <v>3350</v>
      </c>
      <c r="AX2243">
        <v>1219</v>
      </c>
      <c r="AY2243">
        <v>12059</v>
      </c>
      <c r="AZ2243">
        <v>4202</v>
      </c>
      <c r="BA2243">
        <v>7438</v>
      </c>
      <c r="BB2243">
        <v>1432</v>
      </c>
      <c r="BC2243">
        <v>13072</v>
      </c>
      <c r="BD2243">
        <v>9486</v>
      </c>
      <c r="BE2243">
        <v>9222</v>
      </c>
      <c r="BF2243">
        <v>1768</v>
      </c>
      <c r="BG2243">
        <v>20476</v>
      </c>
      <c r="BH2243">
        <v>0</v>
      </c>
      <c r="BI2243">
        <v>0</v>
      </c>
      <c r="BJ2243">
        <v>0</v>
      </c>
      <c r="BK2243">
        <v>0</v>
      </c>
      <c r="BL2243" s="2">
        <v>24.82</v>
      </c>
      <c r="BM2243" s="2">
        <v>42005.095138888886</v>
      </c>
      <c r="BN2243" s="2">
        <v>5.4</v>
      </c>
      <c r="BO2243" s="2">
        <v>42005.092361111114</v>
      </c>
      <c r="BP2243" s="2">
        <v>6.92</v>
      </c>
      <c r="BQ2243" s="2">
        <v>42005.092361111114</v>
      </c>
      <c r="BR2243" s="2">
        <v>11.07</v>
      </c>
      <c r="BS2243" s="2">
        <v>42005.092361111114</v>
      </c>
      <c r="BT2243">
        <v>0</v>
      </c>
      <c r="BU2243">
        <v>0</v>
      </c>
      <c r="BV2243" t="s">
        <v>135</v>
      </c>
      <c r="BW2243">
        <v>0</v>
      </c>
      <c r="BX2243">
        <v>0</v>
      </c>
      <c r="BY2243" t="s">
        <v>135</v>
      </c>
      <c r="BZ2243">
        <v>0</v>
      </c>
      <c r="CA2243">
        <v>0</v>
      </c>
      <c r="CB2243" t="s">
        <v>135</v>
      </c>
      <c r="CH2243" s="2"/>
      <c r="CJ2243" s="2"/>
      <c r="CL2243" s="2"/>
      <c r="CN2243" s="2"/>
      <c r="CQ2243" s="2"/>
      <c r="CT2243" s="2"/>
      <c r="CW2243" s="2"/>
    </row>
    <row r="2244" spans="1:101" x14ac:dyDescent="0.25">
      <c r="A2244" s="1" t="s">
        <v>163</v>
      </c>
      <c r="B2244" s="75" t="s">
        <v>164</v>
      </c>
      <c r="C2244">
        <v>0</v>
      </c>
      <c r="D2244">
        <v>0</v>
      </c>
      <c r="E2244">
        <v>0</v>
      </c>
      <c r="F2244">
        <v>604324.56000000006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3.91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7490</v>
      </c>
      <c r="AW2244">
        <v>3350</v>
      </c>
      <c r="AX2244">
        <v>1219</v>
      </c>
      <c r="AY2244">
        <v>12059</v>
      </c>
      <c r="AZ2244">
        <v>4202</v>
      </c>
      <c r="BA2244">
        <v>7438</v>
      </c>
      <c r="BB2244">
        <v>1432</v>
      </c>
      <c r="BC2244">
        <v>13072</v>
      </c>
      <c r="BD2244">
        <v>9486</v>
      </c>
      <c r="BE2244">
        <v>9222</v>
      </c>
      <c r="BF2244">
        <v>1768</v>
      </c>
      <c r="BG2244">
        <v>20476</v>
      </c>
      <c r="BH2244">
        <v>0</v>
      </c>
      <c r="BI2244">
        <v>0</v>
      </c>
      <c r="BJ2244">
        <v>0</v>
      </c>
      <c r="BK2244">
        <v>0</v>
      </c>
      <c r="BL2244" s="2">
        <v>24.82</v>
      </c>
      <c r="BM2244" s="2">
        <v>42005.095138888886</v>
      </c>
      <c r="BN2244" s="2">
        <v>5.4</v>
      </c>
      <c r="BO2244" s="2">
        <v>42005.092361111114</v>
      </c>
      <c r="BP2244" s="2">
        <v>6.92</v>
      </c>
      <c r="BQ2244" s="2">
        <v>42005.092361111114</v>
      </c>
      <c r="BR2244" s="2">
        <v>11.07</v>
      </c>
      <c r="BS2244" s="2">
        <v>42005.092361111114</v>
      </c>
      <c r="BT2244">
        <v>0</v>
      </c>
      <c r="BU2244">
        <v>0</v>
      </c>
      <c r="BV2244" t="s">
        <v>135</v>
      </c>
      <c r="BW2244">
        <v>0</v>
      </c>
      <c r="BX2244">
        <v>0</v>
      </c>
      <c r="BY2244" t="s">
        <v>135</v>
      </c>
      <c r="BZ2244">
        <v>0</v>
      </c>
      <c r="CA2244">
        <v>0</v>
      </c>
      <c r="CB2244" t="s">
        <v>135</v>
      </c>
      <c r="CH2244" s="2"/>
      <c r="CJ2244" s="2"/>
      <c r="CL2244" s="2"/>
      <c r="CN2244" s="2"/>
      <c r="CQ2244" s="2"/>
      <c r="CT2244" s="2"/>
      <c r="CW2244" s="2"/>
    </row>
    <row r="2245" spans="1:101" x14ac:dyDescent="0.25">
      <c r="A2245" s="1" t="s">
        <v>163</v>
      </c>
      <c r="B2245" s="75" t="s">
        <v>164</v>
      </c>
      <c r="C2245">
        <v>0</v>
      </c>
      <c r="D2245">
        <v>0</v>
      </c>
      <c r="E2245">
        <v>0</v>
      </c>
      <c r="F2245">
        <v>604324.56000000006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3.91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7490</v>
      </c>
      <c r="AW2245">
        <v>3350</v>
      </c>
      <c r="AX2245">
        <v>1219</v>
      </c>
      <c r="AY2245">
        <v>12059</v>
      </c>
      <c r="AZ2245">
        <v>4202</v>
      </c>
      <c r="BA2245">
        <v>7438</v>
      </c>
      <c r="BB2245">
        <v>1432</v>
      </c>
      <c r="BC2245">
        <v>13072</v>
      </c>
      <c r="BD2245">
        <v>9486</v>
      </c>
      <c r="BE2245">
        <v>9222</v>
      </c>
      <c r="BF2245">
        <v>1768</v>
      </c>
      <c r="BG2245">
        <v>20476</v>
      </c>
      <c r="BH2245">
        <v>0</v>
      </c>
      <c r="BI2245">
        <v>0</v>
      </c>
      <c r="BJ2245">
        <v>0</v>
      </c>
      <c r="BK2245">
        <v>0</v>
      </c>
      <c r="BL2245" s="2">
        <v>24.82</v>
      </c>
      <c r="BM2245" s="2">
        <v>42005.095138888886</v>
      </c>
      <c r="BN2245" s="2">
        <v>5.4</v>
      </c>
      <c r="BO2245" s="2">
        <v>42005.092361111114</v>
      </c>
      <c r="BP2245" s="2">
        <v>6.92</v>
      </c>
      <c r="BQ2245" s="2">
        <v>42005.092361111114</v>
      </c>
      <c r="BR2245" s="2">
        <v>11.07</v>
      </c>
      <c r="BS2245" s="2">
        <v>42005.092361111114</v>
      </c>
      <c r="BT2245">
        <v>0</v>
      </c>
      <c r="BU2245">
        <v>0</v>
      </c>
      <c r="BV2245" t="s">
        <v>135</v>
      </c>
      <c r="BW2245">
        <v>0</v>
      </c>
      <c r="BX2245">
        <v>0</v>
      </c>
      <c r="BY2245" t="s">
        <v>135</v>
      </c>
      <c r="BZ2245">
        <v>0</v>
      </c>
      <c r="CA2245">
        <v>0</v>
      </c>
      <c r="CB2245" t="s">
        <v>135</v>
      </c>
      <c r="CH2245" s="2"/>
      <c r="CJ2245" s="2"/>
      <c r="CL2245" s="2"/>
      <c r="CN2245" s="2"/>
      <c r="CQ2245" s="2"/>
      <c r="CT2245" s="2"/>
      <c r="CW2245" s="2"/>
    </row>
    <row r="2246" spans="1:101" x14ac:dyDescent="0.25">
      <c r="A2246" s="1" t="s">
        <v>163</v>
      </c>
      <c r="B2246" s="75" t="s">
        <v>164</v>
      </c>
      <c r="C2246">
        <v>0</v>
      </c>
      <c r="D2246">
        <v>0</v>
      </c>
      <c r="E2246">
        <v>0</v>
      </c>
      <c r="F2246">
        <v>604324.56000000006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3.91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7490</v>
      </c>
      <c r="AW2246">
        <v>3350</v>
      </c>
      <c r="AX2246">
        <v>1219</v>
      </c>
      <c r="AY2246">
        <v>12059</v>
      </c>
      <c r="AZ2246">
        <v>4202</v>
      </c>
      <c r="BA2246">
        <v>7438</v>
      </c>
      <c r="BB2246">
        <v>1432</v>
      </c>
      <c r="BC2246">
        <v>13072</v>
      </c>
      <c r="BD2246">
        <v>9486</v>
      </c>
      <c r="BE2246">
        <v>9222</v>
      </c>
      <c r="BF2246">
        <v>1768</v>
      </c>
      <c r="BG2246">
        <v>20476</v>
      </c>
      <c r="BH2246">
        <v>0</v>
      </c>
      <c r="BI2246">
        <v>0</v>
      </c>
      <c r="BJ2246">
        <v>0</v>
      </c>
      <c r="BK2246">
        <v>0</v>
      </c>
      <c r="BL2246" s="2">
        <v>24.82</v>
      </c>
      <c r="BM2246" s="2">
        <v>42005.095138888886</v>
      </c>
      <c r="BN2246" s="2">
        <v>5.4</v>
      </c>
      <c r="BO2246" s="2">
        <v>42005.092361111114</v>
      </c>
      <c r="BP2246" s="2">
        <v>6.92</v>
      </c>
      <c r="BQ2246" s="2">
        <v>42005.092361111114</v>
      </c>
      <c r="BR2246" s="2">
        <v>11.07</v>
      </c>
      <c r="BS2246" s="2">
        <v>42005.092361111114</v>
      </c>
      <c r="BT2246">
        <v>0</v>
      </c>
      <c r="BU2246">
        <v>0</v>
      </c>
      <c r="BV2246" t="s">
        <v>135</v>
      </c>
      <c r="BW2246">
        <v>0</v>
      </c>
      <c r="BX2246">
        <v>0</v>
      </c>
      <c r="BY2246" t="s">
        <v>135</v>
      </c>
      <c r="BZ2246">
        <v>0</v>
      </c>
      <c r="CA2246">
        <v>0</v>
      </c>
      <c r="CB2246" t="s">
        <v>135</v>
      </c>
      <c r="CH2246" s="2"/>
      <c r="CJ2246" s="2"/>
      <c r="CL2246" s="2"/>
      <c r="CN2246" s="2"/>
      <c r="CQ2246" s="2"/>
      <c r="CT2246" s="2"/>
      <c r="CW2246" s="2"/>
    </row>
    <row r="2247" spans="1:101" x14ac:dyDescent="0.25">
      <c r="A2247" s="1" t="s">
        <v>163</v>
      </c>
      <c r="B2247" s="75" t="s">
        <v>164</v>
      </c>
      <c r="C2247">
        <v>0</v>
      </c>
      <c r="D2247">
        <v>0</v>
      </c>
      <c r="E2247">
        <v>0</v>
      </c>
      <c r="F2247">
        <v>604324.56000000006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3.91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7490</v>
      </c>
      <c r="AW2247">
        <v>3350</v>
      </c>
      <c r="AX2247">
        <v>1219</v>
      </c>
      <c r="AY2247">
        <v>12059</v>
      </c>
      <c r="AZ2247">
        <v>4202</v>
      </c>
      <c r="BA2247">
        <v>7438</v>
      </c>
      <c r="BB2247">
        <v>1432</v>
      </c>
      <c r="BC2247">
        <v>13072</v>
      </c>
      <c r="BD2247">
        <v>9486</v>
      </c>
      <c r="BE2247">
        <v>9222</v>
      </c>
      <c r="BF2247">
        <v>1768</v>
      </c>
      <c r="BG2247">
        <v>20476</v>
      </c>
      <c r="BH2247">
        <v>0</v>
      </c>
      <c r="BI2247">
        <v>0</v>
      </c>
      <c r="BJ2247">
        <v>0</v>
      </c>
      <c r="BK2247">
        <v>0</v>
      </c>
      <c r="BL2247" s="2">
        <v>24.82</v>
      </c>
      <c r="BM2247" s="2">
        <v>42005.095138888886</v>
      </c>
      <c r="BN2247" s="2">
        <v>5.4</v>
      </c>
      <c r="BO2247" s="2">
        <v>42005.092361111114</v>
      </c>
      <c r="BP2247" s="2">
        <v>6.92</v>
      </c>
      <c r="BQ2247" s="2">
        <v>42005.092361111114</v>
      </c>
      <c r="BR2247" s="2">
        <v>11.07</v>
      </c>
      <c r="BS2247" s="2">
        <v>42005.092361111114</v>
      </c>
      <c r="BT2247">
        <v>0</v>
      </c>
      <c r="BU2247">
        <v>0</v>
      </c>
      <c r="BV2247" t="s">
        <v>135</v>
      </c>
      <c r="BW2247">
        <v>0</v>
      </c>
      <c r="BX2247">
        <v>0</v>
      </c>
      <c r="BY2247" t="s">
        <v>135</v>
      </c>
      <c r="BZ2247">
        <v>0</v>
      </c>
      <c r="CA2247">
        <v>0</v>
      </c>
      <c r="CB2247" t="s">
        <v>135</v>
      </c>
      <c r="CH2247" s="2"/>
      <c r="CJ2247" s="2"/>
      <c r="CL2247" s="2"/>
      <c r="CN2247" s="2"/>
      <c r="CQ2247" s="2"/>
      <c r="CT2247" s="2"/>
      <c r="CW2247" s="2"/>
    </row>
    <row r="2248" spans="1:101" x14ac:dyDescent="0.25">
      <c r="A2248" s="1" t="s">
        <v>163</v>
      </c>
      <c r="B2248" s="75" t="s">
        <v>164</v>
      </c>
      <c r="C2248">
        <v>0</v>
      </c>
      <c r="D2248">
        <v>0</v>
      </c>
      <c r="E2248">
        <v>0</v>
      </c>
      <c r="F2248">
        <v>604324.56000000006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3.91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7490</v>
      </c>
      <c r="AW2248">
        <v>3350</v>
      </c>
      <c r="AX2248">
        <v>1219</v>
      </c>
      <c r="AY2248">
        <v>12059</v>
      </c>
      <c r="AZ2248">
        <v>4202</v>
      </c>
      <c r="BA2248">
        <v>7438</v>
      </c>
      <c r="BB2248">
        <v>1432</v>
      </c>
      <c r="BC2248">
        <v>13072</v>
      </c>
      <c r="BD2248">
        <v>9486</v>
      </c>
      <c r="BE2248">
        <v>9222</v>
      </c>
      <c r="BF2248">
        <v>1768</v>
      </c>
      <c r="BG2248">
        <v>20476</v>
      </c>
      <c r="BH2248">
        <v>0</v>
      </c>
      <c r="BI2248">
        <v>0</v>
      </c>
      <c r="BJ2248">
        <v>0</v>
      </c>
      <c r="BK2248">
        <v>0</v>
      </c>
      <c r="BL2248" s="2">
        <v>24.82</v>
      </c>
      <c r="BM2248" s="2">
        <v>42005.095138888886</v>
      </c>
      <c r="BN2248" s="2">
        <v>5.4</v>
      </c>
      <c r="BO2248" s="2">
        <v>42005.092361111114</v>
      </c>
      <c r="BP2248" s="2">
        <v>6.92</v>
      </c>
      <c r="BQ2248" s="2">
        <v>42005.092361111114</v>
      </c>
      <c r="BR2248" s="2">
        <v>11.07</v>
      </c>
      <c r="BS2248" s="2">
        <v>42005.092361111114</v>
      </c>
      <c r="BT2248">
        <v>0</v>
      </c>
      <c r="BU2248">
        <v>0</v>
      </c>
      <c r="BV2248" t="s">
        <v>135</v>
      </c>
      <c r="BW2248">
        <v>0</v>
      </c>
      <c r="BX2248">
        <v>0</v>
      </c>
      <c r="BY2248" t="s">
        <v>135</v>
      </c>
      <c r="BZ2248">
        <v>0</v>
      </c>
      <c r="CA2248">
        <v>0</v>
      </c>
      <c r="CB2248" t="s">
        <v>135</v>
      </c>
      <c r="CH2248" s="2"/>
      <c r="CJ2248" s="2"/>
      <c r="CL2248" s="2"/>
      <c r="CN2248" s="2"/>
      <c r="CQ2248" s="2"/>
      <c r="CT2248" s="2"/>
      <c r="CW2248" s="2"/>
    </row>
    <row r="2249" spans="1:101" x14ac:dyDescent="0.25">
      <c r="A2249" s="1" t="s">
        <v>163</v>
      </c>
      <c r="B2249" s="75" t="s">
        <v>164</v>
      </c>
      <c r="C2249">
        <v>0</v>
      </c>
      <c r="D2249">
        <v>0</v>
      </c>
      <c r="E2249">
        <v>0</v>
      </c>
      <c r="F2249">
        <v>604324.56000000006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3.91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7490</v>
      </c>
      <c r="AW2249">
        <v>3350</v>
      </c>
      <c r="AX2249">
        <v>1219</v>
      </c>
      <c r="AY2249">
        <v>12059</v>
      </c>
      <c r="AZ2249">
        <v>4202</v>
      </c>
      <c r="BA2249">
        <v>7438</v>
      </c>
      <c r="BB2249">
        <v>1432</v>
      </c>
      <c r="BC2249">
        <v>13072</v>
      </c>
      <c r="BD2249">
        <v>9486</v>
      </c>
      <c r="BE2249">
        <v>9222</v>
      </c>
      <c r="BF2249">
        <v>1768</v>
      </c>
      <c r="BG2249">
        <v>20476</v>
      </c>
      <c r="BH2249">
        <v>0</v>
      </c>
      <c r="BI2249">
        <v>0</v>
      </c>
      <c r="BJ2249">
        <v>0</v>
      </c>
      <c r="BK2249">
        <v>0</v>
      </c>
      <c r="BL2249" s="2">
        <v>24.82</v>
      </c>
      <c r="BM2249" s="2">
        <v>42005.095138888886</v>
      </c>
      <c r="BN2249" s="2">
        <v>5.4</v>
      </c>
      <c r="BO2249" s="2">
        <v>42005.092361111114</v>
      </c>
      <c r="BP2249" s="2">
        <v>6.92</v>
      </c>
      <c r="BQ2249" s="2">
        <v>42005.092361111114</v>
      </c>
      <c r="BR2249" s="2">
        <v>11.07</v>
      </c>
      <c r="BS2249" s="2">
        <v>42005.092361111114</v>
      </c>
      <c r="BT2249">
        <v>0</v>
      </c>
      <c r="BU2249">
        <v>0</v>
      </c>
      <c r="BV2249" t="s">
        <v>135</v>
      </c>
      <c r="BW2249">
        <v>0</v>
      </c>
      <c r="BX2249">
        <v>0</v>
      </c>
      <c r="BY2249" t="s">
        <v>135</v>
      </c>
      <c r="BZ2249">
        <v>0</v>
      </c>
      <c r="CA2249">
        <v>0</v>
      </c>
      <c r="CB2249" t="s">
        <v>135</v>
      </c>
      <c r="CH2249" s="2"/>
      <c r="CJ2249" s="2"/>
      <c r="CL2249" s="2"/>
      <c r="CN2249" s="2"/>
      <c r="CQ2249" s="2"/>
      <c r="CT2249" s="2"/>
      <c r="CW2249" s="2"/>
    </row>
    <row r="2250" spans="1:101" x14ac:dyDescent="0.25">
      <c r="A2250" s="1" t="s">
        <v>163</v>
      </c>
      <c r="B2250" s="75" t="s">
        <v>164</v>
      </c>
      <c r="C2250">
        <v>0</v>
      </c>
      <c r="D2250">
        <v>0</v>
      </c>
      <c r="E2250">
        <v>0</v>
      </c>
      <c r="F2250">
        <v>604324.56000000006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3.91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7490</v>
      </c>
      <c r="AW2250">
        <v>3350</v>
      </c>
      <c r="AX2250">
        <v>1219</v>
      </c>
      <c r="AY2250">
        <v>12059</v>
      </c>
      <c r="AZ2250">
        <v>4202</v>
      </c>
      <c r="BA2250">
        <v>7438</v>
      </c>
      <c r="BB2250">
        <v>1432</v>
      </c>
      <c r="BC2250">
        <v>13072</v>
      </c>
      <c r="BD2250">
        <v>9486</v>
      </c>
      <c r="BE2250">
        <v>9222</v>
      </c>
      <c r="BF2250">
        <v>1768</v>
      </c>
      <c r="BG2250">
        <v>20476</v>
      </c>
      <c r="BH2250">
        <v>0</v>
      </c>
      <c r="BI2250">
        <v>0</v>
      </c>
      <c r="BJ2250">
        <v>0</v>
      </c>
      <c r="BK2250">
        <v>0</v>
      </c>
      <c r="BL2250" s="2">
        <v>24.82</v>
      </c>
      <c r="BM2250" s="2">
        <v>42005.095138888886</v>
      </c>
      <c r="BN2250" s="2">
        <v>5.4</v>
      </c>
      <c r="BO2250" s="2">
        <v>42005.092361111114</v>
      </c>
      <c r="BP2250" s="2">
        <v>6.92</v>
      </c>
      <c r="BQ2250" s="2">
        <v>42005.092361111114</v>
      </c>
      <c r="BR2250" s="2">
        <v>11.07</v>
      </c>
      <c r="BS2250" s="2">
        <v>42005.092361111114</v>
      </c>
      <c r="BT2250">
        <v>0</v>
      </c>
      <c r="BU2250">
        <v>0</v>
      </c>
      <c r="BV2250" t="s">
        <v>135</v>
      </c>
      <c r="BW2250">
        <v>0</v>
      </c>
      <c r="BX2250">
        <v>0</v>
      </c>
      <c r="BY2250" t="s">
        <v>135</v>
      </c>
      <c r="BZ2250">
        <v>0</v>
      </c>
      <c r="CA2250">
        <v>0</v>
      </c>
      <c r="CB2250" t="s">
        <v>135</v>
      </c>
      <c r="CH2250" s="2"/>
      <c r="CJ2250" s="2"/>
      <c r="CL2250" s="2"/>
      <c r="CN2250" s="2"/>
      <c r="CQ2250" s="2"/>
      <c r="CT2250" s="2"/>
      <c r="CW2250" s="2"/>
    </row>
    <row r="2251" spans="1:101" x14ac:dyDescent="0.25">
      <c r="A2251" s="1" t="s">
        <v>163</v>
      </c>
      <c r="B2251" s="75" t="s">
        <v>164</v>
      </c>
      <c r="C2251">
        <v>0</v>
      </c>
      <c r="D2251">
        <v>0</v>
      </c>
      <c r="E2251">
        <v>0</v>
      </c>
      <c r="F2251">
        <v>604324.56000000006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3.91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7490</v>
      </c>
      <c r="AW2251">
        <v>3350</v>
      </c>
      <c r="AX2251">
        <v>1219</v>
      </c>
      <c r="AY2251">
        <v>12059</v>
      </c>
      <c r="AZ2251">
        <v>4202</v>
      </c>
      <c r="BA2251">
        <v>7438</v>
      </c>
      <c r="BB2251">
        <v>1432</v>
      </c>
      <c r="BC2251">
        <v>13072</v>
      </c>
      <c r="BD2251">
        <v>9486</v>
      </c>
      <c r="BE2251">
        <v>9222</v>
      </c>
      <c r="BF2251">
        <v>1768</v>
      </c>
      <c r="BG2251">
        <v>20476</v>
      </c>
      <c r="BH2251">
        <v>0</v>
      </c>
      <c r="BI2251">
        <v>0</v>
      </c>
      <c r="BJ2251">
        <v>0</v>
      </c>
      <c r="BK2251">
        <v>0</v>
      </c>
      <c r="BL2251" s="2">
        <v>24.82</v>
      </c>
      <c r="BM2251" s="2">
        <v>42005.095138888886</v>
      </c>
      <c r="BN2251" s="2">
        <v>5.4</v>
      </c>
      <c r="BO2251" s="2">
        <v>42005.092361111114</v>
      </c>
      <c r="BP2251" s="2">
        <v>6.92</v>
      </c>
      <c r="BQ2251" s="2">
        <v>42005.092361111114</v>
      </c>
      <c r="BR2251" s="2">
        <v>11.07</v>
      </c>
      <c r="BS2251" s="2">
        <v>42005.092361111114</v>
      </c>
      <c r="BT2251">
        <v>0</v>
      </c>
      <c r="BU2251">
        <v>0</v>
      </c>
      <c r="BV2251" t="s">
        <v>135</v>
      </c>
      <c r="BW2251">
        <v>0</v>
      </c>
      <c r="BX2251">
        <v>0</v>
      </c>
      <c r="BY2251" t="s">
        <v>135</v>
      </c>
      <c r="BZ2251">
        <v>0</v>
      </c>
      <c r="CA2251">
        <v>0</v>
      </c>
      <c r="CB2251" t="s">
        <v>135</v>
      </c>
      <c r="CH2251" s="2"/>
      <c r="CJ2251" s="2"/>
      <c r="CL2251" s="2"/>
      <c r="CN2251" s="2"/>
      <c r="CQ2251" s="2"/>
      <c r="CT2251" s="2"/>
      <c r="CW2251" s="2"/>
    </row>
    <row r="2252" spans="1:101" x14ac:dyDescent="0.25">
      <c r="A2252" s="1" t="s">
        <v>163</v>
      </c>
      <c r="B2252" s="75" t="s">
        <v>164</v>
      </c>
      <c r="C2252">
        <v>0</v>
      </c>
      <c r="D2252">
        <v>0</v>
      </c>
      <c r="E2252">
        <v>0</v>
      </c>
      <c r="F2252">
        <v>604324.56000000006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3.91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7490</v>
      </c>
      <c r="AW2252">
        <v>3350</v>
      </c>
      <c r="AX2252">
        <v>1219</v>
      </c>
      <c r="AY2252">
        <v>12059</v>
      </c>
      <c r="AZ2252">
        <v>4202</v>
      </c>
      <c r="BA2252">
        <v>7438</v>
      </c>
      <c r="BB2252">
        <v>1432</v>
      </c>
      <c r="BC2252">
        <v>13072</v>
      </c>
      <c r="BD2252">
        <v>9486</v>
      </c>
      <c r="BE2252">
        <v>9222</v>
      </c>
      <c r="BF2252">
        <v>1768</v>
      </c>
      <c r="BG2252">
        <v>20476</v>
      </c>
      <c r="BH2252">
        <v>0</v>
      </c>
      <c r="BI2252">
        <v>0</v>
      </c>
      <c r="BJ2252">
        <v>0</v>
      </c>
      <c r="BK2252">
        <v>0</v>
      </c>
      <c r="BL2252" s="2">
        <v>24.82</v>
      </c>
      <c r="BM2252" s="2">
        <v>42005.095138888886</v>
      </c>
      <c r="BN2252" s="2">
        <v>5.4</v>
      </c>
      <c r="BO2252" s="2">
        <v>42005.092361111114</v>
      </c>
      <c r="BP2252" s="2">
        <v>6.92</v>
      </c>
      <c r="BQ2252" s="2">
        <v>42005.092361111114</v>
      </c>
      <c r="BR2252" s="2">
        <v>11.07</v>
      </c>
      <c r="BS2252" s="2">
        <v>42005.092361111114</v>
      </c>
      <c r="BT2252">
        <v>0</v>
      </c>
      <c r="BU2252">
        <v>0</v>
      </c>
      <c r="BV2252" t="s">
        <v>135</v>
      </c>
      <c r="BW2252">
        <v>0</v>
      </c>
      <c r="BX2252">
        <v>0</v>
      </c>
      <c r="BY2252" t="s">
        <v>135</v>
      </c>
      <c r="BZ2252">
        <v>0</v>
      </c>
      <c r="CA2252">
        <v>0</v>
      </c>
      <c r="CB2252" t="s">
        <v>135</v>
      </c>
      <c r="CH2252" s="2"/>
      <c r="CJ2252" s="2"/>
      <c r="CL2252" s="2"/>
      <c r="CN2252" s="2"/>
      <c r="CQ2252" s="2"/>
      <c r="CT2252" s="2"/>
      <c r="CW2252" s="2"/>
    </row>
    <row r="2253" spans="1:101" x14ac:dyDescent="0.25">
      <c r="A2253" s="1" t="s">
        <v>163</v>
      </c>
      <c r="B2253" s="75" t="s">
        <v>164</v>
      </c>
      <c r="C2253">
        <v>0</v>
      </c>
      <c r="D2253">
        <v>0</v>
      </c>
      <c r="E2253">
        <v>0</v>
      </c>
      <c r="F2253">
        <v>604324.56000000006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3.91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7490</v>
      </c>
      <c r="AW2253">
        <v>3350</v>
      </c>
      <c r="AX2253">
        <v>1219</v>
      </c>
      <c r="AY2253">
        <v>12059</v>
      </c>
      <c r="AZ2253">
        <v>4202</v>
      </c>
      <c r="BA2253">
        <v>7438</v>
      </c>
      <c r="BB2253">
        <v>1432</v>
      </c>
      <c r="BC2253">
        <v>13072</v>
      </c>
      <c r="BD2253">
        <v>9486</v>
      </c>
      <c r="BE2253">
        <v>9222</v>
      </c>
      <c r="BF2253">
        <v>1768</v>
      </c>
      <c r="BG2253">
        <v>20476</v>
      </c>
      <c r="BH2253">
        <v>0</v>
      </c>
      <c r="BI2253">
        <v>0</v>
      </c>
      <c r="BJ2253">
        <v>0</v>
      </c>
      <c r="BK2253">
        <v>0</v>
      </c>
      <c r="BL2253" s="2">
        <v>24.82</v>
      </c>
      <c r="BM2253" s="2">
        <v>42005.095138888886</v>
      </c>
      <c r="BN2253" s="2">
        <v>5.4</v>
      </c>
      <c r="BO2253" s="2">
        <v>42005.092361111114</v>
      </c>
      <c r="BP2253" s="2">
        <v>6.92</v>
      </c>
      <c r="BQ2253" s="2">
        <v>42005.092361111114</v>
      </c>
      <c r="BR2253" s="2">
        <v>11.07</v>
      </c>
      <c r="BS2253" s="2">
        <v>42005.092361111114</v>
      </c>
      <c r="BT2253">
        <v>0</v>
      </c>
      <c r="BU2253">
        <v>0</v>
      </c>
      <c r="BV2253" t="s">
        <v>135</v>
      </c>
      <c r="BW2253">
        <v>0</v>
      </c>
      <c r="BX2253">
        <v>0</v>
      </c>
      <c r="BY2253" t="s">
        <v>135</v>
      </c>
      <c r="BZ2253">
        <v>0</v>
      </c>
      <c r="CA2253">
        <v>0</v>
      </c>
      <c r="CB2253" t="s">
        <v>135</v>
      </c>
      <c r="CH2253" s="2"/>
      <c r="CJ2253" s="2"/>
      <c r="CL2253" s="2"/>
      <c r="CN2253" s="2"/>
      <c r="CQ2253" s="2"/>
      <c r="CT2253" s="2"/>
      <c r="CW2253" s="2"/>
    </row>
    <row r="2254" spans="1:101" x14ac:dyDescent="0.25">
      <c r="A2254" s="1" t="s">
        <v>163</v>
      </c>
      <c r="B2254" s="75" t="s">
        <v>164</v>
      </c>
      <c r="C2254">
        <v>0</v>
      </c>
      <c r="D2254">
        <v>0</v>
      </c>
      <c r="E2254">
        <v>0</v>
      </c>
      <c r="F2254">
        <v>604324.56000000006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3.91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7490</v>
      </c>
      <c r="AW2254">
        <v>3350</v>
      </c>
      <c r="AX2254">
        <v>1219</v>
      </c>
      <c r="AY2254">
        <v>12059</v>
      </c>
      <c r="AZ2254">
        <v>4202</v>
      </c>
      <c r="BA2254">
        <v>7438</v>
      </c>
      <c r="BB2254">
        <v>1432</v>
      </c>
      <c r="BC2254">
        <v>13072</v>
      </c>
      <c r="BD2254">
        <v>9486</v>
      </c>
      <c r="BE2254">
        <v>9222</v>
      </c>
      <c r="BF2254">
        <v>1768</v>
      </c>
      <c r="BG2254">
        <v>20476</v>
      </c>
      <c r="BH2254">
        <v>0</v>
      </c>
      <c r="BI2254">
        <v>0</v>
      </c>
      <c r="BJ2254">
        <v>0</v>
      </c>
      <c r="BK2254">
        <v>0</v>
      </c>
      <c r="BL2254" s="2">
        <v>24.82</v>
      </c>
      <c r="BM2254" s="2">
        <v>42005.095138888886</v>
      </c>
      <c r="BN2254" s="2">
        <v>5.4</v>
      </c>
      <c r="BO2254" s="2">
        <v>42005.092361111114</v>
      </c>
      <c r="BP2254" s="2">
        <v>6.92</v>
      </c>
      <c r="BQ2254" s="2">
        <v>42005.092361111114</v>
      </c>
      <c r="BR2254" s="2">
        <v>11.07</v>
      </c>
      <c r="BS2254" s="2">
        <v>42005.092361111114</v>
      </c>
      <c r="BT2254">
        <v>0</v>
      </c>
      <c r="BU2254">
        <v>0</v>
      </c>
      <c r="BV2254" t="s">
        <v>135</v>
      </c>
      <c r="BW2254">
        <v>0</v>
      </c>
      <c r="BX2254">
        <v>0</v>
      </c>
      <c r="BY2254" t="s">
        <v>135</v>
      </c>
      <c r="BZ2254">
        <v>0</v>
      </c>
      <c r="CA2254">
        <v>0</v>
      </c>
      <c r="CB2254" t="s">
        <v>135</v>
      </c>
      <c r="CH2254" s="2"/>
      <c r="CJ2254" s="2"/>
      <c r="CL2254" s="2"/>
      <c r="CN2254" s="2"/>
      <c r="CQ2254" s="2"/>
      <c r="CT2254" s="2"/>
      <c r="CW2254" s="2"/>
    </row>
    <row r="2255" spans="1:101" x14ac:dyDescent="0.25">
      <c r="A2255" s="1" t="s">
        <v>163</v>
      </c>
      <c r="B2255" s="75" t="s">
        <v>164</v>
      </c>
      <c r="C2255">
        <v>0</v>
      </c>
      <c r="D2255">
        <v>0</v>
      </c>
      <c r="E2255">
        <v>0</v>
      </c>
      <c r="F2255">
        <v>604324.56000000006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3.91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7490</v>
      </c>
      <c r="AW2255">
        <v>3350</v>
      </c>
      <c r="AX2255">
        <v>1219</v>
      </c>
      <c r="AY2255">
        <v>12059</v>
      </c>
      <c r="AZ2255">
        <v>4202</v>
      </c>
      <c r="BA2255">
        <v>7438</v>
      </c>
      <c r="BB2255">
        <v>1432</v>
      </c>
      <c r="BC2255">
        <v>13072</v>
      </c>
      <c r="BD2255">
        <v>9486</v>
      </c>
      <c r="BE2255">
        <v>9222</v>
      </c>
      <c r="BF2255">
        <v>1768</v>
      </c>
      <c r="BG2255">
        <v>20476</v>
      </c>
      <c r="BH2255">
        <v>0</v>
      </c>
      <c r="BI2255">
        <v>0</v>
      </c>
      <c r="BJ2255">
        <v>0</v>
      </c>
      <c r="BK2255">
        <v>0</v>
      </c>
      <c r="BL2255" s="2">
        <v>24.82</v>
      </c>
      <c r="BM2255" s="2">
        <v>42005.095138888886</v>
      </c>
      <c r="BN2255" s="2">
        <v>5.4</v>
      </c>
      <c r="BO2255" s="2">
        <v>42005.092361111114</v>
      </c>
      <c r="BP2255" s="2">
        <v>6.92</v>
      </c>
      <c r="BQ2255" s="2">
        <v>42005.092361111114</v>
      </c>
      <c r="BR2255" s="2">
        <v>11.07</v>
      </c>
      <c r="BS2255" s="2">
        <v>42005.092361111114</v>
      </c>
      <c r="BT2255">
        <v>0</v>
      </c>
      <c r="BU2255">
        <v>0</v>
      </c>
      <c r="BV2255" t="s">
        <v>135</v>
      </c>
      <c r="BW2255">
        <v>0</v>
      </c>
      <c r="BX2255">
        <v>0</v>
      </c>
      <c r="BY2255" t="s">
        <v>135</v>
      </c>
      <c r="BZ2255">
        <v>0</v>
      </c>
      <c r="CA2255">
        <v>0</v>
      </c>
      <c r="CB2255" t="s">
        <v>135</v>
      </c>
      <c r="CH2255" s="2"/>
      <c r="CJ2255" s="2"/>
      <c r="CL2255" s="2"/>
      <c r="CN2255" s="2"/>
      <c r="CQ2255" s="2"/>
      <c r="CT2255" s="2"/>
      <c r="CW2255" s="2"/>
    </row>
    <row r="2256" spans="1:101" x14ac:dyDescent="0.25">
      <c r="A2256" s="1" t="s">
        <v>163</v>
      </c>
      <c r="B2256" s="75" t="s">
        <v>164</v>
      </c>
      <c r="C2256">
        <v>0</v>
      </c>
      <c r="D2256">
        <v>0</v>
      </c>
      <c r="E2256">
        <v>0</v>
      </c>
      <c r="F2256">
        <v>604324.56000000006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3.91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7490</v>
      </c>
      <c r="AW2256">
        <v>3350</v>
      </c>
      <c r="AX2256">
        <v>1219</v>
      </c>
      <c r="AY2256">
        <v>12059</v>
      </c>
      <c r="AZ2256">
        <v>4202</v>
      </c>
      <c r="BA2256">
        <v>7438</v>
      </c>
      <c r="BB2256">
        <v>1432</v>
      </c>
      <c r="BC2256">
        <v>13072</v>
      </c>
      <c r="BD2256">
        <v>9486</v>
      </c>
      <c r="BE2256">
        <v>9222</v>
      </c>
      <c r="BF2256">
        <v>1768</v>
      </c>
      <c r="BG2256">
        <v>20476</v>
      </c>
      <c r="BH2256">
        <v>0</v>
      </c>
      <c r="BI2256">
        <v>0</v>
      </c>
      <c r="BJ2256">
        <v>0</v>
      </c>
      <c r="BK2256">
        <v>0</v>
      </c>
      <c r="BL2256" s="2">
        <v>24.82</v>
      </c>
      <c r="BM2256" s="2">
        <v>42005.095138888886</v>
      </c>
      <c r="BN2256" s="2">
        <v>5.4</v>
      </c>
      <c r="BO2256" s="2">
        <v>42005.092361111114</v>
      </c>
      <c r="BP2256" s="2">
        <v>6.92</v>
      </c>
      <c r="BQ2256" s="2">
        <v>42005.092361111114</v>
      </c>
      <c r="BR2256" s="2">
        <v>11.07</v>
      </c>
      <c r="BS2256" s="2">
        <v>42005.092361111114</v>
      </c>
      <c r="BT2256">
        <v>0</v>
      </c>
      <c r="BU2256">
        <v>0</v>
      </c>
      <c r="BV2256" t="s">
        <v>135</v>
      </c>
      <c r="BW2256">
        <v>0</v>
      </c>
      <c r="BX2256">
        <v>0</v>
      </c>
      <c r="BY2256" t="s">
        <v>135</v>
      </c>
      <c r="BZ2256">
        <v>0</v>
      </c>
      <c r="CA2256">
        <v>0</v>
      </c>
      <c r="CB2256" t="s">
        <v>135</v>
      </c>
      <c r="CH2256" s="2"/>
      <c r="CJ2256" s="2"/>
      <c r="CL2256" s="2"/>
      <c r="CN2256" s="2"/>
      <c r="CQ2256" s="2"/>
      <c r="CT2256" s="2"/>
      <c r="CW2256" s="2"/>
    </row>
    <row r="2257" spans="1:101" x14ac:dyDescent="0.25">
      <c r="A2257" s="1" t="s">
        <v>163</v>
      </c>
      <c r="B2257" s="75" t="s">
        <v>164</v>
      </c>
      <c r="C2257">
        <v>0</v>
      </c>
      <c r="D2257">
        <v>0</v>
      </c>
      <c r="E2257">
        <v>0</v>
      </c>
      <c r="F2257">
        <v>604324.56000000006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3.91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7490</v>
      </c>
      <c r="AW2257">
        <v>3350</v>
      </c>
      <c r="AX2257">
        <v>1219</v>
      </c>
      <c r="AY2257">
        <v>12059</v>
      </c>
      <c r="AZ2257">
        <v>4202</v>
      </c>
      <c r="BA2257">
        <v>7438</v>
      </c>
      <c r="BB2257">
        <v>1432</v>
      </c>
      <c r="BC2257">
        <v>13072</v>
      </c>
      <c r="BD2257">
        <v>9486</v>
      </c>
      <c r="BE2257">
        <v>9222</v>
      </c>
      <c r="BF2257">
        <v>1768</v>
      </c>
      <c r="BG2257">
        <v>20476</v>
      </c>
      <c r="BH2257">
        <v>0</v>
      </c>
      <c r="BI2257">
        <v>0</v>
      </c>
      <c r="BJ2257">
        <v>0</v>
      </c>
      <c r="BK2257">
        <v>0</v>
      </c>
      <c r="BL2257" s="2">
        <v>24.82</v>
      </c>
      <c r="BM2257" s="2">
        <v>42005.095138888886</v>
      </c>
      <c r="BN2257" s="2">
        <v>5.4</v>
      </c>
      <c r="BO2257" s="2">
        <v>42005.092361111114</v>
      </c>
      <c r="BP2257" s="2">
        <v>6.92</v>
      </c>
      <c r="BQ2257" s="2">
        <v>42005.092361111114</v>
      </c>
      <c r="BR2257" s="2">
        <v>11.07</v>
      </c>
      <c r="BS2257" s="2">
        <v>42005.092361111114</v>
      </c>
      <c r="BT2257">
        <v>0</v>
      </c>
      <c r="BU2257">
        <v>0</v>
      </c>
      <c r="BV2257" t="s">
        <v>135</v>
      </c>
      <c r="BW2257">
        <v>0</v>
      </c>
      <c r="BX2257">
        <v>0</v>
      </c>
      <c r="BY2257" t="s">
        <v>135</v>
      </c>
      <c r="BZ2257">
        <v>0</v>
      </c>
      <c r="CA2257">
        <v>0</v>
      </c>
      <c r="CB2257" t="s">
        <v>135</v>
      </c>
      <c r="CH2257" s="2"/>
      <c r="CJ2257" s="2"/>
      <c r="CL2257" s="2"/>
      <c r="CN2257" s="2"/>
      <c r="CQ2257" s="2"/>
      <c r="CT2257" s="2"/>
      <c r="CW2257" s="2"/>
    </row>
    <row r="2258" spans="1:101" x14ac:dyDescent="0.25">
      <c r="A2258" s="1" t="s">
        <v>163</v>
      </c>
      <c r="B2258" s="75" t="s">
        <v>164</v>
      </c>
      <c r="C2258">
        <v>0</v>
      </c>
      <c r="D2258">
        <v>0</v>
      </c>
      <c r="E2258">
        <v>0</v>
      </c>
      <c r="F2258">
        <v>604324.56000000006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3.91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7490</v>
      </c>
      <c r="AW2258">
        <v>3350</v>
      </c>
      <c r="AX2258">
        <v>1219</v>
      </c>
      <c r="AY2258">
        <v>12059</v>
      </c>
      <c r="AZ2258">
        <v>4202</v>
      </c>
      <c r="BA2258">
        <v>7438</v>
      </c>
      <c r="BB2258">
        <v>1432</v>
      </c>
      <c r="BC2258">
        <v>13072</v>
      </c>
      <c r="BD2258">
        <v>9486</v>
      </c>
      <c r="BE2258">
        <v>9222</v>
      </c>
      <c r="BF2258">
        <v>1768</v>
      </c>
      <c r="BG2258">
        <v>20476</v>
      </c>
      <c r="BH2258">
        <v>0</v>
      </c>
      <c r="BI2258">
        <v>0</v>
      </c>
      <c r="BJ2258">
        <v>0</v>
      </c>
      <c r="BK2258">
        <v>0</v>
      </c>
      <c r="BL2258" s="2">
        <v>24.82</v>
      </c>
      <c r="BM2258" s="2">
        <v>42005.095138888886</v>
      </c>
      <c r="BN2258" s="2">
        <v>5.4</v>
      </c>
      <c r="BO2258" s="2">
        <v>42005.092361111114</v>
      </c>
      <c r="BP2258" s="2">
        <v>6.92</v>
      </c>
      <c r="BQ2258" s="2">
        <v>42005.092361111114</v>
      </c>
      <c r="BR2258" s="2">
        <v>11.07</v>
      </c>
      <c r="BS2258" s="2">
        <v>42005.092361111114</v>
      </c>
      <c r="BT2258">
        <v>0</v>
      </c>
      <c r="BU2258">
        <v>0</v>
      </c>
      <c r="BV2258" t="s">
        <v>135</v>
      </c>
      <c r="BW2258">
        <v>0</v>
      </c>
      <c r="BX2258">
        <v>0</v>
      </c>
      <c r="BY2258" t="s">
        <v>135</v>
      </c>
      <c r="BZ2258">
        <v>0</v>
      </c>
      <c r="CA2258">
        <v>0</v>
      </c>
      <c r="CB2258" t="s">
        <v>135</v>
      </c>
      <c r="CH2258" s="2"/>
      <c r="CJ2258" s="2"/>
      <c r="CL2258" s="2"/>
      <c r="CN2258" s="2"/>
      <c r="CQ2258" s="2"/>
      <c r="CT2258" s="2"/>
      <c r="CW2258" s="2"/>
    </row>
    <row r="2259" spans="1:101" x14ac:dyDescent="0.25">
      <c r="A2259" s="1" t="s">
        <v>163</v>
      </c>
      <c r="B2259" s="75" t="s">
        <v>164</v>
      </c>
      <c r="C2259">
        <v>0</v>
      </c>
      <c r="D2259">
        <v>0</v>
      </c>
      <c r="E2259">
        <v>0</v>
      </c>
      <c r="F2259">
        <v>604324.56000000006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3.91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7490</v>
      </c>
      <c r="AW2259">
        <v>3350</v>
      </c>
      <c r="AX2259">
        <v>1219</v>
      </c>
      <c r="AY2259">
        <v>12059</v>
      </c>
      <c r="AZ2259">
        <v>4202</v>
      </c>
      <c r="BA2259">
        <v>7438</v>
      </c>
      <c r="BB2259">
        <v>1432</v>
      </c>
      <c r="BC2259">
        <v>13072</v>
      </c>
      <c r="BD2259">
        <v>9486</v>
      </c>
      <c r="BE2259">
        <v>9222</v>
      </c>
      <c r="BF2259">
        <v>1768</v>
      </c>
      <c r="BG2259">
        <v>20476</v>
      </c>
      <c r="BH2259">
        <v>0</v>
      </c>
      <c r="BI2259">
        <v>0</v>
      </c>
      <c r="BJ2259">
        <v>0</v>
      </c>
      <c r="BK2259">
        <v>0</v>
      </c>
      <c r="BL2259" s="2">
        <v>24.82</v>
      </c>
      <c r="BM2259" s="2">
        <v>42005.095138888886</v>
      </c>
      <c r="BN2259" s="2">
        <v>5.4</v>
      </c>
      <c r="BO2259" s="2">
        <v>42005.092361111114</v>
      </c>
      <c r="BP2259" s="2">
        <v>6.92</v>
      </c>
      <c r="BQ2259" s="2">
        <v>42005.092361111114</v>
      </c>
      <c r="BR2259" s="2">
        <v>11.07</v>
      </c>
      <c r="BS2259" s="2">
        <v>42005.092361111114</v>
      </c>
      <c r="BT2259">
        <v>0</v>
      </c>
      <c r="BU2259">
        <v>0</v>
      </c>
      <c r="BV2259" t="s">
        <v>135</v>
      </c>
      <c r="BW2259">
        <v>0</v>
      </c>
      <c r="BX2259">
        <v>0</v>
      </c>
      <c r="BY2259" t="s">
        <v>135</v>
      </c>
      <c r="BZ2259">
        <v>0</v>
      </c>
      <c r="CA2259">
        <v>0</v>
      </c>
      <c r="CB2259" t="s">
        <v>135</v>
      </c>
      <c r="CH2259" s="2"/>
      <c r="CJ2259" s="2"/>
      <c r="CL2259" s="2"/>
      <c r="CN2259" s="2"/>
      <c r="CQ2259" s="2"/>
      <c r="CT2259" s="2"/>
      <c r="CW2259" s="2"/>
    </row>
    <row r="2260" spans="1:101" x14ac:dyDescent="0.25">
      <c r="A2260" s="1" t="s">
        <v>163</v>
      </c>
      <c r="B2260" s="75" t="s">
        <v>164</v>
      </c>
      <c r="C2260">
        <v>0</v>
      </c>
      <c r="D2260">
        <v>0</v>
      </c>
      <c r="E2260">
        <v>0</v>
      </c>
      <c r="F2260">
        <v>604324.56000000006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3.91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7490</v>
      </c>
      <c r="AW2260">
        <v>3350</v>
      </c>
      <c r="AX2260">
        <v>1219</v>
      </c>
      <c r="AY2260">
        <v>12059</v>
      </c>
      <c r="AZ2260">
        <v>4202</v>
      </c>
      <c r="BA2260">
        <v>7438</v>
      </c>
      <c r="BB2260">
        <v>1432</v>
      </c>
      <c r="BC2260">
        <v>13072</v>
      </c>
      <c r="BD2260">
        <v>9486</v>
      </c>
      <c r="BE2260">
        <v>9222</v>
      </c>
      <c r="BF2260">
        <v>1768</v>
      </c>
      <c r="BG2260">
        <v>20476</v>
      </c>
      <c r="BH2260">
        <v>0</v>
      </c>
      <c r="BI2260">
        <v>0</v>
      </c>
      <c r="BJ2260">
        <v>0</v>
      </c>
      <c r="BK2260">
        <v>0</v>
      </c>
      <c r="BL2260" s="2">
        <v>24.82</v>
      </c>
      <c r="BM2260" s="2">
        <v>42005.095138888886</v>
      </c>
      <c r="BN2260" s="2">
        <v>5.4</v>
      </c>
      <c r="BO2260" s="2">
        <v>42005.092361111114</v>
      </c>
      <c r="BP2260" s="2">
        <v>6.92</v>
      </c>
      <c r="BQ2260" s="2">
        <v>42005.092361111114</v>
      </c>
      <c r="BR2260" s="2">
        <v>11.07</v>
      </c>
      <c r="BS2260" s="2">
        <v>42005.092361111114</v>
      </c>
      <c r="BT2260">
        <v>0</v>
      </c>
      <c r="BU2260">
        <v>0</v>
      </c>
      <c r="BV2260" t="s">
        <v>135</v>
      </c>
      <c r="BW2260">
        <v>0</v>
      </c>
      <c r="BX2260">
        <v>0</v>
      </c>
      <c r="BY2260" t="s">
        <v>135</v>
      </c>
      <c r="BZ2260">
        <v>0</v>
      </c>
      <c r="CA2260">
        <v>0</v>
      </c>
      <c r="CB2260" t="s">
        <v>135</v>
      </c>
      <c r="CH2260" s="2"/>
      <c r="CJ2260" s="2"/>
      <c r="CL2260" s="2"/>
      <c r="CN2260" s="2"/>
      <c r="CQ2260" s="2"/>
      <c r="CT2260" s="2"/>
      <c r="CW2260" s="2"/>
    </row>
    <row r="2261" spans="1:101" x14ac:dyDescent="0.25">
      <c r="A2261" s="1" t="s">
        <v>163</v>
      </c>
      <c r="B2261" s="75" t="s">
        <v>164</v>
      </c>
      <c r="C2261">
        <v>0</v>
      </c>
      <c r="D2261">
        <v>0</v>
      </c>
      <c r="E2261">
        <v>0</v>
      </c>
      <c r="F2261">
        <v>604324.56000000006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3.91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7490</v>
      </c>
      <c r="AW2261">
        <v>3350</v>
      </c>
      <c r="AX2261">
        <v>1219</v>
      </c>
      <c r="AY2261">
        <v>12059</v>
      </c>
      <c r="AZ2261">
        <v>4202</v>
      </c>
      <c r="BA2261">
        <v>7438</v>
      </c>
      <c r="BB2261">
        <v>1432</v>
      </c>
      <c r="BC2261">
        <v>13072</v>
      </c>
      <c r="BD2261">
        <v>9486</v>
      </c>
      <c r="BE2261">
        <v>9222</v>
      </c>
      <c r="BF2261">
        <v>1768</v>
      </c>
      <c r="BG2261">
        <v>20476</v>
      </c>
      <c r="BH2261">
        <v>0</v>
      </c>
      <c r="BI2261">
        <v>0</v>
      </c>
      <c r="BJ2261">
        <v>0</v>
      </c>
      <c r="BK2261">
        <v>0</v>
      </c>
      <c r="BL2261" s="2">
        <v>24.82</v>
      </c>
      <c r="BM2261" s="2">
        <v>42005.095138888886</v>
      </c>
      <c r="BN2261" s="2">
        <v>5.4</v>
      </c>
      <c r="BO2261" s="2">
        <v>42005.092361111114</v>
      </c>
      <c r="BP2261" s="2">
        <v>6.92</v>
      </c>
      <c r="BQ2261" s="2">
        <v>42005.092361111114</v>
      </c>
      <c r="BR2261" s="2">
        <v>11.07</v>
      </c>
      <c r="BS2261" s="2">
        <v>42005.092361111114</v>
      </c>
      <c r="BT2261">
        <v>0</v>
      </c>
      <c r="BU2261">
        <v>0</v>
      </c>
      <c r="BV2261" t="s">
        <v>135</v>
      </c>
      <c r="BW2261">
        <v>0</v>
      </c>
      <c r="BX2261">
        <v>0</v>
      </c>
      <c r="BY2261" t="s">
        <v>135</v>
      </c>
      <c r="BZ2261">
        <v>0</v>
      </c>
      <c r="CA2261">
        <v>0</v>
      </c>
      <c r="CB2261" t="s">
        <v>135</v>
      </c>
      <c r="CH2261" s="2"/>
      <c r="CJ2261" s="2"/>
      <c r="CL2261" s="2"/>
      <c r="CN2261" s="2"/>
      <c r="CQ2261" s="2"/>
      <c r="CT2261" s="2"/>
      <c r="CW2261" s="2"/>
    </row>
    <row r="2262" spans="1:101" x14ac:dyDescent="0.25">
      <c r="A2262" s="1" t="s">
        <v>163</v>
      </c>
      <c r="B2262" s="75" t="s">
        <v>164</v>
      </c>
      <c r="C2262">
        <v>0</v>
      </c>
      <c r="D2262">
        <v>0</v>
      </c>
      <c r="E2262">
        <v>0</v>
      </c>
      <c r="F2262">
        <v>604324.56000000006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3.91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7490</v>
      </c>
      <c r="AW2262">
        <v>3350</v>
      </c>
      <c r="AX2262">
        <v>1219</v>
      </c>
      <c r="AY2262">
        <v>12059</v>
      </c>
      <c r="AZ2262">
        <v>4202</v>
      </c>
      <c r="BA2262">
        <v>7438</v>
      </c>
      <c r="BB2262">
        <v>1432</v>
      </c>
      <c r="BC2262">
        <v>13072</v>
      </c>
      <c r="BD2262">
        <v>9486</v>
      </c>
      <c r="BE2262">
        <v>9222</v>
      </c>
      <c r="BF2262">
        <v>1768</v>
      </c>
      <c r="BG2262">
        <v>20476</v>
      </c>
      <c r="BH2262">
        <v>0</v>
      </c>
      <c r="BI2262">
        <v>0</v>
      </c>
      <c r="BJ2262">
        <v>0</v>
      </c>
      <c r="BK2262">
        <v>0</v>
      </c>
      <c r="BL2262" s="2">
        <v>24.82</v>
      </c>
      <c r="BM2262" s="2">
        <v>42005.095138888886</v>
      </c>
      <c r="BN2262" s="2">
        <v>5.4</v>
      </c>
      <c r="BO2262" s="2">
        <v>42005.092361111114</v>
      </c>
      <c r="BP2262" s="2">
        <v>6.92</v>
      </c>
      <c r="BQ2262" s="2">
        <v>42005.092361111114</v>
      </c>
      <c r="BR2262" s="2">
        <v>11.07</v>
      </c>
      <c r="BS2262" s="2">
        <v>42005.092361111114</v>
      </c>
      <c r="BT2262">
        <v>0</v>
      </c>
      <c r="BU2262">
        <v>0</v>
      </c>
      <c r="BV2262" t="s">
        <v>135</v>
      </c>
      <c r="BW2262">
        <v>0</v>
      </c>
      <c r="BX2262">
        <v>0</v>
      </c>
      <c r="BY2262" t="s">
        <v>135</v>
      </c>
      <c r="BZ2262">
        <v>0</v>
      </c>
      <c r="CA2262">
        <v>0</v>
      </c>
      <c r="CB2262" t="s">
        <v>135</v>
      </c>
      <c r="CH2262" s="2"/>
      <c r="CJ2262" s="2"/>
      <c r="CL2262" s="2"/>
      <c r="CN2262" s="2"/>
      <c r="CQ2262" s="2"/>
      <c r="CT2262" s="2"/>
      <c r="CW2262" s="2"/>
    </row>
    <row r="2263" spans="1:101" x14ac:dyDescent="0.25">
      <c r="A2263" s="1" t="s">
        <v>163</v>
      </c>
      <c r="B2263" s="75" t="s">
        <v>164</v>
      </c>
      <c r="C2263">
        <v>0</v>
      </c>
      <c r="D2263">
        <v>0</v>
      </c>
      <c r="E2263">
        <v>0</v>
      </c>
      <c r="F2263">
        <v>604324.56000000006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3.91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7490</v>
      </c>
      <c r="AW2263">
        <v>3350</v>
      </c>
      <c r="AX2263">
        <v>1219</v>
      </c>
      <c r="AY2263">
        <v>12059</v>
      </c>
      <c r="AZ2263">
        <v>4202</v>
      </c>
      <c r="BA2263">
        <v>7438</v>
      </c>
      <c r="BB2263">
        <v>1432</v>
      </c>
      <c r="BC2263">
        <v>13072</v>
      </c>
      <c r="BD2263">
        <v>9486</v>
      </c>
      <c r="BE2263">
        <v>9222</v>
      </c>
      <c r="BF2263">
        <v>1768</v>
      </c>
      <c r="BG2263">
        <v>20476</v>
      </c>
      <c r="BH2263">
        <v>0</v>
      </c>
      <c r="BI2263">
        <v>0</v>
      </c>
      <c r="BJ2263">
        <v>0</v>
      </c>
      <c r="BK2263">
        <v>0</v>
      </c>
      <c r="BL2263" s="2">
        <v>24.82</v>
      </c>
      <c r="BM2263" s="2">
        <v>42005.095138888886</v>
      </c>
      <c r="BN2263" s="2">
        <v>5.4</v>
      </c>
      <c r="BO2263" s="2">
        <v>42005.092361111114</v>
      </c>
      <c r="BP2263" s="2">
        <v>6.92</v>
      </c>
      <c r="BQ2263" s="2">
        <v>42005.092361111114</v>
      </c>
      <c r="BR2263" s="2">
        <v>11.07</v>
      </c>
      <c r="BS2263" s="2">
        <v>42005.092361111114</v>
      </c>
      <c r="BT2263">
        <v>0</v>
      </c>
      <c r="BU2263">
        <v>0</v>
      </c>
      <c r="BV2263" t="s">
        <v>135</v>
      </c>
      <c r="BW2263">
        <v>0</v>
      </c>
      <c r="BX2263">
        <v>0</v>
      </c>
      <c r="BY2263" t="s">
        <v>135</v>
      </c>
      <c r="BZ2263">
        <v>0</v>
      </c>
      <c r="CA2263">
        <v>0</v>
      </c>
      <c r="CB2263" t="s">
        <v>135</v>
      </c>
      <c r="CH2263" s="2"/>
      <c r="CJ2263" s="2"/>
      <c r="CL2263" s="2"/>
      <c r="CN2263" s="2"/>
      <c r="CQ2263" s="2"/>
      <c r="CT2263" s="2"/>
      <c r="CW2263" s="2"/>
    </row>
    <row r="2264" spans="1:101" x14ac:dyDescent="0.25">
      <c r="A2264" s="1" t="s">
        <v>163</v>
      </c>
      <c r="B2264" s="75" t="s">
        <v>164</v>
      </c>
      <c r="C2264">
        <v>0</v>
      </c>
      <c r="D2264">
        <v>0</v>
      </c>
      <c r="E2264">
        <v>0</v>
      </c>
      <c r="F2264">
        <v>604324.56000000006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3.91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7490</v>
      </c>
      <c r="AW2264">
        <v>3350</v>
      </c>
      <c r="AX2264">
        <v>1219</v>
      </c>
      <c r="AY2264">
        <v>12059</v>
      </c>
      <c r="AZ2264">
        <v>4202</v>
      </c>
      <c r="BA2264">
        <v>7438</v>
      </c>
      <c r="BB2264">
        <v>1432</v>
      </c>
      <c r="BC2264">
        <v>13072</v>
      </c>
      <c r="BD2264">
        <v>9486</v>
      </c>
      <c r="BE2264">
        <v>9222</v>
      </c>
      <c r="BF2264">
        <v>1768</v>
      </c>
      <c r="BG2264">
        <v>20476</v>
      </c>
      <c r="BH2264">
        <v>0</v>
      </c>
      <c r="BI2264">
        <v>0</v>
      </c>
      <c r="BJ2264">
        <v>0</v>
      </c>
      <c r="BK2264">
        <v>0</v>
      </c>
      <c r="BL2264" s="2">
        <v>24.82</v>
      </c>
      <c r="BM2264" s="2">
        <v>42005.095138888886</v>
      </c>
      <c r="BN2264" s="2">
        <v>5.4</v>
      </c>
      <c r="BO2264" s="2">
        <v>42005.092361111114</v>
      </c>
      <c r="BP2264" s="2">
        <v>6.92</v>
      </c>
      <c r="BQ2264" s="2">
        <v>42005.092361111114</v>
      </c>
      <c r="BR2264" s="2">
        <v>11.07</v>
      </c>
      <c r="BS2264" s="2">
        <v>42005.092361111114</v>
      </c>
      <c r="BT2264">
        <v>0</v>
      </c>
      <c r="BU2264">
        <v>0</v>
      </c>
      <c r="BV2264" t="s">
        <v>135</v>
      </c>
      <c r="BW2264">
        <v>0</v>
      </c>
      <c r="BX2264">
        <v>0</v>
      </c>
      <c r="BY2264" t="s">
        <v>135</v>
      </c>
      <c r="BZ2264">
        <v>0</v>
      </c>
      <c r="CA2264">
        <v>0</v>
      </c>
      <c r="CB2264" t="s">
        <v>135</v>
      </c>
      <c r="CH2264" s="2"/>
      <c r="CJ2264" s="2"/>
      <c r="CL2264" s="2"/>
      <c r="CN2264" s="2"/>
      <c r="CQ2264" s="2"/>
      <c r="CT2264" s="2"/>
      <c r="CW2264" s="2"/>
    </row>
    <row r="2265" spans="1:101" x14ac:dyDescent="0.25">
      <c r="A2265" s="1" t="s">
        <v>163</v>
      </c>
      <c r="B2265" s="75" t="s">
        <v>164</v>
      </c>
      <c r="C2265">
        <v>0</v>
      </c>
      <c r="D2265">
        <v>0</v>
      </c>
      <c r="E2265">
        <v>0</v>
      </c>
      <c r="F2265">
        <v>604324.56000000006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3.91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7490</v>
      </c>
      <c r="AW2265">
        <v>3350</v>
      </c>
      <c r="AX2265">
        <v>1219</v>
      </c>
      <c r="AY2265">
        <v>12059</v>
      </c>
      <c r="AZ2265">
        <v>4202</v>
      </c>
      <c r="BA2265">
        <v>7438</v>
      </c>
      <c r="BB2265">
        <v>1432</v>
      </c>
      <c r="BC2265">
        <v>13072</v>
      </c>
      <c r="BD2265">
        <v>9486</v>
      </c>
      <c r="BE2265">
        <v>9222</v>
      </c>
      <c r="BF2265">
        <v>1768</v>
      </c>
      <c r="BG2265">
        <v>20476</v>
      </c>
      <c r="BH2265">
        <v>0</v>
      </c>
      <c r="BI2265">
        <v>0</v>
      </c>
      <c r="BJ2265">
        <v>0</v>
      </c>
      <c r="BK2265">
        <v>0</v>
      </c>
      <c r="BL2265" s="2">
        <v>24.82</v>
      </c>
      <c r="BM2265" s="2">
        <v>42005.095138888886</v>
      </c>
      <c r="BN2265" s="2">
        <v>5.4</v>
      </c>
      <c r="BO2265" s="2">
        <v>42005.092361111114</v>
      </c>
      <c r="BP2265" s="2">
        <v>6.92</v>
      </c>
      <c r="BQ2265" s="2">
        <v>42005.092361111114</v>
      </c>
      <c r="BR2265" s="2">
        <v>11.07</v>
      </c>
      <c r="BS2265" s="2">
        <v>42005.092361111114</v>
      </c>
      <c r="BT2265">
        <v>0</v>
      </c>
      <c r="BU2265">
        <v>0</v>
      </c>
      <c r="BV2265" t="s">
        <v>135</v>
      </c>
      <c r="BW2265">
        <v>0</v>
      </c>
      <c r="BX2265">
        <v>0</v>
      </c>
      <c r="BY2265" t="s">
        <v>135</v>
      </c>
      <c r="BZ2265">
        <v>0</v>
      </c>
      <c r="CA2265">
        <v>0</v>
      </c>
      <c r="CB2265" t="s">
        <v>135</v>
      </c>
      <c r="CH2265" s="2"/>
      <c r="CJ2265" s="2"/>
      <c r="CL2265" s="2"/>
      <c r="CN2265" s="2"/>
      <c r="CQ2265" s="2"/>
      <c r="CT2265" s="2"/>
      <c r="CW2265" s="2"/>
    </row>
    <row r="2266" spans="1:101" x14ac:dyDescent="0.25">
      <c r="A2266" s="1" t="s">
        <v>163</v>
      </c>
      <c r="B2266" s="75" t="s">
        <v>164</v>
      </c>
      <c r="C2266">
        <v>0</v>
      </c>
      <c r="D2266">
        <v>0</v>
      </c>
      <c r="E2266">
        <v>0</v>
      </c>
      <c r="F2266">
        <v>604324.56000000006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3.91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7490</v>
      </c>
      <c r="AW2266">
        <v>3350</v>
      </c>
      <c r="AX2266">
        <v>1219</v>
      </c>
      <c r="AY2266">
        <v>12059</v>
      </c>
      <c r="AZ2266">
        <v>4202</v>
      </c>
      <c r="BA2266">
        <v>7438</v>
      </c>
      <c r="BB2266">
        <v>1432</v>
      </c>
      <c r="BC2266">
        <v>13072</v>
      </c>
      <c r="BD2266">
        <v>9486</v>
      </c>
      <c r="BE2266">
        <v>9222</v>
      </c>
      <c r="BF2266">
        <v>1768</v>
      </c>
      <c r="BG2266">
        <v>20476</v>
      </c>
      <c r="BH2266">
        <v>0</v>
      </c>
      <c r="BI2266">
        <v>0</v>
      </c>
      <c r="BJ2266">
        <v>0</v>
      </c>
      <c r="BK2266">
        <v>0</v>
      </c>
      <c r="BL2266" s="2">
        <v>24.82</v>
      </c>
      <c r="BM2266" s="2">
        <v>42005.095138888886</v>
      </c>
      <c r="BN2266" s="2">
        <v>5.4</v>
      </c>
      <c r="BO2266" s="2">
        <v>42005.092361111114</v>
      </c>
      <c r="BP2266" s="2">
        <v>6.92</v>
      </c>
      <c r="BQ2266" s="2">
        <v>42005.092361111114</v>
      </c>
      <c r="BR2266" s="2">
        <v>11.07</v>
      </c>
      <c r="BS2266" s="2">
        <v>42005.092361111114</v>
      </c>
      <c r="BT2266">
        <v>0</v>
      </c>
      <c r="BU2266">
        <v>0</v>
      </c>
      <c r="BV2266" t="s">
        <v>135</v>
      </c>
      <c r="BW2266">
        <v>0</v>
      </c>
      <c r="BX2266">
        <v>0</v>
      </c>
      <c r="BY2266" t="s">
        <v>135</v>
      </c>
      <c r="BZ2266">
        <v>0</v>
      </c>
      <c r="CA2266">
        <v>0</v>
      </c>
      <c r="CB2266" t="s">
        <v>135</v>
      </c>
      <c r="CH2266" s="2"/>
      <c r="CJ2266" s="2"/>
      <c r="CL2266" s="2"/>
      <c r="CN2266" s="2"/>
      <c r="CQ2266" s="2"/>
      <c r="CT2266" s="2"/>
      <c r="CW2266" s="2"/>
    </row>
    <row r="2267" spans="1:101" x14ac:dyDescent="0.25">
      <c r="A2267" s="1" t="s">
        <v>163</v>
      </c>
      <c r="B2267" s="75" t="s">
        <v>164</v>
      </c>
      <c r="C2267">
        <v>0</v>
      </c>
      <c r="D2267">
        <v>0</v>
      </c>
      <c r="E2267">
        <v>0</v>
      </c>
      <c r="F2267">
        <v>604324.56000000006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3.91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7490</v>
      </c>
      <c r="AW2267">
        <v>3350</v>
      </c>
      <c r="AX2267">
        <v>1219</v>
      </c>
      <c r="AY2267">
        <v>12059</v>
      </c>
      <c r="AZ2267">
        <v>4202</v>
      </c>
      <c r="BA2267">
        <v>7438</v>
      </c>
      <c r="BB2267">
        <v>1432</v>
      </c>
      <c r="BC2267">
        <v>13072</v>
      </c>
      <c r="BD2267">
        <v>9486</v>
      </c>
      <c r="BE2267">
        <v>9222</v>
      </c>
      <c r="BF2267">
        <v>1768</v>
      </c>
      <c r="BG2267">
        <v>20476</v>
      </c>
      <c r="BH2267">
        <v>0</v>
      </c>
      <c r="BI2267">
        <v>0</v>
      </c>
      <c r="BJ2267">
        <v>0</v>
      </c>
      <c r="BK2267">
        <v>0</v>
      </c>
      <c r="BL2267" s="2">
        <v>24.82</v>
      </c>
      <c r="BM2267" s="2">
        <v>42005.095138888886</v>
      </c>
      <c r="BN2267" s="2">
        <v>5.4</v>
      </c>
      <c r="BO2267" s="2">
        <v>42005.092361111114</v>
      </c>
      <c r="BP2267" s="2">
        <v>6.92</v>
      </c>
      <c r="BQ2267" s="2">
        <v>42005.092361111114</v>
      </c>
      <c r="BR2267" s="2">
        <v>11.07</v>
      </c>
      <c r="BS2267" s="2">
        <v>42005.092361111114</v>
      </c>
      <c r="BT2267">
        <v>0</v>
      </c>
      <c r="BU2267">
        <v>0</v>
      </c>
      <c r="BV2267" t="s">
        <v>135</v>
      </c>
      <c r="BW2267">
        <v>0</v>
      </c>
      <c r="BX2267">
        <v>0</v>
      </c>
      <c r="BY2267" t="s">
        <v>135</v>
      </c>
      <c r="BZ2267">
        <v>0</v>
      </c>
      <c r="CA2267">
        <v>0</v>
      </c>
      <c r="CB2267" t="s">
        <v>135</v>
      </c>
      <c r="CH2267" s="2"/>
      <c r="CJ2267" s="2"/>
      <c r="CL2267" s="2"/>
      <c r="CN2267" s="2"/>
      <c r="CQ2267" s="2"/>
      <c r="CT2267" s="2"/>
      <c r="CW2267" s="2"/>
    </row>
    <row r="2268" spans="1:101" x14ac:dyDescent="0.25">
      <c r="A2268" s="1" t="s">
        <v>163</v>
      </c>
      <c r="B2268" s="75" t="s">
        <v>164</v>
      </c>
      <c r="C2268">
        <v>0</v>
      </c>
      <c r="D2268">
        <v>0</v>
      </c>
      <c r="E2268">
        <v>0</v>
      </c>
      <c r="F2268">
        <v>604324.56000000006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3.91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7490</v>
      </c>
      <c r="AW2268">
        <v>3350</v>
      </c>
      <c r="AX2268">
        <v>1219</v>
      </c>
      <c r="AY2268">
        <v>12059</v>
      </c>
      <c r="AZ2268">
        <v>4202</v>
      </c>
      <c r="BA2268">
        <v>7438</v>
      </c>
      <c r="BB2268">
        <v>1432</v>
      </c>
      <c r="BC2268">
        <v>13072</v>
      </c>
      <c r="BD2268">
        <v>9486</v>
      </c>
      <c r="BE2268">
        <v>9222</v>
      </c>
      <c r="BF2268">
        <v>1768</v>
      </c>
      <c r="BG2268">
        <v>20476</v>
      </c>
      <c r="BH2268">
        <v>0</v>
      </c>
      <c r="BI2268">
        <v>0</v>
      </c>
      <c r="BJ2268">
        <v>0</v>
      </c>
      <c r="BK2268">
        <v>0</v>
      </c>
      <c r="BL2268" s="2">
        <v>24.82</v>
      </c>
      <c r="BM2268" s="2">
        <v>42005.095138888886</v>
      </c>
      <c r="BN2268" s="2">
        <v>5.4</v>
      </c>
      <c r="BO2268" s="2">
        <v>42005.092361111114</v>
      </c>
      <c r="BP2268" s="2">
        <v>6.92</v>
      </c>
      <c r="BQ2268" s="2">
        <v>42005.092361111114</v>
      </c>
      <c r="BR2268" s="2">
        <v>11.07</v>
      </c>
      <c r="BS2268" s="2">
        <v>42005.092361111114</v>
      </c>
      <c r="BT2268">
        <v>0</v>
      </c>
      <c r="BU2268">
        <v>0</v>
      </c>
      <c r="BV2268" t="s">
        <v>135</v>
      </c>
      <c r="BW2268">
        <v>0</v>
      </c>
      <c r="BX2268">
        <v>0</v>
      </c>
      <c r="BY2268" t="s">
        <v>135</v>
      </c>
      <c r="BZ2268">
        <v>0</v>
      </c>
      <c r="CA2268">
        <v>0</v>
      </c>
      <c r="CB2268" t="s">
        <v>135</v>
      </c>
      <c r="CH2268" s="2"/>
      <c r="CJ2268" s="2"/>
      <c r="CL2268" s="2"/>
      <c r="CN2268" s="2"/>
      <c r="CQ2268" s="2"/>
      <c r="CT2268" s="2"/>
      <c r="CW2268" s="2"/>
    </row>
    <row r="2269" spans="1:101" x14ac:dyDescent="0.25">
      <c r="A2269" s="1" t="s">
        <v>163</v>
      </c>
      <c r="B2269" s="75" t="s">
        <v>164</v>
      </c>
      <c r="C2269">
        <v>0</v>
      </c>
      <c r="D2269">
        <v>0</v>
      </c>
      <c r="E2269">
        <v>0</v>
      </c>
      <c r="F2269">
        <v>604324.56000000006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3.91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7490</v>
      </c>
      <c r="AW2269">
        <v>3350</v>
      </c>
      <c r="AX2269">
        <v>1219</v>
      </c>
      <c r="AY2269">
        <v>12059</v>
      </c>
      <c r="AZ2269">
        <v>4202</v>
      </c>
      <c r="BA2269">
        <v>7438</v>
      </c>
      <c r="BB2269">
        <v>1432</v>
      </c>
      <c r="BC2269">
        <v>13072</v>
      </c>
      <c r="BD2269">
        <v>9486</v>
      </c>
      <c r="BE2269">
        <v>9222</v>
      </c>
      <c r="BF2269">
        <v>1768</v>
      </c>
      <c r="BG2269">
        <v>20476</v>
      </c>
      <c r="BH2269">
        <v>0</v>
      </c>
      <c r="BI2269">
        <v>0</v>
      </c>
      <c r="BJ2269">
        <v>0</v>
      </c>
      <c r="BK2269">
        <v>0</v>
      </c>
      <c r="BL2269" s="2">
        <v>24.82</v>
      </c>
      <c r="BM2269" s="2">
        <v>42005.095138888886</v>
      </c>
      <c r="BN2269" s="2">
        <v>5.4</v>
      </c>
      <c r="BO2269" s="2">
        <v>42005.092361111114</v>
      </c>
      <c r="BP2269" s="2">
        <v>6.92</v>
      </c>
      <c r="BQ2269" s="2">
        <v>42005.092361111114</v>
      </c>
      <c r="BR2269" s="2">
        <v>11.07</v>
      </c>
      <c r="BS2269" s="2">
        <v>42005.092361111114</v>
      </c>
      <c r="BT2269">
        <v>0</v>
      </c>
      <c r="BU2269">
        <v>0</v>
      </c>
      <c r="BV2269" t="s">
        <v>135</v>
      </c>
      <c r="BW2269">
        <v>0</v>
      </c>
      <c r="BX2269">
        <v>0</v>
      </c>
      <c r="BY2269" t="s">
        <v>135</v>
      </c>
      <c r="BZ2269">
        <v>0</v>
      </c>
      <c r="CA2269">
        <v>0</v>
      </c>
      <c r="CB2269" t="s">
        <v>135</v>
      </c>
      <c r="CH2269" s="2"/>
      <c r="CJ2269" s="2"/>
      <c r="CL2269" s="2"/>
      <c r="CN2269" s="2"/>
      <c r="CQ2269" s="2"/>
      <c r="CT2269" s="2"/>
      <c r="CW2269" s="2"/>
    </row>
    <row r="2270" spans="1:101" x14ac:dyDescent="0.25">
      <c r="A2270" s="1" t="s">
        <v>163</v>
      </c>
      <c r="B2270" s="75" t="s">
        <v>164</v>
      </c>
      <c r="C2270">
        <v>0</v>
      </c>
      <c r="D2270">
        <v>0</v>
      </c>
      <c r="E2270">
        <v>0</v>
      </c>
      <c r="F2270">
        <v>604324.56000000006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3.91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7490</v>
      </c>
      <c r="AW2270">
        <v>3350</v>
      </c>
      <c r="AX2270">
        <v>1219</v>
      </c>
      <c r="AY2270">
        <v>12059</v>
      </c>
      <c r="AZ2270">
        <v>4202</v>
      </c>
      <c r="BA2270">
        <v>7438</v>
      </c>
      <c r="BB2270">
        <v>1432</v>
      </c>
      <c r="BC2270">
        <v>13072</v>
      </c>
      <c r="BD2270">
        <v>9486</v>
      </c>
      <c r="BE2270">
        <v>9222</v>
      </c>
      <c r="BF2270">
        <v>1768</v>
      </c>
      <c r="BG2270">
        <v>20476</v>
      </c>
      <c r="BH2270">
        <v>0</v>
      </c>
      <c r="BI2270">
        <v>0</v>
      </c>
      <c r="BJ2270">
        <v>0</v>
      </c>
      <c r="BK2270">
        <v>0</v>
      </c>
      <c r="BL2270" s="2">
        <v>24.82</v>
      </c>
      <c r="BM2270" s="2">
        <v>42005.095138888886</v>
      </c>
      <c r="BN2270" s="2">
        <v>5.4</v>
      </c>
      <c r="BO2270" s="2">
        <v>42005.092361111114</v>
      </c>
      <c r="BP2270" s="2">
        <v>6.92</v>
      </c>
      <c r="BQ2270" s="2">
        <v>42005.092361111114</v>
      </c>
      <c r="BR2270" s="2">
        <v>11.07</v>
      </c>
      <c r="BS2270" s="2">
        <v>42005.092361111114</v>
      </c>
      <c r="BT2270">
        <v>0</v>
      </c>
      <c r="BU2270">
        <v>0</v>
      </c>
      <c r="BV2270" t="s">
        <v>135</v>
      </c>
      <c r="BW2270">
        <v>0</v>
      </c>
      <c r="BX2270">
        <v>0</v>
      </c>
      <c r="BY2270" t="s">
        <v>135</v>
      </c>
      <c r="BZ2270">
        <v>0</v>
      </c>
      <c r="CA2270">
        <v>0</v>
      </c>
      <c r="CB2270" t="s">
        <v>135</v>
      </c>
      <c r="CH2270" s="2"/>
      <c r="CJ2270" s="2"/>
      <c r="CL2270" s="2"/>
      <c r="CN2270" s="2"/>
      <c r="CQ2270" s="2"/>
      <c r="CT2270" s="2"/>
      <c r="CW2270" s="2"/>
    </row>
    <row r="2271" spans="1:101" x14ac:dyDescent="0.25">
      <c r="A2271" s="1" t="s">
        <v>163</v>
      </c>
      <c r="B2271" s="75" t="s">
        <v>164</v>
      </c>
      <c r="C2271">
        <v>0</v>
      </c>
      <c r="D2271">
        <v>0</v>
      </c>
      <c r="E2271">
        <v>0</v>
      </c>
      <c r="F2271">
        <v>604324.56000000006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3.91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7490</v>
      </c>
      <c r="AW2271">
        <v>3350</v>
      </c>
      <c r="AX2271">
        <v>1219</v>
      </c>
      <c r="AY2271">
        <v>12059</v>
      </c>
      <c r="AZ2271">
        <v>4202</v>
      </c>
      <c r="BA2271">
        <v>7438</v>
      </c>
      <c r="BB2271">
        <v>1432</v>
      </c>
      <c r="BC2271">
        <v>13072</v>
      </c>
      <c r="BD2271">
        <v>9486</v>
      </c>
      <c r="BE2271">
        <v>9222</v>
      </c>
      <c r="BF2271">
        <v>1768</v>
      </c>
      <c r="BG2271">
        <v>20476</v>
      </c>
      <c r="BH2271">
        <v>0</v>
      </c>
      <c r="BI2271">
        <v>0</v>
      </c>
      <c r="BJ2271">
        <v>0</v>
      </c>
      <c r="BK2271">
        <v>0</v>
      </c>
      <c r="BL2271" s="2">
        <v>24.82</v>
      </c>
      <c r="BM2271" s="2">
        <v>42005.095138888886</v>
      </c>
      <c r="BN2271" s="2">
        <v>5.4</v>
      </c>
      <c r="BO2271" s="2">
        <v>42005.092361111114</v>
      </c>
      <c r="BP2271" s="2">
        <v>6.92</v>
      </c>
      <c r="BQ2271" s="2">
        <v>42005.092361111114</v>
      </c>
      <c r="BR2271" s="2">
        <v>11.07</v>
      </c>
      <c r="BS2271" s="2">
        <v>42005.092361111114</v>
      </c>
      <c r="BT2271">
        <v>0</v>
      </c>
      <c r="BU2271">
        <v>0</v>
      </c>
      <c r="BV2271" t="s">
        <v>135</v>
      </c>
      <c r="BW2271">
        <v>0</v>
      </c>
      <c r="BX2271">
        <v>0</v>
      </c>
      <c r="BY2271" t="s">
        <v>135</v>
      </c>
      <c r="BZ2271">
        <v>0</v>
      </c>
      <c r="CA2271">
        <v>0</v>
      </c>
      <c r="CB2271" t="s">
        <v>135</v>
      </c>
      <c r="CH2271" s="2"/>
      <c r="CJ2271" s="2"/>
      <c r="CL2271" s="2"/>
      <c r="CN2271" s="2"/>
      <c r="CQ2271" s="2"/>
      <c r="CT2271" s="2"/>
      <c r="CW2271" s="2"/>
    </row>
    <row r="2272" spans="1:101" x14ac:dyDescent="0.25">
      <c r="A2272" s="1" t="s">
        <v>163</v>
      </c>
      <c r="B2272" s="75" t="s">
        <v>164</v>
      </c>
      <c r="C2272">
        <v>0</v>
      </c>
      <c r="D2272">
        <v>0</v>
      </c>
      <c r="E2272">
        <v>0</v>
      </c>
      <c r="F2272">
        <v>604324.56000000006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3.91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7490</v>
      </c>
      <c r="AW2272">
        <v>3350</v>
      </c>
      <c r="AX2272">
        <v>1219</v>
      </c>
      <c r="AY2272">
        <v>12059</v>
      </c>
      <c r="AZ2272">
        <v>4202</v>
      </c>
      <c r="BA2272">
        <v>7438</v>
      </c>
      <c r="BB2272">
        <v>1432</v>
      </c>
      <c r="BC2272">
        <v>13072</v>
      </c>
      <c r="BD2272">
        <v>9486</v>
      </c>
      <c r="BE2272">
        <v>9222</v>
      </c>
      <c r="BF2272">
        <v>1768</v>
      </c>
      <c r="BG2272">
        <v>20476</v>
      </c>
      <c r="BH2272">
        <v>0</v>
      </c>
      <c r="BI2272">
        <v>0</v>
      </c>
      <c r="BJ2272">
        <v>0</v>
      </c>
      <c r="BK2272">
        <v>0</v>
      </c>
      <c r="BL2272" s="2">
        <v>24.82</v>
      </c>
      <c r="BM2272" s="2">
        <v>42005.095138888886</v>
      </c>
      <c r="BN2272" s="2">
        <v>5.4</v>
      </c>
      <c r="BO2272" s="2">
        <v>42005.092361111114</v>
      </c>
      <c r="BP2272" s="2">
        <v>6.92</v>
      </c>
      <c r="BQ2272" s="2">
        <v>42005.092361111114</v>
      </c>
      <c r="BR2272" s="2">
        <v>11.07</v>
      </c>
      <c r="BS2272" s="2">
        <v>42005.092361111114</v>
      </c>
      <c r="BT2272">
        <v>0</v>
      </c>
      <c r="BU2272">
        <v>0</v>
      </c>
      <c r="BV2272" t="s">
        <v>135</v>
      </c>
      <c r="BW2272">
        <v>0</v>
      </c>
      <c r="BX2272">
        <v>0</v>
      </c>
      <c r="BY2272" t="s">
        <v>135</v>
      </c>
      <c r="BZ2272">
        <v>0</v>
      </c>
      <c r="CA2272">
        <v>0</v>
      </c>
      <c r="CB2272" t="s">
        <v>135</v>
      </c>
      <c r="CH2272" s="2"/>
      <c r="CJ2272" s="2"/>
      <c r="CL2272" s="2"/>
      <c r="CN2272" s="2"/>
      <c r="CQ2272" s="2"/>
      <c r="CT2272" s="2"/>
      <c r="CW2272" s="2"/>
    </row>
    <row r="2273" spans="1:101" x14ac:dyDescent="0.25">
      <c r="A2273" s="1" t="s">
        <v>163</v>
      </c>
      <c r="B2273" s="75" t="s">
        <v>164</v>
      </c>
      <c r="C2273">
        <v>0</v>
      </c>
      <c r="D2273">
        <v>0</v>
      </c>
      <c r="E2273">
        <v>0</v>
      </c>
      <c r="F2273">
        <v>604324.56000000006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3.91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7490</v>
      </c>
      <c r="AW2273">
        <v>3350</v>
      </c>
      <c r="AX2273">
        <v>1219</v>
      </c>
      <c r="AY2273">
        <v>12059</v>
      </c>
      <c r="AZ2273">
        <v>4202</v>
      </c>
      <c r="BA2273">
        <v>7438</v>
      </c>
      <c r="BB2273">
        <v>1432</v>
      </c>
      <c r="BC2273">
        <v>13072</v>
      </c>
      <c r="BD2273">
        <v>9486</v>
      </c>
      <c r="BE2273">
        <v>9222</v>
      </c>
      <c r="BF2273">
        <v>1768</v>
      </c>
      <c r="BG2273">
        <v>20476</v>
      </c>
      <c r="BH2273">
        <v>0</v>
      </c>
      <c r="BI2273">
        <v>0</v>
      </c>
      <c r="BJ2273">
        <v>0</v>
      </c>
      <c r="BK2273">
        <v>0</v>
      </c>
      <c r="BL2273" s="2">
        <v>24.82</v>
      </c>
      <c r="BM2273" s="2">
        <v>42005.095138888886</v>
      </c>
      <c r="BN2273" s="2">
        <v>5.4</v>
      </c>
      <c r="BO2273" s="2">
        <v>42005.092361111114</v>
      </c>
      <c r="BP2273" s="2">
        <v>6.92</v>
      </c>
      <c r="BQ2273" s="2">
        <v>42005.092361111114</v>
      </c>
      <c r="BR2273" s="2">
        <v>11.07</v>
      </c>
      <c r="BS2273" s="2">
        <v>42005.092361111114</v>
      </c>
      <c r="BT2273">
        <v>0</v>
      </c>
      <c r="BU2273">
        <v>0</v>
      </c>
      <c r="BV2273" t="s">
        <v>135</v>
      </c>
      <c r="BW2273">
        <v>0</v>
      </c>
      <c r="BX2273">
        <v>0</v>
      </c>
      <c r="BY2273" t="s">
        <v>135</v>
      </c>
      <c r="BZ2273">
        <v>0</v>
      </c>
      <c r="CA2273">
        <v>0</v>
      </c>
      <c r="CB2273" t="s">
        <v>135</v>
      </c>
      <c r="CH2273" s="2"/>
      <c r="CJ2273" s="2"/>
      <c r="CL2273" s="2"/>
      <c r="CN2273" s="2"/>
      <c r="CQ2273" s="2"/>
      <c r="CT2273" s="2"/>
      <c r="CW2273" s="2"/>
    </row>
    <row r="2274" spans="1:101" x14ac:dyDescent="0.25">
      <c r="A2274" s="1" t="s">
        <v>163</v>
      </c>
      <c r="B2274" s="75" t="s">
        <v>164</v>
      </c>
      <c r="C2274">
        <v>0</v>
      </c>
      <c r="D2274">
        <v>0</v>
      </c>
      <c r="E2274">
        <v>0</v>
      </c>
      <c r="F2274">
        <v>604324.56000000006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3.91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7490</v>
      </c>
      <c r="AW2274">
        <v>3350</v>
      </c>
      <c r="AX2274">
        <v>1219</v>
      </c>
      <c r="AY2274">
        <v>12059</v>
      </c>
      <c r="AZ2274">
        <v>4202</v>
      </c>
      <c r="BA2274">
        <v>7438</v>
      </c>
      <c r="BB2274">
        <v>1432</v>
      </c>
      <c r="BC2274">
        <v>13072</v>
      </c>
      <c r="BD2274">
        <v>9486</v>
      </c>
      <c r="BE2274">
        <v>9222</v>
      </c>
      <c r="BF2274">
        <v>1768</v>
      </c>
      <c r="BG2274">
        <v>20476</v>
      </c>
      <c r="BH2274">
        <v>0</v>
      </c>
      <c r="BI2274">
        <v>0</v>
      </c>
      <c r="BJ2274">
        <v>0</v>
      </c>
      <c r="BK2274">
        <v>0</v>
      </c>
      <c r="BL2274" s="2">
        <v>24.82</v>
      </c>
      <c r="BM2274" s="2">
        <v>42005.095138888886</v>
      </c>
      <c r="BN2274" s="2">
        <v>5.4</v>
      </c>
      <c r="BO2274" s="2">
        <v>42005.092361111114</v>
      </c>
      <c r="BP2274" s="2">
        <v>6.92</v>
      </c>
      <c r="BQ2274" s="2">
        <v>42005.092361111114</v>
      </c>
      <c r="BR2274" s="2">
        <v>11.07</v>
      </c>
      <c r="BS2274" s="2">
        <v>42005.092361111114</v>
      </c>
      <c r="BT2274">
        <v>0</v>
      </c>
      <c r="BU2274">
        <v>0</v>
      </c>
      <c r="BV2274" t="s">
        <v>135</v>
      </c>
      <c r="BW2274">
        <v>0</v>
      </c>
      <c r="BX2274">
        <v>0</v>
      </c>
      <c r="BY2274" t="s">
        <v>135</v>
      </c>
      <c r="BZ2274">
        <v>0</v>
      </c>
      <c r="CA2274">
        <v>0</v>
      </c>
      <c r="CB2274" t="s">
        <v>135</v>
      </c>
      <c r="CH2274" s="2"/>
      <c r="CJ2274" s="2"/>
      <c r="CL2274" s="2"/>
      <c r="CN2274" s="2"/>
      <c r="CQ2274" s="2"/>
      <c r="CT2274" s="2"/>
      <c r="CW2274" s="2"/>
    </row>
    <row r="2275" spans="1:101" x14ac:dyDescent="0.25">
      <c r="A2275" s="1" t="s">
        <v>163</v>
      </c>
      <c r="B2275" s="75" t="s">
        <v>164</v>
      </c>
      <c r="C2275">
        <v>0</v>
      </c>
      <c r="D2275">
        <v>0</v>
      </c>
      <c r="E2275">
        <v>0</v>
      </c>
      <c r="F2275">
        <v>604324.56000000006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3.91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7490</v>
      </c>
      <c r="AW2275">
        <v>3350</v>
      </c>
      <c r="AX2275">
        <v>1219</v>
      </c>
      <c r="AY2275">
        <v>12059</v>
      </c>
      <c r="AZ2275">
        <v>4202</v>
      </c>
      <c r="BA2275">
        <v>7438</v>
      </c>
      <c r="BB2275">
        <v>1432</v>
      </c>
      <c r="BC2275">
        <v>13072</v>
      </c>
      <c r="BD2275">
        <v>9486</v>
      </c>
      <c r="BE2275">
        <v>9222</v>
      </c>
      <c r="BF2275">
        <v>1768</v>
      </c>
      <c r="BG2275">
        <v>20476</v>
      </c>
      <c r="BH2275">
        <v>0</v>
      </c>
      <c r="BI2275">
        <v>0</v>
      </c>
      <c r="BJ2275">
        <v>0</v>
      </c>
      <c r="BK2275">
        <v>0</v>
      </c>
      <c r="BL2275" s="2">
        <v>24.82</v>
      </c>
      <c r="BM2275" s="2">
        <v>42005.095138888886</v>
      </c>
      <c r="BN2275" s="2">
        <v>5.4</v>
      </c>
      <c r="BO2275" s="2">
        <v>42005.092361111114</v>
      </c>
      <c r="BP2275" s="2">
        <v>6.92</v>
      </c>
      <c r="BQ2275" s="2">
        <v>42005.092361111114</v>
      </c>
      <c r="BR2275" s="2">
        <v>11.07</v>
      </c>
      <c r="BS2275" s="2">
        <v>42005.092361111114</v>
      </c>
      <c r="BT2275">
        <v>0</v>
      </c>
      <c r="BU2275">
        <v>0</v>
      </c>
      <c r="BV2275" t="s">
        <v>135</v>
      </c>
      <c r="BW2275">
        <v>0</v>
      </c>
      <c r="BX2275">
        <v>0</v>
      </c>
      <c r="BY2275" t="s">
        <v>135</v>
      </c>
      <c r="BZ2275">
        <v>0</v>
      </c>
      <c r="CA2275">
        <v>0</v>
      </c>
      <c r="CB2275" t="s">
        <v>135</v>
      </c>
      <c r="CH2275" s="2"/>
      <c r="CJ2275" s="2"/>
      <c r="CL2275" s="2"/>
      <c r="CN2275" s="2"/>
      <c r="CQ2275" s="2"/>
      <c r="CT2275" s="2"/>
      <c r="CW2275" s="2"/>
    </row>
    <row r="2276" spans="1:101" x14ac:dyDescent="0.25">
      <c r="A2276" s="1" t="s">
        <v>163</v>
      </c>
      <c r="B2276" s="75" t="s">
        <v>164</v>
      </c>
      <c r="C2276">
        <v>0</v>
      </c>
      <c r="D2276">
        <v>0</v>
      </c>
      <c r="E2276">
        <v>0</v>
      </c>
      <c r="F2276">
        <v>604324.56000000006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3.91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7490</v>
      </c>
      <c r="AW2276">
        <v>3350</v>
      </c>
      <c r="AX2276">
        <v>1219</v>
      </c>
      <c r="AY2276">
        <v>12059</v>
      </c>
      <c r="AZ2276">
        <v>4202</v>
      </c>
      <c r="BA2276">
        <v>7438</v>
      </c>
      <c r="BB2276">
        <v>1432</v>
      </c>
      <c r="BC2276">
        <v>13072</v>
      </c>
      <c r="BD2276">
        <v>9486</v>
      </c>
      <c r="BE2276">
        <v>9222</v>
      </c>
      <c r="BF2276">
        <v>1768</v>
      </c>
      <c r="BG2276">
        <v>20476</v>
      </c>
      <c r="BH2276">
        <v>0</v>
      </c>
      <c r="BI2276">
        <v>0</v>
      </c>
      <c r="BJ2276">
        <v>0</v>
      </c>
      <c r="BK2276">
        <v>0</v>
      </c>
      <c r="BL2276" s="2">
        <v>24.82</v>
      </c>
      <c r="BM2276" s="2">
        <v>42005.095138888886</v>
      </c>
      <c r="BN2276" s="2">
        <v>5.4</v>
      </c>
      <c r="BO2276" s="2">
        <v>42005.092361111114</v>
      </c>
      <c r="BP2276" s="2">
        <v>6.92</v>
      </c>
      <c r="BQ2276" s="2">
        <v>42005.092361111114</v>
      </c>
      <c r="BR2276" s="2">
        <v>11.07</v>
      </c>
      <c r="BS2276" s="2">
        <v>42005.092361111114</v>
      </c>
      <c r="BT2276">
        <v>0</v>
      </c>
      <c r="BU2276">
        <v>0</v>
      </c>
      <c r="BV2276" t="s">
        <v>135</v>
      </c>
      <c r="BW2276">
        <v>0</v>
      </c>
      <c r="BX2276">
        <v>0</v>
      </c>
      <c r="BY2276" t="s">
        <v>135</v>
      </c>
      <c r="BZ2276">
        <v>0</v>
      </c>
      <c r="CA2276">
        <v>0</v>
      </c>
      <c r="CB2276" t="s">
        <v>135</v>
      </c>
      <c r="CH2276" s="2"/>
      <c r="CJ2276" s="2"/>
      <c r="CL2276" s="2"/>
      <c r="CN2276" s="2"/>
      <c r="CQ2276" s="2"/>
      <c r="CT2276" s="2"/>
      <c r="CW2276" s="2"/>
    </row>
    <row r="2277" spans="1:101" x14ac:dyDescent="0.25">
      <c r="A2277" s="1" t="s">
        <v>163</v>
      </c>
      <c r="B2277" s="75" t="s">
        <v>164</v>
      </c>
      <c r="C2277">
        <v>0</v>
      </c>
      <c r="D2277">
        <v>0</v>
      </c>
      <c r="E2277">
        <v>0</v>
      </c>
      <c r="F2277">
        <v>604324.56000000006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3.91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7490</v>
      </c>
      <c r="AW2277">
        <v>3350</v>
      </c>
      <c r="AX2277">
        <v>1219</v>
      </c>
      <c r="AY2277">
        <v>12059</v>
      </c>
      <c r="AZ2277">
        <v>4202</v>
      </c>
      <c r="BA2277">
        <v>7438</v>
      </c>
      <c r="BB2277">
        <v>1432</v>
      </c>
      <c r="BC2277">
        <v>13072</v>
      </c>
      <c r="BD2277">
        <v>9486</v>
      </c>
      <c r="BE2277">
        <v>9222</v>
      </c>
      <c r="BF2277">
        <v>1768</v>
      </c>
      <c r="BG2277">
        <v>20476</v>
      </c>
      <c r="BH2277">
        <v>0</v>
      </c>
      <c r="BI2277">
        <v>0</v>
      </c>
      <c r="BJ2277">
        <v>0</v>
      </c>
      <c r="BK2277">
        <v>0</v>
      </c>
      <c r="BL2277" s="2">
        <v>24.82</v>
      </c>
      <c r="BM2277" s="2">
        <v>42005.095138888886</v>
      </c>
      <c r="BN2277" s="2">
        <v>5.4</v>
      </c>
      <c r="BO2277" s="2">
        <v>42005.092361111114</v>
      </c>
      <c r="BP2277" s="2">
        <v>6.92</v>
      </c>
      <c r="BQ2277" s="2">
        <v>42005.092361111114</v>
      </c>
      <c r="BR2277" s="2">
        <v>11.07</v>
      </c>
      <c r="BS2277" s="2">
        <v>42005.092361111114</v>
      </c>
      <c r="BT2277">
        <v>0</v>
      </c>
      <c r="BU2277">
        <v>0</v>
      </c>
      <c r="BV2277" t="s">
        <v>135</v>
      </c>
      <c r="BW2277">
        <v>0</v>
      </c>
      <c r="BX2277">
        <v>0</v>
      </c>
      <c r="BY2277" t="s">
        <v>135</v>
      </c>
      <c r="BZ2277">
        <v>0</v>
      </c>
      <c r="CA2277">
        <v>0</v>
      </c>
      <c r="CB2277" t="s">
        <v>135</v>
      </c>
      <c r="CH2277" s="2"/>
      <c r="CJ2277" s="2"/>
      <c r="CL2277" s="2"/>
      <c r="CN2277" s="2"/>
      <c r="CQ2277" s="2"/>
      <c r="CT2277" s="2"/>
      <c r="CW2277" s="2"/>
    </row>
    <row r="2278" spans="1:101" x14ac:dyDescent="0.25">
      <c r="A2278" s="1" t="s">
        <v>163</v>
      </c>
      <c r="B2278" s="75" t="s">
        <v>164</v>
      </c>
      <c r="C2278">
        <v>0</v>
      </c>
      <c r="D2278">
        <v>0</v>
      </c>
      <c r="E2278">
        <v>0</v>
      </c>
      <c r="F2278">
        <v>604324.56000000006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3.91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7490</v>
      </c>
      <c r="AW2278">
        <v>3350</v>
      </c>
      <c r="AX2278">
        <v>1219</v>
      </c>
      <c r="AY2278">
        <v>12059</v>
      </c>
      <c r="AZ2278">
        <v>4202</v>
      </c>
      <c r="BA2278">
        <v>7438</v>
      </c>
      <c r="BB2278">
        <v>1432</v>
      </c>
      <c r="BC2278">
        <v>13072</v>
      </c>
      <c r="BD2278">
        <v>9486</v>
      </c>
      <c r="BE2278">
        <v>9222</v>
      </c>
      <c r="BF2278">
        <v>1768</v>
      </c>
      <c r="BG2278">
        <v>20476</v>
      </c>
      <c r="BH2278">
        <v>0</v>
      </c>
      <c r="BI2278">
        <v>0</v>
      </c>
      <c r="BJ2278">
        <v>0</v>
      </c>
      <c r="BK2278">
        <v>0</v>
      </c>
      <c r="BL2278" s="2">
        <v>24.82</v>
      </c>
      <c r="BM2278" s="2">
        <v>42005.095138888886</v>
      </c>
      <c r="BN2278" s="2">
        <v>5.4</v>
      </c>
      <c r="BO2278" s="2">
        <v>42005.092361111114</v>
      </c>
      <c r="BP2278" s="2">
        <v>6.92</v>
      </c>
      <c r="BQ2278" s="2">
        <v>42005.092361111114</v>
      </c>
      <c r="BR2278" s="2">
        <v>11.07</v>
      </c>
      <c r="BS2278" s="2">
        <v>42005.092361111114</v>
      </c>
      <c r="BT2278">
        <v>0</v>
      </c>
      <c r="BU2278">
        <v>0</v>
      </c>
      <c r="BV2278" t="s">
        <v>135</v>
      </c>
      <c r="BW2278">
        <v>0</v>
      </c>
      <c r="BX2278">
        <v>0</v>
      </c>
      <c r="BY2278" t="s">
        <v>135</v>
      </c>
      <c r="BZ2278">
        <v>0</v>
      </c>
      <c r="CA2278">
        <v>0</v>
      </c>
      <c r="CB2278" t="s">
        <v>135</v>
      </c>
      <c r="CH2278" s="2"/>
      <c r="CJ2278" s="2"/>
      <c r="CL2278" s="2"/>
      <c r="CN2278" s="2"/>
      <c r="CQ2278" s="2"/>
      <c r="CT2278" s="2"/>
      <c r="CW2278" s="2"/>
    </row>
    <row r="2279" spans="1:101" x14ac:dyDescent="0.25">
      <c r="A2279" s="1" t="s">
        <v>163</v>
      </c>
      <c r="B2279" s="75" t="s">
        <v>164</v>
      </c>
      <c r="C2279">
        <v>0</v>
      </c>
      <c r="D2279">
        <v>0</v>
      </c>
      <c r="E2279">
        <v>0</v>
      </c>
      <c r="F2279">
        <v>604324.56000000006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3.91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7490</v>
      </c>
      <c r="AW2279">
        <v>3350</v>
      </c>
      <c r="AX2279">
        <v>1219</v>
      </c>
      <c r="AY2279">
        <v>12059</v>
      </c>
      <c r="AZ2279">
        <v>4202</v>
      </c>
      <c r="BA2279">
        <v>7438</v>
      </c>
      <c r="BB2279">
        <v>1432</v>
      </c>
      <c r="BC2279">
        <v>13072</v>
      </c>
      <c r="BD2279">
        <v>9486</v>
      </c>
      <c r="BE2279">
        <v>9222</v>
      </c>
      <c r="BF2279">
        <v>1768</v>
      </c>
      <c r="BG2279">
        <v>20476</v>
      </c>
      <c r="BH2279">
        <v>0</v>
      </c>
      <c r="BI2279">
        <v>0</v>
      </c>
      <c r="BJ2279">
        <v>0</v>
      </c>
      <c r="BK2279">
        <v>0</v>
      </c>
      <c r="BL2279" s="2">
        <v>24.82</v>
      </c>
      <c r="BM2279" s="2">
        <v>42005.095138888886</v>
      </c>
      <c r="BN2279" s="2">
        <v>5.4</v>
      </c>
      <c r="BO2279" s="2">
        <v>42005.092361111114</v>
      </c>
      <c r="BP2279" s="2">
        <v>6.92</v>
      </c>
      <c r="BQ2279" s="2">
        <v>42005.092361111114</v>
      </c>
      <c r="BR2279" s="2">
        <v>11.07</v>
      </c>
      <c r="BS2279" s="2">
        <v>42005.092361111114</v>
      </c>
      <c r="BT2279">
        <v>0</v>
      </c>
      <c r="BU2279">
        <v>0</v>
      </c>
      <c r="BV2279" t="s">
        <v>135</v>
      </c>
      <c r="BW2279">
        <v>0</v>
      </c>
      <c r="BX2279">
        <v>0</v>
      </c>
      <c r="BY2279" t="s">
        <v>135</v>
      </c>
      <c r="BZ2279">
        <v>0</v>
      </c>
      <c r="CA2279">
        <v>0</v>
      </c>
      <c r="CB2279" t="s">
        <v>135</v>
      </c>
      <c r="CH2279" s="2"/>
      <c r="CJ2279" s="2"/>
      <c r="CL2279" s="2"/>
      <c r="CN2279" s="2"/>
      <c r="CQ2279" s="2"/>
      <c r="CT2279" s="2"/>
      <c r="CW2279" s="2"/>
    </row>
    <row r="2280" spans="1:101" x14ac:dyDescent="0.25">
      <c r="A2280" s="1" t="s">
        <v>163</v>
      </c>
      <c r="B2280" s="75" t="s">
        <v>164</v>
      </c>
      <c r="C2280">
        <v>0</v>
      </c>
      <c r="D2280">
        <v>0</v>
      </c>
      <c r="E2280">
        <v>0</v>
      </c>
      <c r="F2280">
        <v>604324.56000000006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3.91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7490</v>
      </c>
      <c r="AW2280">
        <v>3350</v>
      </c>
      <c r="AX2280">
        <v>1219</v>
      </c>
      <c r="AY2280">
        <v>12059</v>
      </c>
      <c r="AZ2280">
        <v>4202</v>
      </c>
      <c r="BA2280">
        <v>7438</v>
      </c>
      <c r="BB2280">
        <v>1432</v>
      </c>
      <c r="BC2280">
        <v>13072</v>
      </c>
      <c r="BD2280">
        <v>9486</v>
      </c>
      <c r="BE2280">
        <v>9222</v>
      </c>
      <c r="BF2280">
        <v>1768</v>
      </c>
      <c r="BG2280">
        <v>20476</v>
      </c>
      <c r="BH2280">
        <v>0</v>
      </c>
      <c r="BI2280">
        <v>0</v>
      </c>
      <c r="BJ2280">
        <v>0</v>
      </c>
      <c r="BK2280">
        <v>0</v>
      </c>
      <c r="BL2280" s="2">
        <v>24.82</v>
      </c>
      <c r="BM2280" s="2">
        <v>42005.095138888886</v>
      </c>
      <c r="BN2280" s="2">
        <v>5.4</v>
      </c>
      <c r="BO2280" s="2">
        <v>42005.092361111114</v>
      </c>
      <c r="BP2280" s="2">
        <v>6.92</v>
      </c>
      <c r="BQ2280" s="2">
        <v>42005.092361111114</v>
      </c>
      <c r="BR2280" s="2">
        <v>11.07</v>
      </c>
      <c r="BS2280" s="2">
        <v>42005.092361111114</v>
      </c>
      <c r="BT2280">
        <v>0</v>
      </c>
      <c r="BU2280">
        <v>0</v>
      </c>
      <c r="BV2280" t="s">
        <v>135</v>
      </c>
      <c r="BW2280">
        <v>0</v>
      </c>
      <c r="BX2280">
        <v>0</v>
      </c>
      <c r="BY2280" t="s">
        <v>135</v>
      </c>
      <c r="BZ2280">
        <v>0</v>
      </c>
      <c r="CA2280">
        <v>0</v>
      </c>
      <c r="CB2280" t="s">
        <v>135</v>
      </c>
      <c r="CH2280" s="2"/>
      <c r="CJ2280" s="2"/>
      <c r="CL2280" s="2"/>
      <c r="CN2280" s="2"/>
      <c r="CQ2280" s="2"/>
      <c r="CT2280" s="2"/>
      <c r="CW2280" s="2"/>
    </row>
    <row r="2281" spans="1:101" x14ac:dyDescent="0.25">
      <c r="A2281" s="1" t="s">
        <v>163</v>
      </c>
      <c r="B2281" s="75" t="s">
        <v>164</v>
      </c>
      <c r="C2281">
        <v>0</v>
      </c>
      <c r="D2281">
        <v>0</v>
      </c>
      <c r="E2281">
        <v>0</v>
      </c>
      <c r="F2281">
        <v>604324.56000000006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3.91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7490</v>
      </c>
      <c r="AW2281">
        <v>3350</v>
      </c>
      <c r="AX2281">
        <v>1219</v>
      </c>
      <c r="AY2281">
        <v>12059</v>
      </c>
      <c r="AZ2281">
        <v>4202</v>
      </c>
      <c r="BA2281">
        <v>7438</v>
      </c>
      <c r="BB2281">
        <v>1432</v>
      </c>
      <c r="BC2281">
        <v>13072</v>
      </c>
      <c r="BD2281">
        <v>9486</v>
      </c>
      <c r="BE2281">
        <v>9222</v>
      </c>
      <c r="BF2281">
        <v>1768</v>
      </c>
      <c r="BG2281">
        <v>20476</v>
      </c>
      <c r="BH2281">
        <v>0</v>
      </c>
      <c r="BI2281">
        <v>0</v>
      </c>
      <c r="BJ2281">
        <v>0</v>
      </c>
      <c r="BK2281">
        <v>0</v>
      </c>
      <c r="BL2281" s="2">
        <v>24.82</v>
      </c>
      <c r="BM2281" s="2">
        <v>42005.095138888886</v>
      </c>
      <c r="BN2281" s="2">
        <v>5.4</v>
      </c>
      <c r="BO2281" s="2">
        <v>42005.092361111114</v>
      </c>
      <c r="BP2281" s="2">
        <v>6.92</v>
      </c>
      <c r="BQ2281" s="2">
        <v>42005.092361111114</v>
      </c>
      <c r="BR2281" s="2">
        <v>11.07</v>
      </c>
      <c r="BS2281" s="2">
        <v>42005.092361111114</v>
      </c>
      <c r="BT2281">
        <v>0</v>
      </c>
      <c r="BU2281">
        <v>0</v>
      </c>
      <c r="BV2281" t="s">
        <v>135</v>
      </c>
      <c r="BW2281">
        <v>0</v>
      </c>
      <c r="BX2281">
        <v>0</v>
      </c>
      <c r="BY2281" t="s">
        <v>135</v>
      </c>
      <c r="BZ2281">
        <v>0</v>
      </c>
      <c r="CA2281">
        <v>0</v>
      </c>
      <c r="CB2281" t="s">
        <v>135</v>
      </c>
      <c r="CH2281" s="2"/>
      <c r="CJ2281" s="2"/>
      <c r="CL2281" s="2"/>
      <c r="CN2281" s="2"/>
      <c r="CQ2281" s="2"/>
      <c r="CT2281" s="2"/>
      <c r="CW2281" s="2"/>
    </row>
    <row r="2282" spans="1:101" x14ac:dyDescent="0.25">
      <c r="A2282" s="1" t="s">
        <v>163</v>
      </c>
      <c r="B2282" s="75" t="s">
        <v>164</v>
      </c>
      <c r="C2282">
        <v>0</v>
      </c>
      <c r="D2282">
        <v>0</v>
      </c>
      <c r="E2282">
        <v>0</v>
      </c>
      <c r="F2282">
        <v>604324.56000000006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3.91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7490</v>
      </c>
      <c r="AW2282">
        <v>3350</v>
      </c>
      <c r="AX2282">
        <v>1219</v>
      </c>
      <c r="AY2282">
        <v>12059</v>
      </c>
      <c r="AZ2282">
        <v>4202</v>
      </c>
      <c r="BA2282">
        <v>7438</v>
      </c>
      <c r="BB2282">
        <v>1432</v>
      </c>
      <c r="BC2282">
        <v>13072</v>
      </c>
      <c r="BD2282">
        <v>9486</v>
      </c>
      <c r="BE2282">
        <v>9222</v>
      </c>
      <c r="BF2282">
        <v>1768</v>
      </c>
      <c r="BG2282">
        <v>20476</v>
      </c>
      <c r="BH2282">
        <v>0</v>
      </c>
      <c r="BI2282">
        <v>0</v>
      </c>
      <c r="BJ2282">
        <v>0</v>
      </c>
      <c r="BK2282">
        <v>0</v>
      </c>
      <c r="BL2282" s="2">
        <v>24.82</v>
      </c>
      <c r="BM2282" s="2">
        <v>42005.095138888886</v>
      </c>
      <c r="BN2282" s="2">
        <v>5.4</v>
      </c>
      <c r="BO2282" s="2">
        <v>42005.092361111114</v>
      </c>
      <c r="BP2282" s="2">
        <v>6.92</v>
      </c>
      <c r="BQ2282" s="2">
        <v>42005.092361111114</v>
      </c>
      <c r="BR2282" s="2">
        <v>11.07</v>
      </c>
      <c r="BS2282" s="2">
        <v>42005.092361111114</v>
      </c>
      <c r="BT2282">
        <v>0</v>
      </c>
      <c r="BU2282">
        <v>0</v>
      </c>
      <c r="BV2282" t="s">
        <v>135</v>
      </c>
      <c r="BW2282">
        <v>0</v>
      </c>
      <c r="BX2282">
        <v>0</v>
      </c>
      <c r="BY2282" t="s">
        <v>135</v>
      </c>
      <c r="BZ2282">
        <v>0</v>
      </c>
      <c r="CA2282">
        <v>0</v>
      </c>
      <c r="CB2282" t="s">
        <v>135</v>
      </c>
      <c r="CH2282" s="2"/>
      <c r="CJ2282" s="2"/>
      <c r="CL2282" s="2"/>
      <c r="CN2282" s="2"/>
      <c r="CQ2282" s="2"/>
      <c r="CT2282" s="2"/>
      <c r="CW2282" s="2"/>
    </row>
    <row r="2283" spans="1:101" x14ac:dyDescent="0.25">
      <c r="A2283" s="1" t="s">
        <v>163</v>
      </c>
      <c r="B2283" s="75" t="s">
        <v>164</v>
      </c>
      <c r="C2283">
        <v>0</v>
      </c>
      <c r="D2283">
        <v>0</v>
      </c>
      <c r="E2283">
        <v>0</v>
      </c>
      <c r="F2283">
        <v>604324.56000000006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3.91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7490</v>
      </c>
      <c r="AW2283">
        <v>3350</v>
      </c>
      <c r="AX2283">
        <v>1219</v>
      </c>
      <c r="AY2283">
        <v>12059</v>
      </c>
      <c r="AZ2283">
        <v>4202</v>
      </c>
      <c r="BA2283">
        <v>7438</v>
      </c>
      <c r="BB2283">
        <v>1432</v>
      </c>
      <c r="BC2283">
        <v>13072</v>
      </c>
      <c r="BD2283">
        <v>9486</v>
      </c>
      <c r="BE2283">
        <v>9222</v>
      </c>
      <c r="BF2283">
        <v>1768</v>
      </c>
      <c r="BG2283">
        <v>20476</v>
      </c>
      <c r="BH2283">
        <v>0</v>
      </c>
      <c r="BI2283">
        <v>0</v>
      </c>
      <c r="BJ2283">
        <v>0</v>
      </c>
      <c r="BK2283">
        <v>0</v>
      </c>
      <c r="BL2283" s="2">
        <v>24.82</v>
      </c>
      <c r="BM2283" s="2">
        <v>42005.095138888886</v>
      </c>
      <c r="BN2283" s="2">
        <v>5.4</v>
      </c>
      <c r="BO2283" s="2">
        <v>42005.092361111114</v>
      </c>
      <c r="BP2283" s="2">
        <v>6.92</v>
      </c>
      <c r="BQ2283" s="2">
        <v>42005.092361111114</v>
      </c>
      <c r="BR2283" s="2">
        <v>11.07</v>
      </c>
      <c r="BS2283" s="2">
        <v>42005.092361111114</v>
      </c>
      <c r="BT2283">
        <v>0</v>
      </c>
      <c r="BU2283">
        <v>0</v>
      </c>
      <c r="BV2283" t="s">
        <v>135</v>
      </c>
      <c r="BW2283">
        <v>0</v>
      </c>
      <c r="BX2283">
        <v>0</v>
      </c>
      <c r="BY2283" t="s">
        <v>135</v>
      </c>
      <c r="BZ2283">
        <v>0</v>
      </c>
      <c r="CA2283">
        <v>0</v>
      </c>
      <c r="CB2283" t="s">
        <v>135</v>
      </c>
      <c r="CH2283" s="2"/>
      <c r="CJ2283" s="2"/>
      <c r="CL2283" s="2"/>
      <c r="CN2283" s="2"/>
      <c r="CQ2283" s="2"/>
      <c r="CT2283" s="2"/>
      <c r="CW2283" s="2"/>
    </row>
    <row r="2284" spans="1:101" x14ac:dyDescent="0.25">
      <c r="A2284" s="1" t="s">
        <v>163</v>
      </c>
      <c r="B2284" s="75" t="s">
        <v>164</v>
      </c>
      <c r="C2284">
        <v>0</v>
      </c>
      <c r="D2284">
        <v>0</v>
      </c>
      <c r="E2284">
        <v>0</v>
      </c>
      <c r="F2284">
        <v>604324.56000000006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3.91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7490</v>
      </c>
      <c r="AW2284">
        <v>3350</v>
      </c>
      <c r="AX2284">
        <v>1219</v>
      </c>
      <c r="AY2284">
        <v>12059</v>
      </c>
      <c r="AZ2284">
        <v>4202</v>
      </c>
      <c r="BA2284">
        <v>7438</v>
      </c>
      <c r="BB2284">
        <v>1432</v>
      </c>
      <c r="BC2284">
        <v>13072</v>
      </c>
      <c r="BD2284">
        <v>9486</v>
      </c>
      <c r="BE2284">
        <v>9222</v>
      </c>
      <c r="BF2284">
        <v>1768</v>
      </c>
      <c r="BG2284">
        <v>20476</v>
      </c>
      <c r="BH2284">
        <v>0</v>
      </c>
      <c r="BI2284">
        <v>0</v>
      </c>
      <c r="BJ2284">
        <v>0</v>
      </c>
      <c r="BK2284">
        <v>0</v>
      </c>
      <c r="BL2284" s="2">
        <v>24.82</v>
      </c>
      <c r="BM2284" s="2">
        <v>42005.095138888886</v>
      </c>
      <c r="BN2284" s="2">
        <v>5.4</v>
      </c>
      <c r="BO2284" s="2">
        <v>42005.092361111114</v>
      </c>
      <c r="BP2284" s="2">
        <v>6.92</v>
      </c>
      <c r="BQ2284" s="2">
        <v>42005.092361111114</v>
      </c>
      <c r="BR2284" s="2">
        <v>11.07</v>
      </c>
      <c r="BS2284" s="2">
        <v>42005.092361111114</v>
      </c>
      <c r="BT2284">
        <v>0</v>
      </c>
      <c r="BU2284">
        <v>0</v>
      </c>
      <c r="BV2284" t="s">
        <v>135</v>
      </c>
      <c r="BW2284">
        <v>0</v>
      </c>
      <c r="BX2284">
        <v>0</v>
      </c>
      <c r="BY2284" t="s">
        <v>135</v>
      </c>
      <c r="BZ2284">
        <v>0</v>
      </c>
      <c r="CA2284">
        <v>0</v>
      </c>
      <c r="CB2284" t="s">
        <v>135</v>
      </c>
      <c r="CH2284" s="2"/>
      <c r="CJ2284" s="2"/>
      <c r="CL2284" s="2"/>
      <c r="CN2284" s="2"/>
      <c r="CQ2284" s="2"/>
      <c r="CT2284" s="2"/>
      <c r="CW2284" s="2"/>
    </row>
    <row r="2285" spans="1:101" x14ac:dyDescent="0.25">
      <c r="A2285" s="1" t="s">
        <v>163</v>
      </c>
      <c r="B2285" s="75" t="s">
        <v>164</v>
      </c>
      <c r="C2285">
        <v>0</v>
      </c>
      <c r="D2285">
        <v>0</v>
      </c>
      <c r="E2285">
        <v>0</v>
      </c>
      <c r="F2285">
        <v>604324.56000000006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3.91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7490</v>
      </c>
      <c r="AW2285">
        <v>3350</v>
      </c>
      <c r="AX2285">
        <v>1219</v>
      </c>
      <c r="AY2285">
        <v>12059</v>
      </c>
      <c r="AZ2285">
        <v>4202</v>
      </c>
      <c r="BA2285">
        <v>7438</v>
      </c>
      <c r="BB2285">
        <v>1432</v>
      </c>
      <c r="BC2285">
        <v>13072</v>
      </c>
      <c r="BD2285">
        <v>9486</v>
      </c>
      <c r="BE2285">
        <v>9222</v>
      </c>
      <c r="BF2285">
        <v>1768</v>
      </c>
      <c r="BG2285">
        <v>20476</v>
      </c>
      <c r="BH2285">
        <v>0</v>
      </c>
      <c r="BI2285">
        <v>0</v>
      </c>
      <c r="BJ2285">
        <v>0</v>
      </c>
      <c r="BK2285">
        <v>0</v>
      </c>
      <c r="BL2285" s="2">
        <v>24.82</v>
      </c>
      <c r="BM2285" s="2">
        <v>42005.095138888886</v>
      </c>
      <c r="BN2285" s="2">
        <v>5.4</v>
      </c>
      <c r="BO2285" s="2">
        <v>42005.092361111114</v>
      </c>
      <c r="BP2285" s="2">
        <v>6.92</v>
      </c>
      <c r="BQ2285" s="2">
        <v>42005.092361111114</v>
      </c>
      <c r="BR2285" s="2">
        <v>11.07</v>
      </c>
      <c r="BS2285" s="2">
        <v>42005.092361111114</v>
      </c>
      <c r="BT2285">
        <v>0</v>
      </c>
      <c r="BU2285">
        <v>0</v>
      </c>
      <c r="BV2285" t="s">
        <v>135</v>
      </c>
      <c r="BW2285">
        <v>0</v>
      </c>
      <c r="BX2285">
        <v>0</v>
      </c>
      <c r="BY2285" t="s">
        <v>135</v>
      </c>
      <c r="BZ2285">
        <v>0</v>
      </c>
      <c r="CA2285">
        <v>0</v>
      </c>
      <c r="CB2285" t="s">
        <v>135</v>
      </c>
      <c r="CH2285" s="2"/>
      <c r="CJ2285" s="2"/>
      <c r="CL2285" s="2"/>
      <c r="CN2285" s="2"/>
      <c r="CQ2285" s="2"/>
      <c r="CT2285" s="2"/>
      <c r="CW2285" s="2"/>
    </row>
    <row r="2286" spans="1:101" x14ac:dyDescent="0.25">
      <c r="A2286" s="1" t="s">
        <v>163</v>
      </c>
      <c r="B2286" s="75" t="s">
        <v>164</v>
      </c>
      <c r="C2286">
        <v>0</v>
      </c>
      <c r="D2286">
        <v>0</v>
      </c>
      <c r="E2286">
        <v>0</v>
      </c>
      <c r="F2286">
        <v>604324.56000000006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3.91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7490</v>
      </c>
      <c r="AW2286">
        <v>3350</v>
      </c>
      <c r="AX2286">
        <v>1219</v>
      </c>
      <c r="AY2286">
        <v>12059</v>
      </c>
      <c r="AZ2286">
        <v>4202</v>
      </c>
      <c r="BA2286">
        <v>7438</v>
      </c>
      <c r="BB2286">
        <v>1432</v>
      </c>
      <c r="BC2286">
        <v>13072</v>
      </c>
      <c r="BD2286">
        <v>9486</v>
      </c>
      <c r="BE2286">
        <v>9222</v>
      </c>
      <c r="BF2286">
        <v>1768</v>
      </c>
      <c r="BG2286">
        <v>20476</v>
      </c>
      <c r="BH2286">
        <v>0</v>
      </c>
      <c r="BI2286">
        <v>0</v>
      </c>
      <c r="BJ2286">
        <v>0</v>
      </c>
      <c r="BK2286">
        <v>0</v>
      </c>
      <c r="BL2286" s="2">
        <v>24.82</v>
      </c>
      <c r="BM2286" s="2">
        <v>42005.095138888886</v>
      </c>
      <c r="BN2286" s="2">
        <v>5.4</v>
      </c>
      <c r="BO2286" s="2">
        <v>42005.092361111114</v>
      </c>
      <c r="BP2286" s="2">
        <v>6.92</v>
      </c>
      <c r="BQ2286" s="2">
        <v>42005.092361111114</v>
      </c>
      <c r="BR2286" s="2">
        <v>11.07</v>
      </c>
      <c r="BS2286" s="2">
        <v>42005.092361111114</v>
      </c>
      <c r="BT2286">
        <v>0</v>
      </c>
      <c r="BU2286">
        <v>0</v>
      </c>
      <c r="BV2286" t="s">
        <v>135</v>
      </c>
      <c r="BW2286">
        <v>0</v>
      </c>
      <c r="BX2286">
        <v>0</v>
      </c>
      <c r="BY2286" t="s">
        <v>135</v>
      </c>
      <c r="BZ2286">
        <v>0</v>
      </c>
      <c r="CA2286">
        <v>0</v>
      </c>
      <c r="CB2286" t="s">
        <v>135</v>
      </c>
      <c r="CH2286" s="2"/>
      <c r="CJ2286" s="2"/>
      <c r="CL2286" s="2"/>
      <c r="CN2286" s="2"/>
      <c r="CQ2286" s="2"/>
      <c r="CT2286" s="2"/>
      <c r="CW2286" s="2"/>
    </row>
    <row r="2287" spans="1:101" x14ac:dyDescent="0.25">
      <c r="A2287" s="1" t="s">
        <v>163</v>
      </c>
      <c r="B2287" s="75" t="s">
        <v>164</v>
      </c>
      <c r="C2287">
        <v>0</v>
      </c>
      <c r="D2287">
        <v>0</v>
      </c>
      <c r="E2287">
        <v>0</v>
      </c>
      <c r="F2287">
        <v>604324.56000000006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3.91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7490</v>
      </c>
      <c r="AW2287">
        <v>3350</v>
      </c>
      <c r="AX2287">
        <v>1219</v>
      </c>
      <c r="AY2287">
        <v>12059</v>
      </c>
      <c r="AZ2287">
        <v>4202</v>
      </c>
      <c r="BA2287">
        <v>7438</v>
      </c>
      <c r="BB2287">
        <v>1432</v>
      </c>
      <c r="BC2287">
        <v>13072</v>
      </c>
      <c r="BD2287">
        <v>9486</v>
      </c>
      <c r="BE2287">
        <v>9222</v>
      </c>
      <c r="BF2287">
        <v>1768</v>
      </c>
      <c r="BG2287">
        <v>20476</v>
      </c>
      <c r="BH2287">
        <v>0</v>
      </c>
      <c r="BI2287">
        <v>0</v>
      </c>
      <c r="BJ2287">
        <v>0</v>
      </c>
      <c r="BK2287">
        <v>0</v>
      </c>
      <c r="BL2287" s="2">
        <v>24.82</v>
      </c>
      <c r="BM2287" s="2">
        <v>42005.095138888886</v>
      </c>
      <c r="BN2287" s="2">
        <v>5.4</v>
      </c>
      <c r="BO2287" s="2">
        <v>42005.092361111114</v>
      </c>
      <c r="BP2287" s="2">
        <v>6.92</v>
      </c>
      <c r="BQ2287" s="2">
        <v>42005.092361111114</v>
      </c>
      <c r="BR2287" s="2">
        <v>11.07</v>
      </c>
      <c r="BS2287" s="2">
        <v>42005.092361111114</v>
      </c>
      <c r="BT2287">
        <v>0</v>
      </c>
      <c r="BU2287">
        <v>0</v>
      </c>
      <c r="BV2287" t="s">
        <v>135</v>
      </c>
      <c r="BW2287">
        <v>0</v>
      </c>
      <c r="BX2287">
        <v>0</v>
      </c>
      <c r="BY2287" t="s">
        <v>135</v>
      </c>
      <c r="BZ2287">
        <v>0</v>
      </c>
      <c r="CA2287">
        <v>0</v>
      </c>
      <c r="CB2287" t="s">
        <v>135</v>
      </c>
      <c r="CH2287" s="2"/>
      <c r="CJ2287" s="2"/>
      <c r="CL2287" s="2"/>
      <c r="CN2287" s="2"/>
      <c r="CQ2287" s="2"/>
      <c r="CT2287" s="2"/>
      <c r="CW2287" s="2"/>
    </row>
    <row r="2288" spans="1:101" x14ac:dyDescent="0.25">
      <c r="A2288" s="1" t="s">
        <v>163</v>
      </c>
      <c r="B2288" s="75" t="s">
        <v>164</v>
      </c>
      <c r="C2288">
        <v>0</v>
      </c>
      <c r="D2288">
        <v>0</v>
      </c>
      <c r="E2288">
        <v>0</v>
      </c>
      <c r="F2288">
        <v>604324.56000000006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3.91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7490</v>
      </c>
      <c r="AW2288">
        <v>3350</v>
      </c>
      <c r="AX2288">
        <v>1219</v>
      </c>
      <c r="AY2288">
        <v>12059</v>
      </c>
      <c r="AZ2288">
        <v>4202</v>
      </c>
      <c r="BA2288">
        <v>7438</v>
      </c>
      <c r="BB2288">
        <v>1432</v>
      </c>
      <c r="BC2288">
        <v>13072</v>
      </c>
      <c r="BD2288">
        <v>9486</v>
      </c>
      <c r="BE2288">
        <v>9222</v>
      </c>
      <c r="BF2288">
        <v>1768</v>
      </c>
      <c r="BG2288">
        <v>20476</v>
      </c>
      <c r="BH2288">
        <v>0</v>
      </c>
      <c r="BI2288">
        <v>0</v>
      </c>
      <c r="BJ2288">
        <v>0</v>
      </c>
      <c r="BK2288">
        <v>0</v>
      </c>
      <c r="BL2288" s="2">
        <v>24.82</v>
      </c>
      <c r="BM2288" s="2">
        <v>42005.095138888886</v>
      </c>
      <c r="BN2288" s="2">
        <v>5.4</v>
      </c>
      <c r="BO2288" s="2">
        <v>42005.092361111114</v>
      </c>
      <c r="BP2288" s="2">
        <v>6.92</v>
      </c>
      <c r="BQ2288" s="2">
        <v>42005.092361111114</v>
      </c>
      <c r="BR2288" s="2">
        <v>11.07</v>
      </c>
      <c r="BS2288" s="2">
        <v>42005.092361111114</v>
      </c>
      <c r="BT2288">
        <v>0</v>
      </c>
      <c r="BU2288">
        <v>0</v>
      </c>
      <c r="BV2288" t="s">
        <v>135</v>
      </c>
      <c r="BW2288">
        <v>0</v>
      </c>
      <c r="BX2288">
        <v>0</v>
      </c>
      <c r="BY2288" t="s">
        <v>135</v>
      </c>
      <c r="BZ2288">
        <v>0</v>
      </c>
      <c r="CA2288">
        <v>0</v>
      </c>
      <c r="CB2288" t="s">
        <v>135</v>
      </c>
      <c r="CH2288" s="2"/>
      <c r="CJ2288" s="2"/>
      <c r="CL2288" s="2"/>
      <c r="CN2288" s="2"/>
      <c r="CQ2288" s="2"/>
      <c r="CT2288" s="2"/>
      <c r="CW2288" s="2"/>
    </row>
    <row r="2289" spans="1:101" x14ac:dyDescent="0.25">
      <c r="A2289" s="1" t="s">
        <v>163</v>
      </c>
      <c r="B2289" s="75" t="s">
        <v>164</v>
      </c>
      <c r="C2289">
        <v>0</v>
      </c>
      <c r="D2289">
        <v>0</v>
      </c>
      <c r="E2289">
        <v>0</v>
      </c>
      <c r="F2289">
        <v>604324.56000000006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3.91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7490</v>
      </c>
      <c r="AW2289">
        <v>3350</v>
      </c>
      <c r="AX2289">
        <v>1219</v>
      </c>
      <c r="AY2289">
        <v>12059</v>
      </c>
      <c r="AZ2289">
        <v>4202</v>
      </c>
      <c r="BA2289">
        <v>7438</v>
      </c>
      <c r="BB2289">
        <v>1432</v>
      </c>
      <c r="BC2289">
        <v>13072</v>
      </c>
      <c r="BD2289">
        <v>9486</v>
      </c>
      <c r="BE2289">
        <v>9222</v>
      </c>
      <c r="BF2289">
        <v>1768</v>
      </c>
      <c r="BG2289">
        <v>20476</v>
      </c>
      <c r="BH2289">
        <v>0</v>
      </c>
      <c r="BI2289">
        <v>0</v>
      </c>
      <c r="BJ2289">
        <v>0</v>
      </c>
      <c r="BK2289">
        <v>0</v>
      </c>
      <c r="BL2289" s="2">
        <v>24.82</v>
      </c>
      <c r="BM2289" s="2">
        <v>42005.095138888886</v>
      </c>
      <c r="BN2289" s="2">
        <v>5.4</v>
      </c>
      <c r="BO2289" s="2">
        <v>42005.092361111114</v>
      </c>
      <c r="BP2289" s="2">
        <v>6.92</v>
      </c>
      <c r="BQ2289" s="2">
        <v>42005.092361111114</v>
      </c>
      <c r="BR2289" s="2">
        <v>11.07</v>
      </c>
      <c r="BS2289" s="2">
        <v>42005.092361111114</v>
      </c>
      <c r="BT2289">
        <v>0</v>
      </c>
      <c r="BU2289">
        <v>0</v>
      </c>
      <c r="BV2289" t="s">
        <v>135</v>
      </c>
      <c r="BW2289">
        <v>0</v>
      </c>
      <c r="BX2289">
        <v>0</v>
      </c>
      <c r="BY2289" t="s">
        <v>135</v>
      </c>
      <c r="BZ2289">
        <v>0</v>
      </c>
      <c r="CA2289">
        <v>0</v>
      </c>
      <c r="CB2289" t="s">
        <v>135</v>
      </c>
      <c r="CH2289" s="2"/>
      <c r="CJ2289" s="2"/>
      <c r="CL2289" s="2"/>
      <c r="CN2289" s="2"/>
      <c r="CQ2289" s="2"/>
      <c r="CT2289" s="2"/>
      <c r="CW2289" s="2"/>
    </row>
    <row r="2290" spans="1:101" x14ac:dyDescent="0.25">
      <c r="A2290" s="1" t="s">
        <v>163</v>
      </c>
      <c r="B2290" s="75" t="s">
        <v>164</v>
      </c>
      <c r="C2290">
        <v>0</v>
      </c>
      <c r="D2290">
        <v>0</v>
      </c>
      <c r="E2290">
        <v>0</v>
      </c>
      <c r="F2290">
        <v>604324.56000000006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3.91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7490</v>
      </c>
      <c r="AW2290">
        <v>3350</v>
      </c>
      <c r="AX2290">
        <v>1219</v>
      </c>
      <c r="AY2290">
        <v>12059</v>
      </c>
      <c r="AZ2290">
        <v>4202</v>
      </c>
      <c r="BA2290">
        <v>7438</v>
      </c>
      <c r="BB2290">
        <v>1432</v>
      </c>
      <c r="BC2290">
        <v>13072</v>
      </c>
      <c r="BD2290">
        <v>9486</v>
      </c>
      <c r="BE2290">
        <v>9222</v>
      </c>
      <c r="BF2290">
        <v>1768</v>
      </c>
      <c r="BG2290">
        <v>20476</v>
      </c>
      <c r="BH2290">
        <v>0</v>
      </c>
      <c r="BI2290">
        <v>0</v>
      </c>
      <c r="BJ2290">
        <v>0</v>
      </c>
      <c r="BK2290">
        <v>0</v>
      </c>
      <c r="BL2290" s="2">
        <v>24.82</v>
      </c>
      <c r="BM2290" s="2">
        <v>42005.095138888886</v>
      </c>
      <c r="BN2290" s="2">
        <v>5.4</v>
      </c>
      <c r="BO2290" s="2">
        <v>42005.092361111114</v>
      </c>
      <c r="BP2290" s="2">
        <v>6.92</v>
      </c>
      <c r="BQ2290" s="2">
        <v>42005.092361111114</v>
      </c>
      <c r="BR2290" s="2">
        <v>11.07</v>
      </c>
      <c r="BS2290" s="2">
        <v>42005.092361111114</v>
      </c>
      <c r="BT2290">
        <v>0</v>
      </c>
      <c r="BU2290">
        <v>0</v>
      </c>
      <c r="BV2290" t="s">
        <v>135</v>
      </c>
      <c r="BW2290">
        <v>0</v>
      </c>
      <c r="BX2290">
        <v>0</v>
      </c>
      <c r="BY2290" t="s">
        <v>135</v>
      </c>
      <c r="BZ2290">
        <v>0</v>
      </c>
      <c r="CA2290">
        <v>0</v>
      </c>
      <c r="CB2290" t="s">
        <v>135</v>
      </c>
      <c r="CH2290" s="2"/>
      <c r="CJ2290" s="2"/>
      <c r="CL2290" s="2"/>
      <c r="CN2290" s="2"/>
      <c r="CQ2290" s="2"/>
      <c r="CT2290" s="2"/>
      <c r="CW2290" s="2"/>
    </row>
    <row r="2291" spans="1:101" x14ac:dyDescent="0.25">
      <c r="A2291" s="1" t="s">
        <v>163</v>
      </c>
      <c r="B2291" s="75" t="s">
        <v>164</v>
      </c>
      <c r="C2291">
        <v>0</v>
      </c>
      <c r="D2291">
        <v>0</v>
      </c>
      <c r="E2291">
        <v>0</v>
      </c>
      <c r="F2291">
        <v>604324.56000000006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3.91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7490</v>
      </c>
      <c r="AW2291">
        <v>3350</v>
      </c>
      <c r="AX2291">
        <v>1219</v>
      </c>
      <c r="AY2291">
        <v>12059</v>
      </c>
      <c r="AZ2291">
        <v>4202</v>
      </c>
      <c r="BA2291">
        <v>7438</v>
      </c>
      <c r="BB2291">
        <v>1432</v>
      </c>
      <c r="BC2291">
        <v>13072</v>
      </c>
      <c r="BD2291">
        <v>9486</v>
      </c>
      <c r="BE2291">
        <v>9222</v>
      </c>
      <c r="BF2291">
        <v>1768</v>
      </c>
      <c r="BG2291">
        <v>20476</v>
      </c>
      <c r="BH2291">
        <v>0</v>
      </c>
      <c r="BI2291">
        <v>0</v>
      </c>
      <c r="BJ2291">
        <v>0</v>
      </c>
      <c r="BK2291">
        <v>0</v>
      </c>
      <c r="BL2291" s="2">
        <v>24.82</v>
      </c>
      <c r="BM2291" s="2">
        <v>42005.095138888886</v>
      </c>
      <c r="BN2291" s="2">
        <v>5.4</v>
      </c>
      <c r="BO2291" s="2">
        <v>42005.092361111114</v>
      </c>
      <c r="BP2291" s="2">
        <v>6.92</v>
      </c>
      <c r="BQ2291" s="2">
        <v>42005.092361111114</v>
      </c>
      <c r="BR2291" s="2">
        <v>11.07</v>
      </c>
      <c r="BS2291" s="2">
        <v>42005.092361111114</v>
      </c>
      <c r="BT2291">
        <v>0</v>
      </c>
      <c r="BU2291">
        <v>0</v>
      </c>
      <c r="BV2291" t="s">
        <v>135</v>
      </c>
      <c r="BW2291">
        <v>0</v>
      </c>
      <c r="BX2291">
        <v>0</v>
      </c>
      <c r="BY2291" t="s">
        <v>135</v>
      </c>
      <c r="BZ2291">
        <v>0</v>
      </c>
      <c r="CA2291">
        <v>0</v>
      </c>
      <c r="CB2291" t="s">
        <v>135</v>
      </c>
      <c r="CH2291" s="2"/>
      <c r="CJ2291" s="2"/>
      <c r="CL2291" s="2"/>
      <c r="CN2291" s="2"/>
      <c r="CQ2291" s="2"/>
      <c r="CT2291" s="2"/>
      <c r="CW2291" s="2"/>
    </row>
    <row r="2292" spans="1:101" x14ac:dyDescent="0.25">
      <c r="A2292" s="1" t="s">
        <v>163</v>
      </c>
      <c r="B2292" s="75" t="s">
        <v>164</v>
      </c>
      <c r="C2292">
        <v>0</v>
      </c>
      <c r="D2292">
        <v>0</v>
      </c>
      <c r="E2292">
        <v>0</v>
      </c>
      <c r="F2292">
        <v>604324.56000000006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3.91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7490</v>
      </c>
      <c r="AW2292">
        <v>3350</v>
      </c>
      <c r="AX2292">
        <v>1219</v>
      </c>
      <c r="AY2292">
        <v>12059</v>
      </c>
      <c r="AZ2292">
        <v>4202</v>
      </c>
      <c r="BA2292">
        <v>7438</v>
      </c>
      <c r="BB2292">
        <v>1432</v>
      </c>
      <c r="BC2292">
        <v>13072</v>
      </c>
      <c r="BD2292">
        <v>9486</v>
      </c>
      <c r="BE2292">
        <v>9222</v>
      </c>
      <c r="BF2292">
        <v>1768</v>
      </c>
      <c r="BG2292">
        <v>20476</v>
      </c>
      <c r="BH2292">
        <v>0</v>
      </c>
      <c r="BI2292">
        <v>0</v>
      </c>
      <c r="BJ2292">
        <v>0</v>
      </c>
      <c r="BK2292">
        <v>0</v>
      </c>
      <c r="BL2292" s="2">
        <v>24.82</v>
      </c>
      <c r="BM2292" s="2">
        <v>42005.095138888886</v>
      </c>
      <c r="BN2292" s="2">
        <v>5.4</v>
      </c>
      <c r="BO2292" s="2">
        <v>42005.092361111114</v>
      </c>
      <c r="BP2292" s="2">
        <v>6.92</v>
      </c>
      <c r="BQ2292" s="2">
        <v>42005.092361111114</v>
      </c>
      <c r="BR2292" s="2">
        <v>11.07</v>
      </c>
      <c r="BS2292" s="2">
        <v>42005.092361111114</v>
      </c>
      <c r="BT2292">
        <v>0</v>
      </c>
      <c r="BU2292">
        <v>0</v>
      </c>
      <c r="BV2292" t="s">
        <v>135</v>
      </c>
      <c r="BW2292">
        <v>0</v>
      </c>
      <c r="BX2292">
        <v>0</v>
      </c>
      <c r="BY2292" t="s">
        <v>135</v>
      </c>
      <c r="BZ2292">
        <v>0</v>
      </c>
      <c r="CA2292">
        <v>0</v>
      </c>
      <c r="CB2292" t="s">
        <v>135</v>
      </c>
      <c r="CH2292" s="2"/>
      <c r="CJ2292" s="2"/>
      <c r="CL2292" s="2"/>
      <c r="CN2292" s="2"/>
      <c r="CQ2292" s="2"/>
      <c r="CT2292" s="2"/>
      <c r="CW2292" s="2"/>
    </row>
    <row r="2293" spans="1:101" x14ac:dyDescent="0.25">
      <c r="A2293" s="1" t="s">
        <v>163</v>
      </c>
      <c r="B2293" s="75" t="s">
        <v>164</v>
      </c>
      <c r="C2293">
        <v>0</v>
      </c>
      <c r="D2293">
        <v>0</v>
      </c>
      <c r="E2293">
        <v>0</v>
      </c>
      <c r="F2293">
        <v>604324.56000000006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3.91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7490</v>
      </c>
      <c r="AW2293">
        <v>3350</v>
      </c>
      <c r="AX2293">
        <v>1219</v>
      </c>
      <c r="AY2293">
        <v>12059</v>
      </c>
      <c r="AZ2293">
        <v>4202</v>
      </c>
      <c r="BA2293">
        <v>7438</v>
      </c>
      <c r="BB2293">
        <v>1432</v>
      </c>
      <c r="BC2293">
        <v>13072</v>
      </c>
      <c r="BD2293">
        <v>9486</v>
      </c>
      <c r="BE2293">
        <v>9222</v>
      </c>
      <c r="BF2293">
        <v>1768</v>
      </c>
      <c r="BG2293">
        <v>20476</v>
      </c>
      <c r="BH2293">
        <v>0</v>
      </c>
      <c r="BI2293">
        <v>0</v>
      </c>
      <c r="BJ2293">
        <v>0</v>
      </c>
      <c r="BK2293">
        <v>0</v>
      </c>
      <c r="BL2293" s="2">
        <v>24.82</v>
      </c>
      <c r="BM2293" s="2">
        <v>42005.095138888886</v>
      </c>
      <c r="BN2293" s="2">
        <v>5.4</v>
      </c>
      <c r="BO2293" s="2">
        <v>42005.092361111114</v>
      </c>
      <c r="BP2293" s="2">
        <v>6.92</v>
      </c>
      <c r="BQ2293" s="2">
        <v>42005.092361111114</v>
      </c>
      <c r="BR2293" s="2">
        <v>11.07</v>
      </c>
      <c r="BS2293" s="2">
        <v>42005.092361111114</v>
      </c>
      <c r="BT2293">
        <v>0</v>
      </c>
      <c r="BU2293">
        <v>0</v>
      </c>
      <c r="BV2293" t="s">
        <v>135</v>
      </c>
      <c r="BW2293">
        <v>0</v>
      </c>
      <c r="BX2293">
        <v>0</v>
      </c>
      <c r="BY2293" t="s">
        <v>135</v>
      </c>
      <c r="BZ2293">
        <v>0</v>
      </c>
      <c r="CA2293">
        <v>0</v>
      </c>
      <c r="CB2293" t="s">
        <v>135</v>
      </c>
      <c r="CH2293" s="2"/>
      <c r="CJ2293" s="2"/>
      <c r="CL2293" s="2"/>
      <c r="CN2293" s="2"/>
      <c r="CQ2293" s="2"/>
      <c r="CT2293" s="2"/>
      <c r="CW2293" s="2"/>
    </row>
    <row r="2294" spans="1:101" x14ac:dyDescent="0.25">
      <c r="A2294" s="1" t="s">
        <v>163</v>
      </c>
      <c r="B2294" s="75" t="s">
        <v>164</v>
      </c>
      <c r="C2294">
        <v>0</v>
      </c>
      <c r="D2294">
        <v>0</v>
      </c>
      <c r="E2294">
        <v>0</v>
      </c>
      <c r="F2294">
        <v>604324.56000000006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3.91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7490</v>
      </c>
      <c r="AW2294">
        <v>3350</v>
      </c>
      <c r="AX2294">
        <v>1219</v>
      </c>
      <c r="AY2294">
        <v>12059</v>
      </c>
      <c r="AZ2294">
        <v>4202</v>
      </c>
      <c r="BA2294">
        <v>7438</v>
      </c>
      <c r="BB2294">
        <v>1432</v>
      </c>
      <c r="BC2294">
        <v>13072</v>
      </c>
      <c r="BD2294">
        <v>9486</v>
      </c>
      <c r="BE2294">
        <v>9222</v>
      </c>
      <c r="BF2294">
        <v>1768</v>
      </c>
      <c r="BG2294">
        <v>20476</v>
      </c>
      <c r="BH2294">
        <v>0</v>
      </c>
      <c r="BI2294">
        <v>0</v>
      </c>
      <c r="BJ2294">
        <v>0</v>
      </c>
      <c r="BK2294">
        <v>0</v>
      </c>
      <c r="BL2294" s="2">
        <v>24.82</v>
      </c>
      <c r="BM2294" s="2">
        <v>42005.095138888886</v>
      </c>
      <c r="BN2294" s="2">
        <v>5.4</v>
      </c>
      <c r="BO2294" s="2">
        <v>42005.092361111114</v>
      </c>
      <c r="BP2294" s="2">
        <v>6.92</v>
      </c>
      <c r="BQ2294" s="2">
        <v>42005.092361111114</v>
      </c>
      <c r="BR2294" s="2">
        <v>11.07</v>
      </c>
      <c r="BS2294" s="2">
        <v>42005.092361111114</v>
      </c>
      <c r="BT2294">
        <v>0</v>
      </c>
      <c r="BU2294">
        <v>0</v>
      </c>
      <c r="BV2294" t="s">
        <v>135</v>
      </c>
      <c r="BW2294">
        <v>0</v>
      </c>
      <c r="BX2294">
        <v>0</v>
      </c>
      <c r="BY2294" t="s">
        <v>135</v>
      </c>
      <c r="BZ2294">
        <v>0</v>
      </c>
      <c r="CA2294">
        <v>0</v>
      </c>
      <c r="CB2294" t="s">
        <v>135</v>
      </c>
      <c r="CH2294" s="2"/>
      <c r="CJ2294" s="2"/>
      <c r="CL2294" s="2"/>
      <c r="CN2294" s="2"/>
      <c r="CQ2294" s="2"/>
      <c r="CT2294" s="2"/>
      <c r="CW2294" s="2"/>
    </row>
    <row r="2295" spans="1:101" x14ac:dyDescent="0.25">
      <c r="A2295" s="1" t="s">
        <v>163</v>
      </c>
      <c r="B2295" s="75" t="s">
        <v>164</v>
      </c>
      <c r="C2295">
        <v>0</v>
      </c>
      <c r="D2295">
        <v>0</v>
      </c>
      <c r="E2295">
        <v>0</v>
      </c>
      <c r="F2295">
        <v>604324.56000000006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3.91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7490</v>
      </c>
      <c r="AW2295">
        <v>3350</v>
      </c>
      <c r="AX2295">
        <v>1219</v>
      </c>
      <c r="AY2295">
        <v>12059</v>
      </c>
      <c r="AZ2295">
        <v>4202</v>
      </c>
      <c r="BA2295">
        <v>7438</v>
      </c>
      <c r="BB2295">
        <v>1432</v>
      </c>
      <c r="BC2295">
        <v>13072</v>
      </c>
      <c r="BD2295">
        <v>9486</v>
      </c>
      <c r="BE2295">
        <v>9222</v>
      </c>
      <c r="BF2295">
        <v>1768</v>
      </c>
      <c r="BG2295">
        <v>20476</v>
      </c>
      <c r="BH2295">
        <v>0</v>
      </c>
      <c r="BI2295">
        <v>0</v>
      </c>
      <c r="BJ2295">
        <v>0</v>
      </c>
      <c r="BK2295">
        <v>0</v>
      </c>
      <c r="BL2295" s="2">
        <v>24.82</v>
      </c>
      <c r="BM2295" s="2">
        <v>42005.095138888886</v>
      </c>
      <c r="BN2295" s="2">
        <v>5.4</v>
      </c>
      <c r="BO2295" s="2">
        <v>42005.092361111114</v>
      </c>
      <c r="BP2295" s="2">
        <v>6.92</v>
      </c>
      <c r="BQ2295" s="2">
        <v>42005.092361111114</v>
      </c>
      <c r="BR2295" s="2">
        <v>11.07</v>
      </c>
      <c r="BS2295" s="2">
        <v>42005.092361111114</v>
      </c>
      <c r="BT2295">
        <v>0</v>
      </c>
      <c r="BU2295">
        <v>0</v>
      </c>
      <c r="BV2295" t="s">
        <v>135</v>
      </c>
      <c r="BW2295">
        <v>0</v>
      </c>
      <c r="BX2295">
        <v>0</v>
      </c>
      <c r="BY2295" t="s">
        <v>135</v>
      </c>
      <c r="BZ2295">
        <v>0</v>
      </c>
      <c r="CA2295">
        <v>0</v>
      </c>
      <c r="CB2295" t="s">
        <v>135</v>
      </c>
      <c r="CH2295" s="2"/>
      <c r="CJ2295" s="2"/>
      <c r="CL2295" s="2"/>
      <c r="CN2295" s="2"/>
      <c r="CQ2295" s="2"/>
      <c r="CT2295" s="2"/>
      <c r="CW2295" s="2"/>
    </row>
    <row r="2296" spans="1:101" x14ac:dyDescent="0.25">
      <c r="A2296" s="1" t="s">
        <v>163</v>
      </c>
      <c r="B2296" s="75" t="s">
        <v>164</v>
      </c>
      <c r="C2296">
        <v>0</v>
      </c>
      <c r="D2296">
        <v>0</v>
      </c>
      <c r="E2296">
        <v>0</v>
      </c>
      <c r="F2296">
        <v>604324.56000000006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3.91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7490</v>
      </c>
      <c r="AW2296">
        <v>3350</v>
      </c>
      <c r="AX2296">
        <v>1219</v>
      </c>
      <c r="AY2296">
        <v>12059</v>
      </c>
      <c r="AZ2296">
        <v>4202</v>
      </c>
      <c r="BA2296">
        <v>7438</v>
      </c>
      <c r="BB2296">
        <v>1432</v>
      </c>
      <c r="BC2296">
        <v>13072</v>
      </c>
      <c r="BD2296">
        <v>9486</v>
      </c>
      <c r="BE2296">
        <v>9222</v>
      </c>
      <c r="BF2296">
        <v>1768</v>
      </c>
      <c r="BG2296">
        <v>20476</v>
      </c>
      <c r="BH2296">
        <v>0</v>
      </c>
      <c r="BI2296">
        <v>0</v>
      </c>
      <c r="BJ2296">
        <v>0</v>
      </c>
      <c r="BK2296">
        <v>0</v>
      </c>
      <c r="BL2296" s="2">
        <v>24.82</v>
      </c>
      <c r="BM2296" s="2">
        <v>42005.095138888886</v>
      </c>
      <c r="BN2296" s="2">
        <v>5.4</v>
      </c>
      <c r="BO2296" s="2">
        <v>42005.092361111114</v>
      </c>
      <c r="BP2296" s="2">
        <v>6.92</v>
      </c>
      <c r="BQ2296" s="2">
        <v>42005.092361111114</v>
      </c>
      <c r="BR2296" s="2">
        <v>11.07</v>
      </c>
      <c r="BS2296" s="2">
        <v>42005.092361111114</v>
      </c>
      <c r="BT2296">
        <v>0</v>
      </c>
      <c r="BU2296">
        <v>0</v>
      </c>
      <c r="BV2296" t="s">
        <v>135</v>
      </c>
      <c r="BW2296">
        <v>0</v>
      </c>
      <c r="BX2296">
        <v>0</v>
      </c>
      <c r="BY2296" t="s">
        <v>135</v>
      </c>
      <c r="BZ2296">
        <v>0</v>
      </c>
      <c r="CA2296">
        <v>0</v>
      </c>
      <c r="CB2296" t="s">
        <v>135</v>
      </c>
      <c r="CH2296" s="2"/>
      <c r="CJ2296" s="2"/>
      <c r="CL2296" s="2"/>
      <c r="CN2296" s="2"/>
      <c r="CQ2296" s="2"/>
      <c r="CT2296" s="2"/>
      <c r="CW2296" s="2"/>
    </row>
    <row r="2297" spans="1:101" x14ac:dyDescent="0.25">
      <c r="A2297" s="1" t="s">
        <v>163</v>
      </c>
      <c r="B2297" s="75" t="s">
        <v>164</v>
      </c>
      <c r="C2297">
        <v>0</v>
      </c>
      <c r="D2297">
        <v>0</v>
      </c>
      <c r="E2297">
        <v>0</v>
      </c>
      <c r="F2297">
        <v>604324.56000000006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3.91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7490</v>
      </c>
      <c r="AW2297">
        <v>3350</v>
      </c>
      <c r="AX2297">
        <v>1219</v>
      </c>
      <c r="AY2297">
        <v>12059</v>
      </c>
      <c r="AZ2297">
        <v>4202</v>
      </c>
      <c r="BA2297">
        <v>7438</v>
      </c>
      <c r="BB2297">
        <v>1432</v>
      </c>
      <c r="BC2297">
        <v>13072</v>
      </c>
      <c r="BD2297">
        <v>9486</v>
      </c>
      <c r="BE2297">
        <v>9222</v>
      </c>
      <c r="BF2297">
        <v>1768</v>
      </c>
      <c r="BG2297">
        <v>20476</v>
      </c>
      <c r="BH2297">
        <v>0</v>
      </c>
      <c r="BI2297">
        <v>0</v>
      </c>
      <c r="BJ2297">
        <v>0</v>
      </c>
      <c r="BK2297">
        <v>0</v>
      </c>
      <c r="BL2297" s="2">
        <v>24.82</v>
      </c>
      <c r="BM2297" s="2">
        <v>42005.095138888886</v>
      </c>
      <c r="BN2297" s="2">
        <v>5.4</v>
      </c>
      <c r="BO2297" s="2">
        <v>42005.092361111114</v>
      </c>
      <c r="BP2297" s="2">
        <v>6.92</v>
      </c>
      <c r="BQ2297" s="2">
        <v>42005.092361111114</v>
      </c>
      <c r="BR2297" s="2">
        <v>11.07</v>
      </c>
      <c r="BS2297" s="2">
        <v>42005.092361111114</v>
      </c>
      <c r="BT2297">
        <v>0</v>
      </c>
      <c r="BU2297">
        <v>0</v>
      </c>
      <c r="BV2297" t="s">
        <v>135</v>
      </c>
      <c r="BW2297">
        <v>0</v>
      </c>
      <c r="BX2297">
        <v>0</v>
      </c>
      <c r="BY2297" t="s">
        <v>135</v>
      </c>
      <c r="BZ2297">
        <v>0</v>
      </c>
      <c r="CA2297">
        <v>0</v>
      </c>
      <c r="CB2297" t="s">
        <v>135</v>
      </c>
      <c r="CH2297" s="2"/>
      <c r="CJ2297" s="2"/>
      <c r="CL2297" s="2"/>
      <c r="CN2297" s="2"/>
      <c r="CQ2297" s="2"/>
      <c r="CT2297" s="2"/>
      <c r="CW2297" s="2"/>
    </row>
    <row r="2298" spans="1:101" x14ac:dyDescent="0.25">
      <c r="A2298" s="1" t="s">
        <v>163</v>
      </c>
      <c r="B2298" s="75" t="s">
        <v>164</v>
      </c>
      <c r="C2298">
        <v>0</v>
      </c>
      <c r="D2298">
        <v>0</v>
      </c>
      <c r="E2298">
        <v>0</v>
      </c>
      <c r="F2298">
        <v>604324.56000000006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3.91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7490</v>
      </c>
      <c r="AW2298">
        <v>3350</v>
      </c>
      <c r="AX2298">
        <v>1219</v>
      </c>
      <c r="AY2298">
        <v>12059</v>
      </c>
      <c r="AZ2298">
        <v>4202</v>
      </c>
      <c r="BA2298">
        <v>7438</v>
      </c>
      <c r="BB2298">
        <v>1432</v>
      </c>
      <c r="BC2298">
        <v>13072</v>
      </c>
      <c r="BD2298">
        <v>9486</v>
      </c>
      <c r="BE2298">
        <v>9222</v>
      </c>
      <c r="BF2298">
        <v>1768</v>
      </c>
      <c r="BG2298">
        <v>20476</v>
      </c>
      <c r="BH2298">
        <v>0</v>
      </c>
      <c r="BI2298">
        <v>0</v>
      </c>
      <c r="BJ2298">
        <v>0</v>
      </c>
      <c r="BK2298">
        <v>0</v>
      </c>
      <c r="BL2298" s="2">
        <v>24.82</v>
      </c>
      <c r="BM2298" s="2">
        <v>42005.095138888886</v>
      </c>
      <c r="BN2298" s="2">
        <v>5.4</v>
      </c>
      <c r="BO2298" s="2">
        <v>42005.092361111114</v>
      </c>
      <c r="BP2298" s="2">
        <v>6.92</v>
      </c>
      <c r="BQ2298" s="2">
        <v>42005.092361111114</v>
      </c>
      <c r="BR2298" s="2">
        <v>11.07</v>
      </c>
      <c r="BS2298" s="2">
        <v>42005.092361111114</v>
      </c>
      <c r="BT2298">
        <v>0</v>
      </c>
      <c r="BU2298">
        <v>0</v>
      </c>
      <c r="BV2298" t="s">
        <v>135</v>
      </c>
      <c r="BW2298">
        <v>0</v>
      </c>
      <c r="BX2298">
        <v>0</v>
      </c>
      <c r="BY2298" t="s">
        <v>135</v>
      </c>
      <c r="BZ2298">
        <v>0</v>
      </c>
      <c r="CA2298">
        <v>0</v>
      </c>
      <c r="CB2298" t="s">
        <v>135</v>
      </c>
      <c r="CH2298" s="2"/>
      <c r="CJ2298" s="2"/>
      <c r="CL2298" s="2"/>
      <c r="CN2298" s="2"/>
      <c r="CQ2298" s="2"/>
      <c r="CT2298" s="2"/>
      <c r="CW2298" s="2"/>
    </row>
    <row r="2299" spans="1:101" x14ac:dyDescent="0.25">
      <c r="A2299" s="1" t="s">
        <v>163</v>
      </c>
      <c r="B2299" s="75" t="s">
        <v>164</v>
      </c>
      <c r="C2299">
        <v>0</v>
      </c>
      <c r="D2299">
        <v>0</v>
      </c>
      <c r="E2299">
        <v>0</v>
      </c>
      <c r="F2299">
        <v>604324.56000000006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3.91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7490</v>
      </c>
      <c r="AW2299">
        <v>3350</v>
      </c>
      <c r="AX2299">
        <v>1219</v>
      </c>
      <c r="AY2299">
        <v>12059</v>
      </c>
      <c r="AZ2299">
        <v>4202</v>
      </c>
      <c r="BA2299">
        <v>7438</v>
      </c>
      <c r="BB2299">
        <v>1432</v>
      </c>
      <c r="BC2299">
        <v>13072</v>
      </c>
      <c r="BD2299">
        <v>9486</v>
      </c>
      <c r="BE2299">
        <v>9222</v>
      </c>
      <c r="BF2299">
        <v>1768</v>
      </c>
      <c r="BG2299">
        <v>20476</v>
      </c>
      <c r="BH2299">
        <v>0</v>
      </c>
      <c r="BI2299">
        <v>0</v>
      </c>
      <c r="BJ2299">
        <v>0</v>
      </c>
      <c r="BK2299">
        <v>0</v>
      </c>
      <c r="BL2299" s="2">
        <v>24.82</v>
      </c>
      <c r="BM2299" s="2">
        <v>42005.095138888886</v>
      </c>
      <c r="BN2299" s="2">
        <v>5.4</v>
      </c>
      <c r="BO2299" s="2">
        <v>42005.092361111114</v>
      </c>
      <c r="BP2299" s="2">
        <v>6.92</v>
      </c>
      <c r="BQ2299" s="2">
        <v>42005.092361111114</v>
      </c>
      <c r="BR2299" s="2">
        <v>11.07</v>
      </c>
      <c r="BS2299" s="2">
        <v>42005.092361111114</v>
      </c>
      <c r="BT2299">
        <v>0</v>
      </c>
      <c r="BU2299">
        <v>0</v>
      </c>
      <c r="BV2299" t="s">
        <v>135</v>
      </c>
      <c r="BW2299">
        <v>0</v>
      </c>
      <c r="BX2299">
        <v>0</v>
      </c>
      <c r="BY2299" t="s">
        <v>135</v>
      </c>
      <c r="BZ2299">
        <v>0</v>
      </c>
      <c r="CA2299">
        <v>0</v>
      </c>
      <c r="CB2299" t="s">
        <v>135</v>
      </c>
      <c r="CH2299" s="2"/>
      <c r="CJ2299" s="2"/>
      <c r="CL2299" s="2"/>
      <c r="CN2299" s="2"/>
      <c r="CQ2299" s="2"/>
      <c r="CT2299" s="2"/>
      <c r="CW2299" s="2"/>
    </row>
    <row r="2300" spans="1:101" x14ac:dyDescent="0.25">
      <c r="A2300" s="1" t="s">
        <v>163</v>
      </c>
      <c r="B2300" s="75" t="s">
        <v>164</v>
      </c>
      <c r="C2300">
        <v>0</v>
      </c>
      <c r="D2300">
        <v>0</v>
      </c>
      <c r="E2300">
        <v>0</v>
      </c>
      <c r="F2300">
        <v>604324.56000000006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3.91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7490</v>
      </c>
      <c r="AW2300">
        <v>3350</v>
      </c>
      <c r="AX2300">
        <v>1219</v>
      </c>
      <c r="AY2300">
        <v>12059</v>
      </c>
      <c r="AZ2300">
        <v>4202</v>
      </c>
      <c r="BA2300">
        <v>7438</v>
      </c>
      <c r="BB2300">
        <v>1432</v>
      </c>
      <c r="BC2300">
        <v>13072</v>
      </c>
      <c r="BD2300">
        <v>9486</v>
      </c>
      <c r="BE2300">
        <v>9222</v>
      </c>
      <c r="BF2300">
        <v>1768</v>
      </c>
      <c r="BG2300">
        <v>20476</v>
      </c>
      <c r="BH2300">
        <v>0</v>
      </c>
      <c r="BI2300">
        <v>0</v>
      </c>
      <c r="BJ2300">
        <v>0</v>
      </c>
      <c r="BK2300">
        <v>0</v>
      </c>
      <c r="BL2300" s="2">
        <v>24.82</v>
      </c>
      <c r="BM2300" s="2">
        <v>42005.095138888886</v>
      </c>
      <c r="BN2300" s="2">
        <v>5.4</v>
      </c>
      <c r="BO2300" s="2">
        <v>42005.092361111114</v>
      </c>
      <c r="BP2300" s="2">
        <v>6.92</v>
      </c>
      <c r="BQ2300" s="2">
        <v>42005.092361111114</v>
      </c>
      <c r="BR2300" s="2">
        <v>11.07</v>
      </c>
      <c r="BS2300" s="2">
        <v>42005.092361111114</v>
      </c>
      <c r="BT2300">
        <v>0</v>
      </c>
      <c r="BU2300">
        <v>0</v>
      </c>
      <c r="BV2300" t="s">
        <v>135</v>
      </c>
      <c r="BW2300">
        <v>0</v>
      </c>
      <c r="BX2300">
        <v>0</v>
      </c>
      <c r="BY2300" t="s">
        <v>135</v>
      </c>
      <c r="BZ2300">
        <v>0</v>
      </c>
      <c r="CA2300">
        <v>0</v>
      </c>
      <c r="CB2300" t="s">
        <v>135</v>
      </c>
      <c r="CH2300" s="2"/>
      <c r="CJ2300" s="2"/>
      <c r="CL2300" s="2"/>
      <c r="CN2300" s="2"/>
      <c r="CQ2300" s="2"/>
      <c r="CT2300" s="2"/>
      <c r="CW2300" s="2"/>
    </row>
    <row r="2301" spans="1:101" x14ac:dyDescent="0.25">
      <c r="A2301" s="1" t="s">
        <v>163</v>
      </c>
      <c r="B2301" s="75" t="s">
        <v>164</v>
      </c>
      <c r="C2301">
        <v>0</v>
      </c>
      <c r="D2301">
        <v>0</v>
      </c>
      <c r="E2301">
        <v>0</v>
      </c>
      <c r="F2301">
        <v>604324.56000000006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3.91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7490</v>
      </c>
      <c r="AW2301">
        <v>3350</v>
      </c>
      <c r="AX2301">
        <v>1219</v>
      </c>
      <c r="AY2301">
        <v>12059</v>
      </c>
      <c r="AZ2301">
        <v>4202</v>
      </c>
      <c r="BA2301">
        <v>7438</v>
      </c>
      <c r="BB2301">
        <v>1432</v>
      </c>
      <c r="BC2301">
        <v>13072</v>
      </c>
      <c r="BD2301">
        <v>9486</v>
      </c>
      <c r="BE2301">
        <v>9222</v>
      </c>
      <c r="BF2301">
        <v>1768</v>
      </c>
      <c r="BG2301">
        <v>20476</v>
      </c>
      <c r="BH2301">
        <v>0</v>
      </c>
      <c r="BI2301">
        <v>0</v>
      </c>
      <c r="BJ2301">
        <v>0</v>
      </c>
      <c r="BK2301">
        <v>0</v>
      </c>
      <c r="BL2301" s="2">
        <v>24.82</v>
      </c>
      <c r="BM2301" s="2">
        <v>42005.095138888886</v>
      </c>
      <c r="BN2301" s="2">
        <v>5.4</v>
      </c>
      <c r="BO2301" s="2">
        <v>42005.092361111114</v>
      </c>
      <c r="BP2301" s="2">
        <v>6.92</v>
      </c>
      <c r="BQ2301" s="2">
        <v>42005.092361111114</v>
      </c>
      <c r="BR2301" s="2">
        <v>11.07</v>
      </c>
      <c r="BS2301" s="2">
        <v>42005.092361111114</v>
      </c>
      <c r="BT2301">
        <v>0</v>
      </c>
      <c r="BU2301">
        <v>0</v>
      </c>
      <c r="BV2301" t="s">
        <v>135</v>
      </c>
      <c r="BW2301">
        <v>0</v>
      </c>
      <c r="BX2301">
        <v>0</v>
      </c>
      <c r="BY2301" t="s">
        <v>135</v>
      </c>
      <c r="BZ2301">
        <v>0</v>
      </c>
      <c r="CA2301">
        <v>0</v>
      </c>
      <c r="CB2301" t="s">
        <v>135</v>
      </c>
      <c r="CH2301" s="2"/>
      <c r="CJ2301" s="2"/>
      <c r="CL2301" s="2"/>
      <c r="CN2301" s="2"/>
      <c r="CQ2301" s="2"/>
      <c r="CT2301" s="2"/>
      <c r="CW2301" s="2"/>
    </row>
    <row r="2302" spans="1:101" x14ac:dyDescent="0.25">
      <c r="A2302" s="1" t="s">
        <v>163</v>
      </c>
      <c r="B2302" s="75" t="s">
        <v>164</v>
      </c>
      <c r="C2302">
        <v>0</v>
      </c>
      <c r="D2302">
        <v>0</v>
      </c>
      <c r="E2302">
        <v>0</v>
      </c>
      <c r="F2302">
        <v>604324.56000000006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3.91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7490</v>
      </c>
      <c r="AW2302">
        <v>3350</v>
      </c>
      <c r="AX2302">
        <v>1219</v>
      </c>
      <c r="AY2302">
        <v>12059</v>
      </c>
      <c r="AZ2302">
        <v>4202</v>
      </c>
      <c r="BA2302">
        <v>7438</v>
      </c>
      <c r="BB2302">
        <v>1432</v>
      </c>
      <c r="BC2302">
        <v>13072</v>
      </c>
      <c r="BD2302">
        <v>9486</v>
      </c>
      <c r="BE2302">
        <v>9222</v>
      </c>
      <c r="BF2302">
        <v>1768</v>
      </c>
      <c r="BG2302">
        <v>20476</v>
      </c>
      <c r="BH2302">
        <v>0</v>
      </c>
      <c r="BI2302">
        <v>0</v>
      </c>
      <c r="BJ2302">
        <v>0</v>
      </c>
      <c r="BK2302">
        <v>0</v>
      </c>
      <c r="BL2302" s="2">
        <v>24.82</v>
      </c>
      <c r="BM2302" s="2">
        <v>42005.095138888886</v>
      </c>
      <c r="BN2302" s="2">
        <v>5.4</v>
      </c>
      <c r="BO2302" s="2">
        <v>42005.092361111114</v>
      </c>
      <c r="BP2302" s="2">
        <v>6.92</v>
      </c>
      <c r="BQ2302" s="2">
        <v>42005.092361111114</v>
      </c>
      <c r="BR2302" s="2">
        <v>11.07</v>
      </c>
      <c r="BS2302" s="2">
        <v>42005.092361111114</v>
      </c>
      <c r="BT2302">
        <v>0</v>
      </c>
      <c r="BU2302">
        <v>0</v>
      </c>
      <c r="BV2302" t="s">
        <v>135</v>
      </c>
      <c r="BW2302">
        <v>0</v>
      </c>
      <c r="BX2302">
        <v>0</v>
      </c>
      <c r="BY2302" t="s">
        <v>135</v>
      </c>
      <c r="BZ2302">
        <v>0</v>
      </c>
      <c r="CA2302">
        <v>0</v>
      </c>
      <c r="CB2302" t="s">
        <v>135</v>
      </c>
      <c r="CH2302" s="2"/>
      <c r="CJ2302" s="2"/>
      <c r="CL2302" s="2"/>
      <c r="CN2302" s="2"/>
      <c r="CQ2302" s="2"/>
      <c r="CT2302" s="2"/>
      <c r="CW2302" s="2"/>
    </row>
    <row r="2303" spans="1:101" x14ac:dyDescent="0.25">
      <c r="A2303" s="1" t="s">
        <v>163</v>
      </c>
      <c r="B2303" s="75" t="s">
        <v>164</v>
      </c>
      <c r="C2303">
        <v>0</v>
      </c>
      <c r="D2303">
        <v>0</v>
      </c>
      <c r="E2303">
        <v>0</v>
      </c>
      <c r="F2303">
        <v>604324.56000000006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3.91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7490</v>
      </c>
      <c r="AW2303">
        <v>3350</v>
      </c>
      <c r="AX2303">
        <v>1219</v>
      </c>
      <c r="AY2303">
        <v>12059</v>
      </c>
      <c r="AZ2303">
        <v>4202</v>
      </c>
      <c r="BA2303">
        <v>7438</v>
      </c>
      <c r="BB2303">
        <v>1432</v>
      </c>
      <c r="BC2303">
        <v>13072</v>
      </c>
      <c r="BD2303">
        <v>9486</v>
      </c>
      <c r="BE2303">
        <v>9222</v>
      </c>
      <c r="BF2303">
        <v>1768</v>
      </c>
      <c r="BG2303">
        <v>20476</v>
      </c>
      <c r="BH2303">
        <v>0</v>
      </c>
      <c r="BI2303">
        <v>0</v>
      </c>
      <c r="BJ2303">
        <v>0</v>
      </c>
      <c r="BK2303">
        <v>0</v>
      </c>
      <c r="BL2303" s="2">
        <v>24.82</v>
      </c>
      <c r="BM2303" s="2">
        <v>42005.095138888886</v>
      </c>
      <c r="BN2303" s="2">
        <v>5.4</v>
      </c>
      <c r="BO2303" s="2">
        <v>42005.092361111114</v>
      </c>
      <c r="BP2303" s="2">
        <v>6.92</v>
      </c>
      <c r="BQ2303" s="2">
        <v>42005.092361111114</v>
      </c>
      <c r="BR2303" s="2">
        <v>11.07</v>
      </c>
      <c r="BS2303" s="2">
        <v>42005.092361111114</v>
      </c>
      <c r="BT2303">
        <v>0</v>
      </c>
      <c r="BU2303">
        <v>0</v>
      </c>
      <c r="BV2303" t="s">
        <v>135</v>
      </c>
      <c r="BW2303">
        <v>0</v>
      </c>
      <c r="BX2303">
        <v>0</v>
      </c>
      <c r="BY2303" t="s">
        <v>135</v>
      </c>
      <c r="BZ2303">
        <v>0</v>
      </c>
      <c r="CA2303">
        <v>0</v>
      </c>
      <c r="CB2303" t="s">
        <v>135</v>
      </c>
      <c r="CH2303" s="2"/>
      <c r="CJ2303" s="2"/>
      <c r="CL2303" s="2"/>
      <c r="CN2303" s="2"/>
      <c r="CQ2303" s="2"/>
      <c r="CT2303" s="2"/>
      <c r="CW2303" s="2"/>
    </row>
    <row r="2304" spans="1:101" x14ac:dyDescent="0.25">
      <c r="A2304" s="1" t="s">
        <v>163</v>
      </c>
      <c r="B2304" s="75" t="s">
        <v>164</v>
      </c>
      <c r="C2304">
        <v>0</v>
      </c>
      <c r="D2304">
        <v>0</v>
      </c>
      <c r="E2304">
        <v>0</v>
      </c>
      <c r="F2304">
        <v>604324.56000000006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3.91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7490</v>
      </c>
      <c r="AW2304">
        <v>3350</v>
      </c>
      <c r="AX2304">
        <v>1219</v>
      </c>
      <c r="AY2304">
        <v>12059</v>
      </c>
      <c r="AZ2304">
        <v>4202</v>
      </c>
      <c r="BA2304">
        <v>7438</v>
      </c>
      <c r="BB2304">
        <v>1432</v>
      </c>
      <c r="BC2304">
        <v>13072</v>
      </c>
      <c r="BD2304">
        <v>9486</v>
      </c>
      <c r="BE2304">
        <v>9222</v>
      </c>
      <c r="BF2304">
        <v>1768</v>
      </c>
      <c r="BG2304">
        <v>20476</v>
      </c>
      <c r="BH2304">
        <v>0</v>
      </c>
      <c r="BI2304">
        <v>0</v>
      </c>
      <c r="BJ2304">
        <v>0</v>
      </c>
      <c r="BK2304">
        <v>0</v>
      </c>
      <c r="BL2304" s="2">
        <v>24.82</v>
      </c>
      <c r="BM2304" s="2">
        <v>42005.095138888886</v>
      </c>
      <c r="BN2304" s="2">
        <v>5.4</v>
      </c>
      <c r="BO2304" s="2">
        <v>42005.092361111114</v>
      </c>
      <c r="BP2304" s="2">
        <v>6.92</v>
      </c>
      <c r="BQ2304" s="2">
        <v>42005.092361111114</v>
      </c>
      <c r="BR2304" s="2">
        <v>11.07</v>
      </c>
      <c r="BS2304" s="2">
        <v>42005.092361111114</v>
      </c>
      <c r="BT2304">
        <v>0</v>
      </c>
      <c r="BU2304">
        <v>0</v>
      </c>
      <c r="BV2304" t="s">
        <v>135</v>
      </c>
      <c r="BW2304">
        <v>0</v>
      </c>
      <c r="BX2304">
        <v>0</v>
      </c>
      <c r="BY2304" t="s">
        <v>135</v>
      </c>
      <c r="BZ2304">
        <v>0</v>
      </c>
      <c r="CA2304">
        <v>0</v>
      </c>
      <c r="CB2304" t="s">
        <v>135</v>
      </c>
      <c r="CH2304" s="2"/>
      <c r="CJ2304" s="2"/>
      <c r="CL2304" s="2"/>
      <c r="CN2304" s="2"/>
      <c r="CQ2304" s="2"/>
      <c r="CT2304" s="2"/>
      <c r="CW2304" s="2"/>
    </row>
    <row r="2305" spans="1:101" x14ac:dyDescent="0.25">
      <c r="A2305" s="1" t="s">
        <v>163</v>
      </c>
      <c r="B2305" s="75" t="s">
        <v>164</v>
      </c>
      <c r="C2305">
        <v>0</v>
      </c>
      <c r="D2305">
        <v>0</v>
      </c>
      <c r="E2305">
        <v>0</v>
      </c>
      <c r="F2305">
        <v>604324.56000000006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3.91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7490</v>
      </c>
      <c r="AW2305">
        <v>3350</v>
      </c>
      <c r="AX2305">
        <v>1219</v>
      </c>
      <c r="AY2305">
        <v>12059</v>
      </c>
      <c r="AZ2305">
        <v>4202</v>
      </c>
      <c r="BA2305">
        <v>7438</v>
      </c>
      <c r="BB2305">
        <v>1432</v>
      </c>
      <c r="BC2305">
        <v>13072</v>
      </c>
      <c r="BD2305">
        <v>9486</v>
      </c>
      <c r="BE2305">
        <v>9222</v>
      </c>
      <c r="BF2305">
        <v>1768</v>
      </c>
      <c r="BG2305">
        <v>20476</v>
      </c>
      <c r="BH2305">
        <v>0</v>
      </c>
      <c r="BI2305">
        <v>0</v>
      </c>
      <c r="BJ2305">
        <v>0</v>
      </c>
      <c r="BK2305">
        <v>0</v>
      </c>
      <c r="BL2305" s="2">
        <v>24.82</v>
      </c>
      <c r="BM2305" s="2">
        <v>42005.095138888886</v>
      </c>
      <c r="BN2305" s="2">
        <v>5.4</v>
      </c>
      <c r="BO2305" s="2">
        <v>42005.092361111114</v>
      </c>
      <c r="BP2305" s="2">
        <v>6.92</v>
      </c>
      <c r="BQ2305" s="2">
        <v>42005.092361111114</v>
      </c>
      <c r="BR2305" s="2">
        <v>11.07</v>
      </c>
      <c r="BS2305" s="2">
        <v>42005.092361111114</v>
      </c>
      <c r="BT2305">
        <v>0</v>
      </c>
      <c r="BU2305">
        <v>0</v>
      </c>
      <c r="BV2305" t="s">
        <v>135</v>
      </c>
      <c r="BW2305">
        <v>0</v>
      </c>
      <c r="BX2305">
        <v>0</v>
      </c>
      <c r="BY2305" t="s">
        <v>135</v>
      </c>
      <c r="BZ2305">
        <v>0</v>
      </c>
      <c r="CA2305">
        <v>0</v>
      </c>
      <c r="CB2305" t="s">
        <v>135</v>
      </c>
      <c r="CH2305" s="2"/>
      <c r="CJ2305" s="2"/>
      <c r="CL2305" s="2"/>
      <c r="CN2305" s="2"/>
      <c r="CQ2305" s="2"/>
      <c r="CT2305" s="2"/>
      <c r="CW2305" s="2"/>
    </row>
    <row r="2306" spans="1:101" x14ac:dyDescent="0.25">
      <c r="A2306" s="1" t="s">
        <v>163</v>
      </c>
      <c r="B2306" s="75" t="s">
        <v>164</v>
      </c>
      <c r="C2306">
        <v>0</v>
      </c>
      <c r="D2306">
        <v>0</v>
      </c>
      <c r="E2306">
        <v>0</v>
      </c>
      <c r="F2306">
        <v>604324.56000000006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3.91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7490</v>
      </c>
      <c r="AW2306">
        <v>3350</v>
      </c>
      <c r="AX2306">
        <v>1219</v>
      </c>
      <c r="AY2306">
        <v>12059</v>
      </c>
      <c r="AZ2306">
        <v>4202</v>
      </c>
      <c r="BA2306">
        <v>7438</v>
      </c>
      <c r="BB2306">
        <v>1432</v>
      </c>
      <c r="BC2306">
        <v>13072</v>
      </c>
      <c r="BD2306">
        <v>9486</v>
      </c>
      <c r="BE2306">
        <v>9222</v>
      </c>
      <c r="BF2306">
        <v>1768</v>
      </c>
      <c r="BG2306">
        <v>20476</v>
      </c>
      <c r="BH2306">
        <v>0</v>
      </c>
      <c r="BI2306">
        <v>0</v>
      </c>
      <c r="BJ2306">
        <v>0</v>
      </c>
      <c r="BK2306">
        <v>0</v>
      </c>
      <c r="BL2306" s="2">
        <v>24.82</v>
      </c>
      <c r="BM2306" s="2">
        <v>42005.095138888886</v>
      </c>
      <c r="BN2306" s="2">
        <v>5.4</v>
      </c>
      <c r="BO2306" s="2">
        <v>42005.092361111114</v>
      </c>
      <c r="BP2306" s="2">
        <v>6.92</v>
      </c>
      <c r="BQ2306" s="2">
        <v>42005.092361111114</v>
      </c>
      <c r="BR2306" s="2">
        <v>11.07</v>
      </c>
      <c r="BS2306" s="2">
        <v>42005.092361111114</v>
      </c>
      <c r="BT2306">
        <v>0</v>
      </c>
      <c r="BU2306">
        <v>0</v>
      </c>
      <c r="BV2306" t="s">
        <v>135</v>
      </c>
      <c r="BW2306">
        <v>0</v>
      </c>
      <c r="BX2306">
        <v>0</v>
      </c>
      <c r="BY2306" t="s">
        <v>135</v>
      </c>
      <c r="BZ2306">
        <v>0</v>
      </c>
      <c r="CA2306">
        <v>0</v>
      </c>
      <c r="CB2306" t="s">
        <v>135</v>
      </c>
      <c r="CH2306" s="2"/>
      <c r="CJ2306" s="2"/>
      <c r="CL2306" s="2"/>
      <c r="CN2306" s="2"/>
      <c r="CQ2306" s="2"/>
      <c r="CT2306" s="2"/>
      <c r="CW2306" s="2"/>
    </row>
    <row r="2307" spans="1:101" x14ac:dyDescent="0.25">
      <c r="A2307" s="1" t="s">
        <v>163</v>
      </c>
      <c r="B2307" s="75" t="s">
        <v>164</v>
      </c>
      <c r="C2307">
        <v>0</v>
      </c>
      <c r="D2307">
        <v>0</v>
      </c>
      <c r="E2307">
        <v>0</v>
      </c>
      <c r="F2307">
        <v>604324.56000000006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3.91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7490</v>
      </c>
      <c r="AW2307">
        <v>3350</v>
      </c>
      <c r="AX2307">
        <v>1219</v>
      </c>
      <c r="AY2307">
        <v>12059</v>
      </c>
      <c r="AZ2307">
        <v>4202</v>
      </c>
      <c r="BA2307">
        <v>7438</v>
      </c>
      <c r="BB2307">
        <v>1432</v>
      </c>
      <c r="BC2307">
        <v>13072</v>
      </c>
      <c r="BD2307">
        <v>9486</v>
      </c>
      <c r="BE2307">
        <v>9222</v>
      </c>
      <c r="BF2307">
        <v>1768</v>
      </c>
      <c r="BG2307">
        <v>20476</v>
      </c>
      <c r="BH2307">
        <v>0</v>
      </c>
      <c r="BI2307">
        <v>0</v>
      </c>
      <c r="BJ2307">
        <v>0</v>
      </c>
      <c r="BK2307">
        <v>0</v>
      </c>
      <c r="BL2307" s="2">
        <v>24.82</v>
      </c>
      <c r="BM2307" s="2">
        <v>42005.095138888886</v>
      </c>
      <c r="BN2307" s="2">
        <v>5.4</v>
      </c>
      <c r="BO2307" s="2">
        <v>42005.092361111114</v>
      </c>
      <c r="BP2307" s="2">
        <v>6.92</v>
      </c>
      <c r="BQ2307" s="2">
        <v>42005.092361111114</v>
      </c>
      <c r="BR2307" s="2">
        <v>11.07</v>
      </c>
      <c r="BS2307" s="2">
        <v>42005.092361111114</v>
      </c>
      <c r="BT2307">
        <v>0</v>
      </c>
      <c r="BU2307">
        <v>0</v>
      </c>
      <c r="BV2307" t="s">
        <v>135</v>
      </c>
      <c r="BW2307">
        <v>0</v>
      </c>
      <c r="BX2307">
        <v>0</v>
      </c>
      <c r="BY2307" t="s">
        <v>135</v>
      </c>
      <c r="BZ2307">
        <v>0</v>
      </c>
      <c r="CA2307">
        <v>0</v>
      </c>
      <c r="CB2307" t="s">
        <v>135</v>
      </c>
      <c r="CH2307" s="2"/>
      <c r="CJ2307" s="2"/>
      <c r="CL2307" s="2"/>
      <c r="CN2307" s="2"/>
      <c r="CQ2307" s="2"/>
      <c r="CT2307" s="2"/>
      <c r="CW2307" s="2"/>
    </row>
    <row r="2308" spans="1:101" x14ac:dyDescent="0.25">
      <c r="A2308" s="1" t="s">
        <v>163</v>
      </c>
      <c r="B2308" s="75" t="s">
        <v>164</v>
      </c>
      <c r="C2308">
        <v>0</v>
      </c>
      <c r="D2308">
        <v>0</v>
      </c>
      <c r="E2308">
        <v>0</v>
      </c>
      <c r="F2308">
        <v>604324.56000000006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3.91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7490</v>
      </c>
      <c r="AW2308">
        <v>3350</v>
      </c>
      <c r="AX2308">
        <v>1219</v>
      </c>
      <c r="AY2308">
        <v>12059</v>
      </c>
      <c r="AZ2308">
        <v>4202</v>
      </c>
      <c r="BA2308">
        <v>7438</v>
      </c>
      <c r="BB2308">
        <v>1432</v>
      </c>
      <c r="BC2308">
        <v>13072</v>
      </c>
      <c r="BD2308">
        <v>9486</v>
      </c>
      <c r="BE2308">
        <v>9222</v>
      </c>
      <c r="BF2308">
        <v>1768</v>
      </c>
      <c r="BG2308">
        <v>20476</v>
      </c>
      <c r="BH2308">
        <v>0</v>
      </c>
      <c r="BI2308">
        <v>0</v>
      </c>
      <c r="BJ2308">
        <v>0</v>
      </c>
      <c r="BK2308">
        <v>0</v>
      </c>
      <c r="BL2308" s="2">
        <v>24.82</v>
      </c>
      <c r="BM2308" s="2">
        <v>42005.095138888886</v>
      </c>
      <c r="BN2308" s="2">
        <v>5.4</v>
      </c>
      <c r="BO2308" s="2">
        <v>42005.092361111114</v>
      </c>
      <c r="BP2308" s="2">
        <v>6.92</v>
      </c>
      <c r="BQ2308" s="2">
        <v>42005.092361111114</v>
      </c>
      <c r="BR2308" s="2">
        <v>11.07</v>
      </c>
      <c r="BS2308" s="2">
        <v>42005.092361111114</v>
      </c>
      <c r="BT2308">
        <v>0</v>
      </c>
      <c r="BU2308">
        <v>0</v>
      </c>
      <c r="BV2308" t="s">
        <v>135</v>
      </c>
      <c r="BW2308">
        <v>0</v>
      </c>
      <c r="BX2308">
        <v>0</v>
      </c>
      <c r="BY2308" t="s">
        <v>135</v>
      </c>
      <c r="BZ2308">
        <v>0</v>
      </c>
      <c r="CA2308">
        <v>0</v>
      </c>
      <c r="CB2308" t="s">
        <v>135</v>
      </c>
      <c r="CH2308" s="2"/>
      <c r="CJ2308" s="2"/>
      <c r="CL2308" s="2"/>
      <c r="CN2308" s="2"/>
      <c r="CQ2308" s="2"/>
      <c r="CT2308" s="2"/>
      <c r="CW2308" s="2"/>
    </row>
    <row r="2309" spans="1:101" x14ac:dyDescent="0.25">
      <c r="A2309" s="1" t="s">
        <v>163</v>
      </c>
      <c r="B2309" s="75" t="s">
        <v>164</v>
      </c>
      <c r="C2309">
        <v>0</v>
      </c>
      <c r="D2309">
        <v>0</v>
      </c>
      <c r="E2309">
        <v>0</v>
      </c>
      <c r="F2309">
        <v>604324.56000000006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3.91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7490</v>
      </c>
      <c r="AW2309">
        <v>3350</v>
      </c>
      <c r="AX2309">
        <v>1219</v>
      </c>
      <c r="AY2309">
        <v>12059</v>
      </c>
      <c r="AZ2309">
        <v>4202</v>
      </c>
      <c r="BA2309">
        <v>7438</v>
      </c>
      <c r="BB2309">
        <v>1432</v>
      </c>
      <c r="BC2309">
        <v>13072</v>
      </c>
      <c r="BD2309">
        <v>9486</v>
      </c>
      <c r="BE2309">
        <v>9222</v>
      </c>
      <c r="BF2309">
        <v>1768</v>
      </c>
      <c r="BG2309">
        <v>20476</v>
      </c>
      <c r="BH2309">
        <v>0</v>
      </c>
      <c r="BI2309">
        <v>0</v>
      </c>
      <c r="BJ2309">
        <v>0</v>
      </c>
      <c r="BK2309">
        <v>0</v>
      </c>
      <c r="BL2309" s="2">
        <v>24.82</v>
      </c>
      <c r="BM2309" s="2">
        <v>42005.095138888886</v>
      </c>
      <c r="BN2309" s="2">
        <v>5.4</v>
      </c>
      <c r="BO2309" s="2">
        <v>42005.092361111114</v>
      </c>
      <c r="BP2309" s="2">
        <v>6.92</v>
      </c>
      <c r="BQ2309" s="2">
        <v>42005.092361111114</v>
      </c>
      <c r="BR2309" s="2">
        <v>11.07</v>
      </c>
      <c r="BS2309" s="2">
        <v>42005.092361111114</v>
      </c>
      <c r="BT2309">
        <v>0</v>
      </c>
      <c r="BU2309">
        <v>0</v>
      </c>
      <c r="BV2309" t="s">
        <v>135</v>
      </c>
      <c r="BW2309">
        <v>0</v>
      </c>
      <c r="BX2309">
        <v>0</v>
      </c>
      <c r="BY2309" t="s">
        <v>135</v>
      </c>
      <c r="BZ2309">
        <v>0</v>
      </c>
      <c r="CA2309">
        <v>0</v>
      </c>
      <c r="CB2309" t="s">
        <v>135</v>
      </c>
      <c r="CH2309" s="2"/>
      <c r="CJ2309" s="2"/>
      <c r="CL2309" s="2"/>
      <c r="CN2309" s="2"/>
      <c r="CQ2309" s="2"/>
      <c r="CT2309" s="2"/>
      <c r="CW2309" s="2"/>
    </row>
    <row r="2310" spans="1:101" x14ac:dyDescent="0.25">
      <c r="A2310" s="1" t="s">
        <v>163</v>
      </c>
      <c r="B2310" s="75" t="s">
        <v>164</v>
      </c>
      <c r="C2310">
        <v>0</v>
      </c>
      <c r="D2310">
        <v>0</v>
      </c>
      <c r="E2310">
        <v>0</v>
      </c>
      <c r="F2310">
        <v>604324.56000000006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3.91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7490</v>
      </c>
      <c r="AW2310">
        <v>3350</v>
      </c>
      <c r="AX2310">
        <v>1219</v>
      </c>
      <c r="AY2310">
        <v>12059</v>
      </c>
      <c r="AZ2310">
        <v>4202</v>
      </c>
      <c r="BA2310">
        <v>7438</v>
      </c>
      <c r="BB2310">
        <v>1432</v>
      </c>
      <c r="BC2310">
        <v>13072</v>
      </c>
      <c r="BD2310">
        <v>9486</v>
      </c>
      <c r="BE2310">
        <v>9222</v>
      </c>
      <c r="BF2310">
        <v>1768</v>
      </c>
      <c r="BG2310">
        <v>20476</v>
      </c>
      <c r="BH2310">
        <v>0</v>
      </c>
      <c r="BI2310">
        <v>0</v>
      </c>
      <c r="BJ2310">
        <v>0</v>
      </c>
      <c r="BK2310">
        <v>0</v>
      </c>
      <c r="BL2310" s="2">
        <v>24.82</v>
      </c>
      <c r="BM2310" s="2">
        <v>42005.095138888886</v>
      </c>
      <c r="BN2310" s="2">
        <v>5.4</v>
      </c>
      <c r="BO2310" s="2">
        <v>42005.092361111114</v>
      </c>
      <c r="BP2310" s="2">
        <v>6.92</v>
      </c>
      <c r="BQ2310" s="2">
        <v>42005.092361111114</v>
      </c>
      <c r="BR2310" s="2">
        <v>11.07</v>
      </c>
      <c r="BS2310" s="2">
        <v>42005.092361111114</v>
      </c>
      <c r="BT2310">
        <v>0</v>
      </c>
      <c r="BU2310">
        <v>0</v>
      </c>
      <c r="BV2310" t="s">
        <v>135</v>
      </c>
      <c r="BW2310">
        <v>0</v>
      </c>
      <c r="BX2310">
        <v>0</v>
      </c>
      <c r="BY2310" t="s">
        <v>135</v>
      </c>
      <c r="BZ2310">
        <v>0</v>
      </c>
      <c r="CA2310">
        <v>0</v>
      </c>
      <c r="CB2310" t="s">
        <v>135</v>
      </c>
      <c r="CH2310" s="2"/>
      <c r="CJ2310" s="2"/>
      <c r="CL2310" s="2"/>
      <c r="CN2310" s="2"/>
      <c r="CQ2310" s="2"/>
      <c r="CT2310" s="2"/>
      <c r="CW2310" s="2"/>
    </row>
    <row r="2311" spans="1:101" x14ac:dyDescent="0.25">
      <c r="A2311" s="1" t="s">
        <v>163</v>
      </c>
      <c r="B2311" s="75" t="s">
        <v>164</v>
      </c>
      <c r="C2311">
        <v>0</v>
      </c>
      <c r="D2311">
        <v>0</v>
      </c>
      <c r="E2311">
        <v>0</v>
      </c>
      <c r="F2311">
        <v>604324.56000000006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3.91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7490</v>
      </c>
      <c r="AW2311">
        <v>3350</v>
      </c>
      <c r="AX2311">
        <v>1219</v>
      </c>
      <c r="AY2311">
        <v>12059</v>
      </c>
      <c r="AZ2311">
        <v>4202</v>
      </c>
      <c r="BA2311">
        <v>7438</v>
      </c>
      <c r="BB2311">
        <v>1432</v>
      </c>
      <c r="BC2311">
        <v>13072</v>
      </c>
      <c r="BD2311">
        <v>9486</v>
      </c>
      <c r="BE2311">
        <v>9222</v>
      </c>
      <c r="BF2311">
        <v>1768</v>
      </c>
      <c r="BG2311">
        <v>20476</v>
      </c>
      <c r="BH2311">
        <v>0</v>
      </c>
      <c r="BI2311">
        <v>0</v>
      </c>
      <c r="BJ2311">
        <v>0</v>
      </c>
      <c r="BK2311">
        <v>0</v>
      </c>
      <c r="BL2311" s="2">
        <v>24.82</v>
      </c>
      <c r="BM2311" s="2">
        <v>42005.095138888886</v>
      </c>
      <c r="BN2311" s="2">
        <v>5.4</v>
      </c>
      <c r="BO2311" s="2">
        <v>42005.092361111114</v>
      </c>
      <c r="BP2311" s="2">
        <v>6.92</v>
      </c>
      <c r="BQ2311" s="2">
        <v>42005.092361111114</v>
      </c>
      <c r="BR2311" s="2">
        <v>11.07</v>
      </c>
      <c r="BS2311" s="2">
        <v>42005.092361111114</v>
      </c>
      <c r="BT2311">
        <v>0</v>
      </c>
      <c r="BU2311">
        <v>0</v>
      </c>
      <c r="BV2311" t="s">
        <v>135</v>
      </c>
      <c r="BW2311">
        <v>0</v>
      </c>
      <c r="BX2311">
        <v>0</v>
      </c>
      <c r="BY2311" t="s">
        <v>135</v>
      </c>
      <c r="BZ2311">
        <v>0</v>
      </c>
      <c r="CA2311">
        <v>0</v>
      </c>
      <c r="CB2311" t="s">
        <v>135</v>
      </c>
      <c r="CH2311" s="2"/>
      <c r="CJ2311" s="2"/>
      <c r="CL2311" s="2"/>
      <c r="CN2311" s="2"/>
      <c r="CQ2311" s="2"/>
      <c r="CT2311" s="2"/>
      <c r="CW2311" s="2"/>
    </row>
    <row r="2312" spans="1:101" x14ac:dyDescent="0.25">
      <c r="A2312" s="1" t="s">
        <v>163</v>
      </c>
      <c r="B2312" s="75" t="s">
        <v>164</v>
      </c>
      <c r="C2312">
        <v>0</v>
      </c>
      <c r="D2312">
        <v>0</v>
      </c>
      <c r="E2312">
        <v>0</v>
      </c>
      <c r="F2312">
        <v>604324.56000000006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3.91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7490</v>
      </c>
      <c r="AW2312">
        <v>3350</v>
      </c>
      <c r="AX2312">
        <v>1219</v>
      </c>
      <c r="AY2312">
        <v>12059</v>
      </c>
      <c r="AZ2312">
        <v>4202</v>
      </c>
      <c r="BA2312">
        <v>7438</v>
      </c>
      <c r="BB2312">
        <v>1432</v>
      </c>
      <c r="BC2312">
        <v>13072</v>
      </c>
      <c r="BD2312">
        <v>9486</v>
      </c>
      <c r="BE2312">
        <v>9222</v>
      </c>
      <c r="BF2312">
        <v>1768</v>
      </c>
      <c r="BG2312">
        <v>20476</v>
      </c>
      <c r="BH2312">
        <v>0</v>
      </c>
      <c r="BI2312">
        <v>0</v>
      </c>
      <c r="BJ2312">
        <v>0</v>
      </c>
      <c r="BK2312">
        <v>0</v>
      </c>
      <c r="BL2312" s="2">
        <v>24.82</v>
      </c>
      <c r="BM2312" s="2">
        <v>42005.095138888886</v>
      </c>
      <c r="BN2312" s="2">
        <v>5.4</v>
      </c>
      <c r="BO2312" s="2">
        <v>42005.092361111114</v>
      </c>
      <c r="BP2312" s="2">
        <v>6.92</v>
      </c>
      <c r="BQ2312" s="2">
        <v>42005.092361111114</v>
      </c>
      <c r="BR2312" s="2">
        <v>11.07</v>
      </c>
      <c r="BS2312" s="2">
        <v>42005.092361111114</v>
      </c>
      <c r="BT2312">
        <v>0</v>
      </c>
      <c r="BU2312">
        <v>0</v>
      </c>
      <c r="BV2312" t="s">
        <v>135</v>
      </c>
      <c r="BW2312">
        <v>0</v>
      </c>
      <c r="BX2312">
        <v>0</v>
      </c>
      <c r="BY2312" t="s">
        <v>135</v>
      </c>
      <c r="BZ2312">
        <v>0</v>
      </c>
      <c r="CA2312">
        <v>0</v>
      </c>
      <c r="CB2312" t="s">
        <v>135</v>
      </c>
      <c r="CH2312" s="2"/>
      <c r="CJ2312" s="2"/>
      <c r="CL2312" s="2"/>
      <c r="CN2312" s="2"/>
      <c r="CQ2312" s="2"/>
      <c r="CT2312" s="2"/>
      <c r="CW2312" s="2"/>
    </row>
    <row r="2313" spans="1:101" x14ac:dyDescent="0.25">
      <c r="A2313" s="1" t="s">
        <v>163</v>
      </c>
      <c r="B2313" s="75" t="s">
        <v>164</v>
      </c>
      <c r="C2313">
        <v>0</v>
      </c>
      <c r="D2313">
        <v>0</v>
      </c>
      <c r="E2313">
        <v>0</v>
      </c>
      <c r="F2313">
        <v>604324.56000000006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3.91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7490</v>
      </c>
      <c r="AW2313">
        <v>3350</v>
      </c>
      <c r="AX2313">
        <v>1219</v>
      </c>
      <c r="AY2313">
        <v>12059</v>
      </c>
      <c r="AZ2313">
        <v>4202</v>
      </c>
      <c r="BA2313">
        <v>7438</v>
      </c>
      <c r="BB2313">
        <v>1432</v>
      </c>
      <c r="BC2313">
        <v>13072</v>
      </c>
      <c r="BD2313">
        <v>9486</v>
      </c>
      <c r="BE2313">
        <v>9222</v>
      </c>
      <c r="BF2313">
        <v>1768</v>
      </c>
      <c r="BG2313">
        <v>20476</v>
      </c>
      <c r="BH2313">
        <v>0</v>
      </c>
      <c r="BI2313">
        <v>0</v>
      </c>
      <c r="BJ2313">
        <v>0</v>
      </c>
      <c r="BK2313">
        <v>0</v>
      </c>
      <c r="BL2313" s="2">
        <v>24.82</v>
      </c>
      <c r="BM2313" s="2">
        <v>42005.095138888886</v>
      </c>
      <c r="BN2313" s="2">
        <v>5.4</v>
      </c>
      <c r="BO2313" s="2">
        <v>42005.092361111114</v>
      </c>
      <c r="BP2313" s="2">
        <v>6.92</v>
      </c>
      <c r="BQ2313" s="2">
        <v>42005.092361111114</v>
      </c>
      <c r="BR2313" s="2">
        <v>11.07</v>
      </c>
      <c r="BS2313" s="2">
        <v>42005.092361111114</v>
      </c>
      <c r="BT2313">
        <v>0</v>
      </c>
      <c r="BU2313">
        <v>0</v>
      </c>
      <c r="BV2313" t="s">
        <v>135</v>
      </c>
      <c r="BW2313">
        <v>0</v>
      </c>
      <c r="BX2313">
        <v>0</v>
      </c>
      <c r="BY2313" t="s">
        <v>135</v>
      </c>
      <c r="BZ2313">
        <v>0</v>
      </c>
      <c r="CA2313">
        <v>0</v>
      </c>
      <c r="CB2313" t="s">
        <v>135</v>
      </c>
      <c r="CH2313" s="2"/>
      <c r="CJ2313" s="2"/>
      <c r="CL2313" s="2"/>
      <c r="CN2313" s="2"/>
      <c r="CQ2313" s="2"/>
      <c r="CT2313" s="2"/>
      <c r="CW2313" s="2"/>
    </row>
    <row r="2314" spans="1:101" x14ac:dyDescent="0.25">
      <c r="A2314" s="1" t="s">
        <v>163</v>
      </c>
      <c r="B2314" s="75" t="s">
        <v>164</v>
      </c>
      <c r="C2314">
        <v>0</v>
      </c>
      <c r="D2314">
        <v>0</v>
      </c>
      <c r="E2314">
        <v>0</v>
      </c>
      <c r="F2314">
        <v>604324.56000000006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3.91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7490</v>
      </c>
      <c r="AW2314">
        <v>3350</v>
      </c>
      <c r="AX2314">
        <v>1219</v>
      </c>
      <c r="AY2314">
        <v>12059</v>
      </c>
      <c r="AZ2314">
        <v>4202</v>
      </c>
      <c r="BA2314">
        <v>7438</v>
      </c>
      <c r="BB2314">
        <v>1432</v>
      </c>
      <c r="BC2314">
        <v>13072</v>
      </c>
      <c r="BD2314">
        <v>9486</v>
      </c>
      <c r="BE2314">
        <v>9222</v>
      </c>
      <c r="BF2314">
        <v>1768</v>
      </c>
      <c r="BG2314">
        <v>20476</v>
      </c>
      <c r="BH2314">
        <v>0</v>
      </c>
      <c r="BI2314">
        <v>0</v>
      </c>
      <c r="BJ2314">
        <v>0</v>
      </c>
      <c r="BK2314">
        <v>0</v>
      </c>
      <c r="BL2314" s="2">
        <v>24.82</v>
      </c>
      <c r="BM2314" s="2">
        <v>42005.095138888886</v>
      </c>
      <c r="BN2314" s="2">
        <v>5.4</v>
      </c>
      <c r="BO2314" s="2">
        <v>42005.092361111114</v>
      </c>
      <c r="BP2314" s="2">
        <v>6.92</v>
      </c>
      <c r="BQ2314" s="2">
        <v>42005.092361111114</v>
      </c>
      <c r="BR2314" s="2">
        <v>11.07</v>
      </c>
      <c r="BS2314" s="2">
        <v>42005.092361111114</v>
      </c>
      <c r="BT2314">
        <v>0</v>
      </c>
      <c r="BU2314">
        <v>0</v>
      </c>
      <c r="BV2314" t="s">
        <v>135</v>
      </c>
      <c r="BW2314">
        <v>0</v>
      </c>
      <c r="BX2314">
        <v>0</v>
      </c>
      <c r="BY2314" t="s">
        <v>135</v>
      </c>
      <c r="BZ2314">
        <v>0</v>
      </c>
      <c r="CA2314">
        <v>0</v>
      </c>
      <c r="CB2314" t="s">
        <v>135</v>
      </c>
      <c r="CH2314" s="2"/>
      <c r="CJ2314" s="2"/>
      <c r="CL2314" s="2"/>
      <c r="CN2314" s="2"/>
      <c r="CQ2314" s="2"/>
      <c r="CT2314" s="2"/>
      <c r="CW2314" s="2"/>
    </row>
    <row r="2315" spans="1:101" x14ac:dyDescent="0.25">
      <c r="A2315" s="1" t="s">
        <v>163</v>
      </c>
      <c r="B2315" s="75" t="s">
        <v>164</v>
      </c>
      <c r="C2315">
        <v>0</v>
      </c>
      <c r="D2315">
        <v>0</v>
      </c>
      <c r="E2315">
        <v>0</v>
      </c>
      <c r="F2315">
        <v>604324.56000000006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3.91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7490</v>
      </c>
      <c r="AW2315">
        <v>3350</v>
      </c>
      <c r="AX2315">
        <v>1219</v>
      </c>
      <c r="AY2315">
        <v>12059</v>
      </c>
      <c r="AZ2315">
        <v>4202</v>
      </c>
      <c r="BA2315">
        <v>7438</v>
      </c>
      <c r="BB2315">
        <v>1432</v>
      </c>
      <c r="BC2315">
        <v>13072</v>
      </c>
      <c r="BD2315">
        <v>9486</v>
      </c>
      <c r="BE2315">
        <v>9222</v>
      </c>
      <c r="BF2315">
        <v>1768</v>
      </c>
      <c r="BG2315">
        <v>20476</v>
      </c>
      <c r="BH2315">
        <v>0</v>
      </c>
      <c r="BI2315">
        <v>0</v>
      </c>
      <c r="BJ2315">
        <v>0</v>
      </c>
      <c r="BK2315">
        <v>0</v>
      </c>
      <c r="BL2315" s="2">
        <v>24.82</v>
      </c>
      <c r="BM2315" s="2">
        <v>42005.095138888886</v>
      </c>
      <c r="BN2315" s="2">
        <v>5.4</v>
      </c>
      <c r="BO2315" s="2">
        <v>42005.092361111114</v>
      </c>
      <c r="BP2315" s="2">
        <v>6.92</v>
      </c>
      <c r="BQ2315" s="2">
        <v>42005.092361111114</v>
      </c>
      <c r="BR2315" s="2">
        <v>11.07</v>
      </c>
      <c r="BS2315" s="2">
        <v>42005.092361111114</v>
      </c>
      <c r="BT2315">
        <v>0</v>
      </c>
      <c r="BU2315">
        <v>0</v>
      </c>
      <c r="BV2315" t="s">
        <v>135</v>
      </c>
      <c r="BW2315">
        <v>0</v>
      </c>
      <c r="BX2315">
        <v>0</v>
      </c>
      <c r="BY2315" t="s">
        <v>135</v>
      </c>
      <c r="BZ2315">
        <v>0</v>
      </c>
      <c r="CA2315">
        <v>0</v>
      </c>
      <c r="CB2315" t="s">
        <v>135</v>
      </c>
      <c r="CH2315" s="2"/>
      <c r="CJ2315" s="2"/>
      <c r="CL2315" s="2"/>
      <c r="CN2315" s="2"/>
      <c r="CQ2315" s="2"/>
      <c r="CT2315" s="2"/>
      <c r="CW2315" s="2"/>
    </row>
    <row r="2316" spans="1:101" x14ac:dyDescent="0.25">
      <c r="A2316" s="1" t="s">
        <v>163</v>
      </c>
      <c r="B2316" s="75" t="s">
        <v>164</v>
      </c>
      <c r="C2316">
        <v>0</v>
      </c>
      <c r="D2316">
        <v>0</v>
      </c>
      <c r="E2316">
        <v>0</v>
      </c>
      <c r="F2316">
        <v>604324.56000000006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3.91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7490</v>
      </c>
      <c r="AW2316">
        <v>3350</v>
      </c>
      <c r="AX2316">
        <v>1219</v>
      </c>
      <c r="AY2316">
        <v>12059</v>
      </c>
      <c r="AZ2316">
        <v>4202</v>
      </c>
      <c r="BA2316">
        <v>7438</v>
      </c>
      <c r="BB2316">
        <v>1432</v>
      </c>
      <c r="BC2316">
        <v>13072</v>
      </c>
      <c r="BD2316">
        <v>9486</v>
      </c>
      <c r="BE2316">
        <v>9222</v>
      </c>
      <c r="BF2316">
        <v>1768</v>
      </c>
      <c r="BG2316">
        <v>20476</v>
      </c>
      <c r="BH2316">
        <v>0</v>
      </c>
      <c r="BI2316">
        <v>0</v>
      </c>
      <c r="BJ2316">
        <v>0</v>
      </c>
      <c r="BK2316">
        <v>0</v>
      </c>
      <c r="BL2316" s="2">
        <v>24.82</v>
      </c>
      <c r="BM2316" s="2">
        <v>42005.095138888886</v>
      </c>
      <c r="BN2316" s="2">
        <v>5.4</v>
      </c>
      <c r="BO2316" s="2">
        <v>42005.092361111114</v>
      </c>
      <c r="BP2316" s="2">
        <v>6.92</v>
      </c>
      <c r="BQ2316" s="2">
        <v>42005.092361111114</v>
      </c>
      <c r="BR2316" s="2">
        <v>11.07</v>
      </c>
      <c r="BS2316" s="2">
        <v>42005.092361111114</v>
      </c>
      <c r="BT2316">
        <v>0</v>
      </c>
      <c r="BU2316">
        <v>0</v>
      </c>
      <c r="BV2316" t="s">
        <v>135</v>
      </c>
      <c r="BW2316">
        <v>0</v>
      </c>
      <c r="BX2316">
        <v>0</v>
      </c>
      <c r="BY2316" t="s">
        <v>135</v>
      </c>
      <c r="BZ2316">
        <v>0</v>
      </c>
      <c r="CA2316">
        <v>0</v>
      </c>
      <c r="CB2316" t="s">
        <v>135</v>
      </c>
      <c r="CH2316" s="2"/>
      <c r="CJ2316" s="2"/>
      <c r="CL2316" s="2"/>
      <c r="CN2316" s="2"/>
      <c r="CQ2316" s="2"/>
      <c r="CT2316" s="2"/>
      <c r="CW2316" s="2"/>
    </row>
    <row r="2317" spans="1:101" x14ac:dyDescent="0.25">
      <c r="A2317" s="1" t="s">
        <v>163</v>
      </c>
      <c r="B2317" s="75" t="s">
        <v>164</v>
      </c>
      <c r="C2317">
        <v>0</v>
      </c>
      <c r="D2317">
        <v>0</v>
      </c>
      <c r="E2317">
        <v>0</v>
      </c>
      <c r="F2317">
        <v>604324.56000000006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3.91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7490</v>
      </c>
      <c r="AW2317">
        <v>3350</v>
      </c>
      <c r="AX2317">
        <v>1219</v>
      </c>
      <c r="AY2317">
        <v>12059</v>
      </c>
      <c r="AZ2317">
        <v>4202</v>
      </c>
      <c r="BA2317">
        <v>7438</v>
      </c>
      <c r="BB2317">
        <v>1432</v>
      </c>
      <c r="BC2317">
        <v>13072</v>
      </c>
      <c r="BD2317">
        <v>9486</v>
      </c>
      <c r="BE2317">
        <v>9222</v>
      </c>
      <c r="BF2317">
        <v>1768</v>
      </c>
      <c r="BG2317">
        <v>20476</v>
      </c>
      <c r="BH2317">
        <v>0</v>
      </c>
      <c r="BI2317">
        <v>0</v>
      </c>
      <c r="BJ2317">
        <v>0</v>
      </c>
      <c r="BK2317">
        <v>0</v>
      </c>
      <c r="BL2317" s="2">
        <v>24.82</v>
      </c>
      <c r="BM2317" s="2">
        <v>42005.095138888886</v>
      </c>
      <c r="BN2317" s="2">
        <v>5.4</v>
      </c>
      <c r="BO2317" s="2">
        <v>42005.092361111114</v>
      </c>
      <c r="BP2317" s="2">
        <v>6.92</v>
      </c>
      <c r="BQ2317" s="2">
        <v>42005.092361111114</v>
      </c>
      <c r="BR2317" s="2">
        <v>11.07</v>
      </c>
      <c r="BS2317" s="2">
        <v>42005.092361111114</v>
      </c>
      <c r="BT2317">
        <v>0</v>
      </c>
      <c r="BU2317">
        <v>0</v>
      </c>
      <c r="BV2317" t="s">
        <v>135</v>
      </c>
      <c r="BW2317">
        <v>0</v>
      </c>
      <c r="BX2317">
        <v>0</v>
      </c>
      <c r="BY2317" t="s">
        <v>135</v>
      </c>
      <c r="BZ2317">
        <v>0</v>
      </c>
      <c r="CA2317">
        <v>0</v>
      </c>
      <c r="CB2317" t="s">
        <v>135</v>
      </c>
      <c r="CH2317" s="2"/>
      <c r="CJ2317" s="2"/>
      <c r="CL2317" s="2"/>
      <c r="CN2317" s="2"/>
      <c r="CQ2317" s="2"/>
      <c r="CT2317" s="2"/>
      <c r="CW2317" s="2"/>
    </row>
    <row r="2318" spans="1:101" x14ac:dyDescent="0.25">
      <c r="A2318" s="1" t="s">
        <v>163</v>
      </c>
      <c r="B2318" s="75" t="s">
        <v>164</v>
      </c>
      <c r="C2318">
        <v>0</v>
      </c>
      <c r="D2318">
        <v>0</v>
      </c>
      <c r="E2318">
        <v>0</v>
      </c>
      <c r="F2318">
        <v>604324.56000000006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3.91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7490</v>
      </c>
      <c r="AW2318">
        <v>3350</v>
      </c>
      <c r="AX2318">
        <v>1219</v>
      </c>
      <c r="AY2318">
        <v>12059</v>
      </c>
      <c r="AZ2318">
        <v>4202</v>
      </c>
      <c r="BA2318">
        <v>7438</v>
      </c>
      <c r="BB2318">
        <v>1432</v>
      </c>
      <c r="BC2318">
        <v>13072</v>
      </c>
      <c r="BD2318">
        <v>9486</v>
      </c>
      <c r="BE2318">
        <v>9222</v>
      </c>
      <c r="BF2318">
        <v>1768</v>
      </c>
      <c r="BG2318">
        <v>20476</v>
      </c>
      <c r="BH2318">
        <v>0</v>
      </c>
      <c r="BI2318">
        <v>0</v>
      </c>
      <c r="BJ2318">
        <v>0</v>
      </c>
      <c r="BK2318">
        <v>0</v>
      </c>
      <c r="BL2318" s="2">
        <v>24.82</v>
      </c>
      <c r="BM2318" s="2">
        <v>42005.095138888886</v>
      </c>
      <c r="BN2318" s="2">
        <v>5.4</v>
      </c>
      <c r="BO2318" s="2">
        <v>42005.092361111114</v>
      </c>
      <c r="BP2318" s="2">
        <v>6.92</v>
      </c>
      <c r="BQ2318" s="2">
        <v>42005.092361111114</v>
      </c>
      <c r="BR2318" s="2">
        <v>11.07</v>
      </c>
      <c r="BS2318" s="2">
        <v>42005.092361111114</v>
      </c>
      <c r="BT2318">
        <v>0</v>
      </c>
      <c r="BU2318">
        <v>0</v>
      </c>
      <c r="BV2318" t="s">
        <v>135</v>
      </c>
      <c r="BW2318">
        <v>0</v>
      </c>
      <c r="BX2318">
        <v>0</v>
      </c>
      <c r="BY2318" t="s">
        <v>135</v>
      </c>
      <c r="BZ2318">
        <v>0</v>
      </c>
      <c r="CA2318">
        <v>0</v>
      </c>
      <c r="CB2318" t="s">
        <v>135</v>
      </c>
      <c r="CH2318" s="2"/>
      <c r="CJ2318" s="2"/>
      <c r="CL2318" s="2"/>
      <c r="CN2318" s="2"/>
      <c r="CQ2318" s="2"/>
      <c r="CT2318" s="2"/>
      <c r="CW2318" s="2"/>
    </row>
    <row r="2319" spans="1:101" x14ac:dyDescent="0.25">
      <c r="A2319" s="1" t="s">
        <v>163</v>
      </c>
      <c r="B2319" s="75" t="s">
        <v>164</v>
      </c>
      <c r="C2319">
        <v>0</v>
      </c>
      <c r="D2319">
        <v>0</v>
      </c>
      <c r="E2319">
        <v>0</v>
      </c>
      <c r="F2319">
        <v>604324.56000000006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3.91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7490</v>
      </c>
      <c r="AW2319">
        <v>3350</v>
      </c>
      <c r="AX2319">
        <v>1219</v>
      </c>
      <c r="AY2319">
        <v>12059</v>
      </c>
      <c r="AZ2319">
        <v>4202</v>
      </c>
      <c r="BA2319">
        <v>7438</v>
      </c>
      <c r="BB2319">
        <v>1432</v>
      </c>
      <c r="BC2319">
        <v>13072</v>
      </c>
      <c r="BD2319">
        <v>9486</v>
      </c>
      <c r="BE2319">
        <v>9222</v>
      </c>
      <c r="BF2319">
        <v>1768</v>
      </c>
      <c r="BG2319">
        <v>20476</v>
      </c>
      <c r="BH2319">
        <v>0</v>
      </c>
      <c r="BI2319">
        <v>0</v>
      </c>
      <c r="BJ2319">
        <v>0</v>
      </c>
      <c r="BK2319">
        <v>0</v>
      </c>
      <c r="BL2319" s="2">
        <v>24.82</v>
      </c>
      <c r="BM2319" s="2">
        <v>42005.095138888886</v>
      </c>
      <c r="BN2319" s="2">
        <v>5.4</v>
      </c>
      <c r="BO2319" s="2">
        <v>42005.092361111114</v>
      </c>
      <c r="BP2319" s="2">
        <v>6.92</v>
      </c>
      <c r="BQ2319" s="2">
        <v>42005.092361111114</v>
      </c>
      <c r="BR2319" s="2">
        <v>11.07</v>
      </c>
      <c r="BS2319" s="2">
        <v>42005.092361111114</v>
      </c>
      <c r="BT2319">
        <v>0</v>
      </c>
      <c r="BU2319">
        <v>0</v>
      </c>
      <c r="BV2319" t="s">
        <v>135</v>
      </c>
      <c r="BW2319">
        <v>0</v>
      </c>
      <c r="BX2319">
        <v>0</v>
      </c>
      <c r="BY2319" t="s">
        <v>135</v>
      </c>
      <c r="BZ2319">
        <v>0</v>
      </c>
      <c r="CA2319">
        <v>0</v>
      </c>
      <c r="CB2319" t="s">
        <v>135</v>
      </c>
      <c r="CH2319" s="2"/>
      <c r="CJ2319" s="2"/>
      <c r="CL2319" s="2"/>
      <c r="CN2319" s="2"/>
      <c r="CQ2319" s="2"/>
      <c r="CT2319" s="2"/>
      <c r="CW2319" s="2"/>
    </row>
    <row r="2320" spans="1:101" x14ac:dyDescent="0.25">
      <c r="A2320" s="1" t="s">
        <v>163</v>
      </c>
      <c r="B2320" s="75" t="s">
        <v>164</v>
      </c>
      <c r="C2320">
        <v>0</v>
      </c>
      <c r="D2320">
        <v>0</v>
      </c>
      <c r="E2320">
        <v>0</v>
      </c>
      <c r="F2320">
        <v>604324.56000000006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3.91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7490</v>
      </c>
      <c r="AW2320">
        <v>3350</v>
      </c>
      <c r="AX2320">
        <v>1219</v>
      </c>
      <c r="AY2320">
        <v>12059</v>
      </c>
      <c r="AZ2320">
        <v>4202</v>
      </c>
      <c r="BA2320">
        <v>7438</v>
      </c>
      <c r="BB2320">
        <v>1432</v>
      </c>
      <c r="BC2320">
        <v>13072</v>
      </c>
      <c r="BD2320">
        <v>9486</v>
      </c>
      <c r="BE2320">
        <v>9222</v>
      </c>
      <c r="BF2320">
        <v>1768</v>
      </c>
      <c r="BG2320">
        <v>20476</v>
      </c>
      <c r="BH2320">
        <v>0</v>
      </c>
      <c r="BI2320">
        <v>0</v>
      </c>
      <c r="BJ2320">
        <v>0</v>
      </c>
      <c r="BK2320">
        <v>0</v>
      </c>
      <c r="BL2320" s="2">
        <v>24.82</v>
      </c>
      <c r="BM2320" s="2">
        <v>42005.095138888886</v>
      </c>
      <c r="BN2320" s="2">
        <v>5.4</v>
      </c>
      <c r="BO2320" s="2">
        <v>42005.092361111114</v>
      </c>
      <c r="BP2320" s="2">
        <v>6.92</v>
      </c>
      <c r="BQ2320" s="2">
        <v>42005.092361111114</v>
      </c>
      <c r="BR2320" s="2">
        <v>11.07</v>
      </c>
      <c r="BS2320" s="2">
        <v>42005.092361111114</v>
      </c>
      <c r="BT2320">
        <v>0</v>
      </c>
      <c r="BU2320">
        <v>0</v>
      </c>
      <c r="BV2320" t="s">
        <v>135</v>
      </c>
      <c r="BW2320">
        <v>0</v>
      </c>
      <c r="BX2320">
        <v>0</v>
      </c>
      <c r="BY2320" t="s">
        <v>135</v>
      </c>
      <c r="BZ2320">
        <v>0</v>
      </c>
      <c r="CA2320">
        <v>0</v>
      </c>
      <c r="CB2320" t="s">
        <v>135</v>
      </c>
      <c r="CH2320" s="2"/>
      <c r="CJ2320" s="2"/>
      <c r="CL2320" s="2"/>
      <c r="CN2320" s="2"/>
      <c r="CQ2320" s="2"/>
      <c r="CT2320" s="2"/>
      <c r="CW2320" s="2"/>
    </row>
    <row r="2321" spans="1:101" x14ac:dyDescent="0.25">
      <c r="A2321" s="1" t="s">
        <v>163</v>
      </c>
      <c r="B2321" s="75" t="s">
        <v>164</v>
      </c>
      <c r="C2321">
        <v>0</v>
      </c>
      <c r="D2321">
        <v>0</v>
      </c>
      <c r="E2321">
        <v>0</v>
      </c>
      <c r="F2321">
        <v>604324.56000000006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3.91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7490</v>
      </c>
      <c r="AW2321">
        <v>3350</v>
      </c>
      <c r="AX2321">
        <v>1219</v>
      </c>
      <c r="AY2321">
        <v>12059</v>
      </c>
      <c r="AZ2321">
        <v>4202</v>
      </c>
      <c r="BA2321">
        <v>7438</v>
      </c>
      <c r="BB2321">
        <v>1432</v>
      </c>
      <c r="BC2321">
        <v>13072</v>
      </c>
      <c r="BD2321">
        <v>9486</v>
      </c>
      <c r="BE2321">
        <v>9222</v>
      </c>
      <c r="BF2321">
        <v>1768</v>
      </c>
      <c r="BG2321">
        <v>20476</v>
      </c>
      <c r="BH2321">
        <v>0</v>
      </c>
      <c r="BI2321">
        <v>0</v>
      </c>
      <c r="BJ2321">
        <v>0</v>
      </c>
      <c r="BK2321">
        <v>0</v>
      </c>
      <c r="BL2321" s="2">
        <v>24.82</v>
      </c>
      <c r="BM2321" s="2">
        <v>42005.095138888886</v>
      </c>
      <c r="BN2321" s="2">
        <v>5.4</v>
      </c>
      <c r="BO2321" s="2">
        <v>42005.092361111114</v>
      </c>
      <c r="BP2321" s="2">
        <v>6.92</v>
      </c>
      <c r="BQ2321" s="2">
        <v>42005.092361111114</v>
      </c>
      <c r="BR2321" s="2">
        <v>11.07</v>
      </c>
      <c r="BS2321" s="2">
        <v>42005.092361111114</v>
      </c>
      <c r="BT2321">
        <v>0</v>
      </c>
      <c r="BU2321">
        <v>0</v>
      </c>
      <c r="BV2321" t="s">
        <v>135</v>
      </c>
      <c r="BW2321">
        <v>0</v>
      </c>
      <c r="BX2321">
        <v>0</v>
      </c>
      <c r="BY2321" t="s">
        <v>135</v>
      </c>
      <c r="BZ2321">
        <v>0</v>
      </c>
      <c r="CA2321">
        <v>0</v>
      </c>
      <c r="CB2321" t="s">
        <v>135</v>
      </c>
      <c r="CH2321" s="2"/>
      <c r="CJ2321" s="2"/>
      <c r="CL2321" s="2"/>
      <c r="CN2321" s="2"/>
      <c r="CQ2321" s="2"/>
      <c r="CT2321" s="2"/>
      <c r="CW2321" s="2"/>
    </row>
    <row r="2322" spans="1:101" x14ac:dyDescent="0.25">
      <c r="A2322" s="1" t="s">
        <v>163</v>
      </c>
      <c r="B2322" s="75" t="s">
        <v>164</v>
      </c>
      <c r="C2322">
        <v>0</v>
      </c>
      <c r="D2322">
        <v>0</v>
      </c>
      <c r="E2322">
        <v>0</v>
      </c>
      <c r="F2322">
        <v>604324.56000000006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3.91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7490</v>
      </c>
      <c r="AW2322">
        <v>3350</v>
      </c>
      <c r="AX2322">
        <v>1219</v>
      </c>
      <c r="AY2322">
        <v>12059</v>
      </c>
      <c r="AZ2322">
        <v>4202</v>
      </c>
      <c r="BA2322">
        <v>7438</v>
      </c>
      <c r="BB2322">
        <v>1432</v>
      </c>
      <c r="BC2322">
        <v>13072</v>
      </c>
      <c r="BD2322">
        <v>9486</v>
      </c>
      <c r="BE2322">
        <v>9222</v>
      </c>
      <c r="BF2322">
        <v>1768</v>
      </c>
      <c r="BG2322">
        <v>20476</v>
      </c>
      <c r="BH2322">
        <v>0</v>
      </c>
      <c r="BI2322">
        <v>0</v>
      </c>
      <c r="BJ2322">
        <v>0</v>
      </c>
      <c r="BK2322">
        <v>0</v>
      </c>
      <c r="BL2322" s="2">
        <v>24.82</v>
      </c>
      <c r="BM2322" s="2">
        <v>42005.095138888886</v>
      </c>
      <c r="BN2322" s="2">
        <v>5.4</v>
      </c>
      <c r="BO2322" s="2">
        <v>42005.092361111114</v>
      </c>
      <c r="BP2322" s="2">
        <v>6.92</v>
      </c>
      <c r="BQ2322" s="2">
        <v>42005.092361111114</v>
      </c>
      <c r="BR2322" s="2">
        <v>11.07</v>
      </c>
      <c r="BS2322" s="2">
        <v>42005.092361111114</v>
      </c>
      <c r="BT2322">
        <v>0</v>
      </c>
      <c r="BU2322">
        <v>0</v>
      </c>
      <c r="BV2322" t="s">
        <v>135</v>
      </c>
      <c r="BW2322">
        <v>0</v>
      </c>
      <c r="BX2322">
        <v>0</v>
      </c>
      <c r="BY2322" t="s">
        <v>135</v>
      </c>
      <c r="BZ2322">
        <v>0</v>
      </c>
      <c r="CA2322">
        <v>0</v>
      </c>
      <c r="CB2322" t="s">
        <v>135</v>
      </c>
      <c r="CH2322" s="2"/>
      <c r="CJ2322" s="2"/>
      <c r="CL2322" s="2"/>
      <c r="CN2322" s="2"/>
      <c r="CQ2322" s="2"/>
      <c r="CT2322" s="2"/>
      <c r="CW2322" s="2"/>
    </row>
    <row r="2323" spans="1:101" x14ac:dyDescent="0.25">
      <c r="A2323" s="1" t="s">
        <v>163</v>
      </c>
      <c r="B2323" s="75" t="s">
        <v>164</v>
      </c>
      <c r="C2323">
        <v>0</v>
      </c>
      <c r="D2323">
        <v>0</v>
      </c>
      <c r="E2323">
        <v>0</v>
      </c>
      <c r="F2323">
        <v>604324.56000000006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3.91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7490</v>
      </c>
      <c r="AW2323">
        <v>3350</v>
      </c>
      <c r="AX2323">
        <v>1219</v>
      </c>
      <c r="AY2323">
        <v>12059</v>
      </c>
      <c r="AZ2323">
        <v>4202</v>
      </c>
      <c r="BA2323">
        <v>7438</v>
      </c>
      <c r="BB2323">
        <v>1432</v>
      </c>
      <c r="BC2323">
        <v>13072</v>
      </c>
      <c r="BD2323">
        <v>9486</v>
      </c>
      <c r="BE2323">
        <v>9222</v>
      </c>
      <c r="BF2323">
        <v>1768</v>
      </c>
      <c r="BG2323">
        <v>20476</v>
      </c>
      <c r="BH2323">
        <v>0</v>
      </c>
      <c r="BI2323">
        <v>0</v>
      </c>
      <c r="BJ2323">
        <v>0</v>
      </c>
      <c r="BK2323">
        <v>0</v>
      </c>
      <c r="BL2323" s="2">
        <v>24.82</v>
      </c>
      <c r="BM2323" s="2">
        <v>42005.095138888886</v>
      </c>
      <c r="BN2323" s="2">
        <v>5.4</v>
      </c>
      <c r="BO2323" s="2">
        <v>42005.092361111114</v>
      </c>
      <c r="BP2323" s="2">
        <v>6.92</v>
      </c>
      <c r="BQ2323" s="2">
        <v>42005.092361111114</v>
      </c>
      <c r="BR2323" s="2">
        <v>11.07</v>
      </c>
      <c r="BS2323" s="2">
        <v>42005.092361111114</v>
      </c>
      <c r="BT2323">
        <v>0</v>
      </c>
      <c r="BU2323">
        <v>0</v>
      </c>
      <c r="BV2323" t="s">
        <v>135</v>
      </c>
      <c r="BW2323">
        <v>0</v>
      </c>
      <c r="BX2323">
        <v>0</v>
      </c>
      <c r="BY2323" t="s">
        <v>135</v>
      </c>
      <c r="BZ2323">
        <v>0</v>
      </c>
      <c r="CA2323">
        <v>0</v>
      </c>
      <c r="CB2323" t="s">
        <v>135</v>
      </c>
      <c r="CH2323" s="2"/>
      <c r="CJ2323" s="2"/>
      <c r="CL2323" s="2"/>
      <c r="CN2323" s="2"/>
      <c r="CQ2323" s="2"/>
      <c r="CT2323" s="2"/>
      <c r="CW2323" s="2"/>
    </row>
    <row r="2324" spans="1:101" x14ac:dyDescent="0.25">
      <c r="A2324" s="1" t="s">
        <v>163</v>
      </c>
      <c r="B2324" s="75" t="s">
        <v>164</v>
      </c>
      <c r="C2324">
        <v>0</v>
      </c>
      <c r="D2324">
        <v>0</v>
      </c>
      <c r="E2324">
        <v>0</v>
      </c>
      <c r="F2324">
        <v>604324.56000000006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3.91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7490</v>
      </c>
      <c r="AW2324">
        <v>3350</v>
      </c>
      <c r="AX2324">
        <v>1219</v>
      </c>
      <c r="AY2324">
        <v>12059</v>
      </c>
      <c r="AZ2324">
        <v>4202</v>
      </c>
      <c r="BA2324">
        <v>7438</v>
      </c>
      <c r="BB2324">
        <v>1432</v>
      </c>
      <c r="BC2324">
        <v>13072</v>
      </c>
      <c r="BD2324">
        <v>9486</v>
      </c>
      <c r="BE2324">
        <v>9222</v>
      </c>
      <c r="BF2324">
        <v>1768</v>
      </c>
      <c r="BG2324">
        <v>20476</v>
      </c>
      <c r="BH2324">
        <v>0</v>
      </c>
      <c r="BI2324">
        <v>0</v>
      </c>
      <c r="BJ2324">
        <v>0</v>
      </c>
      <c r="BK2324">
        <v>0</v>
      </c>
      <c r="BL2324" s="2">
        <v>24.82</v>
      </c>
      <c r="BM2324" s="2">
        <v>42005.095138888886</v>
      </c>
      <c r="BN2324" s="2">
        <v>5.4</v>
      </c>
      <c r="BO2324" s="2">
        <v>42005.092361111114</v>
      </c>
      <c r="BP2324" s="2">
        <v>6.92</v>
      </c>
      <c r="BQ2324" s="2">
        <v>42005.092361111114</v>
      </c>
      <c r="BR2324" s="2">
        <v>11.07</v>
      </c>
      <c r="BS2324" s="2">
        <v>42005.092361111114</v>
      </c>
      <c r="BT2324">
        <v>0</v>
      </c>
      <c r="BU2324">
        <v>0</v>
      </c>
      <c r="BV2324" t="s">
        <v>135</v>
      </c>
      <c r="BW2324">
        <v>0</v>
      </c>
      <c r="BX2324">
        <v>0</v>
      </c>
      <c r="BY2324" t="s">
        <v>135</v>
      </c>
      <c r="BZ2324">
        <v>0</v>
      </c>
      <c r="CA2324">
        <v>0</v>
      </c>
      <c r="CB2324" t="s">
        <v>135</v>
      </c>
      <c r="CH2324" s="2"/>
      <c r="CJ2324" s="2"/>
      <c r="CL2324" s="2"/>
      <c r="CN2324" s="2"/>
      <c r="CQ2324" s="2"/>
      <c r="CT2324" s="2"/>
      <c r="CW2324" s="2"/>
    </row>
    <row r="2325" spans="1:101" x14ac:dyDescent="0.25">
      <c r="A2325" s="1" t="s">
        <v>163</v>
      </c>
      <c r="B2325" s="75" t="s">
        <v>164</v>
      </c>
      <c r="C2325">
        <v>0</v>
      </c>
      <c r="D2325">
        <v>0</v>
      </c>
      <c r="E2325">
        <v>0</v>
      </c>
      <c r="F2325">
        <v>604324.56000000006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3.91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7490</v>
      </c>
      <c r="AW2325">
        <v>3350</v>
      </c>
      <c r="AX2325">
        <v>1219</v>
      </c>
      <c r="AY2325">
        <v>12059</v>
      </c>
      <c r="AZ2325">
        <v>4202</v>
      </c>
      <c r="BA2325">
        <v>7438</v>
      </c>
      <c r="BB2325">
        <v>1432</v>
      </c>
      <c r="BC2325">
        <v>13072</v>
      </c>
      <c r="BD2325">
        <v>9486</v>
      </c>
      <c r="BE2325">
        <v>9222</v>
      </c>
      <c r="BF2325">
        <v>1768</v>
      </c>
      <c r="BG2325">
        <v>20476</v>
      </c>
      <c r="BH2325">
        <v>0</v>
      </c>
      <c r="BI2325">
        <v>0</v>
      </c>
      <c r="BJ2325">
        <v>0</v>
      </c>
      <c r="BK2325">
        <v>0</v>
      </c>
      <c r="BL2325" s="2">
        <v>24.82</v>
      </c>
      <c r="BM2325" s="2">
        <v>42005.095138888886</v>
      </c>
      <c r="BN2325" s="2">
        <v>5.4</v>
      </c>
      <c r="BO2325" s="2">
        <v>42005.092361111114</v>
      </c>
      <c r="BP2325" s="2">
        <v>6.92</v>
      </c>
      <c r="BQ2325" s="2">
        <v>42005.092361111114</v>
      </c>
      <c r="BR2325" s="2">
        <v>11.07</v>
      </c>
      <c r="BS2325" s="2">
        <v>42005.092361111114</v>
      </c>
      <c r="BT2325">
        <v>0</v>
      </c>
      <c r="BU2325">
        <v>0</v>
      </c>
      <c r="BV2325" t="s">
        <v>135</v>
      </c>
      <c r="BW2325">
        <v>0</v>
      </c>
      <c r="BX2325">
        <v>0</v>
      </c>
      <c r="BY2325" t="s">
        <v>135</v>
      </c>
      <c r="BZ2325">
        <v>0</v>
      </c>
      <c r="CA2325">
        <v>0</v>
      </c>
      <c r="CB2325" t="s">
        <v>135</v>
      </c>
      <c r="CH2325" s="2"/>
      <c r="CJ2325" s="2"/>
      <c r="CL2325" s="2"/>
      <c r="CN2325" s="2"/>
      <c r="CQ2325" s="2"/>
      <c r="CT2325" s="2"/>
      <c r="CW2325" s="2"/>
    </row>
    <row r="2326" spans="1:101" x14ac:dyDescent="0.25">
      <c r="A2326" s="1" t="s">
        <v>163</v>
      </c>
      <c r="B2326" s="75" t="s">
        <v>164</v>
      </c>
      <c r="C2326">
        <v>0</v>
      </c>
      <c r="D2326">
        <v>0</v>
      </c>
      <c r="E2326">
        <v>0</v>
      </c>
      <c r="F2326">
        <v>604324.56000000006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3.91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7490</v>
      </c>
      <c r="AW2326">
        <v>3350</v>
      </c>
      <c r="AX2326">
        <v>1219</v>
      </c>
      <c r="AY2326">
        <v>12059</v>
      </c>
      <c r="AZ2326">
        <v>4202</v>
      </c>
      <c r="BA2326">
        <v>7438</v>
      </c>
      <c r="BB2326">
        <v>1432</v>
      </c>
      <c r="BC2326">
        <v>13072</v>
      </c>
      <c r="BD2326">
        <v>9486</v>
      </c>
      <c r="BE2326">
        <v>9222</v>
      </c>
      <c r="BF2326">
        <v>1768</v>
      </c>
      <c r="BG2326">
        <v>20476</v>
      </c>
      <c r="BH2326">
        <v>0</v>
      </c>
      <c r="BI2326">
        <v>0</v>
      </c>
      <c r="BJ2326">
        <v>0</v>
      </c>
      <c r="BK2326">
        <v>0</v>
      </c>
      <c r="BL2326" s="2">
        <v>24.82</v>
      </c>
      <c r="BM2326" s="2">
        <v>42005.095138888886</v>
      </c>
      <c r="BN2326" s="2">
        <v>5.4</v>
      </c>
      <c r="BO2326" s="2">
        <v>42005.092361111114</v>
      </c>
      <c r="BP2326" s="2">
        <v>6.92</v>
      </c>
      <c r="BQ2326" s="2">
        <v>42005.092361111114</v>
      </c>
      <c r="BR2326" s="2">
        <v>11.07</v>
      </c>
      <c r="BS2326" s="2">
        <v>42005.092361111114</v>
      </c>
      <c r="BT2326">
        <v>0</v>
      </c>
      <c r="BU2326">
        <v>0</v>
      </c>
      <c r="BV2326" t="s">
        <v>135</v>
      </c>
      <c r="BW2326">
        <v>0</v>
      </c>
      <c r="BX2326">
        <v>0</v>
      </c>
      <c r="BY2326" t="s">
        <v>135</v>
      </c>
      <c r="BZ2326">
        <v>0</v>
      </c>
      <c r="CA2326">
        <v>0</v>
      </c>
      <c r="CB2326" t="s">
        <v>135</v>
      </c>
      <c r="CH2326" s="2"/>
      <c r="CJ2326" s="2"/>
      <c r="CL2326" s="2"/>
      <c r="CN2326" s="2"/>
      <c r="CQ2326" s="2"/>
      <c r="CT2326" s="2"/>
      <c r="CW2326" s="2"/>
    </row>
    <row r="2327" spans="1:101" x14ac:dyDescent="0.25">
      <c r="A2327" s="1" t="s">
        <v>163</v>
      </c>
      <c r="B2327" s="75" t="s">
        <v>164</v>
      </c>
      <c r="C2327">
        <v>0</v>
      </c>
      <c r="D2327">
        <v>0</v>
      </c>
      <c r="E2327">
        <v>0</v>
      </c>
      <c r="F2327">
        <v>604324.56000000006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3.91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7490</v>
      </c>
      <c r="AW2327">
        <v>3350</v>
      </c>
      <c r="AX2327">
        <v>1219</v>
      </c>
      <c r="AY2327">
        <v>12059</v>
      </c>
      <c r="AZ2327">
        <v>4202</v>
      </c>
      <c r="BA2327">
        <v>7438</v>
      </c>
      <c r="BB2327">
        <v>1432</v>
      </c>
      <c r="BC2327">
        <v>13072</v>
      </c>
      <c r="BD2327">
        <v>9486</v>
      </c>
      <c r="BE2327">
        <v>9222</v>
      </c>
      <c r="BF2327">
        <v>1768</v>
      </c>
      <c r="BG2327">
        <v>20476</v>
      </c>
      <c r="BH2327">
        <v>0</v>
      </c>
      <c r="BI2327">
        <v>0</v>
      </c>
      <c r="BJ2327">
        <v>0</v>
      </c>
      <c r="BK2327">
        <v>0</v>
      </c>
      <c r="BL2327" s="2">
        <v>24.82</v>
      </c>
      <c r="BM2327" s="2">
        <v>42005.095138888886</v>
      </c>
      <c r="BN2327" s="2">
        <v>5.4</v>
      </c>
      <c r="BO2327" s="2">
        <v>42005.092361111114</v>
      </c>
      <c r="BP2327" s="2">
        <v>6.92</v>
      </c>
      <c r="BQ2327" s="2">
        <v>42005.092361111114</v>
      </c>
      <c r="BR2327" s="2">
        <v>11.07</v>
      </c>
      <c r="BS2327" s="2">
        <v>42005.092361111114</v>
      </c>
      <c r="BT2327">
        <v>0</v>
      </c>
      <c r="BU2327">
        <v>0</v>
      </c>
      <c r="BV2327" t="s">
        <v>135</v>
      </c>
      <c r="BW2327">
        <v>0</v>
      </c>
      <c r="BX2327">
        <v>0</v>
      </c>
      <c r="BY2327" t="s">
        <v>135</v>
      </c>
      <c r="BZ2327">
        <v>0</v>
      </c>
      <c r="CA2327">
        <v>0</v>
      </c>
      <c r="CB2327" t="s">
        <v>135</v>
      </c>
      <c r="CH2327" s="2"/>
      <c r="CJ2327" s="2"/>
      <c r="CL2327" s="2"/>
      <c r="CN2327" s="2"/>
      <c r="CQ2327" s="2"/>
      <c r="CT2327" s="2"/>
      <c r="CW2327" s="2"/>
    </row>
    <row r="2328" spans="1:101" x14ac:dyDescent="0.25">
      <c r="A2328" s="1" t="s">
        <v>163</v>
      </c>
      <c r="B2328" s="75" t="s">
        <v>164</v>
      </c>
      <c r="C2328">
        <v>0</v>
      </c>
      <c r="D2328">
        <v>0</v>
      </c>
      <c r="E2328">
        <v>0</v>
      </c>
      <c r="F2328">
        <v>604324.56000000006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3.91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7490</v>
      </c>
      <c r="AW2328">
        <v>3350</v>
      </c>
      <c r="AX2328">
        <v>1219</v>
      </c>
      <c r="AY2328">
        <v>12059</v>
      </c>
      <c r="AZ2328">
        <v>4202</v>
      </c>
      <c r="BA2328">
        <v>7438</v>
      </c>
      <c r="BB2328">
        <v>1432</v>
      </c>
      <c r="BC2328">
        <v>13072</v>
      </c>
      <c r="BD2328">
        <v>9486</v>
      </c>
      <c r="BE2328">
        <v>9222</v>
      </c>
      <c r="BF2328">
        <v>1768</v>
      </c>
      <c r="BG2328">
        <v>20476</v>
      </c>
      <c r="BH2328">
        <v>0</v>
      </c>
      <c r="BI2328">
        <v>0</v>
      </c>
      <c r="BJ2328">
        <v>0</v>
      </c>
      <c r="BK2328">
        <v>0</v>
      </c>
      <c r="BL2328" s="2">
        <v>24.82</v>
      </c>
      <c r="BM2328" s="2">
        <v>42005.095138888886</v>
      </c>
      <c r="BN2328" s="2">
        <v>5.4</v>
      </c>
      <c r="BO2328" s="2">
        <v>42005.092361111114</v>
      </c>
      <c r="BP2328" s="2">
        <v>6.92</v>
      </c>
      <c r="BQ2328" s="2">
        <v>42005.092361111114</v>
      </c>
      <c r="BR2328" s="2">
        <v>11.07</v>
      </c>
      <c r="BS2328" s="2">
        <v>42005.092361111114</v>
      </c>
      <c r="BT2328">
        <v>0</v>
      </c>
      <c r="BU2328">
        <v>0</v>
      </c>
      <c r="BV2328" t="s">
        <v>135</v>
      </c>
      <c r="BW2328">
        <v>0</v>
      </c>
      <c r="BX2328">
        <v>0</v>
      </c>
      <c r="BY2328" t="s">
        <v>135</v>
      </c>
      <c r="BZ2328">
        <v>0</v>
      </c>
      <c r="CA2328">
        <v>0</v>
      </c>
      <c r="CB2328" t="s">
        <v>135</v>
      </c>
      <c r="CH2328" s="2"/>
      <c r="CJ2328" s="2"/>
      <c r="CL2328" s="2"/>
      <c r="CN2328" s="2"/>
      <c r="CQ2328" s="2"/>
      <c r="CT2328" s="2"/>
      <c r="CW2328" s="2"/>
    </row>
    <row r="2329" spans="1:101" x14ac:dyDescent="0.25">
      <c r="A2329" s="1" t="s">
        <v>163</v>
      </c>
      <c r="B2329" s="75" t="s">
        <v>164</v>
      </c>
      <c r="C2329">
        <v>0</v>
      </c>
      <c r="D2329">
        <v>0</v>
      </c>
      <c r="E2329">
        <v>0</v>
      </c>
      <c r="F2329">
        <v>604324.56000000006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3.91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7490</v>
      </c>
      <c r="AW2329">
        <v>3350</v>
      </c>
      <c r="AX2329">
        <v>1219</v>
      </c>
      <c r="AY2329">
        <v>12059</v>
      </c>
      <c r="AZ2329">
        <v>4202</v>
      </c>
      <c r="BA2329">
        <v>7438</v>
      </c>
      <c r="BB2329">
        <v>1432</v>
      </c>
      <c r="BC2329">
        <v>13072</v>
      </c>
      <c r="BD2329">
        <v>9486</v>
      </c>
      <c r="BE2329">
        <v>9222</v>
      </c>
      <c r="BF2329">
        <v>1768</v>
      </c>
      <c r="BG2329">
        <v>20476</v>
      </c>
      <c r="BH2329">
        <v>0</v>
      </c>
      <c r="BI2329">
        <v>0</v>
      </c>
      <c r="BJ2329">
        <v>0</v>
      </c>
      <c r="BK2329">
        <v>0</v>
      </c>
      <c r="BL2329" s="2">
        <v>24.82</v>
      </c>
      <c r="BM2329" s="2">
        <v>42005.095138888886</v>
      </c>
      <c r="BN2329" s="2">
        <v>5.4</v>
      </c>
      <c r="BO2329" s="2">
        <v>42005.092361111114</v>
      </c>
      <c r="BP2329" s="2">
        <v>6.92</v>
      </c>
      <c r="BQ2329" s="2">
        <v>42005.092361111114</v>
      </c>
      <c r="BR2329" s="2">
        <v>11.07</v>
      </c>
      <c r="BS2329" s="2">
        <v>42005.092361111114</v>
      </c>
      <c r="BT2329">
        <v>0</v>
      </c>
      <c r="BU2329">
        <v>0</v>
      </c>
      <c r="BV2329" t="s">
        <v>135</v>
      </c>
      <c r="BW2329">
        <v>0</v>
      </c>
      <c r="BX2329">
        <v>0</v>
      </c>
      <c r="BY2329" t="s">
        <v>135</v>
      </c>
      <c r="BZ2329">
        <v>0</v>
      </c>
      <c r="CA2329">
        <v>0</v>
      </c>
      <c r="CB2329" t="s">
        <v>135</v>
      </c>
      <c r="CH2329" s="2"/>
      <c r="CJ2329" s="2"/>
      <c r="CL2329" s="2"/>
      <c r="CN2329" s="2"/>
      <c r="CQ2329" s="2"/>
      <c r="CT2329" s="2"/>
      <c r="CW2329" s="2"/>
    </row>
    <row r="2330" spans="1:101" x14ac:dyDescent="0.25">
      <c r="A2330" s="1" t="s">
        <v>163</v>
      </c>
      <c r="B2330" s="75" t="s">
        <v>164</v>
      </c>
      <c r="C2330">
        <v>0</v>
      </c>
      <c r="D2330">
        <v>0</v>
      </c>
      <c r="E2330">
        <v>0</v>
      </c>
      <c r="F2330">
        <v>604324.56000000006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3.91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7490</v>
      </c>
      <c r="AW2330">
        <v>3350</v>
      </c>
      <c r="AX2330">
        <v>1219</v>
      </c>
      <c r="AY2330">
        <v>12059</v>
      </c>
      <c r="AZ2330">
        <v>4202</v>
      </c>
      <c r="BA2330">
        <v>7438</v>
      </c>
      <c r="BB2330">
        <v>1432</v>
      </c>
      <c r="BC2330">
        <v>13072</v>
      </c>
      <c r="BD2330">
        <v>9486</v>
      </c>
      <c r="BE2330">
        <v>9222</v>
      </c>
      <c r="BF2330">
        <v>1768</v>
      </c>
      <c r="BG2330">
        <v>20476</v>
      </c>
      <c r="BH2330">
        <v>0</v>
      </c>
      <c r="BI2330">
        <v>0</v>
      </c>
      <c r="BJ2330">
        <v>0</v>
      </c>
      <c r="BK2330">
        <v>0</v>
      </c>
      <c r="BL2330" s="2">
        <v>24.82</v>
      </c>
      <c r="BM2330" s="2">
        <v>42005.095138888886</v>
      </c>
      <c r="BN2330" s="2">
        <v>5.4</v>
      </c>
      <c r="BO2330" s="2">
        <v>42005.092361111114</v>
      </c>
      <c r="BP2330" s="2">
        <v>6.92</v>
      </c>
      <c r="BQ2330" s="2">
        <v>42005.092361111114</v>
      </c>
      <c r="BR2330" s="2">
        <v>11.07</v>
      </c>
      <c r="BS2330" s="2">
        <v>42005.092361111114</v>
      </c>
      <c r="BT2330">
        <v>0</v>
      </c>
      <c r="BU2330">
        <v>0</v>
      </c>
      <c r="BV2330" t="s">
        <v>135</v>
      </c>
      <c r="BW2330">
        <v>0</v>
      </c>
      <c r="BX2330">
        <v>0</v>
      </c>
      <c r="BY2330" t="s">
        <v>135</v>
      </c>
      <c r="BZ2330">
        <v>0</v>
      </c>
      <c r="CA2330">
        <v>0</v>
      </c>
      <c r="CB2330" t="s">
        <v>135</v>
      </c>
      <c r="CH2330" s="2"/>
      <c r="CJ2330" s="2"/>
      <c r="CL2330" s="2"/>
      <c r="CN2330" s="2"/>
      <c r="CQ2330" s="2"/>
      <c r="CT2330" s="2"/>
      <c r="CW2330" s="2"/>
    </row>
    <row r="2331" spans="1:101" x14ac:dyDescent="0.25">
      <c r="A2331" s="1" t="s">
        <v>163</v>
      </c>
      <c r="B2331" s="75" t="s">
        <v>164</v>
      </c>
      <c r="C2331">
        <v>0</v>
      </c>
      <c r="D2331">
        <v>0</v>
      </c>
      <c r="E2331">
        <v>0</v>
      </c>
      <c r="F2331">
        <v>604324.56000000006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3.91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7490</v>
      </c>
      <c r="AW2331">
        <v>3350</v>
      </c>
      <c r="AX2331">
        <v>1219</v>
      </c>
      <c r="AY2331">
        <v>12059</v>
      </c>
      <c r="AZ2331">
        <v>4202</v>
      </c>
      <c r="BA2331">
        <v>7438</v>
      </c>
      <c r="BB2331">
        <v>1432</v>
      </c>
      <c r="BC2331">
        <v>13072</v>
      </c>
      <c r="BD2331">
        <v>9486</v>
      </c>
      <c r="BE2331">
        <v>9222</v>
      </c>
      <c r="BF2331">
        <v>1768</v>
      </c>
      <c r="BG2331">
        <v>20476</v>
      </c>
      <c r="BH2331">
        <v>0</v>
      </c>
      <c r="BI2331">
        <v>0</v>
      </c>
      <c r="BJ2331">
        <v>0</v>
      </c>
      <c r="BK2331">
        <v>0</v>
      </c>
      <c r="BL2331" s="2">
        <v>24.82</v>
      </c>
      <c r="BM2331" s="2">
        <v>42005.095138888886</v>
      </c>
      <c r="BN2331" s="2">
        <v>5.4</v>
      </c>
      <c r="BO2331" s="2">
        <v>42005.092361111114</v>
      </c>
      <c r="BP2331" s="2">
        <v>6.92</v>
      </c>
      <c r="BQ2331" s="2">
        <v>42005.092361111114</v>
      </c>
      <c r="BR2331" s="2">
        <v>11.07</v>
      </c>
      <c r="BS2331" s="2">
        <v>42005.092361111114</v>
      </c>
      <c r="BT2331">
        <v>0</v>
      </c>
      <c r="BU2331">
        <v>0</v>
      </c>
      <c r="BV2331" t="s">
        <v>135</v>
      </c>
      <c r="BW2331">
        <v>0</v>
      </c>
      <c r="BX2331">
        <v>0</v>
      </c>
      <c r="BY2331" t="s">
        <v>135</v>
      </c>
      <c r="BZ2331">
        <v>0</v>
      </c>
      <c r="CA2331">
        <v>0</v>
      </c>
      <c r="CB2331" t="s">
        <v>135</v>
      </c>
      <c r="CH2331" s="2"/>
      <c r="CJ2331" s="2"/>
      <c r="CL2331" s="2"/>
      <c r="CN2331" s="2"/>
      <c r="CQ2331" s="2"/>
      <c r="CT2331" s="2"/>
      <c r="CW2331" s="2"/>
    </row>
    <row r="2332" spans="1:101" x14ac:dyDescent="0.25">
      <c r="A2332" s="1" t="s">
        <v>163</v>
      </c>
      <c r="B2332" s="75" t="s">
        <v>164</v>
      </c>
      <c r="C2332">
        <v>0</v>
      </c>
      <c r="D2332">
        <v>0</v>
      </c>
      <c r="E2332">
        <v>0</v>
      </c>
      <c r="F2332">
        <v>604324.56000000006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3.91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7490</v>
      </c>
      <c r="AW2332">
        <v>3350</v>
      </c>
      <c r="AX2332">
        <v>1219</v>
      </c>
      <c r="AY2332">
        <v>12059</v>
      </c>
      <c r="AZ2332">
        <v>4202</v>
      </c>
      <c r="BA2332">
        <v>7438</v>
      </c>
      <c r="BB2332">
        <v>1432</v>
      </c>
      <c r="BC2332">
        <v>13072</v>
      </c>
      <c r="BD2332">
        <v>9486</v>
      </c>
      <c r="BE2332">
        <v>9222</v>
      </c>
      <c r="BF2332">
        <v>1768</v>
      </c>
      <c r="BG2332">
        <v>20476</v>
      </c>
      <c r="BH2332">
        <v>0</v>
      </c>
      <c r="BI2332">
        <v>0</v>
      </c>
      <c r="BJ2332">
        <v>0</v>
      </c>
      <c r="BK2332">
        <v>0</v>
      </c>
      <c r="BL2332" s="2">
        <v>24.82</v>
      </c>
      <c r="BM2332" s="2">
        <v>42005.095138888886</v>
      </c>
      <c r="BN2332" s="2">
        <v>5.4</v>
      </c>
      <c r="BO2332" s="2">
        <v>42005.092361111114</v>
      </c>
      <c r="BP2332" s="2">
        <v>6.92</v>
      </c>
      <c r="BQ2332" s="2">
        <v>42005.092361111114</v>
      </c>
      <c r="BR2332" s="2">
        <v>11.07</v>
      </c>
      <c r="BS2332" s="2">
        <v>42005.092361111114</v>
      </c>
      <c r="BT2332">
        <v>0</v>
      </c>
      <c r="BU2332">
        <v>0</v>
      </c>
      <c r="BV2332" t="s">
        <v>135</v>
      </c>
      <c r="BW2332">
        <v>0</v>
      </c>
      <c r="BX2332">
        <v>0</v>
      </c>
      <c r="BY2332" t="s">
        <v>135</v>
      </c>
      <c r="BZ2332">
        <v>0</v>
      </c>
      <c r="CA2332">
        <v>0</v>
      </c>
      <c r="CB2332" t="s">
        <v>135</v>
      </c>
      <c r="CH2332" s="2"/>
      <c r="CJ2332" s="2"/>
      <c r="CL2332" s="2"/>
      <c r="CN2332" s="2"/>
      <c r="CQ2332" s="2"/>
      <c r="CT2332" s="2"/>
      <c r="CW2332" s="2"/>
    </row>
    <row r="2333" spans="1:101" x14ac:dyDescent="0.25">
      <c r="A2333" s="1" t="s">
        <v>163</v>
      </c>
      <c r="B2333" s="75" t="s">
        <v>164</v>
      </c>
      <c r="C2333">
        <v>0</v>
      </c>
      <c r="D2333">
        <v>0</v>
      </c>
      <c r="E2333">
        <v>0</v>
      </c>
      <c r="F2333">
        <v>604324.56000000006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3.91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7490</v>
      </c>
      <c r="AW2333">
        <v>3350</v>
      </c>
      <c r="AX2333">
        <v>1219</v>
      </c>
      <c r="AY2333">
        <v>12059</v>
      </c>
      <c r="AZ2333">
        <v>4202</v>
      </c>
      <c r="BA2333">
        <v>7438</v>
      </c>
      <c r="BB2333">
        <v>1432</v>
      </c>
      <c r="BC2333">
        <v>13072</v>
      </c>
      <c r="BD2333">
        <v>9486</v>
      </c>
      <c r="BE2333">
        <v>9222</v>
      </c>
      <c r="BF2333">
        <v>1768</v>
      </c>
      <c r="BG2333">
        <v>20476</v>
      </c>
      <c r="BH2333">
        <v>0</v>
      </c>
      <c r="BI2333">
        <v>0</v>
      </c>
      <c r="BJ2333">
        <v>0</v>
      </c>
      <c r="BK2333">
        <v>0</v>
      </c>
      <c r="BL2333" s="2">
        <v>24.82</v>
      </c>
      <c r="BM2333" s="2">
        <v>42005.095138888886</v>
      </c>
      <c r="BN2333" s="2">
        <v>5.4</v>
      </c>
      <c r="BO2333" s="2">
        <v>42005.092361111114</v>
      </c>
      <c r="BP2333" s="2">
        <v>6.92</v>
      </c>
      <c r="BQ2333" s="2">
        <v>42005.092361111114</v>
      </c>
      <c r="BR2333" s="2">
        <v>11.07</v>
      </c>
      <c r="BS2333" s="2">
        <v>42005.092361111114</v>
      </c>
      <c r="BT2333">
        <v>0</v>
      </c>
      <c r="BU2333">
        <v>0</v>
      </c>
      <c r="BV2333" t="s">
        <v>135</v>
      </c>
      <c r="BW2333">
        <v>0</v>
      </c>
      <c r="BX2333">
        <v>0</v>
      </c>
      <c r="BY2333" t="s">
        <v>135</v>
      </c>
      <c r="BZ2333">
        <v>0</v>
      </c>
      <c r="CA2333">
        <v>0</v>
      </c>
      <c r="CB2333" t="s">
        <v>135</v>
      </c>
      <c r="CH2333" s="2"/>
      <c r="CJ2333" s="2"/>
      <c r="CL2333" s="2"/>
      <c r="CN2333" s="2"/>
      <c r="CQ2333" s="2"/>
      <c r="CT2333" s="2"/>
      <c r="CW2333" s="2"/>
    </row>
    <row r="2334" spans="1:101" x14ac:dyDescent="0.25">
      <c r="A2334" s="1" t="s">
        <v>163</v>
      </c>
      <c r="B2334" s="75" t="s">
        <v>164</v>
      </c>
      <c r="C2334">
        <v>0</v>
      </c>
      <c r="D2334">
        <v>0</v>
      </c>
      <c r="E2334">
        <v>0</v>
      </c>
      <c r="F2334">
        <v>604324.56000000006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3.91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7490</v>
      </c>
      <c r="AW2334">
        <v>3350</v>
      </c>
      <c r="AX2334">
        <v>1219</v>
      </c>
      <c r="AY2334">
        <v>12059</v>
      </c>
      <c r="AZ2334">
        <v>4202</v>
      </c>
      <c r="BA2334">
        <v>7438</v>
      </c>
      <c r="BB2334">
        <v>1432</v>
      </c>
      <c r="BC2334">
        <v>13072</v>
      </c>
      <c r="BD2334">
        <v>9486</v>
      </c>
      <c r="BE2334">
        <v>9222</v>
      </c>
      <c r="BF2334">
        <v>1768</v>
      </c>
      <c r="BG2334">
        <v>20476</v>
      </c>
      <c r="BH2334">
        <v>0</v>
      </c>
      <c r="BI2334">
        <v>0</v>
      </c>
      <c r="BJ2334">
        <v>0</v>
      </c>
      <c r="BK2334">
        <v>0</v>
      </c>
      <c r="BL2334" s="2">
        <v>24.82</v>
      </c>
      <c r="BM2334" s="2">
        <v>42005.095138888886</v>
      </c>
      <c r="BN2334" s="2">
        <v>5.4</v>
      </c>
      <c r="BO2334" s="2">
        <v>42005.092361111114</v>
      </c>
      <c r="BP2334" s="2">
        <v>6.92</v>
      </c>
      <c r="BQ2334" s="2">
        <v>42005.092361111114</v>
      </c>
      <c r="BR2334" s="2">
        <v>11.07</v>
      </c>
      <c r="BS2334" s="2">
        <v>42005.092361111114</v>
      </c>
      <c r="BT2334">
        <v>0</v>
      </c>
      <c r="BU2334">
        <v>0</v>
      </c>
      <c r="BV2334" t="s">
        <v>135</v>
      </c>
      <c r="BW2334">
        <v>0</v>
      </c>
      <c r="BX2334">
        <v>0</v>
      </c>
      <c r="BY2334" t="s">
        <v>135</v>
      </c>
      <c r="BZ2334">
        <v>0</v>
      </c>
      <c r="CA2334">
        <v>0</v>
      </c>
      <c r="CB2334" t="s">
        <v>135</v>
      </c>
      <c r="CH2334" s="2"/>
      <c r="CJ2334" s="2"/>
      <c r="CL2334" s="2"/>
      <c r="CN2334" s="2"/>
      <c r="CQ2334" s="2"/>
      <c r="CT2334" s="2"/>
      <c r="CW2334" s="2"/>
    </row>
    <row r="2335" spans="1:101" x14ac:dyDescent="0.25">
      <c r="A2335" s="1" t="s">
        <v>163</v>
      </c>
      <c r="B2335" s="75" t="s">
        <v>164</v>
      </c>
      <c r="C2335">
        <v>0</v>
      </c>
      <c r="D2335">
        <v>0</v>
      </c>
      <c r="E2335">
        <v>0</v>
      </c>
      <c r="F2335">
        <v>604324.56000000006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3.91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7490</v>
      </c>
      <c r="AW2335">
        <v>3350</v>
      </c>
      <c r="AX2335">
        <v>1219</v>
      </c>
      <c r="AY2335">
        <v>12059</v>
      </c>
      <c r="AZ2335">
        <v>4202</v>
      </c>
      <c r="BA2335">
        <v>7438</v>
      </c>
      <c r="BB2335">
        <v>1432</v>
      </c>
      <c r="BC2335">
        <v>13072</v>
      </c>
      <c r="BD2335">
        <v>9486</v>
      </c>
      <c r="BE2335">
        <v>9222</v>
      </c>
      <c r="BF2335">
        <v>1768</v>
      </c>
      <c r="BG2335">
        <v>20476</v>
      </c>
      <c r="BH2335">
        <v>0</v>
      </c>
      <c r="BI2335">
        <v>0</v>
      </c>
      <c r="BJ2335">
        <v>0</v>
      </c>
      <c r="BK2335">
        <v>0</v>
      </c>
      <c r="BL2335" s="2">
        <v>24.82</v>
      </c>
      <c r="BM2335" s="2">
        <v>42005.095138888886</v>
      </c>
      <c r="BN2335" s="2">
        <v>5.4</v>
      </c>
      <c r="BO2335" s="2">
        <v>42005.092361111114</v>
      </c>
      <c r="BP2335" s="2">
        <v>6.92</v>
      </c>
      <c r="BQ2335" s="2">
        <v>42005.092361111114</v>
      </c>
      <c r="BR2335" s="2">
        <v>11.07</v>
      </c>
      <c r="BS2335" s="2">
        <v>42005.092361111114</v>
      </c>
      <c r="BT2335">
        <v>0</v>
      </c>
      <c r="BU2335">
        <v>0</v>
      </c>
      <c r="BV2335" t="s">
        <v>135</v>
      </c>
      <c r="BW2335">
        <v>0</v>
      </c>
      <c r="BX2335">
        <v>0</v>
      </c>
      <c r="BY2335" t="s">
        <v>135</v>
      </c>
      <c r="BZ2335">
        <v>0</v>
      </c>
      <c r="CA2335">
        <v>0</v>
      </c>
      <c r="CB2335" t="s">
        <v>135</v>
      </c>
      <c r="CH2335" s="2"/>
      <c r="CJ2335" s="2"/>
      <c r="CL2335" s="2"/>
      <c r="CN2335" s="2"/>
      <c r="CQ2335" s="2"/>
      <c r="CT2335" s="2"/>
      <c r="CW2335" s="2"/>
    </row>
    <row r="2336" spans="1:101" x14ac:dyDescent="0.25">
      <c r="A2336" s="1" t="s">
        <v>163</v>
      </c>
      <c r="B2336" s="75" t="s">
        <v>164</v>
      </c>
      <c r="C2336">
        <v>0</v>
      </c>
      <c r="D2336">
        <v>0</v>
      </c>
      <c r="E2336">
        <v>0</v>
      </c>
      <c r="F2336">
        <v>604324.56000000006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3.91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7490</v>
      </c>
      <c r="AW2336">
        <v>3350</v>
      </c>
      <c r="AX2336">
        <v>1219</v>
      </c>
      <c r="AY2336">
        <v>12059</v>
      </c>
      <c r="AZ2336">
        <v>4202</v>
      </c>
      <c r="BA2336">
        <v>7438</v>
      </c>
      <c r="BB2336">
        <v>1432</v>
      </c>
      <c r="BC2336">
        <v>13072</v>
      </c>
      <c r="BD2336">
        <v>9486</v>
      </c>
      <c r="BE2336">
        <v>9222</v>
      </c>
      <c r="BF2336">
        <v>1768</v>
      </c>
      <c r="BG2336">
        <v>20476</v>
      </c>
      <c r="BH2336">
        <v>0</v>
      </c>
      <c r="BI2336">
        <v>0</v>
      </c>
      <c r="BJ2336">
        <v>0</v>
      </c>
      <c r="BK2336">
        <v>0</v>
      </c>
      <c r="BL2336" s="2">
        <v>24.82</v>
      </c>
      <c r="BM2336" s="2">
        <v>42005.095138888886</v>
      </c>
      <c r="BN2336" s="2">
        <v>5.4</v>
      </c>
      <c r="BO2336" s="2">
        <v>42005.092361111114</v>
      </c>
      <c r="BP2336" s="2">
        <v>6.92</v>
      </c>
      <c r="BQ2336" s="2">
        <v>42005.092361111114</v>
      </c>
      <c r="BR2336" s="2">
        <v>11.07</v>
      </c>
      <c r="BS2336" s="2">
        <v>42005.092361111114</v>
      </c>
      <c r="BT2336">
        <v>0</v>
      </c>
      <c r="BU2336">
        <v>0</v>
      </c>
      <c r="BV2336" t="s">
        <v>135</v>
      </c>
      <c r="BW2336">
        <v>0</v>
      </c>
      <c r="BX2336">
        <v>0</v>
      </c>
      <c r="BY2336" t="s">
        <v>135</v>
      </c>
      <c r="BZ2336">
        <v>0</v>
      </c>
      <c r="CA2336">
        <v>0</v>
      </c>
      <c r="CB2336" t="s">
        <v>135</v>
      </c>
      <c r="CH2336" s="2"/>
      <c r="CJ2336" s="2"/>
      <c r="CL2336" s="2"/>
      <c r="CN2336" s="2"/>
      <c r="CQ2336" s="2"/>
      <c r="CT2336" s="2"/>
      <c r="CW2336" s="2"/>
    </row>
    <row r="2337" spans="1:101" x14ac:dyDescent="0.25">
      <c r="A2337" s="1" t="s">
        <v>163</v>
      </c>
      <c r="B2337" s="75" t="s">
        <v>164</v>
      </c>
      <c r="C2337">
        <v>0</v>
      </c>
      <c r="D2337">
        <v>0</v>
      </c>
      <c r="E2337">
        <v>0</v>
      </c>
      <c r="F2337">
        <v>604324.56000000006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3.91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7490</v>
      </c>
      <c r="AW2337">
        <v>3350</v>
      </c>
      <c r="AX2337">
        <v>1219</v>
      </c>
      <c r="AY2337">
        <v>12059</v>
      </c>
      <c r="AZ2337">
        <v>4202</v>
      </c>
      <c r="BA2337">
        <v>7438</v>
      </c>
      <c r="BB2337">
        <v>1432</v>
      </c>
      <c r="BC2337">
        <v>13072</v>
      </c>
      <c r="BD2337">
        <v>9486</v>
      </c>
      <c r="BE2337">
        <v>9222</v>
      </c>
      <c r="BF2337">
        <v>1768</v>
      </c>
      <c r="BG2337">
        <v>20476</v>
      </c>
      <c r="BH2337">
        <v>0</v>
      </c>
      <c r="BI2337">
        <v>0</v>
      </c>
      <c r="BJ2337">
        <v>0</v>
      </c>
      <c r="BK2337">
        <v>0</v>
      </c>
      <c r="BL2337" s="2">
        <v>24.82</v>
      </c>
      <c r="BM2337" s="2">
        <v>42005.095138888886</v>
      </c>
      <c r="BN2337" s="2">
        <v>5.4</v>
      </c>
      <c r="BO2337" s="2">
        <v>42005.092361111114</v>
      </c>
      <c r="BP2337" s="2">
        <v>6.92</v>
      </c>
      <c r="BQ2337" s="2">
        <v>42005.092361111114</v>
      </c>
      <c r="BR2337" s="2">
        <v>11.07</v>
      </c>
      <c r="BS2337" s="2">
        <v>42005.092361111114</v>
      </c>
      <c r="BT2337">
        <v>0</v>
      </c>
      <c r="BU2337">
        <v>0</v>
      </c>
      <c r="BV2337" t="s">
        <v>135</v>
      </c>
      <c r="BW2337">
        <v>0</v>
      </c>
      <c r="BX2337">
        <v>0</v>
      </c>
      <c r="BY2337" t="s">
        <v>135</v>
      </c>
      <c r="BZ2337">
        <v>0</v>
      </c>
      <c r="CA2337">
        <v>0</v>
      </c>
      <c r="CB2337" t="s">
        <v>135</v>
      </c>
      <c r="CH2337" s="2"/>
      <c r="CJ2337" s="2"/>
      <c r="CL2337" s="2"/>
      <c r="CN2337" s="2"/>
      <c r="CQ2337" s="2"/>
      <c r="CT2337" s="2"/>
      <c r="CW2337" s="2"/>
    </row>
    <row r="2338" spans="1:101" x14ac:dyDescent="0.25">
      <c r="A2338" s="1" t="s">
        <v>163</v>
      </c>
      <c r="B2338" s="75" t="s">
        <v>164</v>
      </c>
      <c r="C2338">
        <v>0</v>
      </c>
      <c r="D2338">
        <v>0</v>
      </c>
      <c r="E2338">
        <v>0</v>
      </c>
      <c r="F2338">
        <v>604324.56000000006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3.91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7490</v>
      </c>
      <c r="AW2338">
        <v>3350</v>
      </c>
      <c r="AX2338">
        <v>1219</v>
      </c>
      <c r="AY2338">
        <v>12059</v>
      </c>
      <c r="AZ2338">
        <v>4202</v>
      </c>
      <c r="BA2338">
        <v>7438</v>
      </c>
      <c r="BB2338">
        <v>1432</v>
      </c>
      <c r="BC2338">
        <v>13072</v>
      </c>
      <c r="BD2338">
        <v>9486</v>
      </c>
      <c r="BE2338">
        <v>9222</v>
      </c>
      <c r="BF2338">
        <v>1768</v>
      </c>
      <c r="BG2338">
        <v>20476</v>
      </c>
      <c r="BH2338">
        <v>0</v>
      </c>
      <c r="BI2338">
        <v>0</v>
      </c>
      <c r="BJ2338">
        <v>0</v>
      </c>
      <c r="BK2338">
        <v>0</v>
      </c>
      <c r="BL2338" s="2">
        <v>24.82</v>
      </c>
      <c r="BM2338" s="2">
        <v>42005.095138888886</v>
      </c>
      <c r="BN2338" s="2">
        <v>5.4</v>
      </c>
      <c r="BO2338" s="2">
        <v>42005.092361111114</v>
      </c>
      <c r="BP2338" s="2">
        <v>6.92</v>
      </c>
      <c r="BQ2338" s="2">
        <v>42005.092361111114</v>
      </c>
      <c r="BR2338" s="2">
        <v>11.07</v>
      </c>
      <c r="BS2338" s="2">
        <v>42005.092361111114</v>
      </c>
      <c r="BT2338">
        <v>0</v>
      </c>
      <c r="BU2338">
        <v>0</v>
      </c>
      <c r="BV2338" t="s">
        <v>135</v>
      </c>
      <c r="BW2338">
        <v>0</v>
      </c>
      <c r="BX2338">
        <v>0</v>
      </c>
      <c r="BY2338" t="s">
        <v>135</v>
      </c>
      <c r="BZ2338">
        <v>0</v>
      </c>
      <c r="CA2338">
        <v>0</v>
      </c>
      <c r="CB2338" t="s">
        <v>135</v>
      </c>
      <c r="CH2338" s="2"/>
      <c r="CJ2338" s="2"/>
      <c r="CL2338" s="2"/>
      <c r="CN2338" s="2"/>
      <c r="CQ2338" s="2"/>
      <c r="CT2338" s="2"/>
      <c r="CW2338" s="2"/>
    </row>
    <row r="2339" spans="1:101" x14ac:dyDescent="0.25">
      <c r="A2339" s="1" t="s">
        <v>163</v>
      </c>
      <c r="B2339" s="75" t="s">
        <v>164</v>
      </c>
      <c r="C2339">
        <v>0</v>
      </c>
      <c r="D2339">
        <v>0</v>
      </c>
      <c r="E2339">
        <v>0</v>
      </c>
      <c r="F2339">
        <v>604324.56000000006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3.91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7490</v>
      </c>
      <c r="AW2339">
        <v>3350</v>
      </c>
      <c r="AX2339">
        <v>1219</v>
      </c>
      <c r="AY2339">
        <v>12059</v>
      </c>
      <c r="AZ2339">
        <v>4202</v>
      </c>
      <c r="BA2339">
        <v>7438</v>
      </c>
      <c r="BB2339">
        <v>1432</v>
      </c>
      <c r="BC2339">
        <v>13072</v>
      </c>
      <c r="BD2339">
        <v>9486</v>
      </c>
      <c r="BE2339">
        <v>9222</v>
      </c>
      <c r="BF2339">
        <v>1768</v>
      </c>
      <c r="BG2339">
        <v>20476</v>
      </c>
      <c r="BH2339">
        <v>0</v>
      </c>
      <c r="BI2339">
        <v>0</v>
      </c>
      <c r="BJ2339">
        <v>0</v>
      </c>
      <c r="BK2339">
        <v>0</v>
      </c>
      <c r="BL2339" s="2">
        <v>24.82</v>
      </c>
      <c r="BM2339" s="2">
        <v>42005.095138888886</v>
      </c>
      <c r="BN2339" s="2">
        <v>5.4</v>
      </c>
      <c r="BO2339" s="2">
        <v>42005.092361111114</v>
      </c>
      <c r="BP2339" s="2">
        <v>6.92</v>
      </c>
      <c r="BQ2339" s="2">
        <v>42005.092361111114</v>
      </c>
      <c r="BR2339" s="2">
        <v>11.07</v>
      </c>
      <c r="BS2339" s="2">
        <v>42005.092361111114</v>
      </c>
      <c r="BT2339">
        <v>0</v>
      </c>
      <c r="BU2339">
        <v>0</v>
      </c>
      <c r="BV2339" t="s">
        <v>135</v>
      </c>
      <c r="BW2339">
        <v>0</v>
      </c>
      <c r="BX2339">
        <v>0</v>
      </c>
      <c r="BY2339" t="s">
        <v>135</v>
      </c>
      <c r="BZ2339">
        <v>0</v>
      </c>
      <c r="CA2339">
        <v>0</v>
      </c>
      <c r="CB2339" t="s">
        <v>135</v>
      </c>
      <c r="CH2339" s="2"/>
      <c r="CJ2339" s="2"/>
      <c r="CL2339" s="2"/>
      <c r="CN2339" s="2"/>
      <c r="CQ2339" s="2"/>
      <c r="CT2339" s="2"/>
      <c r="CW2339" s="2"/>
    </row>
    <row r="2340" spans="1:101" x14ac:dyDescent="0.25">
      <c r="A2340" s="1" t="s">
        <v>163</v>
      </c>
      <c r="B2340" s="75" t="s">
        <v>164</v>
      </c>
      <c r="C2340">
        <v>0</v>
      </c>
      <c r="D2340">
        <v>0</v>
      </c>
      <c r="E2340">
        <v>0</v>
      </c>
      <c r="F2340">
        <v>604324.56000000006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3.91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7490</v>
      </c>
      <c r="AW2340">
        <v>3350</v>
      </c>
      <c r="AX2340">
        <v>1219</v>
      </c>
      <c r="AY2340">
        <v>12059</v>
      </c>
      <c r="AZ2340">
        <v>4202</v>
      </c>
      <c r="BA2340">
        <v>7438</v>
      </c>
      <c r="BB2340">
        <v>1432</v>
      </c>
      <c r="BC2340">
        <v>13072</v>
      </c>
      <c r="BD2340">
        <v>9486</v>
      </c>
      <c r="BE2340">
        <v>9222</v>
      </c>
      <c r="BF2340">
        <v>1768</v>
      </c>
      <c r="BG2340">
        <v>20476</v>
      </c>
      <c r="BH2340">
        <v>0</v>
      </c>
      <c r="BI2340">
        <v>0</v>
      </c>
      <c r="BJ2340">
        <v>0</v>
      </c>
      <c r="BK2340">
        <v>0</v>
      </c>
      <c r="BL2340" s="2">
        <v>24.82</v>
      </c>
      <c r="BM2340" s="2">
        <v>42005.095138888886</v>
      </c>
      <c r="BN2340" s="2">
        <v>5.4</v>
      </c>
      <c r="BO2340" s="2">
        <v>42005.092361111114</v>
      </c>
      <c r="BP2340" s="2">
        <v>6.92</v>
      </c>
      <c r="BQ2340" s="2">
        <v>42005.092361111114</v>
      </c>
      <c r="BR2340" s="2">
        <v>11.07</v>
      </c>
      <c r="BS2340" s="2">
        <v>42005.092361111114</v>
      </c>
      <c r="BT2340">
        <v>0</v>
      </c>
      <c r="BU2340">
        <v>0</v>
      </c>
      <c r="BV2340" t="s">
        <v>135</v>
      </c>
      <c r="BW2340">
        <v>0</v>
      </c>
      <c r="BX2340">
        <v>0</v>
      </c>
      <c r="BY2340" t="s">
        <v>135</v>
      </c>
      <c r="BZ2340">
        <v>0</v>
      </c>
      <c r="CA2340">
        <v>0</v>
      </c>
      <c r="CB2340" t="s">
        <v>135</v>
      </c>
      <c r="CH2340" s="2"/>
      <c r="CJ2340" s="2"/>
      <c r="CL2340" s="2"/>
      <c r="CN2340" s="2"/>
      <c r="CQ2340" s="2"/>
      <c r="CT2340" s="2"/>
      <c r="CW2340" s="2"/>
    </row>
    <row r="2341" spans="1:101" x14ac:dyDescent="0.25">
      <c r="A2341" s="1" t="s">
        <v>163</v>
      </c>
      <c r="B2341" s="75" t="s">
        <v>164</v>
      </c>
      <c r="C2341">
        <v>0</v>
      </c>
      <c r="D2341">
        <v>0</v>
      </c>
      <c r="E2341">
        <v>0</v>
      </c>
      <c r="F2341">
        <v>604324.56000000006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3.91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7490</v>
      </c>
      <c r="AW2341">
        <v>3350</v>
      </c>
      <c r="AX2341">
        <v>1219</v>
      </c>
      <c r="AY2341">
        <v>12059</v>
      </c>
      <c r="AZ2341">
        <v>4202</v>
      </c>
      <c r="BA2341">
        <v>7438</v>
      </c>
      <c r="BB2341">
        <v>1432</v>
      </c>
      <c r="BC2341">
        <v>13072</v>
      </c>
      <c r="BD2341">
        <v>9486</v>
      </c>
      <c r="BE2341">
        <v>9222</v>
      </c>
      <c r="BF2341">
        <v>1768</v>
      </c>
      <c r="BG2341">
        <v>20476</v>
      </c>
      <c r="BH2341">
        <v>0</v>
      </c>
      <c r="BI2341">
        <v>0</v>
      </c>
      <c r="BJ2341">
        <v>0</v>
      </c>
      <c r="BK2341">
        <v>0</v>
      </c>
      <c r="BL2341" s="2">
        <v>24.82</v>
      </c>
      <c r="BM2341" s="2">
        <v>42005.095138888886</v>
      </c>
      <c r="BN2341" s="2">
        <v>5.4</v>
      </c>
      <c r="BO2341" s="2">
        <v>42005.092361111114</v>
      </c>
      <c r="BP2341" s="2">
        <v>6.92</v>
      </c>
      <c r="BQ2341" s="2">
        <v>42005.092361111114</v>
      </c>
      <c r="BR2341" s="2">
        <v>11.07</v>
      </c>
      <c r="BS2341" s="2">
        <v>42005.092361111114</v>
      </c>
      <c r="BT2341">
        <v>0</v>
      </c>
      <c r="BU2341">
        <v>0</v>
      </c>
      <c r="BV2341" t="s">
        <v>135</v>
      </c>
      <c r="BW2341">
        <v>0</v>
      </c>
      <c r="BX2341">
        <v>0</v>
      </c>
      <c r="BY2341" t="s">
        <v>135</v>
      </c>
      <c r="BZ2341">
        <v>0</v>
      </c>
      <c r="CA2341">
        <v>0</v>
      </c>
      <c r="CB2341" t="s">
        <v>135</v>
      </c>
      <c r="CH2341" s="2"/>
      <c r="CJ2341" s="2"/>
      <c r="CL2341" s="2"/>
      <c r="CN2341" s="2"/>
      <c r="CQ2341" s="2"/>
      <c r="CT2341" s="2"/>
      <c r="CW2341" s="2"/>
    </row>
    <row r="2342" spans="1:101" x14ac:dyDescent="0.25">
      <c r="A2342" s="1" t="s">
        <v>163</v>
      </c>
      <c r="B2342" s="75" t="s">
        <v>164</v>
      </c>
      <c r="C2342">
        <v>0</v>
      </c>
      <c r="D2342">
        <v>0</v>
      </c>
      <c r="E2342">
        <v>0</v>
      </c>
      <c r="F2342">
        <v>604324.56000000006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3.91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7490</v>
      </c>
      <c r="AW2342">
        <v>3350</v>
      </c>
      <c r="AX2342">
        <v>1219</v>
      </c>
      <c r="AY2342">
        <v>12059</v>
      </c>
      <c r="AZ2342">
        <v>4202</v>
      </c>
      <c r="BA2342">
        <v>7438</v>
      </c>
      <c r="BB2342">
        <v>1432</v>
      </c>
      <c r="BC2342">
        <v>13072</v>
      </c>
      <c r="BD2342">
        <v>9486</v>
      </c>
      <c r="BE2342">
        <v>9222</v>
      </c>
      <c r="BF2342">
        <v>1768</v>
      </c>
      <c r="BG2342">
        <v>20476</v>
      </c>
      <c r="BH2342">
        <v>0</v>
      </c>
      <c r="BI2342">
        <v>0</v>
      </c>
      <c r="BJ2342">
        <v>0</v>
      </c>
      <c r="BK2342">
        <v>0</v>
      </c>
      <c r="BL2342" s="2">
        <v>24.82</v>
      </c>
      <c r="BM2342" s="2">
        <v>42005.095138888886</v>
      </c>
      <c r="BN2342" s="2">
        <v>5.4</v>
      </c>
      <c r="BO2342" s="2">
        <v>42005.092361111114</v>
      </c>
      <c r="BP2342" s="2">
        <v>6.92</v>
      </c>
      <c r="BQ2342" s="2">
        <v>42005.092361111114</v>
      </c>
      <c r="BR2342" s="2">
        <v>11.07</v>
      </c>
      <c r="BS2342" s="2">
        <v>42005.092361111114</v>
      </c>
      <c r="BT2342">
        <v>0</v>
      </c>
      <c r="BU2342">
        <v>0</v>
      </c>
      <c r="BV2342" t="s">
        <v>135</v>
      </c>
      <c r="BW2342">
        <v>0</v>
      </c>
      <c r="BX2342">
        <v>0</v>
      </c>
      <c r="BY2342" t="s">
        <v>135</v>
      </c>
      <c r="BZ2342">
        <v>0</v>
      </c>
      <c r="CA2342">
        <v>0</v>
      </c>
      <c r="CB2342" t="s">
        <v>135</v>
      </c>
      <c r="CH2342" s="2"/>
      <c r="CJ2342" s="2"/>
      <c r="CL2342" s="2"/>
      <c r="CN2342" s="2"/>
      <c r="CQ2342" s="2"/>
      <c r="CT2342" s="2"/>
      <c r="CW2342" s="2"/>
    </row>
    <row r="2343" spans="1:101" x14ac:dyDescent="0.25">
      <c r="A2343" s="1" t="s">
        <v>163</v>
      </c>
      <c r="B2343" s="75" t="s">
        <v>164</v>
      </c>
      <c r="C2343">
        <v>0</v>
      </c>
      <c r="D2343">
        <v>0</v>
      </c>
      <c r="E2343">
        <v>0</v>
      </c>
      <c r="F2343">
        <v>604324.56000000006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3.91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7490</v>
      </c>
      <c r="AW2343">
        <v>3350</v>
      </c>
      <c r="AX2343">
        <v>1219</v>
      </c>
      <c r="AY2343">
        <v>12059</v>
      </c>
      <c r="AZ2343">
        <v>4202</v>
      </c>
      <c r="BA2343">
        <v>7438</v>
      </c>
      <c r="BB2343">
        <v>1432</v>
      </c>
      <c r="BC2343">
        <v>13072</v>
      </c>
      <c r="BD2343">
        <v>9486</v>
      </c>
      <c r="BE2343">
        <v>9222</v>
      </c>
      <c r="BF2343">
        <v>1768</v>
      </c>
      <c r="BG2343">
        <v>20476</v>
      </c>
      <c r="BH2343">
        <v>0</v>
      </c>
      <c r="BI2343">
        <v>0</v>
      </c>
      <c r="BJ2343">
        <v>0</v>
      </c>
      <c r="BK2343">
        <v>0</v>
      </c>
      <c r="BL2343" s="2">
        <v>24.82</v>
      </c>
      <c r="BM2343" s="2">
        <v>42005.095138888886</v>
      </c>
      <c r="BN2343" s="2">
        <v>5.4</v>
      </c>
      <c r="BO2343" s="2">
        <v>42005.092361111114</v>
      </c>
      <c r="BP2343" s="2">
        <v>6.92</v>
      </c>
      <c r="BQ2343" s="2">
        <v>42005.092361111114</v>
      </c>
      <c r="BR2343" s="2">
        <v>11.07</v>
      </c>
      <c r="BS2343" s="2">
        <v>42005.092361111114</v>
      </c>
      <c r="BT2343">
        <v>0</v>
      </c>
      <c r="BU2343">
        <v>0</v>
      </c>
      <c r="BV2343" t="s">
        <v>135</v>
      </c>
      <c r="BW2343">
        <v>0</v>
      </c>
      <c r="BX2343">
        <v>0</v>
      </c>
      <c r="BY2343" t="s">
        <v>135</v>
      </c>
      <c r="BZ2343">
        <v>0</v>
      </c>
      <c r="CA2343">
        <v>0</v>
      </c>
      <c r="CB2343" t="s">
        <v>135</v>
      </c>
      <c r="CH2343" s="2"/>
      <c r="CJ2343" s="2"/>
      <c r="CL2343" s="2"/>
      <c r="CN2343" s="2"/>
      <c r="CQ2343" s="2"/>
      <c r="CT2343" s="2"/>
      <c r="CW2343" s="2"/>
    </row>
    <row r="2344" spans="1:101" x14ac:dyDescent="0.25">
      <c r="A2344" s="1" t="s">
        <v>163</v>
      </c>
      <c r="B2344" s="75" t="s">
        <v>164</v>
      </c>
      <c r="C2344">
        <v>0</v>
      </c>
      <c r="D2344">
        <v>0</v>
      </c>
      <c r="E2344">
        <v>0</v>
      </c>
      <c r="F2344">
        <v>604324.56000000006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3.91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7490</v>
      </c>
      <c r="AW2344">
        <v>3350</v>
      </c>
      <c r="AX2344">
        <v>1219</v>
      </c>
      <c r="AY2344">
        <v>12059</v>
      </c>
      <c r="AZ2344">
        <v>4202</v>
      </c>
      <c r="BA2344">
        <v>7438</v>
      </c>
      <c r="BB2344">
        <v>1432</v>
      </c>
      <c r="BC2344">
        <v>13072</v>
      </c>
      <c r="BD2344">
        <v>9486</v>
      </c>
      <c r="BE2344">
        <v>9222</v>
      </c>
      <c r="BF2344">
        <v>1768</v>
      </c>
      <c r="BG2344">
        <v>20476</v>
      </c>
      <c r="BH2344">
        <v>0</v>
      </c>
      <c r="BI2344">
        <v>0</v>
      </c>
      <c r="BJ2344">
        <v>0</v>
      </c>
      <c r="BK2344">
        <v>0</v>
      </c>
      <c r="BL2344" s="2">
        <v>24.82</v>
      </c>
      <c r="BM2344" s="2">
        <v>42005.095138888886</v>
      </c>
      <c r="BN2344" s="2">
        <v>5.4</v>
      </c>
      <c r="BO2344" s="2">
        <v>42005.092361111114</v>
      </c>
      <c r="BP2344" s="2">
        <v>6.92</v>
      </c>
      <c r="BQ2344" s="2">
        <v>42005.092361111114</v>
      </c>
      <c r="BR2344" s="2">
        <v>11.07</v>
      </c>
      <c r="BS2344" s="2">
        <v>42005.092361111114</v>
      </c>
      <c r="BT2344">
        <v>0</v>
      </c>
      <c r="BU2344">
        <v>0</v>
      </c>
      <c r="BV2344" t="s">
        <v>135</v>
      </c>
      <c r="BW2344">
        <v>0</v>
      </c>
      <c r="BX2344">
        <v>0</v>
      </c>
      <c r="BY2344" t="s">
        <v>135</v>
      </c>
      <c r="BZ2344">
        <v>0</v>
      </c>
      <c r="CA2344">
        <v>0</v>
      </c>
      <c r="CB2344" t="s">
        <v>135</v>
      </c>
      <c r="CH2344" s="2"/>
      <c r="CJ2344" s="2"/>
      <c r="CL2344" s="2"/>
      <c r="CN2344" s="2"/>
      <c r="CQ2344" s="2"/>
      <c r="CT2344" s="2"/>
      <c r="CW2344" s="2"/>
    </row>
    <row r="2345" spans="1:101" x14ac:dyDescent="0.25">
      <c r="A2345" s="1" t="s">
        <v>163</v>
      </c>
      <c r="B2345" s="75" t="s">
        <v>164</v>
      </c>
      <c r="C2345">
        <v>0</v>
      </c>
      <c r="D2345">
        <v>0</v>
      </c>
      <c r="E2345">
        <v>0</v>
      </c>
      <c r="F2345">
        <v>604324.56000000006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3.91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7490</v>
      </c>
      <c r="AW2345">
        <v>3350</v>
      </c>
      <c r="AX2345">
        <v>1219</v>
      </c>
      <c r="AY2345">
        <v>12059</v>
      </c>
      <c r="AZ2345">
        <v>4202</v>
      </c>
      <c r="BA2345">
        <v>7438</v>
      </c>
      <c r="BB2345">
        <v>1432</v>
      </c>
      <c r="BC2345">
        <v>13072</v>
      </c>
      <c r="BD2345">
        <v>9486</v>
      </c>
      <c r="BE2345">
        <v>9222</v>
      </c>
      <c r="BF2345">
        <v>1768</v>
      </c>
      <c r="BG2345">
        <v>20476</v>
      </c>
      <c r="BH2345">
        <v>0</v>
      </c>
      <c r="BI2345">
        <v>0</v>
      </c>
      <c r="BJ2345">
        <v>0</v>
      </c>
      <c r="BK2345">
        <v>0</v>
      </c>
      <c r="BL2345" s="2">
        <v>24.82</v>
      </c>
      <c r="BM2345" s="2">
        <v>42005.095138888886</v>
      </c>
      <c r="BN2345" s="2">
        <v>5.4</v>
      </c>
      <c r="BO2345" s="2">
        <v>42005.092361111114</v>
      </c>
      <c r="BP2345" s="2">
        <v>6.92</v>
      </c>
      <c r="BQ2345" s="2">
        <v>42005.092361111114</v>
      </c>
      <c r="BR2345" s="2">
        <v>11.07</v>
      </c>
      <c r="BS2345" s="2">
        <v>42005.092361111114</v>
      </c>
      <c r="BT2345">
        <v>0</v>
      </c>
      <c r="BU2345">
        <v>0</v>
      </c>
      <c r="BV2345" t="s">
        <v>135</v>
      </c>
      <c r="BW2345">
        <v>0</v>
      </c>
      <c r="BX2345">
        <v>0</v>
      </c>
      <c r="BY2345" t="s">
        <v>135</v>
      </c>
      <c r="BZ2345">
        <v>0</v>
      </c>
      <c r="CA2345">
        <v>0</v>
      </c>
      <c r="CB2345" t="s">
        <v>135</v>
      </c>
      <c r="CH2345" s="2"/>
      <c r="CJ2345" s="2"/>
      <c r="CL2345" s="2"/>
      <c r="CN2345" s="2"/>
      <c r="CQ2345" s="2"/>
      <c r="CT2345" s="2"/>
      <c r="CW2345" s="2"/>
    </row>
    <row r="2346" spans="1:101" x14ac:dyDescent="0.25">
      <c r="A2346" s="1" t="s">
        <v>163</v>
      </c>
      <c r="B2346" s="75" t="s">
        <v>164</v>
      </c>
      <c r="C2346">
        <v>0</v>
      </c>
      <c r="D2346">
        <v>0</v>
      </c>
      <c r="E2346">
        <v>0</v>
      </c>
      <c r="F2346">
        <v>604324.56000000006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3.91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7490</v>
      </c>
      <c r="AW2346">
        <v>3350</v>
      </c>
      <c r="AX2346">
        <v>1219</v>
      </c>
      <c r="AY2346">
        <v>12059</v>
      </c>
      <c r="AZ2346">
        <v>4202</v>
      </c>
      <c r="BA2346">
        <v>7438</v>
      </c>
      <c r="BB2346">
        <v>1432</v>
      </c>
      <c r="BC2346">
        <v>13072</v>
      </c>
      <c r="BD2346">
        <v>9486</v>
      </c>
      <c r="BE2346">
        <v>9222</v>
      </c>
      <c r="BF2346">
        <v>1768</v>
      </c>
      <c r="BG2346">
        <v>20476</v>
      </c>
      <c r="BH2346">
        <v>0</v>
      </c>
      <c r="BI2346">
        <v>0</v>
      </c>
      <c r="BJ2346">
        <v>0</v>
      </c>
      <c r="BK2346">
        <v>0</v>
      </c>
      <c r="BL2346" s="2">
        <v>24.82</v>
      </c>
      <c r="BM2346" s="2">
        <v>42005.095138888886</v>
      </c>
      <c r="BN2346" s="2">
        <v>5.4</v>
      </c>
      <c r="BO2346" s="2">
        <v>42005.092361111114</v>
      </c>
      <c r="BP2346" s="2">
        <v>6.92</v>
      </c>
      <c r="BQ2346" s="2">
        <v>42005.092361111114</v>
      </c>
      <c r="BR2346" s="2">
        <v>11.07</v>
      </c>
      <c r="BS2346" s="2">
        <v>42005.092361111114</v>
      </c>
      <c r="BT2346">
        <v>0</v>
      </c>
      <c r="BU2346">
        <v>0</v>
      </c>
      <c r="BV2346" t="s">
        <v>135</v>
      </c>
      <c r="BW2346">
        <v>0</v>
      </c>
      <c r="BX2346">
        <v>0</v>
      </c>
      <c r="BY2346" t="s">
        <v>135</v>
      </c>
      <c r="BZ2346">
        <v>0</v>
      </c>
      <c r="CA2346">
        <v>0</v>
      </c>
      <c r="CB2346" t="s">
        <v>135</v>
      </c>
      <c r="CH2346" s="2"/>
      <c r="CJ2346" s="2"/>
      <c r="CL2346" s="2"/>
      <c r="CN2346" s="2"/>
      <c r="CQ2346" s="2"/>
      <c r="CT2346" s="2"/>
      <c r="CW2346" s="2"/>
    </row>
    <row r="2347" spans="1:101" x14ac:dyDescent="0.25">
      <c r="A2347" s="1" t="s">
        <v>163</v>
      </c>
      <c r="B2347" s="75" t="s">
        <v>164</v>
      </c>
      <c r="C2347">
        <v>0</v>
      </c>
      <c r="D2347">
        <v>0</v>
      </c>
      <c r="E2347">
        <v>0</v>
      </c>
      <c r="F2347">
        <v>604324.56000000006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3.91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7490</v>
      </c>
      <c r="AW2347">
        <v>3350</v>
      </c>
      <c r="AX2347">
        <v>1219</v>
      </c>
      <c r="AY2347">
        <v>12059</v>
      </c>
      <c r="AZ2347">
        <v>4202</v>
      </c>
      <c r="BA2347">
        <v>7438</v>
      </c>
      <c r="BB2347">
        <v>1432</v>
      </c>
      <c r="BC2347">
        <v>13072</v>
      </c>
      <c r="BD2347">
        <v>9486</v>
      </c>
      <c r="BE2347">
        <v>9222</v>
      </c>
      <c r="BF2347">
        <v>1768</v>
      </c>
      <c r="BG2347">
        <v>20476</v>
      </c>
      <c r="BH2347">
        <v>0</v>
      </c>
      <c r="BI2347">
        <v>0</v>
      </c>
      <c r="BJ2347">
        <v>0</v>
      </c>
      <c r="BK2347">
        <v>0</v>
      </c>
      <c r="BL2347" s="2">
        <v>24.82</v>
      </c>
      <c r="BM2347" s="2">
        <v>42005.095138888886</v>
      </c>
      <c r="BN2347" s="2">
        <v>5.4</v>
      </c>
      <c r="BO2347" s="2">
        <v>42005.092361111114</v>
      </c>
      <c r="BP2347" s="2">
        <v>6.92</v>
      </c>
      <c r="BQ2347" s="2">
        <v>42005.092361111114</v>
      </c>
      <c r="BR2347" s="2">
        <v>11.07</v>
      </c>
      <c r="BS2347" s="2">
        <v>42005.092361111114</v>
      </c>
      <c r="BT2347">
        <v>0</v>
      </c>
      <c r="BU2347">
        <v>0</v>
      </c>
      <c r="BV2347" t="s">
        <v>135</v>
      </c>
      <c r="BW2347">
        <v>0</v>
      </c>
      <c r="BX2347">
        <v>0</v>
      </c>
      <c r="BY2347" t="s">
        <v>135</v>
      </c>
      <c r="BZ2347">
        <v>0</v>
      </c>
      <c r="CA2347">
        <v>0</v>
      </c>
      <c r="CB2347" t="s">
        <v>135</v>
      </c>
      <c r="CH2347" s="2"/>
      <c r="CJ2347" s="2"/>
      <c r="CL2347" s="2"/>
      <c r="CN2347" s="2"/>
      <c r="CQ2347" s="2"/>
      <c r="CT2347" s="2"/>
      <c r="CW2347" s="2"/>
    </row>
    <row r="2348" spans="1:101" x14ac:dyDescent="0.25">
      <c r="A2348" s="1" t="s">
        <v>163</v>
      </c>
      <c r="B2348" s="75" t="s">
        <v>164</v>
      </c>
      <c r="C2348">
        <v>0</v>
      </c>
      <c r="D2348">
        <v>0</v>
      </c>
      <c r="E2348">
        <v>0</v>
      </c>
      <c r="F2348">
        <v>604324.56000000006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3.91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7490</v>
      </c>
      <c r="AW2348">
        <v>3350</v>
      </c>
      <c r="AX2348">
        <v>1219</v>
      </c>
      <c r="AY2348">
        <v>12059</v>
      </c>
      <c r="AZ2348">
        <v>4202</v>
      </c>
      <c r="BA2348">
        <v>7438</v>
      </c>
      <c r="BB2348">
        <v>1432</v>
      </c>
      <c r="BC2348">
        <v>13072</v>
      </c>
      <c r="BD2348">
        <v>9486</v>
      </c>
      <c r="BE2348">
        <v>9222</v>
      </c>
      <c r="BF2348">
        <v>1768</v>
      </c>
      <c r="BG2348">
        <v>20476</v>
      </c>
      <c r="BH2348">
        <v>0</v>
      </c>
      <c r="BI2348">
        <v>0</v>
      </c>
      <c r="BJ2348">
        <v>0</v>
      </c>
      <c r="BK2348">
        <v>0</v>
      </c>
      <c r="BL2348" s="2">
        <v>24.82</v>
      </c>
      <c r="BM2348" s="2">
        <v>42005.095138888886</v>
      </c>
      <c r="BN2348" s="2">
        <v>5.4</v>
      </c>
      <c r="BO2348" s="2">
        <v>42005.092361111114</v>
      </c>
      <c r="BP2348" s="2">
        <v>6.92</v>
      </c>
      <c r="BQ2348" s="2">
        <v>42005.092361111114</v>
      </c>
      <c r="BR2348" s="2">
        <v>11.07</v>
      </c>
      <c r="BS2348" s="2">
        <v>42005.092361111114</v>
      </c>
      <c r="BT2348">
        <v>0</v>
      </c>
      <c r="BU2348">
        <v>0</v>
      </c>
      <c r="BV2348" t="s">
        <v>135</v>
      </c>
      <c r="BW2348">
        <v>0</v>
      </c>
      <c r="BX2348">
        <v>0</v>
      </c>
      <c r="BY2348" t="s">
        <v>135</v>
      </c>
      <c r="BZ2348">
        <v>0</v>
      </c>
      <c r="CA2348">
        <v>0</v>
      </c>
      <c r="CB2348" t="s">
        <v>135</v>
      </c>
      <c r="CH2348" s="2"/>
      <c r="CJ2348" s="2"/>
      <c r="CL2348" s="2"/>
      <c r="CN2348" s="2"/>
      <c r="CQ2348" s="2"/>
      <c r="CT2348" s="2"/>
      <c r="CW2348" s="2"/>
    </row>
    <row r="2349" spans="1:101" x14ac:dyDescent="0.25">
      <c r="A2349" s="1" t="s">
        <v>163</v>
      </c>
      <c r="B2349" s="75" t="s">
        <v>164</v>
      </c>
      <c r="C2349">
        <v>0</v>
      </c>
      <c r="D2349">
        <v>0</v>
      </c>
      <c r="E2349">
        <v>0</v>
      </c>
      <c r="F2349">
        <v>604324.56000000006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3.91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7490</v>
      </c>
      <c r="AW2349">
        <v>3350</v>
      </c>
      <c r="AX2349">
        <v>1219</v>
      </c>
      <c r="AY2349">
        <v>12059</v>
      </c>
      <c r="AZ2349">
        <v>4202</v>
      </c>
      <c r="BA2349">
        <v>7438</v>
      </c>
      <c r="BB2349">
        <v>1432</v>
      </c>
      <c r="BC2349">
        <v>13072</v>
      </c>
      <c r="BD2349">
        <v>9486</v>
      </c>
      <c r="BE2349">
        <v>9222</v>
      </c>
      <c r="BF2349">
        <v>1768</v>
      </c>
      <c r="BG2349">
        <v>20476</v>
      </c>
      <c r="BH2349">
        <v>0</v>
      </c>
      <c r="BI2349">
        <v>0</v>
      </c>
      <c r="BJ2349">
        <v>0</v>
      </c>
      <c r="BK2349">
        <v>0</v>
      </c>
      <c r="BL2349" s="2">
        <v>24.82</v>
      </c>
      <c r="BM2349" s="2">
        <v>42005.095138888886</v>
      </c>
      <c r="BN2349" s="2">
        <v>5.4</v>
      </c>
      <c r="BO2349" s="2">
        <v>42005.092361111114</v>
      </c>
      <c r="BP2349" s="2">
        <v>6.92</v>
      </c>
      <c r="BQ2349" s="2">
        <v>42005.092361111114</v>
      </c>
      <c r="BR2349" s="2">
        <v>11.07</v>
      </c>
      <c r="BS2349" s="2">
        <v>42005.092361111114</v>
      </c>
      <c r="BT2349">
        <v>0</v>
      </c>
      <c r="BU2349">
        <v>0</v>
      </c>
      <c r="BV2349" t="s">
        <v>135</v>
      </c>
      <c r="BW2349">
        <v>0</v>
      </c>
      <c r="BX2349">
        <v>0</v>
      </c>
      <c r="BY2349" t="s">
        <v>135</v>
      </c>
      <c r="BZ2349">
        <v>0</v>
      </c>
      <c r="CA2349">
        <v>0</v>
      </c>
      <c r="CB2349" t="s">
        <v>135</v>
      </c>
      <c r="CH2349" s="2"/>
      <c r="CJ2349" s="2"/>
      <c r="CL2349" s="2"/>
      <c r="CN2349" s="2"/>
      <c r="CQ2349" s="2"/>
      <c r="CT2349" s="2"/>
      <c r="CW2349" s="2"/>
    </row>
    <row r="2350" spans="1:101" x14ac:dyDescent="0.25">
      <c r="A2350" s="1" t="s">
        <v>163</v>
      </c>
      <c r="B2350" s="75" t="s">
        <v>164</v>
      </c>
      <c r="C2350">
        <v>0</v>
      </c>
      <c r="D2350">
        <v>0</v>
      </c>
      <c r="E2350">
        <v>0</v>
      </c>
      <c r="F2350">
        <v>604324.56000000006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3.91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7490</v>
      </c>
      <c r="AW2350">
        <v>3350</v>
      </c>
      <c r="AX2350">
        <v>1219</v>
      </c>
      <c r="AY2350">
        <v>12059</v>
      </c>
      <c r="AZ2350">
        <v>4202</v>
      </c>
      <c r="BA2350">
        <v>7438</v>
      </c>
      <c r="BB2350">
        <v>1432</v>
      </c>
      <c r="BC2350">
        <v>13072</v>
      </c>
      <c r="BD2350">
        <v>9486</v>
      </c>
      <c r="BE2350">
        <v>9222</v>
      </c>
      <c r="BF2350">
        <v>1768</v>
      </c>
      <c r="BG2350">
        <v>20476</v>
      </c>
      <c r="BH2350">
        <v>0</v>
      </c>
      <c r="BI2350">
        <v>0</v>
      </c>
      <c r="BJ2350">
        <v>0</v>
      </c>
      <c r="BK2350">
        <v>0</v>
      </c>
      <c r="BL2350" s="2">
        <v>24.82</v>
      </c>
      <c r="BM2350" s="2">
        <v>42005.095138888886</v>
      </c>
      <c r="BN2350" s="2">
        <v>5.4</v>
      </c>
      <c r="BO2350" s="2">
        <v>42005.092361111114</v>
      </c>
      <c r="BP2350" s="2">
        <v>6.92</v>
      </c>
      <c r="BQ2350" s="2">
        <v>42005.092361111114</v>
      </c>
      <c r="BR2350" s="2">
        <v>11.07</v>
      </c>
      <c r="BS2350" s="2">
        <v>42005.092361111114</v>
      </c>
      <c r="BT2350">
        <v>0</v>
      </c>
      <c r="BU2350">
        <v>0</v>
      </c>
      <c r="BV2350" t="s">
        <v>135</v>
      </c>
      <c r="BW2350">
        <v>0</v>
      </c>
      <c r="BX2350">
        <v>0</v>
      </c>
      <c r="BY2350" t="s">
        <v>135</v>
      </c>
      <c r="BZ2350">
        <v>0</v>
      </c>
      <c r="CA2350">
        <v>0</v>
      </c>
      <c r="CB2350" t="s">
        <v>135</v>
      </c>
      <c r="CH2350" s="2"/>
      <c r="CJ2350" s="2"/>
      <c r="CL2350" s="2"/>
      <c r="CN2350" s="2"/>
      <c r="CQ2350" s="2"/>
      <c r="CT2350" s="2"/>
      <c r="CW2350" s="2"/>
    </row>
    <row r="2351" spans="1:101" x14ac:dyDescent="0.25">
      <c r="A2351" s="1" t="s">
        <v>163</v>
      </c>
      <c r="B2351" s="75" t="s">
        <v>164</v>
      </c>
      <c r="C2351">
        <v>0</v>
      </c>
      <c r="D2351">
        <v>0</v>
      </c>
      <c r="E2351">
        <v>0</v>
      </c>
      <c r="F2351">
        <v>604324.56000000006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3.91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7490</v>
      </c>
      <c r="AW2351">
        <v>3350</v>
      </c>
      <c r="AX2351">
        <v>1219</v>
      </c>
      <c r="AY2351">
        <v>12059</v>
      </c>
      <c r="AZ2351">
        <v>4202</v>
      </c>
      <c r="BA2351">
        <v>7438</v>
      </c>
      <c r="BB2351">
        <v>1432</v>
      </c>
      <c r="BC2351">
        <v>13072</v>
      </c>
      <c r="BD2351">
        <v>9486</v>
      </c>
      <c r="BE2351">
        <v>9222</v>
      </c>
      <c r="BF2351">
        <v>1768</v>
      </c>
      <c r="BG2351">
        <v>20476</v>
      </c>
      <c r="BH2351">
        <v>0</v>
      </c>
      <c r="BI2351">
        <v>0</v>
      </c>
      <c r="BJ2351">
        <v>0</v>
      </c>
      <c r="BK2351">
        <v>0</v>
      </c>
      <c r="BL2351" s="2">
        <v>24.82</v>
      </c>
      <c r="BM2351" s="2">
        <v>42005.095138888886</v>
      </c>
      <c r="BN2351" s="2">
        <v>5.4</v>
      </c>
      <c r="BO2351" s="2">
        <v>42005.092361111114</v>
      </c>
      <c r="BP2351" s="2">
        <v>6.92</v>
      </c>
      <c r="BQ2351" s="2">
        <v>42005.092361111114</v>
      </c>
      <c r="BR2351" s="2">
        <v>11.07</v>
      </c>
      <c r="BS2351" s="2">
        <v>42005.092361111114</v>
      </c>
      <c r="BT2351">
        <v>0</v>
      </c>
      <c r="BU2351">
        <v>0</v>
      </c>
      <c r="BV2351" t="s">
        <v>135</v>
      </c>
      <c r="BW2351">
        <v>0</v>
      </c>
      <c r="BX2351">
        <v>0</v>
      </c>
      <c r="BY2351" t="s">
        <v>135</v>
      </c>
      <c r="BZ2351">
        <v>0</v>
      </c>
      <c r="CA2351">
        <v>0</v>
      </c>
      <c r="CB2351" t="s">
        <v>135</v>
      </c>
      <c r="CH2351" s="2"/>
      <c r="CJ2351" s="2"/>
      <c r="CL2351" s="2"/>
      <c r="CN2351" s="2"/>
      <c r="CQ2351" s="2"/>
      <c r="CT2351" s="2"/>
      <c r="CW2351" s="2"/>
    </row>
    <row r="2352" spans="1:101" x14ac:dyDescent="0.25">
      <c r="A2352" s="1" t="s">
        <v>163</v>
      </c>
      <c r="B2352" s="75" t="s">
        <v>164</v>
      </c>
      <c r="C2352">
        <v>0</v>
      </c>
      <c r="D2352">
        <v>0</v>
      </c>
      <c r="E2352">
        <v>0</v>
      </c>
      <c r="F2352">
        <v>604324.56000000006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3.91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7490</v>
      </c>
      <c r="AW2352">
        <v>3350</v>
      </c>
      <c r="AX2352">
        <v>1219</v>
      </c>
      <c r="AY2352">
        <v>12059</v>
      </c>
      <c r="AZ2352">
        <v>4202</v>
      </c>
      <c r="BA2352">
        <v>7438</v>
      </c>
      <c r="BB2352">
        <v>1432</v>
      </c>
      <c r="BC2352">
        <v>13072</v>
      </c>
      <c r="BD2352">
        <v>9486</v>
      </c>
      <c r="BE2352">
        <v>9222</v>
      </c>
      <c r="BF2352">
        <v>1768</v>
      </c>
      <c r="BG2352">
        <v>20476</v>
      </c>
      <c r="BH2352">
        <v>0</v>
      </c>
      <c r="BI2352">
        <v>0</v>
      </c>
      <c r="BJ2352">
        <v>0</v>
      </c>
      <c r="BK2352">
        <v>0</v>
      </c>
      <c r="BL2352" s="2">
        <v>24.82</v>
      </c>
      <c r="BM2352" s="2">
        <v>42005.095138888886</v>
      </c>
      <c r="BN2352" s="2">
        <v>5.4</v>
      </c>
      <c r="BO2352" s="2">
        <v>42005.092361111114</v>
      </c>
      <c r="BP2352" s="2">
        <v>6.92</v>
      </c>
      <c r="BQ2352" s="2">
        <v>42005.092361111114</v>
      </c>
      <c r="BR2352" s="2">
        <v>11.07</v>
      </c>
      <c r="BS2352" s="2">
        <v>42005.092361111114</v>
      </c>
      <c r="BT2352">
        <v>0</v>
      </c>
      <c r="BU2352">
        <v>0</v>
      </c>
      <c r="BV2352" t="s">
        <v>135</v>
      </c>
      <c r="BW2352">
        <v>0</v>
      </c>
      <c r="BX2352">
        <v>0</v>
      </c>
      <c r="BY2352" t="s">
        <v>135</v>
      </c>
      <c r="BZ2352">
        <v>0</v>
      </c>
      <c r="CA2352">
        <v>0</v>
      </c>
      <c r="CB2352" t="s">
        <v>135</v>
      </c>
      <c r="CH2352" s="2"/>
      <c r="CJ2352" s="2"/>
      <c r="CL2352" s="2"/>
      <c r="CN2352" s="2"/>
      <c r="CQ2352" s="2"/>
      <c r="CT2352" s="2"/>
      <c r="CW2352" s="2"/>
    </row>
    <row r="2353" spans="1:101" x14ac:dyDescent="0.25">
      <c r="A2353" s="1" t="s">
        <v>163</v>
      </c>
      <c r="B2353" s="75" t="s">
        <v>164</v>
      </c>
      <c r="C2353">
        <v>0</v>
      </c>
      <c r="D2353">
        <v>0</v>
      </c>
      <c r="E2353">
        <v>0</v>
      </c>
      <c r="F2353">
        <v>604324.56000000006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3.91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7490</v>
      </c>
      <c r="AW2353">
        <v>3350</v>
      </c>
      <c r="AX2353">
        <v>1219</v>
      </c>
      <c r="AY2353">
        <v>12059</v>
      </c>
      <c r="AZ2353">
        <v>4202</v>
      </c>
      <c r="BA2353">
        <v>7438</v>
      </c>
      <c r="BB2353">
        <v>1432</v>
      </c>
      <c r="BC2353">
        <v>13072</v>
      </c>
      <c r="BD2353">
        <v>9486</v>
      </c>
      <c r="BE2353">
        <v>9222</v>
      </c>
      <c r="BF2353">
        <v>1768</v>
      </c>
      <c r="BG2353">
        <v>20476</v>
      </c>
      <c r="BH2353">
        <v>0</v>
      </c>
      <c r="BI2353">
        <v>0</v>
      </c>
      <c r="BJ2353">
        <v>0</v>
      </c>
      <c r="BK2353">
        <v>0</v>
      </c>
      <c r="BL2353" s="2">
        <v>24.82</v>
      </c>
      <c r="BM2353" s="2">
        <v>42005.095138888886</v>
      </c>
      <c r="BN2353" s="2">
        <v>5.4</v>
      </c>
      <c r="BO2353" s="2">
        <v>42005.092361111114</v>
      </c>
      <c r="BP2353" s="2">
        <v>6.92</v>
      </c>
      <c r="BQ2353" s="2">
        <v>42005.092361111114</v>
      </c>
      <c r="BR2353" s="2">
        <v>11.07</v>
      </c>
      <c r="BS2353" s="2">
        <v>42005.092361111114</v>
      </c>
      <c r="BT2353">
        <v>0</v>
      </c>
      <c r="BU2353">
        <v>0</v>
      </c>
      <c r="BV2353" t="s">
        <v>135</v>
      </c>
      <c r="BW2353">
        <v>0</v>
      </c>
      <c r="BX2353">
        <v>0</v>
      </c>
      <c r="BY2353" t="s">
        <v>135</v>
      </c>
      <c r="BZ2353">
        <v>0</v>
      </c>
      <c r="CA2353">
        <v>0</v>
      </c>
      <c r="CB2353" t="s">
        <v>135</v>
      </c>
      <c r="CH2353" s="2"/>
      <c r="CJ2353" s="2"/>
      <c r="CL2353" s="2"/>
      <c r="CN2353" s="2"/>
      <c r="CQ2353" s="2"/>
      <c r="CT2353" s="2"/>
      <c r="CW2353" s="2"/>
    </row>
    <row r="2354" spans="1:101" x14ac:dyDescent="0.25">
      <c r="A2354" s="1" t="s">
        <v>163</v>
      </c>
      <c r="B2354" s="75" t="s">
        <v>164</v>
      </c>
      <c r="C2354">
        <v>0</v>
      </c>
      <c r="D2354">
        <v>0</v>
      </c>
      <c r="E2354">
        <v>0</v>
      </c>
      <c r="F2354">
        <v>604324.56000000006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3.91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7490</v>
      </c>
      <c r="AW2354">
        <v>3350</v>
      </c>
      <c r="AX2354">
        <v>1219</v>
      </c>
      <c r="AY2354">
        <v>12059</v>
      </c>
      <c r="AZ2354">
        <v>4202</v>
      </c>
      <c r="BA2354">
        <v>7438</v>
      </c>
      <c r="BB2354">
        <v>1432</v>
      </c>
      <c r="BC2354">
        <v>13072</v>
      </c>
      <c r="BD2354">
        <v>9486</v>
      </c>
      <c r="BE2354">
        <v>9222</v>
      </c>
      <c r="BF2354">
        <v>1768</v>
      </c>
      <c r="BG2354">
        <v>20476</v>
      </c>
      <c r="BH2354">
        <v>0</v>
      </c>
      <c r="BI2354">
        <v>0</v>
      </c>
      <c r="BJ2354">
        <v>0</v>
      </c>
      <c r="BK2354">
        <v>0</v>
      </c>
      <c r="BL2354" s="2">
        <v>24.82</v>
      </c>
      <c r="BM2354" s="2">
        <v>42005.095138888886</v>
      </c>
      <c r="BN2354" s="2">
        <v>5.4</v>
      </c>
      <c r="BO2354" s="2">
        <v>42005.092361111114</v>
      </c>
      <c r="BP2354" s="2">
        <v>6.92</v>
      </c>
      <c r="BQ2354" s="2">
        <v>42005.092361111114</v>
      </c>
      <c r="BR2354" s="2">
        <v>11.07</v>
      </c>
      <c r="BS2354" s="2">
        <v>42005.092361111114</v>
      </c>
      <c r="BT2354">
        <v>0</v>
      </c>
      <c r="BU2354">
        <v>0</v>
      </c>
      <c r="BV2354" t="s">
        <v>135</v>
      </c>
      <c r="BW2354">
        <v>0</v>
      </c>
      <c r="BX2354">
        <v>0</v>
      </c>
      <c r="BY2354" t="s">
        <v>135</v>
      </c>
      <c r="BZ2354">
        <v>0</v>
      </c>
      <c r="CA2354">
        <v>0</v>
      </c>
      <c r="CB2354" t="s">
        <v>135</v>
      </c>
      <c r="CH2354" s="2"/>
      <c r="CJ2354" s="2"/>
      <c r="CL2354" s="2"/>
      <c r="CN2354" s="2"/>
      <c r="CQ2354" s="2"/>
      <c r="CT2354" s="2"/>
      <c r="CW2354" s="2"/>
    </row>
    <row r="2355" spans="1:101" x14ac:dyDescent="0.25">
      <c r="A2355" s="1" t="s">
        <v>163</v>
      </c>
      <c r="B2355" s="75" t="s">
        <v>164</v>
      </c>
      <c r="C2355">
        <v>0</v>
      </c>
      <c r="D2355">
        <v>0</v>
      </c>
      <c r="E2355">
        <v>0</v>
      </c>
      <c r="F2355">
        <v>604324.56000000006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3.91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7490</v>
      </c>
      <c r="AW2355">
        <v>3350</v>
      </c>
      <c r="AX2355">
        <v>1219</v>
      </c>
      <c r="AY2355">
        <v>12059</v>
      </c>
      <c r="AZ2355">
        <v>4202</v>
      </c>
      <c r="BA2355">
        <v>7438</v>
      </c>
      <c r="BB2355">
        <v>1432</v>
      </c>
      <c r="BC2355">
        <v>13072</v>
      </c>
      <c r="BD2355">
        <v>9486</v>
      </c>
      <c r="BE2355">
        <v>9222</v>
      </c>
      <c r="BF2355">
        <v>1768</v>
      </c>
      <c r="BG2355">
        <v>20476</v>
      </c>
      <c r="BH2355">
        <v>0</v>
      </c>
      <c r="BI2355">
        <v>0</v>
      </c>
      <c r="BJ2355">
        <v>0</v>
      </c>
      <c r="BK2355">
        <v>0</v>
      </c>
      <c r="BL2355" s="2">
        <v>24.82</v>
      </c>
      <c r="BM2355" s="2">
        <v>42005.095138888886</v>
      </c>
      <c r="BN2355" s="2">
        <v>5.4</v>
      </c>
      <c r="BO2355" s="2">
        <v>42005.092361111114</v>
      </c>
      <c r="BP2355" s="2">
        <v>6.92</v>
      </c>
      <c r="BQ2355" s="2">
        <v>42005.092361111114</v>
      </c>
      <c r="BR2355" s="2">
        <v>11.07</v>
      </c>
      <c r="BS2355" s="2">
        <v>42005.092361111114</v>
      </c>
      <c r="BT2355">
        <v>0</v>
      </c>
      <c r="BU2355">
        <v>0</v>
      </c>
      <c r="BV2355" t="s">
        <v>135</v>
      </c>
      <c r="BW2355">
        <v>0</v>
      </c>
      <c r="BX2355">
        <v>0</v>
      </c>
      <c r="BY2355" t="s">
        <v>135</v>
      </c>
      <c r="BZ2355">
        <v>0</v>
      </c>
      <c r="CA2355">
        <v>0</v>
      </c>
      <c r="CB2355" t="s">
        <v>135</v>
      </c>
      <c r="CH2355" s="2"/>
      <c r="CJ2355" s="2"/>
      <c r="CL2355" s="2"/>
      <c r="CN2355" s="2"/>
      <c r="CQ2355" s="2"/>
      <c r="CT2355" s="2"/>
      <c r="CW2355" s="2"/>
    </row>
    <row r="2356" spans="1:101" x14ac:dyDescent="0.25">
      <c r="A2356" s="1" t="s">
        <v>163</v>
      </c>
      <c r="B2356" s="75" t="s">
        <v>164</v>
      </c>
      <c r="C2356">
        <v>0</v>
      </c>
      <c r="D2356">
        <v>0</v>
      </c>
      <c r="E2356">
        <v>0</v>
      </c>
      <c r="F2356">
        <v>604324.56000000006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3.91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7490</v>
      </c>
      <c r="AW2356">
        <v>3350</v>
      </c>
      <c r="AX2356">
        <v>1219</v>
      </c>
      <c r="AY2356">
        <v>12059</v>
      </c>
      <c r="AZ2356">
        <v>4202</v>
      </c>
      <c r="BA2356">
        <v>7438</v>
      </c>
      <c r="BB2356">
        <v>1432</v>
      </c>
      <c r="BC2356">
        <v>13072</v>
      </c>
      <c r="BD2356">
        <v>9486</v>
      </c>
      <c r="BE2356">
        <v>9222</v>
      </c>
      <c r="BF2356">
        <v>1768</v>
      </c>
      <c r="BG2356">
        <v>20476</v>
      </c>
      <c r="BH2356">
        <v>0</v>
      </c>
      <c r="BI2356">
        <v>0</v>
      </c>
      <c r="BJ2356">
        <v>0</v>
      </c>
      <c r="BK2356">
        <v>0</v>
      </c>
      <c r="BL2356" s="2">
        <v>24.82</v>
      </c>
      <c r="BM2356" s="2">
        <v>42005.095138888886</v>
      </c>
      <c r="BN2356" s="2">
        <v>5.4</v>
      </c>
      <c r="BO2356" s="2">
        <v>42005.092361111114</v>
      </c>
      <c r="BP2356" s="2">
        <v>6.92</v>
      </c>
      <c r="BQ2356" s="2">
        <v>42005.092361111114</v>
      </c>
      <c r="BR2356" s="2">
        <v>11.07</v>
      </c>
      <c r="BS2356" s="2">
        <v>42005.092361111114</v>
      </c>
      <c r="BT2356">
        <v>0</v>
      </c>
      <c r="BU2356">
        <v>0</v>
      </c>
      <c r="BV2356" t="s">
        <v>135</v>
      </c>
      <c r="BW2356">
        <v>0</v>
      </c>
      <c r="BX2356">
        <v>0</v>
      </c>
      <c r="BY2356" t="s">
        <v>135</v>
      </c>
      <c r="BZ2356">
        <v>0</v>
      </c>
      <c r="CA2356">
        <v>0</v>
      </c>
      <c r="CB2356" t="s">
        <v>135</v>
      </c>
      <c r="CH2356" s="2"/>
      <c r="CJ2356" s="2"/>
      <c r="CL2356" s="2"/>
      <c r="CN2356" s="2"/>
      <c r="CQ2356" s="2"/>
      <c r="CT2356" s="2"/>
      <c r="CW2356" s="2"/>
    </row>
    <row r="2357" spans="1:101" x14ac:dyDescent="0.25">
      <c r="A2357" s="1" t="s">
        <v>163</v>
      </c>
      <c r="B2357" s="75" t="s">
        <v>164</v>
      </c>
      <c r="C2357">
        <v>0</v>
      </c>
      <c r="D2357">
        <v>0</v>
      </c>
      <c r="E2357">
        <v>0</v>
      </c>
      <c r="F2357">
        <v>604324.56000000006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3.91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7490</v>
      </c>
      <c r="AW2357">
        <v>3350</v>
      </c>
      <c r="AX2357">
        <v>1219</v>
      </c>
      <c r="AY2357">
        <v>12059</v>
      </c>
      <c r="AZ2357">
        <v>4202</v>
      </c>
      <c r="BA2357">
        <v>7438</v>
      </c>
      <c r="BB2357">
        <v>1432</v>
      </c>
      <c r="BC2357">
        <v>13072</v>
      </c>
      <c r="BD2357">
        <v>9486</v>
      </c>
      <c r="BE2357">
        <v>9222</v>
      </c>
      <c r="BF2357">
        <v>1768</v>
      </c>
      <c r="BG2357">
        <v>20476</v>
      </c>
      <c r="BH2357">
        <v>0</v>
      </c>
      <c r="BI2357">
        <v>0</v>
      </c>
      <c r="BJ2357">
        <v>0</v>
      </c>
      <c r="BK2357">
        <v>0</v>
      </c>
      <c r="BL2357" s="2">
        <v>24.82</v>
      </c>
      <c r="BM2357" s="2">
        <v>42005.095138888886</v>
      </c>
      <c r="BN2357" s="2">
        <v>5.4</v>
      </c>
      <c r="BO2357" s="2">
        <v>42005.092361111114</v>
      </c>
      <c r="BP2357" s="2">
        <v>6.92</v>
      </c>
      <c r="BQ2357" s="2">
        <v>42005.092361111114</v>
      </c>
      <c r="BR2357" s="2">
        <v>11.07</v>
      </c>
      <c r="BS2357" s="2">
        <v>42005.092361111114</v>
      </c>
      <c r="BT2357">
        <v>0</v>
      </c>
      <c r="BU2357">
        <v>0</v>
      </c>
      <c r="BV2357" t="s">
        <v>135</v>
      </c>
      <c r="BW2357">
        <v>0</v>
      </c>
      <c r="BX2357">
        <v>0</v>
      </c>
      <c r="BY2357" t="s">
        <v>135</v>
      </c>
      <c r="BZ2357">
        <v>0</v>
      </c>
      <c r="CA2357">
        <v>0</v>
      </c>
      <c r="CB2357" t="s">
        <v>135</v>
      </c>
      <c r="CH2357" s="2"/>
      <c r="CJ2357" s="2"/>
      <c r="CL2357" s="2"/>
      <c r="CN2357" s="2"/>
      <c r="CQ2357" s="2"/>
      <c r="CT2357" s="2"/>
      <c r="CW2357" s="2"/>
    </row>
    <row r="2358" spans="1:101" x14ac:dyDescent="0.25">
      <c r="A2358" s="1" t="s">
        <v>163</v>
      </c>
      <c r="B2358" s="75" t="s">
        <v>164</v>
      </c>
      <c r="C2358">
        <v>0</v>
      </c>
      <c r="D2358">
        <v>0</v>
      </c>
      <c r="E2358">
        <v>0</v>
      </c>
      <c r="F2358">
        <v>604324.56000000006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3.91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7490</v>
      </c>
      <c r="AW2358">
        <v>3350</v>
      </c>
      <c r="AX2358">
        <v>1219</v>
      </c>
      <c r="AY2358">
        <v>12059</v>
      </c>
      <c r="AZ2358">
        <v>4202</v>
      </c>
      <c r="BA2358">
        <v>7438</v>
      </c>
      <c r="BB2358">
        <v>1432</v>
      </c>
      <c r="BC2358">
        <v>13072</v>
      </c>
      <c r="BD2358">
        <v>9486</v>
      </c>
      <c r="BE2358">
        <v>9222</v>
      </c>
      <c r="BF2358">
        <v>1768</v>
      </c>
      <c r="BG2358">
        <v>20476</v>
      </c>
      <c r="BH2358">
        <v>0</v>
      </c>
      <c r="BI2358">
        <v>0</v>
      </c>
      <c r="BJ2358">
        <v>0</v>
      </c>
      <c r="BK2358">
        <v>0</v>
      </c>
      <c r="BL2358" s="2">
        <v>24.82</v>
      </c>
      <c r="BM2358" s="2">
        <v>42005.095138888886</v>
      </c>
      <c r="BN2358" s="2">
        <v>5.4</v>
      </c>
      <c r="BO2358" s="2">
        <v>42005.092361111114</v>
      </c>
      <c r="BP2358" s="2">
        <v>6.92</v>
      </c>
      <c r="BQ2358" s="2">
        <v>42005.092361111114</v>
      </c>
      <c r="BR2358" s="2">
        <v>11.07</v>
      </c>
      <c r="BS2358" s="2">
        <v>42005.092361111114</v>
      </c>
      <c r="BT2358">
        <v>0</v>
      </c>
      <c r="BU2358">
        <v>0</v>
      </c>
      <c r="BV2358" t="s">
        <v>135</v>
      </c>
      <c r="BW2358">
        <v>0</v>
      </c>
      <c r="BX2358">
        <v>0</v>
      </c>
      <c r="BY2358" t="s">
        <v>135</v>
      </c>
      <c r="BZ2358">
        <v>0</v>
      </c>
      <c r="CA2358">
        <v>0</v>
      </c>
      <c r="CB2358" t="s">
        <v>135</v>
      </c>
      <c r="CH2358" s="2"/>
      <c r="CJ2358" s="2"/>
      <c r="CL2358" s="2"/>
      <c r="CN2358" s="2"/>
      <c r="CQ2358" s="2"/>
      <c r="CT2358" s="2"/>
      <c r="CW2358" s="2"/>
    </row>
    <row r="2359" spans="1:101" x14ac:dyDescent="0.25">
      <c r="A2359" s="1" t="s">
        <v>163</v>
      </c>
      <c r="B2359" s="75" t="s">
        <v>164</v>
      </c>
      <c r="C2359">
        <v>0</v>
      </c>
      <c r="D2359">
        <v>0</v>
      </c>
      <c r="E2359">
        <v>0</v>
      </c>
      <c r="F2359">
        <v>604324.56000000006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3.91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7490</v>
      </c>
      <c r="AW2359">
        <v>3350</v>
      </c>
      <c r="AX2359">
        <v>1219</v>
      </c>
      <c r="AY2359">
        <v>12059</v>
      </c>
      <c r="AZ2359">
        <v>4202</v>
      </c>
      <c r="BA2359">
        <v>7438</v>
      </c>
      <c r="BB2359">
        <v>1432</v>
      </c>
      <c r="BC2359">
        <v>13072</v>
      </c>
      <c r="BD2359">
        <v>9486</v>
      </c>
      <c r="BE2359">
        <v>9222</v>
      </c>
      <c r="BF2359">
        <v>1768</v>
      </c>
      <c r="BG2359">
        <v>20476</v>
      </c>
      <c r="BH2359">
        <v>0</v>
      </c>
      <c r="BI2359">
        <v>0</v>
      </c>
      <c r="BJ2359">
        <v>0</v>
      </c>
      <c r="BK2359">
        <v>0</v>
      </c>
      <c r="BL2359" s="2">
        <v>24.82</v>
      </c>
      <c r="BM2359" s="2">
        <v>42005.095138888886</v>
      </c>
      <c r="BN2359" s="2">
        <v>5.4</v>
      </c>
      <c r="BO2359" s="2">
        <v>42005.092361111114</v>
      </c>
      <c r="BP2359" s="2">
        <v>6.92</v>
      </c>
      <c r="BQ2359" s="2">
        <v>42005.092361111114</v>
      </c>
      <c r="BR2359" s="2">
        <v>11.07</v>
      </c>
      <c r="BS2359" s="2">
        <v>42005.092361111114</v>
      </c>
      <c r="BT2359">
        <v>0</v>
      </c>
      <c r="BU2359">
        <v>0</v>
      </c>
      <c r="BV2359" t="s">
        <v>135</v>
      </c>
      <c r="BW2359">
        <v>0</v>
      </c>
      <c r="BX2359">
        <v>0</v>
      </c>
      <c r="BY2359" t="s">
        <v>135</v>
      </c>
      <c r="BZ2359">
        <v>0</v>
      </c>
      <c r="CA2359">
        <v>0</v>
      </c>
      <c r="CB2359" t="s">
        <v>135</v>
      </c>
      <c r="CH2359" s="2"/>
      <c r="CJ2359" s="2"/>
      <c r="CL2359" s="2"/>
      <c r="CN2359" s="2"/>
      <c r="CQ2359" s="2"/>
      <c r="CT2359" s="2"/>
      <c r="CW2359" s="2"/>
    </row>
    <row r="2360" spans="1:101" x14ac:dyDescent="0.25">
      <c r="A2360" s="1" t="s">
        <v>163</v>
      </c>
      <c r="B2360" s="75" t="s">
        <v>164</v>
      </c>
      <c r="C2360">
        <v>0</v>
      </c>
      <c r="D2360">
        <v>0</v>
      </c>
      <c r="E2360">
        <v>0</v>
      </c>
      <c r="F2360">
        <v>604324.56000000006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3.91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7490</v>
      </c>
      <c r="AW2360">
        <v>3350</v>
      </c>
      <c r="AX2360">
        <v>1219</v>
      </c>
      <c r="AY2360">
        <v>12059</v>
      </c>
      <c r="AZ2360">
        <v>4202</v>
      </c>
      <c r="BA2360">
        <v>7438</v>
      </c>
      <c r="BB2360">
        <v>1432</v>
      </c>
      <c r="BC2360">
        <v>13072</v>
      </c>
      <c r="BD2360">
        <v>9486</v>
      </c>
      <c r="BE2360">
        <v>9222</v>
      </c>
      <c r="BF2360">
        <v>1768</v>
      </c>
      <c r="BG2360">
        <v>20476</v>
      </c>
      <c r="BH2360">
        <v>0</v>
      </c>
      <c r="BI2360">
        <v>0</v>
      </c>
      <c r="BJ2360">
        <v>0</v>
      </c>
      <c r="BK2360">
        <v>0</v>
      </c>
      <c r="BL2360" s="2">
        <v>24.82</v>
      </c>
      <c r="BM2360" s="2">
        <v>42005.095138888886</v>
      </c>
      <c r="BN2360" s="2">
        <v>5.4</v>
      </c>
      <c r="BO2360" s="2">
        <v>42005.092361111114</v>
      </c>
      <c r="BP2360" s="2">
        <v>6.92</v>
      </c>
      <c r="BQ2360" s="2">
        <v>42005.092361111114</v>
      </c>
      <c r="BR2360" s="2">
        <v>11.07</v>
      </c>
      <c r="BS2360" s="2">
        <v>42005.092361111114</v>
      </c>
      <c r="BT2360">
        <v>0</v>
      </c>
      <c r="BU2360">
        <v>0</v>
      </c>
      <c r="BV2360" t="s">
        <v>135</v>
      </c>
      <c r="BW2360">
        <v>0</v>
      </c>
      <c r="BX2360">
        <v>0</v>
      </c>
      <c r="BY2360" t="s">
        <v>135</v>
      </c>
      <c r="BZ2360">
        <v>0</v>
      </c>
      <c r="CA2360">
        <v>0</v>
      </c>
      <c r="CB2360" t="s">
        <v>135</v>
      </c>
      <c r="CH2360" s="2"/>
      <c r="CJ2360" s="2"/>
      <c r="CL2360" s="2"/>
      <c r="CN2360" s="2"/>
      <c r="CQ2360" s="2"/>
      <c r="CT2360" s="2"/>
      <c r="CW2360" s="2"/>
    </row>
    <row r="2361" spans="1:101" x14ac:dyDescent="0.25">
      <c r="A2361" s="1" t="s">
        <v>163</v>
      </c>
      <c r="B2361" s="75" t="s">
        <v>164</v>
      </c>
      <c r="C2361">
        <v>0</v>
      </c>
      <c r="D2361">
        <v>0</v>
      </c>
      <c r="E2361">
        <v>0</v>
      </c>
      <c r="F2361">
        <v>604324.56000000006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3.91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7490</v>
      </c>
      <c r="AW2361">
        <v>3350</v>
      </c>
      <c r="AX2361">
        <v>1219</v>
      </c>
      <c r="AY2361">
        <v>12059</v>
      </c>
      <c r="AZ2361">
        <v>4202</v>
      </c>
      <c r="BA2361">
        <v>7438</v>
      </c>
      <c r="BB2361">
        <v>1432</v>
      </c>
      <c r="BC2361">
        <v>13072</v>
      </c>
      <c r="BD2361">
        <v>9486</v>
      </c>
      <c r="BE2361">
        <v>9222</v>
      </c>
      <c r="BF2361">
        <v>1768</v>
      </c>
      <c r="BG2361">
        <v>20476</v>
      </c>
      <c r="BH2361">
        <v>0</v>
      </c>
      <c r="BI2361">
        <v>0</v>
      </c>
      <c r="BJ2361">
        <v>0</v>
      </c>
      <c r="BK2361">
        <v>0</v>
      </c>
      <c r="BL2361" s="2">
        <v>24.82</v>
      </c>
      <c r="BM2361" s="2">
        <v>42005.095138888886</v>
      </c>
      <c r="BN2361" s="2">
        <v>5.4</v>
      </c>
      <c r="BO2361" s="2">
        <v>42005.092361111114</v>
      </c>
      <c r="BP2361" s="2">
        <v>6.92</v>
      </c>
      <c r="BQ2361" s="2">
        <v>42005.092361111114</v>
      </c>
      <c r="BR2361" s="2">
        <v>11.07</v>
      </c>
      <c r="BS2361" s="2">
        <v>42005.092361111114</v>
      </c>
      <c r="BT2361">
        <v>0</v>
      </c>
      <c r="BU2361">
        <v>0</v>
      </c>
      <c r="BV2361" t="s">
        <v>135</v>
      </c>
      <c r="BW2361">
        <v>0</v>
      </c>
      <c r="BX2361">
        <v>0</v>
      </c>
      <c r="BY2361" t="s">
        <v>135</v>
      </c>
      <c r="BZ2361">
        <v>0</v>
      </c>
      <c r="CA2361">
        <v>0</v>
      </c>
      <c r="CB2361" t="s">
        <v>135</v>
      </c>
      <c r="CH2361" s="2"/>
      <c r="CJ2361" s="2"/>
      <c r="CL2361" s="2"/>
      <c r="CN2361" s="2"/>
      <c r="CQ2361" s="2"/>
      <c r="CT2361" s="2"/>
      <c r="CW2361" s="2"/>
    </row>
    <row r="2362" spans="1:101" x14ac:dyDescent="0.25">
      <c r="A2362" s="1" t="s">
        <v>163</v>
      </c>
      <c r="B2362" s="75" t="s">
        <v>164</v>
      </c>
      <c r="C2362">
        <v>0</v>
      </c>
      <c r="D2362">
        <v>0</v>
      </c>
      <c r="E2362">
        <v>0</v>
      </c>
      <c r="F2362">
        <v>604324.56000000006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3.91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7490</v>
      </c>
      <c r="AW2362">
        <v>3350</v>
      </c>
      <c r="AX2362">
        <v>1219</v>
      </c>
      <c r="AY2362">
        <v>12059</v>
      </c>
      <c r="AZ2362">
        <v>4202</v>
      </c>
      <c r="BA2362">
        <v>7438</v>
      </c>
      <c r="BB2362">
        <v>1432</v>
      </c>
      <c r="BC2362">
        <v>13072</v>
      </c>
      <c r="BD2362">
        <v>9486</v>
      </c>
      <c r="BE2362">
        <v>9222</v>
      </c>
      <c r="BF2362">
        <v>1768</v>
      </c>
      <c r="BG2362">
        <v>20476</v>
      </c>
      <c r="BH2362">
        <v>0</v>
      </c>
      <c r="BI2362">
        <v>0</v>
      </c>
      <c r="BJ2362">
        <v>0</v>
      </c>
      <c r="BK2362">
        <v>0</v>
      </c>
      <c r="BL2362" s="2">
        <v>24.82</v>
      </c>
      <c r="BM2362" s="2">
        <v>42005.095138888886</v>
      </c>
      <c r="BN2362" s="2">
        <v>5.4</v>
      </c>
      <c r="BO2362" s="2">
        <v>42005.092361111114</v>
      </c>
      <c r="BP2362" s="2">
        <v>6.92</v>
      </c>
      <c r="BQ2362" s="2">
        <v>42005.092361111114</v>
      </c>
      <c r="BR2362" s="2">
        <v>11.07</v>
      </c>
      <c r="BS2362" s="2">
        <v>42005.092361111114</v>
      </c>
      <c r="BT2362">
        <v>0</v>
      </c>
      <c r="BU2362">
        <v>0</v>
      </c>
      <c r="BV2362" t="s">
        <v>135</v>
      </c>
      <c r="BW2362">
        <v>0</v>
      </c>
      <c r="BX2362">
        <v>0</v>
      </c>
      <c r="BY2362" t="s">
        <v>135</v>
      </c>
      <c r="BZ2362">
        <v>0</v>
      </c>
      <c r="CA2362">
        <v>0</v>
      </c>
      <c r="CB2362" t="s">
        <v>135</v>
      </c>
      <c r="CH2362" s="2"/>
      <c r="CJ2362" s="2"/>
      <c r="CL2362" s="2"/>
      <c r="CN2362" s="2"/>
      <c r="CQ2362" s="2"/>
      <c r="CT2362" s="2"/>
      <c r="CW2362" s="2"/>
    </row>
    <row r="2363" spans="1:101" x14ac:dyDescent="0.25">
      <c r="A2363" s="1" t="s">
        <v>163</v>
      </c>
      <c r="B2363" s="75" t="s">
        <v>164</v>
      </c>
      <c r="C2363">
        <v>0</v>
      </c>
      <c r="D2363">
        <v>0</v>
      </c>
      <c r="E2363">
        <v>0</v>
      </c>
      <c r="F2363">
        <v>604324.56000000006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3.91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7490</v>
      </c>
      <c r="AW2363">
        <v>3350</v>
      </c>
      <c r="AX2363">
        <v>1219</v>
      </c>
      <c r="AY2363">
        <v>12059</v>
      </c>
      <c r="AZ2363">
        <v>4202</v>
      </c>
      <c r="BA2363">
        <v>7438</v>
      </c>
      <c r="BB2363">
        <v>1432</v>
      </c>
      <c r="BC2363">
        <v>13072</v>
      </c>
      <c r="BD2363">
        <v>9486</v>
      </c>
      <c r="BE2363">
        <v>9222</v>
      </c>
      <c r="BF2363">
        <v>1768</v>
      </c>
      <c r="BG2363">
        <v>20476</v>
      </c>
      <c r="BH2363">
        <v>0</v>
      </c>
      <c r="BI2363">
        <v>0</v>
      </c>
      <c r="BJ2363">
        <v>0</v>
      </c>
      <c r="BK2363">
        <v>0</v>
      </c>
      <c r="BL2363" s="2">
        <v>24.82</v>
      </c>
      <c r="BM2363" s="2">
        <v>42005.095138888886</v>
      </c>
      <c r="BN2363" s="2">
        <v>5.4</v>
      </c>
      <c r="BO2363" s="2">
        <v>42005.092361111114</v>
      </c>
      <c r="BP2363" s="2">
        <v>6.92</v>
      </c>
      <c r="BQ2363" s="2">
        <v>42005.092361111114</v>
      </c>
      <c r="BR2363" s="2">
        <v>11.07</v>
      </c>
      <c r="BS2363" s="2">
        <v>42005.092361111114</v>
      </c>
      <c r="BT2363">
        <v>0</v>
      </c>
      <c r="BU2363">
        <v>0</v>
      </c>
      <c r="BV2363" t="s">
        <v>135</v>
      </c>
      <c r="BW2363">
        <v>0</v>
      </c>
      <c r="BX2363">
        <v>0</v>
      </c>
      <c r="BY2363" t="s">
        <v>135</v>
      </c>
      <c r="BZ2363">
        <v>0</v>
      </c>
      <c r="CA2363">
        <v>0</v>
      </c>
      <c r="CB2363" t="s">
        <v>135</v>
      </c>
      <c r="CH2363" s="2"/>
      <c r="CJ2363" s="2"/>
      <c r="CL2363" s="2"/>
      <c r="CN2363" s="2"/>
      <c r="CQ2363" s="2"/>
      <c r="CT2363" s="2"/>
      <c r="CW2363" s="2"/>
    </row>
    <row r="2364" spans="1:101" x14ac:dyDescent="0.25">
      <c r="A2364" s="1" t="s">
        <v>163</v>
      </c>
      <c r="B2364" s="75" t="s">
        <v>164</v>
      </c>
      <c r="C2364">
        <v>0</v>
      </c>
      <c r="D2364">
        <v>0</v>
      </c>
      <c r="E2364">
        <v>0</v>
      </c>
      <c r="F2364">
        <v>604324.56000000006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3.91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7490</v>
      </c>
      <c r="AW2364">
        <v>3350</v>
      </c>
      <c r="AX2364">
        <v>1219</v>
      </c>
      <c r="AY2364">
        <v>12059</v>
      </c>
      <c r="AZ2364">
        <v>4202</v>
      </c>
      <c r="BA2364">
        <v>7438</v>
      </c>
      <c r="BB2364">
        <v>1432</v>
      </c>
      <c r="BC2364">
        <v>13072</v>
      </c>
      <c r="BD2364">
        <v>9486</v>
      </c>
      <c r="BE2364">
        <v>9222</v>
      </c>
      <c r="BF2364">
        <v>1768</v>
      </c>
      <c r="BG2364">
        <v>20476</v>
      </c>
      <c r="BH2364">
        <v>0</v>
      </c>
      <c r="BI2364">
        <v>0</v>
      </c>
      <c r="BJ2364">
        <v>0</v>
      </c>
      <c r="BK2364">
        <v>0</v>
      </c>
      <c r="BL2364" s="2">
        <v>24.82</v>
      </c>
      <c r="BM2364" s="2">
        <v>42005.095138888886</v>
      </c>
      <c r="BN2364" s="2">
        <v>5.4</v>
      </c>
      <c r="BO2364" s="2">
        <v>42005.092361111114</v>
      </c>
      <c r="BP2364" s="2">
        <v>6.92</v>
      </c>
      <c r="BQ2364" s="2">
        <v>42005.092361111114</v>
      </c>
      <c r="BR2364" s="2">
        <v>11.07</v>
      </c>
      <c r="BS2364" s="2">
        <v>42005.092361111114</v>
      </c>
      <c r="BT2364">
        <v>0</v>
      </c>
      <c r="BU2364">
        <v>0</v>
      </c>
      <c r="BV2364" t="s">
        <v>135</v>
      </c>
      <c r="BW2364">
        <v>0</v>
      </c>
      <c r="BX2364">
        <v>0</v>
      </c>
      <c r="BY2364" t="s">
        <v>135</v>
      </c>
      <c r="BZ2364">
        <v>0</v>
      </c>
      <c r="CA2364">
        <v>0</v>
      </c>
      <c r="CB2364" t="s">
        <v>135</v>
      </c>
      <c r="CH2364" s="2"/>
      <c r="CJ2364" s="2"/>
      <c r="CL2364" s="2"/>
      <c r="CN2364" s="2"/>
      <c r="CQ2364" s="2"/>
      <c r="CT2364" s="2"/>
      <c r="CW2364" s="2"/>
    </row>
    <row r="2365" spans="1:101" x14ac:dyDescent="0.25">
      <c r="A2365" s="1" t="s">
        <v>163</v>
      </c>
      <c r="B2365" s="75" t="s">
        <v>164</v>
      </c>
      <c r="C2365">
        <v>0</v>
      </c>
      <c r="D2365">
        <v>0</v>
      </c>
      <c r="E2365">
        <v>0</v>
      </c>
      <c r="F2365">
        <v>604324.56000000006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3.91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7490</v>
      </c>
      <c r="AW2365">
        <v>3350</v>
      </c>
      <c r="AX2365">
        <v>1219</v>
      </c>
      <c r="AY2365">
        <v>12059</v>
      </c>
      <c r="AZ2365">
        <v>4202</v>
      </c>
      <c r="BA2365">
        <v>7438</v>
      </c>
      <c r="BB2365">
        <v>1432</v>
      </c>
      <c r="BC2365">
        <v>13072</v>
      </c>
      <c r="BD2365">
        <v>9486</v>
      </c>
      <c r="BE2365">
        <v>9222</v>
      </c>
      <c r="BF2365">
        <v>1768</v>
      </c>
      <c r="BG2365">
        <v>20476</v>
      </c>
      <c r="BH2365">
        <v>0</v>
      </c>
      <c r="BI2365">
        <v>0</v>
      </c>
      <c r="BJ2365">
        <v>0</v>
      </c>
      <c r="BK2365">
        <v>0</v>
      </c>
      <c r="BL2365" s="2">
        <v>24.82</v>
      </c>
      <c r="BM2365" s="2">
        <v>42005.095138888886</v>
      </c>
      <c r="BN2365" s="2">
        <v>5.4</v>
      </c>
      <c r="BO2365" s="2">
        <v>42005.092361111114</v>
      </c>
      <c r="BP2365" s="2">
        <v>6.92</v>
      </c>
      <c r="BQ2365" s="2">
        <v>42005.092361111114</v>
      </c>
      <c r="BR2365" s="2">
        <v>11.07</v>
      </c>
      <c r="BS2365" s="2">
        <v>42005.092361111114</v>
      </c>
      <c r="BT2365">
        <v>0</v>
      </c>
      <c r="BU2365">
        <v>0</v>
      </c>
      <c r="BV2365" t="s">
        <v>135</v>
      </c>
      <c r="BW2365">
        <v>0</v>
      </c>
      <c r="BX2365">
        <v>0</v>
      </c>
      <c r="BY2365" t="s">
        <v>135</v>
      </c>
      <c r="BZ2365">
        <v>0</v>
      </c>
      <c r="CA2365">
        <v>0</v>
      </c>
      <c r="CB2365" t="s">
        <v>135</v>
      </c>
      <c r="CH2365" s="2"/>
      <c r="CJ2365" s="2"/>
      <c r="CL2365" s="2"/>
      <c r="CN2365" s="2"/>
      <c r="CQ2365" s="2"/>
      <c r="CT2365" s="2"/>
      <c r="CW2365" s="2"/>
    </row>
    <row r="2366" spans="1:101" x14ac:dyDescent="0.25">
      <c r="A2366" s="1" t="s">
        <v>163</v>
      </c>
      <c r="B2366" s="75" t="s">
        <v>164</v>
      </c>
      <c r="C2366">
        <v>0</v>
      </c>
      <c r="D2366">
        <v>0</v>
      </c>
      <c r="E2366">
        <v>0</v>
      </c>
      <c r="F2366">
        <v>604324.56000000006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3.91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7490</v>
      </c>
      <c r="AW2366">
        <v>3350</v>
      </c>
      <c r="AX2366">
        <v>1219</v>
      </c>
      <c r="AY2366">
        <v>12059</v>
      </c>
      <c r="AZ2366">
        <v>4202</v>
      </c>
      <c r="BA2366">
        <v>7438</v>
      </c>
      <c r="BB2366">
        <v>1432</v>
      </c>
      <c r="BC2366">
        <v>13072</v>
      </c>
      <c r="BD2366">
        <v>9486</v>
      </c>
      <c r="BE2366">
        <v>9222</v>
      </c>
      <c r="BF2366">
        <v>1768</v>
      </c>
      <c r="BG2366">
        <v>20476</v>
      </c>
      <c r="BH2366">
        <v>0</v>
      </c>
      <c r="BI2366">
        <v>0</v>
      </c>
      <c r="BJ2366">
        <v>0</v>
      </c>
      <c r="BK2366">
        <v>0</v>
      </c>
      <c r="BL2366" s="2">
        <v>24.82</v>
      </c>
      <c r="BM2366" s="2">
        <v>42005.095138888886</v>
      </c>
      <c r="BN2366" s="2">
        <v>5.4</v>
      </c>
      <c r="BO2366" s="2">
        <v>42005.092361111114</v>
      </c>
      <c r="BP2366" s="2">
        <v>6.92</v>
      </c>
      <c r="BQ2366" s="2">
        <v>42005.092361111114</v>
      </c>
      <c r="BR2366" s="2">
        <v>11.07</v>
      </c>
      <c r="BS2366" s="2">
        <v>42005.092361111114</v>
      </c>
      <c r="BT2366">
        <v>0</v>
      </c>
      <c r="BU2366">
        <v>0</v>
      </c>
      <c r="BV2366" t="s">
        <v>135</v>
      </c>
      <c r="BW2366">
        <v>0</v>
      </c>
      <c r="BX2366">
        <v>0</v>
      </c>
      <c r="BY2366" t="s">
        <v>135</v>
      </c>
      <c r="BZ2366">
        <v>0</v>
      </c>
      <c r="CA2366">
        <v>0</v>
      </c>
      <c r="CB2366" t="s">
        <v>135</v>
      </c>
      <c r="CH2366" s="2"/>
      <c r="CJ2366" s="2"/>
      <c r="CL2366" s="2"/>
      <c r="CN2366" s="2"/>
      <c r="CQ2366" s="2"/>
      <c r="CT2366" s="2"/>
      <c r="CW2366" s="2"/>
    </row>
    <row r="2367" spans="1:101" x14ac:dyDescent="0.25">
      <c r="A2367" s="1" t="s">
        <v>163</v>
      </c>
      <c r="B2367" s="75" t="s">
        <v>164</v>
      </c>
      <c r="C2367">
        <v>0</v>
      </c>
      <c r="D2367">
        <v>0</v>
      </c>
      <c r="E2367">
        <v>0</v>
      </c>
      <c r="F2367">
        <v>604324.56000000006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3.91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7490</v>
      </c>
      <c r="AW2367">
        <v>3350</v>
      </c>
      <c r="AX2367">
        <v>1219</v>
      </c>
      <c r="AY2367">
        <v>12059</v>
      </c>
      <c r="AZ2367">
        <v>4202</v>
      </c>
      <c r="BA2367">
        <v>7438</v>
      </c>
      <c r="BB2367">
        <v>1432</v>
      </c>
      <c r="BC2367">
        <v>13072</v>
      </c>
      <c r="BD2367">
        <v>9486</v>
      </c>
      <c r="BE2367">
        <v>9222</v>
      </c>
      <c r="BF2367">
        <v>1768</v>
      </c>
      <c r="BG2367">
        <v>20476</v>
      </c>
      <c r="BH2367">
        <v>0</v>
      </c>
      <c r="BI2367">
        <v>0</v>
      </c>
      <c r="BJ2367">
        <v>0</v>
      </c>
      <c r="BK2367">
        <v>0</v>
      </c>
      <c r="BL2367" s="2">
        <v>24.82</v>
      </c>
      <c r="BM2367" s="2">
        <v>42005.095138888886</v>
      </c>
      <c r="BN2367" s="2">
        <v>5.4</v>
      </c>
      <c r="BO2367" s="2">
        <v>42005.092361111114</v>
      </c>
      <c r="BP2367" s="2">
        <v>6.92</v>
      </c>
      <c r="BQ2367" s="2">
        <v>42005.092361111114</v>
      </c>
      <c r="BR2367" s="2">
        <v>11.07</v>
      </c>
      <c r="BS2367" s="2">
        <v>42005.092361111114</v>
      </c>
      <c r="BT2367">
        <v>0</v>
      </c>
      <c r="BU2367">
        <v>0</v>
      </c>
      <c r="BV2367" t="s">
        <v>135</v>
      </c>
      <c r="BW2367">
        <v>0</v>
      </c>
      <c r="BX2367">
        <v>0</v>
      </c>
      <c r="BY2367" t="s">
        <v>135</v>
      </c>
      <c r="BZ2367">
        <v>0</v>
      </c>
      <c r="CA2367">
        <v>0</v>
      </c>
      <c r="CB2367" t="s">
        <v>135</v>
      </c>
      <c r="CH2367" s="2"/>
      <c r="CJ2367" s="2"/>
      <c r="CL2367" s="2"/>
      <c r="CN2367" s="2"/>
      <c r="CQ2367" s="2"/>
      <c r="CT2367" s="2"/>
      <c r="CW2367" s="2"/>
    </row>
    <row r="2368" spans="1:101" x14ac:dyDescent="0.25">
      <c r="A2368" s="1" t="s">
        <v>163</v>
      </c>
      <c r="B2368" s="75" t="s">
        <v>164</v>
      </c>
      <c r="C2368">
        <v>0</v>
      </c>
      <c r="D2368">
        <v>0</v>
      </c>
      <c r="E2368">
        <v>0</v>
      </c>
      <c r="F2368">
        <v>604324.56000000006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3.91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7490</v>
      </c>
      <c r="AW2368">
        <v>3350</v>
      </c>
      <c r="AX2368">
        <v>1219</v>
      </c>
      <c r="AY2368">
        <v>12059</v>
      </c>
      <c r="AZ2368">
        <v>4202</v>
      </c>
      <c r="BA2368">
        <v>7438</v>
      </c>
      <c r="BB2368">
        <v>1432</v>
      </c>
      <c r="BC2368">
        <v>13072</v>
      </c>
      <c r="BD2368">
        <v>9486</v>
      </c>
      <c r="BE2368">
        <v>9222</v>
      </c>
      <c r="BF2368">
        <v>1768</v>
      </c>
      <c r="BG2368">
        <v>20476</v>
      </c>
      <c r="BH2368">
        <v>0</v>
      </c>
      <c r="BI2368">
        <v>0</v>
      </c>
      <c r="BJ2368">
        <v>0</v>
      </c>
      <c r="BK2368">
        <v>0</v>
      </c>
      <c r="BL2368" s="2">
        <v>24.82</v>
      </c>
      <c r="BM2368" s="2">
        <v>42005.095138888886</v>
      </c>
      <c r="BN2368" s="2">
        <v>5.4</v>
      </c>
      <c r="BO2368" s="2">
        <v>42005.092361111114</v>
      </c>
      <c r="BP2368" s="2">
        <v>6.92</v>
      </c>
      <c r="BQ2368" s="2">
        <v>42005.092361111114</v>
      </c>
      <c r="BR2368" s="2">
        <v>11.07</v>
      </c>
      <c r="BS2368" s="2">
        <v>42005.092361111114</v>
      </c>
      <c r="BT2368">
        <v>0</v>
      </c>
      <c r="BU2368">
        <v>0</v>
      </c>
      <c r="BV2368" t="s">
        <v>135</v>
      </c>
      <c r="BW2368">
        <v>0</v>
      </c>
      <c r="BX2368">
        <v>0</v>
      </c>
      <c r="BY2368" t="s">
        <v>135</v>
      </c>
      <c r="BZ2368">
        <v>0</v>
      </c>
      <c r="CA2368">
        <v>0</v>
      </c>
      <c r="CB2368" t="s">
        <v>135</v>
      </c>
      <c r="CH2368" s="2"/>
      <c r="CJ2368" s="2"/>
      <c r="CL2368" s="2"/>
      <c r="CN2368" s="2"/>
      <c r="CQ2368" s="2"/>
      <c r="CT2368" s="2"/>
      <c r="CW2368" s="2"/>
    </row>
    <row r="2369" spans="1:101" x14ac:dyDescent="0.25">
      <c r="A2369" s="1" t="s">
        <v>163</v>
      </c>
      <c r="B2369" s="75" t="s">
        <v>164</v>
      </c>
      <c r="C2369">
        <v>0</v>
      </c>
      <c r="D2369">
        <v>0</v>
      </c>
      <c r="E2369">
        <v>0</v>
      </c>
      <c r="F2369">
        <v>604324.56000000006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3.91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7490</v>
      </c>
      <c r="AW2369">
        <v>3350</v>
      </c>
      <c r="AX2369">
        <v>1219</v>
      </c>
      <c r="AY2369">
        <v>12059</v>
      </c>
      <c r="AZ2369">
        <v>4202</v>
      </c>
      <c r="BA2369">
        <v>7438</v>
      </c>
      <c r="BB2369">
        <v>1432</v>
      </c>
      <c r="BC2369">
        <v>13072</v>
      </c>
      <c r="BD2369">
        <v>9486</v>
      </c>
      <c r="BE2369">
        <v>9222</v>
      </c>
      <c r="BF2369">
        <v>1768</v>
      </c>
      <c r="BG2369">
        <v>20476</v>
      </c>
      <c r="BH2369">
        <v>0</v>
      </c>
      <c r="BI2369">
        <v>0</v>
      </c>
      <c r="BJ2369">
        <v>0</v>
      </c>
      <c r="BK2369">
        <v>0</v>
      </c>
      <c r="BL2369" s="2">
        <v>24.82</v>
      </c>
      <c r="BM2369" s="2">
        <v>42005.095138888886</v>
      </c>
      <c r="BN2369" s="2">
        <v>5.4</v>
      </c>
      <c r="BO2369" s="2">
        <v>42005.092361111114</v>
      </c>
      <c r="BP2369" s="2">
        <v>6.92</v>
      </c>
      <c r="BQ2369" s="2">
        <v>42005.092361111114</v>
      </c>
      <c r="BR2369" s="2">
        <v>11.07</v>
      </c>
      <c r="BS2369" s="2">
        <v>42005.092361111114</v>
      </c>
      <c r="BT2369">
        <v>0</v>
      </c>
      <c r="BU2369">
        <v>0</v>
      </c>
      <c r="BV2369" t="s">
        <v>135</v>
      </c>
      <c r="BW2369">
        <v>0</v>
      </c>
      <c r="BX2369">
        <v>0</v>
      </c>
      <c r="BY2369" t="s">
        <v>135</v>
      </c>
      <c r="BZ2369">
        <v>0</v>
      </c>
      <c r="CA2369">
        <v>0</v>
      </c>
      <c r="CB2369" t="s">
        <v>135</v>
      </c>
      <c r="CH2369" s="2"/>
      <c r="CJ2369" s="2"/>
      <c r="CL2369" s="2"/>
      <c r="CN2369" s="2"/>
      <c r="CQ2369" s="2"/>
      <c r="CT2369" s="2"/>
      <c r="CW2369" s="2"/>
    </row>
    <row r="2370" spans="1:101" x14ac:dyDescent="0.25">
      <c r="A2370" s="1" t="s">
        <v>163</v>
      </c>
      <c r="B2370" s="75" t="s">
        <v>164</v>
      </c>
      <c r="C2370">
        <v>0</v>
      </c>
      <c r="D2370">
        <v>0</v>
      </c>
      <c r="E2370">
        <v>0</v>
      </c>
      <c r="F2370">
        <v>604324.56000000006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3.91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7490</v>
      </c>
      <c r="AW2370">
        <v>3350</v>
      </c>
      <c r="AX2370">
        <v>1219</v>
      </c>
      <c r="AY2370">
        <v>12059</v>
      </c>
      <c r="AZ2370">
        <v>4202</v>
      </c>
      <c r="BA2370">
        <v>7438</v>
      </c>
      <c r="BB2370">
        <v>1432</v>
      </c>
      <c r="BC2370">
        <v>13072</v>
      </c>
      <c r="BD2370">
        <v>9486</v>
      </c>
      <c r="BE2370">
        <v>9222</v>
      </c>
      <c r="BF2370">
        <v>1768</v>
      </c>
      <c r="BG2370">
        <v>20476</v>
      </c>
      <c r="BH2370">
        <v>0</v>
      </c>
      <c r="BI2370">
        <v>0</v>
      </c>
      <c r="BJ2370">
        <v>0</v>
      </c>
      <c r="BK2370">
        <v>0</v>
      </c>
      <c r="BL2370" s="2">
        <v>24.82</v>
      </c>
      <c r="BM2370" s="2">
        <v>42005.095138888886</v>
      </c>
      <c r="BN2370" s="2">
        <v>5.4</v>
      </c>
      <c r="BO2370" s="2">
        <v>42005.092361111114</v>
      </c>
      <c r="BP2370" s="2">
        <v>6.92</v>
      </c>
      <c r="BQ2370" s="2">
        <v>42005.092361111114</v>
      </c>
      <c r="BR2370" s="2">
        <v>11.07</v>
      </c>
      <c r="BS2370" s="2">
        <v>42005.092361111114</v>
      </c>
      <c r="BT2370">
        <v>0</v>
      </c>
      <c r="BU2370">
        <v>0</v>
      </c>
      <c r="BV2370" t="s">
        <v>135</v>
      </c>
      <c r="BW2370">
        <v>0</v>
      </c>
      <c r="BX2370">
        <v>0</v>
      </c>
      <c r="BY2370" t="s">
        <v>135</v>
      </c>
      <c r="BZ2370">
        <v>0</v>
      </c>
      <c r="CA2370">
        <v>0</v>
      </c>
      <c r="CB2370" t="s">
        <v>135</v>
      </c>
      <c r="CH2370" s="2"/>
      <c r="CJ2370" s="2"/>
      <c r="CL2370" s="2"/>
      <c r="CN2370" s="2"/>
      <c r="CQ2370" s="2"/>
      <c r="CT2370" s="2"/>
      <c r="CW2370" s="2"/>
    </row>
    <row r="2371" spans="1:101" x14ac:dyDescent="0.25">
      <c r="A2371" s="1" t="s">
        <v>163</v>
      </c>
      <c r="B2371" s="75" t="s">
        <v>164</v>
      </c>
      <c r="C2371">
        <v>0</v>
      </c>
      <c r="D2371">
        <v>0</v>
      </c>
      <c r="E2371">
        <v>0</v>
      </c>
      <c r="F2371">
        <v>604324.56000000006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3.91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7490</v>
      </c>
      <c r="AW2371">
        <v>3350</v>
      </c>
      <c r="AX2371">
        <v>1219</v>
      </c>
      <c r="AY2371">
        <v>12059</v>
      </c>
      <c r="AZ2371">
        <v>4202</v>
      </c>
      <c r="BA2371">
        <v>7438</v>
      </c>
      <c r="BB2371">
        <v>1432</v>
      </c>
      <c r="BC2371">
        <v>13072</v>
      </c>
      <c r="BD2371">
        <v>9486</v>
      </c>
      <c r="BE2371">
        <v>9222</v>
      </c>
      <c r="BF2371">
        <v>1768</v>
      </c>
      <c r="BG2371">
        <v>20476</v>
      </c>
      <c r="BH2371">
        <v>0</v>
      </c>
      <c r="BI2371">
        <v>0</v>
      </c>
      <c r="BJ2371">
        <v>0</v>
      </c>
      <c r="BK2371">
        <v>0</v>
      </c>
      <c r="BL2371" s="2">
        <v>24.82</v>
      </c>
      <c r="BM2371" s="2">
        <v>42005.095138888886</v>
      </c>
      <c r="BN2371" s="2">
        <v>5.4</v>
      </c>
      <c r="BO2371" s="2">
        <v>42005.092361111114</v>
      </c>
      <c r="BP2371" s="2">
        <v>6.92</v>
      </c>
      <c r="BQ2371" s="2">
        <v>42005.092361111114</v>
      </c>
      <c r="BR2371" s="2">
        <v>11.07</v>
      </c>
      <c r="BS2371" s="2">
        <v>42005.092361111114</v>
      </c>
      <c r="BT2371">
        <v>0</v>
      </c>
      <c r="BU2371">
        <v>0</v>
      </c>
      <c r="BV2371" t="s">
        <v>135</v>
      </c>
      <c r="BW2371">
        <v>0</v>
      </c>
      <c r="BX2371">
        <v>0</v>
      </c>
      <c r="BY2371" t="s">
        <v>135</v>
      </c>
      <c r="BZ2371">
        <v>0</v>
      </c>
      <c r="CA2371">
        <v>0</v>
      </c>
      <c r="CB2371" t="s">
        <v>135</v>
      </c>
      <c r="CH2371" s="2"/>
      <c r="CJ2371" s="2"/>
      <c r="CL2371" s="2"/>
      <c r="CN2371" s="2"/>
      <c r="CQ2371" s="2"/>
      <c r="CT2371" s="2"/>
      <c r="CW2371" s="2"/>
    </row>
    <row r="2372" spans="1:101" x14ac:dyDescent="0.25">
      <c r="A2372" s="1" t="s">
        <v>163</v>
      </c>
      <c r="B2372" s="75" t="s">
        <v>164</v>
      </c>
      <c r="C2372">
        <v>0</v>
      </c>
      <c r="D2372">
        <v>0</v>
      </c>
      <c r="E2372">
        <v>0</v>
      </c>
      <c r="F2372">
        <v>604324.56000000006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3.91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7490</v>
      </c>
      <c r="AW2372">
        <v>3350</v>
      </c>
      <c r="AX2372">
        <v>1219</v>
      </c>
      <c r="AY2372">
        <v>12059</v>
      </c>
      <c r="AZ2372">
        <v>4202</v>
      </c>
      <c r="BA2372">
        <v>7438</v>
      </c>
      <c r="BB2372">
        <v>1432</v>
      </c>
      <c r="BC2372">
        <v>13072</v>
      </c>
      <c r="BD2372">
        <v>9486</v>
      </c>
      <c r="BE2372">
        <v>9222</v>
      </c>
      <c r="BF2372">
        <v>1768</v>
      </c>
      <c r="BG2372">
        <v>20476</v>
      </c>
      <c r="BH2372">
        <v>0</v>
      </c>
      <c r="BI2372">
        <v>0</v>
      </c>
      <c r="BJ2372">
        <v>0</v>
      </c>
      <c r="BK2372">
        <v>0</v>
      </c>
      <c r="BL2372" s="2">
        <v>24.82</v>
      </c>
      <c r="BM2372" s="2">
        <v>42005.095138888886</v>
      </c>
      <c r="BN2372" s="2">
        <v>5.4</v>
      </c>
      <c r="BO2372" s="2">
        <v>42005.092361111114</v>
      </c>
      <c r="BP2372" s="2">
        <v>6.92</v>
      </c>
      <c r="BQ2372" s="2">
        <v>42005.092361111114</v>
      </c>
      <c r="BR2372" s="2">
        <v>11.07</v>
      </c>
      <c r="BS2372" s="2">
        <v>42005.092361111114</v>
      </c>
      <c r="BT2372">
        <v>0</v>
      </c>
      <c r="BU2372">
        <v>0</v>
      </c>
      <c r="BV2372" t="s">
        <v>135</v>
      </c>
      <c r="BW2372">
        <v>0</v>
      </c>
      <c r="BX2372">
        <v>0</v>
      </c>
      <c r="BY2372" t="s">
        <v>135</v>
      </c>
      <c r="BZ2372">
        <v>0</v>
      </c>
      <c r="CA2372">
        <v>0</v>
      </c>
      <c r="CB2372" t="s">
        <v>135</v>
      </c>
      <c r="CH2372" s="2"/>
      <c r="CJ2372" s="2"/>
      <c r="CL2372" s="2"/>
      <c r="CN2372" s="2"/>
      <c r="CQ2372" s="2"/>
      <c r="CT2372" s="2"/>
      <c r="CW2372" s="2"/>
    </row>
    <row r="2373" spans="1:101" x14ac:dyDescent="0.25">
      <c r="A2373" s="1" t="s">
        <v>163</v>
      </c>
      <c r="B2373" s="75" t="s">
        <v>164</v>
      </c>
      <c r="C2373">
        <v>0</v>
      </c>
      <c r="D2373">
        <v>0</v>
      </c>
      <c r="E2373">
        <v>0</v>
      </c>
      <c r="F2373">
        <v>604324.56000000006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3.91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7490</v>
      </c>
      <c r="AW2373">
        <v>3350</v>
      </c>
      <c r="AX2373">
        <v>1219</v>
      </c>
      <c r="AY2373">
        <v>12059</v>
      </c>
      <c r="AZ2373">
        <v>4202</v>
      </c>
      <c r="BA2373">
        <v>7438</v>
      </c>
      <c r="BB2373">
        <v>1432</v>
      </c>
      <c r="BC2373">
        <v>13072</v>
      </c>
      <c r="BD2373">
        <v>9486</v>
      </c>
      <c r="BE2373">
        <v>9222</v>
      </c>
      <c r="BF2373">
        <v>1768</v>
      </c>
      <c r="BG2373">
        <v>20476</v>
      </c>
      <c r="BH2373">
        <v>0</v>
      </c>
      <c r="BI2373">
        <v>0</v>
      </c>
      <c r="BJ2373">
        <v>0</v>
      </c>
      <c r="BK2373">
        <v>0</v>
      </c>
      <c r="BL2373" s="2">
        <v>24.82</v>
      </c>
      <c r="BM2373" s="2">
        <v>42005.095138888886</v>
      </c>
      <c r="BN2373" s="2">
        <v>5.4</v>
      </c>
      <c r="BO2373" s="2">
        <v>42005.092361111114</v>
      </c>
      <c r="BP2373" s="2">
        <v>6.92</v>
      </c>
      <c r="BQ2373" s="2">
        <v>42005.092361111114</v>
      </c>
      <c r="BR2373" s="2">
        <v>11.07</v>
      </c>
      <c r="BS2373" s="2">
        <v>42005.092361111114</v>
      </c>
      <c r="BT2373">
        <v>0</v>
      </c>
      <c r="BU2373">
        <v>0</v>
      </c>
      <c r="BV2373" t="s">
        <v>135</v>
      </c>
      <c r="BW2373">
        <v>0</v>
      </c>
      <c r="BX2373">
        <v>0</v>
      </c>
      <c r="BY2373" t="s">
        <v>135</v>
      </c>
      <c r="BZ2373">
        <v>0</v>
      </c>
      <c r="CA2373">
        <v>0</v>
      </c>
      <c r="CB2373" t="s">
        <v>135</v>
      </c>
      <c r="CH2373" s="2"/>
      <c r="CJ2373" s="2"/>
      <c r="CL2373" s="2"/>
      <c r="CN2373" s="2"/>
      <c r="CQ2373" s="2"/>
      <c r="CT2373" s="2"/>
      <c r="CW2373" s="2"/>
    </row>
    <row r="2374" spans="1:101" x14ac:dyDescent="0.25">
      <c r="A2374" s="1" t="s">
        <v>163</v>
      </c>
      <c r="B2374" s="75" t="s">
        <v>164</v>
      </c>
      <c r="C2374">
        <v>0</v>
      </c>
      <c r="D2374">
        <v>0</v>
      </c>
      <c r="E2374">
        <v>0</v>
      </c>
      <c r="F2374">
        <v>604324.56000000006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3.91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7490</v>
      </c>
      <c r="AW2374">
        <v>3350</v>
      </c>
      <c r="AX2374">
        <v>1219</v>
      </c>
      <c r="AY2374">
        <v>12059</v>
      </c>
      <c r="AZ2374">
        <v>4202</v>
      </c>
      <c r="BA2374">
        <v>7438</v>
      </c>
      <c r="BB2374">
        <v>1432</v>
      </c>
      <c r="BC2374">
        <v>13072</v>
      </c>
      <c r="BD2374">
        <v>9486</v>
      </c>
      <c r="BE2374">
        <v>9222</v>
      </c>
      <c r="BF2374">
        <v>1768</v>
      </c>
      <c r="BG2374">
        <v>20476</v>
      </c>
      <c r="BH2374">
        <v>0</v>
      </c>
      <c r="BI2374">
        <v>0</v>
      </c>
      <c r="BJ2374">
        <v>0</v>
      </c>
      <c r="BK2374">
        <v>0</v>
      </c>
      <c r="BL2374" s="2">
        <v>24.82</v>
      </c>
      <c r="BM2374" s="2">
        <v>42005.095138888886</v>
      </c>
      <c r="BN2374" s="2">
        <v>5.4</v>
      </c>
      <c r="BO2374" s="2">
        <v>42005.092361111114</v>
      </c>
      <c r="BP2374" s="2">
        <v>6.92</v>
      </c>
      <c r="BQ2374" s="2">
        <v>42005.092361111114</v>
      </c>
      <c r="BR2374" s="2">
        <v>11.07</v>
      </c>
      <c r="BS2374" s="2">
        <v>42005.092361111114</v>
      </c>
      <c r="BT2374">
        <v>0</v>
      </c>
      <c r="BU2374">
        <v>0</v>
      </c>
      <c r="BV2374" t="s">
        <v>135</v>
      </c>
      <c r="BW2374">
        <v>0</v>
      </c>
      <c r="BX2374">
        <v>0</v>
      </c>
      <c r="BY2374" t="s">
        <v>135</v>
      </c>
      <c r="BZ2374">
        <v>0</v>
      </c>
      <c r="CA2374">
        <v>0</v>
      </c>
      <c r="CB2374" t="s">
        <v>135</v>
      </c>
      <c r="CH2374" s="2"/>
      <c r="CJ2374" s="2"/>
      <c r="CL2374" s="2"/>
      <c r="CN2374" s="2"/>
      <c r="CQ2374" s="2"/>
      <c r="CT2374" s="2"/>
      <c r="CW2374" s="2"/>
    </row>
    <row r="2375" spans="1:101" x14ac:dyDescent="0.25">
      <c r="A2375" s="1" t="s">
        <v>163</v>
      </c>
      <c r="B2375" s="75" t="s">
        <v>164</v>
      </c>
      <c r="C2375">
        <v>0</v>
      </c>
      <c r="D2375">
        <v>0</v>
      </c>
      <c r="E2375">
        <v>0</v>
      </c>
      <c r="F2375">
        <v>604324.56000000006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3.91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7490</v>
      </c>
      <c r="AW2375">
        <v>3350</v>
      </c>
      <c r="AX2375">
        <v>1219</v>
      </c>
      <c r="AY2375">
        <v>12059</v>
      </c>
      <c r="AZ2375">
        <v>4202</v>
      </c>
      <c r="BA2375">
        <v>7438</v>
      </c>
      <c r="BB2375">
        <v>1432</v>
      </c>
      <c r="BC2375">
        <v>13072</v>
      </c>
      <c r="BD2375">
        <v>9486</v>
      </c>
      <c r="BE2375">
        <v>9222</v>
      </c>
      <c r="BF2375">
        <v>1768</v>
      </c>
      <c r="BG2375">
        <v>20476</v>
      </c>
      <c r="BH2375">
        <v>0</v>
      </c>
      <c r="BI2375">
        <v>0</v>
      </c>
      <c r="BJ2375">
        <v>0</v>
      </c>
      <c r="BK2375">
        <v>0</v>
      </c>
      <c r="BL2375" s="2">
        <v>24.82</v>
      </c>
      <c r="BM2375" s="2">
        <v>42005.095138888886</v>
      </c>
      <c r="BN2375" s="2">
        <v>5.4</v>
      </c>
      <c r="BO2375" s="2">
        <v>42005.092361111114</v>
      </c>
      <c r="BP2375" s="2">
        <v>6.92</v>
      </c>
      <c r="BQ2375" s="2">
        <v>42005.092361111114</v>
      </c>
      <c r="BR2375" s="2">
        <v>11.07</v>
      </c>
      <c r="BS2375" s="2">
        <v>42005.092361111114</v>
      </c>
      <c r="BT2375">
        <v>0</v>
      </c>
      <c r="BU2375">
        <v>0</v>
      </c>
      <c r="BV2375" t="s">
        <v>135</v>
      </c>
      <c r="BW2375">
        <v>0</v>
      </c>
      <c r="BX2375">
        <v>0</v>
      </c>
      <c r="BY2375" t="s">
        <v>135</v>
      </c>
      <c r="BZ2375">
        <v>0</v>
      </c>
      <c r="CA2375">
        <v>0</v>
      </c>
      <c r="CB2375" t="s">
        <v>135</v>
      </c>
      <c r="CH2375" s="2"/>
      <c r="CJ2375" s="2"/>
      <c r="CL2375" s="2"/>
      <c r="CN2375" s="2"/>
      <c r="CQ2375" s="2"/>
      <c r="CT2375" s="2"/>
      <c r="CW2375" s="2"/>
    </row>
    <row r="2376" spans="1:101" x14ac:dyDescent="0.25">
      <c r="A2376" s="1" t="s">
        <v>163</v>
      </c>
      <c r="B2376" s="75" t="s">
        <v>164</v>
      </c>
      <c r="C2376">
        <v>0</v>
      </c>
      <c r="D2376">
        <v>0</v>
      </c>
      <c r="E2376">
        <v>0</v>
      </c>
      <c r="F2376">
        <v>604324.56000000006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3.91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7490</v>
      </c>
      <c r="AW2376">
        <v>3350</v>
      </c>
      <c r="AX2376">
        <v>1219</v>
      </c>
      <c r="AY2376">
        <v>12059</v>
      </c>
      <c r="AZ2376">
        <v>4202</v>
      </c>
      <c r="BA2376">
        <v>7438</v>
      </c>
      <c r="BB2376">
        <v>1432</v>
      </c>
      <c r="BC2376">
        <v>13072</v>
      </c>
      <c r="BD2376">
        <v>9486</v>
      </c>
      <c r="BE2376">
        <v>9222</v>
      </c>
      <c r="BF2376">
        <v>1768</v>
      </c>
      <c r="BG2376">
        <v>20476</v>
      </c>
      <c r="BH2376">
        <v>0</v>
      </c>
      <c r="BI2376">
        <v>0</v>
      </c>
      <c r="BJ2376">
        <v>0</v>
      </c>
      <c r="BK2376">
        <v>0</v>
      </c>
      <c r="BL2376" s="2">
        <v>24.82</v>
      </c>
      <c r="BM2376" s="2">
        <v>42005.095138888886</v>
      </c>
      <c r="BN2376" s="2">
        <v>5.4</v>
      </c>
      <c r="BO2376" s="2">
        <v>42005.092361111114</v>
      </c>
      <c r="BP2376" s="2">
        <v>6.92</v>
      </c>
      <c r="BQ2376" s="2">
        <v>42005.092361111114</v>
      </c>
      <c r="BR2376" s="2">
        <v>11.07</v>
      </c>
      <c r="BS2376" s="2">
        <v>42005.092361111114</v>
      </c>
      <c r="BT2376">
        <v>0</v>
      </c>
      <c r="BU2376">
        <v>0</v>
      </c>
      <c r="BV2376" t="s">
        <v>135</v>
      </c>
      <c r="BW2376">
        <v>0</v>
      </c>
      <c r="BX2376">
        <v>0</v>
      </c>
      <c r="BY2376" t="s">
        <v>135</v>
      </c>
      <c r="BZ2376">
        <v>0</v>
      </c>
      <c r="CA2376">
        <v>0</v>
      </c>
      <c r="CB2376" t="s">
        <v>135</v>
      </c>
      <c r="CH2376" s="2"/>
      <c r="CJ2376" s="2"/>
      <c r="CL2376" s="2"/>
      <c r="CN2376" s="2"/>
      <c r="CQ2376" s="2"/>
      <c r="CT2376" s="2"/>
      <c r="CW2376" s="2"/>
    </row>
    <row r="2377" spans="1:101" x14ac:dyDescent="0.25">
      <c r="A2377" s="1" t="s">
        <v>163</v>
      </c>
      <c r="B2377" s="75" t="s">
        <v>164</v>
      </c>
      <c r="C2377">
        <v>0</v>
      </c>
      <c r="D2377">
        <v>0</v>
      </c>
      <c r="E2377">
        <v>0</v>
      </c>
      <c r="F2377">
        <v>604324.56000000006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3.91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7490</v>
      </c>
      <c r="AW2377">
        <v>3350</v>
      </c>
      <c r="AX2377">
        <v>1219</v>
      </c>
      <c r="AY2377">
        <v>12059</v>
      </c>
      <c r="AZ2377">
        <v>4202</v>
      </c>
      <c r="BA2377">
        <v>7438</v>
      </c>
      <c r="BB2377">
        <v>1432</v>
      </c>
      <c r="BC2377">
        <v>13072</v>
      </c>
      <c r="BD2377">
        <v>9486</v>
      </c>
      <c r="BE2377">
        <v>9222</v>
      </c>
      <c r="BF2377">
        <v>1768</v>
      </c>
      <c r="BG2377">
        <v>20476</v>
      </c>
      <c r="BH2377">
        <v>0</v>
      </c>
      <c r="BI2377">
        <v>0</v>
      </c>
      <c r="BJ2377">
        <v>0</v>
      </c>
      <c r="BK2377">
        <v>0</v>
      </c>
      <c r="BL2377" s="2">
        <v>24.82</v>
      </c>
      <c r="BM2377" s="2">
        <v>42005.095138888886</v>
      </c>
      <c r="BN2377" s="2">
        <v>5.4</v>
      </c>
      <c r="BO2377" s="2">
        <v>42005.092361111114</v>
      </c>
      <c r="BP2377" s="2">
        <v>6.92</v>
      </c>
      <c r="BQ2377" s="2">
        <v>42005.092361111114</v>
      </c>
      <c r="BR2377" s="2">
        <v>11.07</v>
      </c>
      <c r="BS2377" s="2">
        <v>42005.092361111114</v>
      </c>
      <c r="BT2377">
        <v>0</v>
      </c>
      <c r="BU2377">
        <v>0</v>
      </c>
      <c r="BV2377" t="s">
        <v>135</v>
      </c>
      <c r="BW2377">
        <v>0</v>
      </c>
      <c r="BX2377">
        <v>0</v>
      </c>
      <c r="BY2377" t="s">
        <v>135</v>
      </c>
      <c r="BZ2377">
        <v>0</v>
      </c>
      <c r="CA2377">
        <v>0</v>
      </c>
      <c r="CB2377" t="s">
        <v>135</v>
      </c>
      <c r="CH2377" s="2"/>
      <c r="CJ2377" s="2"/>
      <c r="CL2377" s="2"/>
      <c r="CN2377" s="2"/>
      <c r="CQ2377" s="2"/>
      <c r="CT2377" s="2"/>
      <c r="CW2377" s="2"/>
    </row>
    <row r="2378" spans="1:101" x14ac:dyDescent="0.25">
      <c r="A2378" s="1" t="s">
        <v>163</v>
      </c>
      <c r="B2378" s="75" t="s">
        <v>164</v>
      </c>
      <c r="C2378">
        <v>0</v>
      </c>
      <c r="D2378">
        <v>0</v>
      </c>
      <c r="E2378">
        <v>0</v>
      </c>
      <c r="F2378">
        <v>604324.56000000006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3.91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7490</v>
      </c>
      <c r="AW2378">
        <v>3350</v>
      </c>
      <c r="AX2378">
        <v>1219</v>
      </c>
      <c r="AY2378">
        <v>12059</v>
      </c>
      <c r="AZ2378">
        <v>4202</v>
      </c>
      <c r="BA2378">
        <v>7438</v>
      </c>
      <c r="BB2378">
        <v>1432</v>
      </c>
      <c r="BC2378">
        <v>13072</v>
      </c>
      <c r="BD2378">
        <v>9486</v>
      </c>
      <c r="BE2378">
        <v>9222</v>
      </c>
      <c r="BF2378">
        <v>1768</v>
      </c>
      <c r="BG2378">
        <v>20476</v>
      </c>
      <c r="BH2378">
        <v>0</v>
      </c>
      <c r="BI2378">
        <v>0</v>
      </c>
      <c r="BJ2378">
        <v>0</v>
      </c>
      <c r="BK2378">
        <v>0</v>
      </c>
      <c r="BL2378" s="2">
        <v>24.82</v>
      </c>
      <c r="BM2378" s="2">
        <v>42005.095138888886</v>
      </c>
      <c r="BN2378" s="2">
        <v>5.4</v>
      </c>
      <c r="BO2378" s="2">
        <v>42005.092361111114</v>
      </c>
      <c r="BP2378" s="2">
        <v>6.92</v>
      </c>
      <c r="BQ2378" s="2">
        <v>42005.092361111114</v>
      </c>
      <c r="BR2378" s="2">
        <v>11.07</v>
      </c>
      <c r="BS2378" s="2">
        <v>42005.092361111114</v>
      </c>
      <c r="BT2378">
        <v>0</v>
      </c>
      <c r="BU2378">
        <v>0</v>
      </c>
      <c r="BV2378" t="s">
        <v>135</v>
      </c>
      <c r="BW2378">
        <v>0</v>
      </c>
      <c r="BX2378">
        <v>0</v>
      </c>
      <c r="BY2378" t="s">
        <v>135</v>
      </c>
      <c r="BZ2378">
        <v>0</v>
      </c>
      <c r="CA2378">
        <v>0</v>
      </c>
      <c r="CB2378" t="s">
        <v>135</v>
      </c>
      <c r="CH2378" s="2"/>
      <c r="CJ2378" s="2"/>
      <c r="CL2378" s="2"/>
      <c r="CN2378" s="2"/>
      <c r="CQ2378" s="2"/>
      <c r="CT2378" s="2"/>
      <c r="CW2378" s="2"/>
    </row>
    <row r="2379" spans="1:101" x14ac:dyDescent="0.25">
      <c r="A2379" s="1" t="s">
        <v>163</v>
      </c>
      <c r="B2379" s="75" t="s">
        <v>164</v>
      </c>
      <c r="C2379">
        <v>0</v>
      </c>
      <c r="D2379">
        <v>0</v>
      </c>
      <c r="E2379">
        <v>0</v>
      </c>
      <c r="F2379">
        <v>604324.56000000006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3.91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7490</v>
      </c>
      <c r="AW2379">
        <v>3350</v>
      </c>
      <c r="AX2379">
        <v>1219</v>
      </c>
      <c r="AY2379">
        <v>12059</v>
      </c>
      <c r="AZ2379">
        <v>4202</v>
      </c>
      <c r="BA2379">
        <v>7438</v>
      </c>
      <c r="BB2379">
        <v>1432</v>
      </c>
      <c r="BC2379">
        <v>13072</v>
      </c>
      <c r="BD2379">
        <v>9486</v>
      </c>
      <c r="BE2379">
        <v>9222</v>
      </c>
      <c r="BF2379">
        <v>1768</v>
      </c>
      <c r="BG2379">
        <v>20476</v>
      </c>
      <c r="BH2379">
        <v>0</v>
      </c>
      <c r="BI2379">
        <v>0</v>
      </c>
      <c r="BJ2379">
        <v>0</v>
      </c>
      <c r="BK2379">
        <v>0</v>
      </c>
      <c r="BL2379" s="2">
        <v>24.82</v>
      </c>
      <c r="BM2379" s="2">
        <v>42005.095138888886</v>
      </c>
      <c r="BN2379" s="2">
        <v>5.4</v>
      </c>
      <c r="BO2379" s="2">
        <v>42005.092361111114</v>
      </c>
      <c r="BP2379" s="2">
        <v>6.92</v>
      </c>
      <c r="BQ2379" s="2">
        <v>42005.092361111114</v>
      </c>
      <c r="BR2379" s="2">
        <v>11.07</v>
      </c>
      <c r="BS2379" s="2">
        <v>42005.092361111114</v>
      </c>
      <c r="BT2379">
        <v>0</v>
      </c>
      <c r="BU2379">
        <v>0</v>
      </c>
      <c r="BV2379" t="s">
        <v>135</v>
      </c>
      <c r="BW2379">
        <v>0</v>
      </c>
      <c r="BX2379">
        <v>0</v>
      </c>
      <c r="BY2379" t="s">
        <v>135</v>
      </c>
      <c r="BZ2379">
        <v>0</v>
      </c>
      <c r="CA2379">
        <v>0</v>
      </c>
      <c r="CB2379" t="s">
        <v>135</v>
      </c>
      <c r="CH2379" s="2"/>
      <c r="CJ2379" s="2"/>
      <c r="CL2379" s="2"/>
      <c r="CN2379" s="2"/>
      <c r="CQ2379" s="2"/>
      <c r="CT2379" s="2"/>
      <c r="CW2379" s="2"/>
    </row>
    <row r="2380" spans="1:101" x14ac:dyDescent="0.25">
      <c r="A2380" s="1" t="s">
        <v>163</v>
      </c>
      <c r="B2380" s="75" t="s">
        <v>164</v>
      </c>
      <c r="C2380">
        <v>0</v>
      </c>
      <c r="D2380">
        <v>0</v>
      </c>
      <c r="E2380">
        <v>0</v>
      </c>
      <c r="F2380">
        <v>604324.56000000006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3.91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7490</v>
      </c>
      <c r="AW2380">
        <v>3350</v>
      </c>
      <c r="AX2380">
        <v>1219</v>
      </c>
      <c r="AY2380">
        <v>12059</v>
      </c>
      <c r="AZ2380">
        <v>4202</v>
      </c>
      <c r="BA2380">
        <v>7438</v>
      </c>
      <c r="BB2380">
        <v>1432</v>
      </c>
      <c r="BC2380">
        <v>13072</v>
      </c>
      <c r="BD2380">
        <v>9486</v>
      </c>
      <c r="BE2380">
        <v>9222</v>
      </c>
      <c r="BF2380">
        <v>1768</v>
      </c>
      <c r="BG2380">
        <v>20476</v>
      </c>
      <c r="BH2380">
        <v>0</v>
      </c>
      <c r="BI2380">
        <v>0</v>
      </c>
      <c r="BJ2380">
        <v>0</v>
      </c>
      <c r="BK2380">
        <v>0</v>
      </c>
      <c r="BL2380" s="2">
        <v>24.82</v>
      </c>
      <c r="BM2380" s="2">
        <v>42005.095138888886</v>
      </c>
      <c r="BN2380" s="2">
        <v>5.4</v>
      </c>
      <c r="BO2380" s="2">
        <v>42005.092361111114</v>
      </c>
      <c r="BP2380" s="2">
        <v>6.92</v>
      </c>
      <c r="BQ2380" s="2">
        <v>42005.092361111114</v>
      </c>
      <c r="BR2380" s="2">
        <v>11.07</v>
      </c>
      <c r="BS2380" s="2">
        <v>42005.092361111114</v>
      </c>
      <c r="BT2380">
        <v>0</v>
      </c>
      <c r="BU2380">
        <v>0</v>
      </c>
      <c r="BV2380" t="s">
        <v>135</v>
      </c>
      <c r="BW2380">
        <v>0</v>
      </c>
      <c r="BX2380">
        <v>0</v>
      </c>
      <c r="BY2380" t="s">
        <v>135</v>
      </c>
      <c r="BZ2380">
        <v>0</v>
      </c>
      <c r="CA2380">
        <v>0</v>
      </c>
      <c r="CB2380" t="s">
        <v>135</v>
      </c>
      <c r="CH2380" s="2"/>
      <c r="CJ2380" s="2"/>
      <c r="CL2380" s="2"/>
      <c r="CN2380" s="2"/>
      <c r="CQ2380" s="2"/>
      <c r="CT2380" s="2"/>
      <c r="CW2380" s="2"/>
    </row>
    <row r="2381" spans="1:101" x14ac:dyDescent="0.25">
      <c r="A2381" s="1" t="s">
        <v>163</v>
      </c>
      <c r="B2381" s="75" t="s">
        <v>164</v>
      </c>
      <c r="C2381">
        <v>0</v>
      </c>
      <c r="D2381">
        <v>0</v>
      </c>
      <c r="E2381">
        <v>0</v>
      </c>
      <c r="F2381">
        <v>604324.56000000006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3.91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7490</v>
      </c>
      <c r="AW2381">
        <v>3350</v>
      </c>
      <c r="AX2381">
        <v>1219</v>
      </c>
      <c r="AY2381">
        <v>12059</v>
      </c>
      <c r="AZ2381">
        <v>4202</v>
      </c>
      <c r="BA2381">
        <v>7438</v>
      </c>
      <c r="BB2381">
        <v>1432</v>
      </c>
      <c r="BC2381">
        <v>13072</v>
      </c>
      <c r="BD2381">
        <v>9486</v>
      </c>
      <c r="BE2381">
        <v>9222</v>
      </c>
      <c r="BF2381">
        <v>1768</v>
      </c>
      <c r="BG2381">
        <v>20476</v>
      </c>
      <c r="BH2381">
        <v>0</v>
      </c>
      <c r="BI2381">
        <v>0</v>
      </c>
      <c r="BJ2381">
        <v>0</v>
      </c>
      <c r="BK2381">
        <v>0</v>
      </c>
      <c r="BL2381" s="2">
        <v>24.82</v>
      </c>
      <c r="BM2381" s="2">
        <v>42005.095138888886</v>
      </c>
      <c r="BN2381" s="2">
        <v>5.4</v>
      </c>
      <c r="BO2381" s="2">
        <v>42005.092361111114</v>
      </c>
      <c r="BP2381" s="2">
        <v>6.92</v>
      </c>
      <c r="BQ2381" s="2">
        <v>42005.092361111114</v>
      </c>
      <c r="BR2381" s="2">
        <v>11.07</v>
      </c>
      <c r="BS2381" s="2">
        <v>42005.092361111114</v>
      </c>
      <c r="BT2381">
        <v>0</v>
      </c>
      <c r="BU2381">
        <v>0</v>
      </c>
      <c r="BV2381" t="s">
        <v>135</v>
      </c>
      <c r="BW2381">
        <v>0</v>
      </c>
      <c r="BX2381">
        <v>0</v>
      </c>
      <c r="BY2381" t="s">
        <v>135</v>
      </c>
      <c r="BZ2381">
        <v>0</v>
      </c>
      <c r="CA2381">
        <v>0</v>
      </c>
      <c r="CB2381" t="s">
        <v>135</v>
      </c>
      <c r="CH2381" s="2"/>
      <c r="CJ2381" s="2"/>
      <c r="CL2381" s="2"/>
      <c r="CN2381" s="2"/>
      <c r="CQ2381" s="2"/>
      <c r="CT2381" s="2"/>
      <c r="CW2381" s="2"/>
    </row>
    <row r="2382" spans="1:101" x14ac:dyDescent="0.25">
      <c r="A2382" s="1" t="s">
        <v>163</v>
      </c>
      <c r="B2382" s="75" t="s">
        <v>164</v>
      </c>
      <c r="C2382">
        <v>0</v>
      </c>
      <c r="D2382">
        <v>0</v>
      </c>
      <c r="E2382">
        <v>0</v>
      </c>
      <c r="F2382">
        <v>604324.56000000006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3.91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7490</v>
      </c>
      <c r="AW2382">
        <v>3350</v>
      </c>
      <c r="AX2382">
        <v>1219</v>
      </c>
      <c r="AY2382">
        <v>12059</v>
      </c>
      <c r="AZ2382">
        <v>4202</v>
      </c>
      <c r="BA2382">
        <v>7438</v>
      </c>
      <c r="BB2382">
        <v>1432</v>
      </c>
      <c r="BC2382">
        <v>13072</v>
      </c>
      <c r="BD2382">
        <v>9486</v>
      </c>
      <c r="BE2382">
        <v>9222</v>
      </c>
      <c r="BF2382">
        <v>1768</v>
      </c>
      <c r="BG2382">
        <v>20476</v>
      </c>
      <c r="BH2382">
        <v>0</v>
      </c>
      <c r="BI2382">
        <v>0</v>
      </c>
      <c r="BJ2382">
        <v>0</v>
      </c>
      <c r="BK2382">
        <v>0</v>
      </c>
      <c r="BL2382" s="2">
        <v>24.82</v>
      </c>
      <c r="BM2382" s="2">
        <v>42005.095138888886</v>
      </c>
      <c r="BN2382" s="2">
        <v>5.4</v>
      </c>
      <c r="BO2382" s="2">
        <v>42005.092361111114</v>
      </c>
      <c r="BP2382" s="2">
        <v>6.92</v>
      </c>
      <c r="BQ2382" s="2">
        <v>42005.092361111114</v>
      </c>
      <c r="BR2382" s="2">
        <v>11.07</v>
      </c>
      <c r="BS2382" s="2">
        <v>42005.092361111114</v>
      </c>
      <c r="BT2382">
        <v>0</v>
      </c>
      <c r="BU2382">
        <v>0</v>
      </c>
      <c r="BV2382" t="s">
        <v>135</v>
      </c>
      <c r="BW2382">
        <v>0</v>
      </c>
      <c r="BX2382">
        <v>0</v>
      </c>
      <c r="BY2382" t="s">
        <v>135</v>
      </c>
      <c r="BZ2382">
        <v>0</v>
      </c>
      <c r="CA2382">
        <v>0</v>
      </c>
      <c r="CB2382" t="s">
        <v>135</v>
      </c>
      <c r="CH2382" s="2"/>
      <c r="CJ2382" s="2"/>
      <c r="CL2382" s="2"/>
      <c r="CN2382" s="2"/>
      <c r="CQ2382" s="2"/>
      <c r="CT2382" s="2"/>
      <c r="CW2382" s="2"/>
    </row>
    <row r="2383" spans="1:101" x14ac:dyDescent="0.25">
      <c r="A2383" s="1" t="s">
        <v>163</v>
      </c>
      <c r="B2383" s="75" t="s">
        <v>164</v>
      </c>
      <c r="C2383">
        <v>0</v>
      </c>
      <c r="D2383">
        <v>0</v>
      </c>
      <c r="E2383">
        <v>0</v>
      </c>
      <c r="F2383">
        <v>604324.56000000006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3.91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7490</v>
      </c>
      <c r="AW2383">
        <v>3350</v>
      </c>
      <c r="AX2383">
        <v>1219</v>
      </c>
      <c r="AY2383">
        <v>12059</v>
      </c>
      <c r="AZ2383">
        <v>4202</v>
      </c>
      <c r="BA2383">
        <v>7438</v>
      </c>
      <c r="BB2383">
        <v>1432</v>
      </c>
      <c r="BC2383">
        <v>13072</v>
      </c>
      <c r="BD2383">
        <v>9486</v>
      </c>
      <c r="BE2383">
        <v>9222</v>
      </c>
      <c r="BF2383">
        <v>1768</v>
      </c>
      <c r="BG2383">
        <v>20476</v>
      </c>
      <c r="BH2383">
        <v>0</v>
      </c>
      <c r="BI2383">
        <v>0</v>
      </c>
      <c r="BJ2383">
        <v>0</v>
      </c>
      <c r="BK2383">
        <v>0</v>
      </c>
      <c r="BL2383" s="2">
        <v>24.82</v>
      </c>
      <c r="BM2383" s="2">
        <v>42005.095138888886</v>
      </c>
      <c r="BN2383" s="2">
        <v>5.4</v>
      </c>
      <c r="BO2383" s="2">
        <v>42005.092361111114</v>
      </c>
      <c r="BP2383" s="2">
        <v>6.92</v>
      </c>
      <c r="BQ2383" s="2">
        <v>42005.092361111114</v>
      </c>
      <c r="BR2383" s="2">
        <v>11.07</v>
      </c>
      <c r="BS2383" s="2">
        <v>42005.092361111114</v>
      </c>
      <c r="BT2383">
        <v>0</v>
      </c>
      <c r="BU2383">
        <v>0</v>
      </c>
      <c r="BV2383" t="s">
        <v>135</v>
      </c>
      <c r="BW2383">
        <v>0</v>
      </c>
      <c r="BX2383">
        <v>0</v>
      </c>
      <c r="BY2383" t="s">
        <v>135</v>
      </c>
      <c r="BZ2383">
        <v>0</v>
      </c>
      <c r="CA2383">
        <v>0</v>
      </c>
      <c r="CB2383" t="s">
        <v>135</v>
      </c>
      <c r="CH2383" s="2"/>
      <c r="CJ2383" s="2"/>
      <c r="CL2383" s="2"/>
      <c r="CN2383" s="2"/>
      <c r="CQ2383" s="2"/>
      <c r="CT2383" s="2"/>
      <c r="CW2383" s="2"/>
    </row>
    <row r="2384" spans="1:101" x14ac:dyDescent="0.25">
      <c r="A2384" s="1" t="s">
        <v>163</v>
      </c>
      <c r="B2384" s="75" t="s">
        <v>164</v>
      </c>
      <c r="C2384">
        <v>0</v>
      </c>
      <c r="D2384">
        <v>0</v>
      </c>
      <c r="E2384">
        <v>0</v>
      </c>
      <c r="F2384">
        <v>604324.56000000006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3.91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7490</v>
      </c>
      <c r="AW2384">
        <v>3350</v>
      </c>
      <c r="AX2384">
        <v>1219</v>
      </c>
      <c r="AY2384">
        <v>12059</v>
      </c>
      <c r="AZ2384">
        <v>4202</v>
      </c>
      <c r="BA2384">
        <v>7438</v>
      </c>
      <c r="BB2384">
        <v>1432</v>
      </c>
      <c r="BC2384">
        <v>13072</v>
      </c>
      <c r="BD2384">
        <v>9486</v>
      </c>
      <c r="BE2384">
        <v>9222</v>
      </c>
      <c r="BF2384">
        <v>1768</v>
      </c>
      <c r="BG2384">
        <v>20476</v>
      </c>
      <c r="BH2384">
        <v>0</v>
      </c>
      <c r="BI2384">
        <v>0</v>
      </c>
      <c r="BJ2384">
        <v>0</v>
      </c>
      <c r="BK2384">
        <v>0</v>
      </c>
      <c r="BL2384" s="2">
        <v>24.82</v>
      </c>
      <c r="BM2384" s="2">
        <v>42005.095138888886</v>
      </c>
      <c r="BN2384" s="2">
        <v>5.4</v>
      </c>
      <c r="BO2384" s="2">
        <v>42005.092361111114</v>
      </c>
      <c r="BP2384" s="2">
        <v>6.92</v>
      </c>
      <c r="BQ2384" s="2">
        <v>42005.092361111114</v>
      </c>
      <c r="BR2384" s="2">
        <v>11.07</v>
      </c>
      <c r="BS2384" s="2">
        <v>42005.092361111114</v>
      </c>
      <c r="BT2384">
        <v>0</v>
      </c>
      <c r="BU2384">
        <v>0</v>
      </c>
      <c r="BV2384" t="s">
        <v>135</v>
      </c>
      <c r="BW2384">
        <v>0</v>
      </c>
      <c r="BX2384">
        <v>0</v>
      </c>
      <c r="BY2384" t="s">
        <v>135</v>
      </c>
      <c r="BZ2384">
        <v>0</v>
      </c>
      <c r="CA2384">
        <v>0</v>
      </c>
      <c r="CB2384" t="s">
        <v>135</v>
      </c>
      <c r="CH2384" s="2"/>
      <c r="CJ2384" s="2"/>
      <c r="CL2384" s="2"/>
      <c r="CN2384" s="2"/>
      <c r="CQ2384" s="2"/>
      <c r="CT2384" s="2"/>
      <c r="CW2384" s="2"/>
    </row>
    <row r="2385" spans="1:101" x14ac:dyDescent="0.25">
      <c r="A2385" s="1" t="s">
        <v>163</v>
      </c>
      <c r="B2385" s="75" t="s">
        <v>164</v>
      </c>
      <c r="C2385">
        <v>0</v>
      </c>
      <c r="D2385">
        <v>0</v>
      </c>
      <c r="E2385">
        <v>0</v>
      </c>
      <c r="F2385">
        <v>604324.56000000006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3.91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7490</v>
      </c>
      <c r="AW2385">
        <v>3350</v>
      </c>
      <c r="AX2385">
        <v>1219</v>
      </c>
      <c r="AY2385">
        <v>12059</v>
      </c>
      <c r="AZ2385">
        <v>4202</v>
      </c>
      <c r="BA2385">
        <v>7438</v>
      </c>
      <c r="BB2385">
        <v>1432</v>
      </c>
      <c r="BC2385">
        <v>13072</v>
      </c>
      <c r="BD2385">
        <v>9486</v>
      </c>
      <c r="BE2385">
        <v>9222</v>
      </c>
      <c r="BF2385">
        <v>1768</v>
      </c>
      <c r="BG2385">
        <v>20476</v>
      </c>
      <c r="BH2385">
        <v>0</v>
      </c>
      <c r="BI2385">
        <v>0</v>
      </c>
      <c r="BJ2385">
        <v>0</v>
      </c>
      <c r="BK2385">
        <v>0</v>
      </c>
      <c r="BL2385" s="2">
        <v>24.82</v>
      </c>
      <c r="BM2385" s="2">
        <v>42005.095138888886</v>
      </c>
      <c r="BN2385" s="2">
        <v>5.4</v>
      </c>
      <c r="BO2385" s="2">
        <v>42005.092361111114</v>
      </c>
      <c r="BP2385" s="2">
        <v>6.92</v>
      </c>
      <c r="BQ2385" s="2">
        <v>42005.092361111114</v>
      </c>
      <c r="BR2385" s="2">
        <v>11.07</v>
      </c>
      <c r="BS2385" s="2">
        <v>42005.092361111114</v>
      </c>
      <c r="BT2385">
        <v>0</v>
      </c>
      <c r="BU2385">
        <v>0</v>
      </c>
      <c r="BV2385" t="s">
        <v>135</v>
      </c>
      <c r="BW2385">
        <v>0</v>
      </c>
      <c r="BX2385">
        <v>0</v>
      </c>
      <c r="BY2385" t="s">
        <v>135</v>
      </c>
      <c r="BZ2385">
        <v>0</v>
      </c>
      <c r="CA2385">
        <v>0</v>
      </c>
      <c r="CB2385" t="s">
        <v>135</v>
      </c>
      <c r="CH2385" s="2"/>
      <c r="CJ2385" s="2"/>
      <c r="CL2385" s="2"/>
      <c r="CN2385" s="2"/>
      <c r="CQ2385" s="2"/>
      <c r="CT2385" s="2"/>
      <c r="CW2385" s="2"/>
    </row>
    <row r="2386" spans="1:101" x14ac:dyDescent="0.25">
      <c r="A2386" s="1" t="s">
        <v>163</v>
      </c>
      <c r="B2386" s="75" t="s">
        <v>164</v>
      </c>
      <c r="C2386">
        <v>0</v>
      </c>
      <c r="D2386">
        <v>0</v>
      </c>
      <c r="E2386">
        <v>0</v>
      </c>
      <c r="F2386">
        <v>604324.56000000006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3.91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7490</v>
      </c>
      <c r="AW2386">
        <v>3350</v>
      </c>
      <c r="AX2386">
        <v>1219</v>
      </c>
      <c r="AY2386">
        <v>12059</v>
      </c>
      <c r="AZ2386">
        <v>4202</v>
      </c>
      <c r="BA2386">
        <v>7438</v>
      </c>
      <c r="BB2386">
        <v>1432</v>
      </c>
      <c r="BC2386">
        <v>13072</v>
      </c>
      <c r="BD2386">
        <v>9486</v>
      </c>
      <c r="BE2386">
        <v>9222</v>
      </c>
      <c r="BF2386">
        <v>1768</v>
      </c>
      <c r="BG2386">
        <v>20476</v>
      </c>
      <c r="BH2386">
        <v>0</v>
      </c>
      <c r="BI2386">
        <v>0</v>
      </c>
      <c r="BJ2386">
        <v>0</v>
      </c>
      <c r="BK2386">
        <v>0</v>
      </c>
      <c r="BL2386" s="2">
        <v>24.82</v>
      </c>
      <c r="BM2386" s="2">
        <v>42005.095138888886</v>
      </c>
      <c r="BN2386" s="2">
        <v>5.4</v>
      </c>
      <c r="BO2386" s="2">
        <v>42005.092361111114</v>
      </c>
      <c r="BP2386" s="2">
        <v>6.92</v>
      </c>
      <c r="BQ2386" s="2">
        <v>42005.092361111114</v>
      </c>
      <c r="BR2386" s="2">
        <v>11.07</v>
      </c>
      <c r="BS2386" s="2">
        <v>42005.092361111114</v>
      </c>
      <c r="BT2386">
        <v>0</v>
      </c>
      <c r="BU2386">
        <v>0</v>
      </c>
      <c r="BV2386" t="s">
        <v>135</v>
      </c>
      <c r="BW2386">
        <v>0</v>
      </c>
      <c r="BX2386">
        <v>0</v>
      </c>
      <c r="BY2386" t="s">
        <v>135</v>
      </c>
      <c r="BZ2386">
        <v>0</v>
      </c>
      <c r="CA2386">
        <v>0</v>
      </c>
      <c r="CB2386" t="s">
        <v>135</v>
      </c>
      <c r="CH2386" s="2"/>
      <c r="CJ2386" s="2"/>
      <c r="CL2386" s="2"/>
      <c r="CN2386" s="2"/>
      <c r="CQ2386" s="2"/>
      <c r="CT2386" s="2"/>
      <c r="CW2386" s="2"/>
    </row>
    <row r="2387" spans="1:101" x14ac:dyDescent="0.25">
      <c r="A2387" s="1" t="s">
        <v>163</v>
      </c>
      <c r="B2387" s="75" t="s">
        <v>164</v>
      </c>
      <c r="C2387">
        <v>0</v>
      </c>
      <c r="D2387">
        <v>0</v>
      </c>
      <c r="E2387">
        <v>0</v>
      </c>
      <c r="F2387">
        <v>604324.56000000006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3.91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7490</v>
      </c>
      <c r="AW2387">
        <v>3350</v>
      </c>
      <c r="AX2387">
        <v>1219</v>
      </c>
      <c r="AY2387">
        <v>12059</v>
      </c>
      <c r="AZ2387">
        <v>4202</v>
      </c>
      <c r="BA2387">
        <v>7438</v>
      </c>
      <c r="BB2387">
        <v>1432</v>
      </c>
      <c r="BC2387">
        <v>13072</v>
      </c>
      <c r="BD2387">
        <v>9486</v>
      </c>
      <c r="BE2387">
        <v>9222</v>
      </c>
      <c r="BF2387">
        <v>1768</v>
      </c>
      <c r="BG2387">
        <v>20476</v>
      </c>
      <c r="BH2387">
        <v>0</v>
      </c>
      <c r="BI2387">
        <v>0</v>
      </c>
      <c r="BJ2387">
        <v>0</v>
      </c>
      <c r="BK2387">
        <v>0</v>
      </c>
      <c r="BL2387" s="2">
        <v>24.82</v>
      </c>
      <c r="BM2387" s="2">
        <v>42005.095138888886</v>
      </c>
      <c r="BN2387" s="2">
        <v>5.4</v>
      </c>
      <c r="BO2387" s="2">
        <v>42005.092361111114</v>
      </c>
      <c r="BP2387" s="2">
        <v>6.92</v>
      </c>
      <c r="BQ2387" s="2">
        <v>42005.092361111114</v>
      </c>
      <c r="BR2387" s="2">
        <v>11.07</v>
      </c>
      <c r="BS2387" s="2">
        <v>42005.092361111114</v>
      </c>
      <c r="BT2387">
        <v>0</v>
      </c>
      <c r="BU2387">
        <v>0</v>
      </c>
      <c r="BV2387" t="s">
        <v>135</v>
      </c>
      <c r="BW2387">
        <v>0</v>
      </c>
      <c r="BX2387">
        <v>0</v>
      </c>
      <c r="BY2387" t="s">
        <v>135</v>
      </c>
      <c r="BZ2387">
        <v>0</v>
      </c>
      <c r="CA2387">
        <v>0</v>
      </c>
      <c r="CB2387" t="s">
        <v>135</v>
      </c>
      <c r="CH2387" s="2"/>
      <c r="CJ2387" s="2"/>
      <c r="CL2387" s="2"/>
      <c r="CN2387" s="2"/>
      <c r="CQ2387" s="2"/>
      <c r="CT2387" s="2"/>
      <c r="CW2387" s="2"/>
    </row>
    <row r="2388" spans="1:101" x14ac:dyDescent="0.25">
      <c r="A2388" s="1" t="s">
        <v>163</v>
      </c>
      <c r="B2388" s="75" t="s">
        <v>164</v>
      </c>
      <c r="C2388">
        <v>0</v>
      </c>
      <c r="D2388">
        <v>0</v>
      </c>
      <c r="E2388">
        <v>0</v>
      </c>
      <c r="F2388">
        <v>604324.56000000006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3.91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7490</v>
      </c>
      <c r="AW2388">
        <v>3350</v>
      </c>
      <c r="AX2388">
        <v>1219</v>
      </c>
      <c r="AY2388">
        <v>12059</v>
      </c>
      <c r="AZ2388">
        <v>4202</v>
      </c>
      <c r="BA2388">
        <v>7438</v>
      </c>
      <c r="BB2388">
        <v>1432</v>
      </c>
      <c r="BC2388">
        <v>13072</v>
      </c>
      <c r="BD2388">
        <v>9486</v>
      </c>
      <c r="BE2388">
        <v>9222</v>
      </c>
      <c r="BF2388">
        <v>1768</v>
      </c>
      <c r="BG2388">
        <v>20476</v>
      </c>
      <c r="BH2388">
        <v>0</v>
      </c>
      <c r="BI2388">
        <v>0</v>
      </c>
      <c r="BJ2388">
        <v>0</v>
      </c>
      <c r="BK2388">
        <v>0</v>
      </c>
      <c r="BL2388" s="2">
        <v>24.82</v>
      </c>
      <c r="BM2388" s="2">
        <v>42005.095138888886</v>
      </c>
      <c r="BN2388" s="2">
        <v>5.4</v>
      </c>
      <c r="BO2388" s="2">
        <v>42005.092361111114</v>
      </c>
      <c r="BP2388" s="2">
        <v>6.92</v>
      </c>
      <c r="BQ2388" s="2">
        <v>42005.092361111114</v>
      </c>
      <c r="BR2388" s="2">
        <v>11.07</v>
      </c>
      <c r="BS2388" s="2">
        <v>42005.092361111114</v>
      </c>
      <c r="BT2388">
        <v>0</v>
      </c>
      <c r="BU2388">
        <v>0</v>
      </c>
      <c r="BV2388" t="s">
        <v>135</v>
      </c>
      <c r="BW2388">
        <v>0</v>
      </c>
      <c r="BX2388">
        <v>0</v>
      </c>
      <c r="BY2388" t="s">
        <v>135</v>
      </c>
      <c r="BZ2388">
        <v>0</v>
      </c>
      <c r="CA2388">
        <v>0</v>
      </c>
      <c r="CB2388" t="s">
        <v>135</v>
      </c>
      <c r="CH2388" s="2"/>
      <c r="CJ2388" s="2"/>
      <c r="CL2388" s="2"/>
      <c r="CN2388" s="2"/>
      <c r="CQ2388" s="2"/>
      <c r="CT2388" s="2"/>
      <c r="CW2388" s="2"/>
    </row>
    <row r="2389" spans="1:101" x14ac:dyDescent="0.25">
      <c r="A2389" s="1" t="s">
        <v>163</v>
      </c>
      <c r="B2389" s="75" t="s">
        <v>164</v>
      </c>
      <c r="C2389">
        <v>0</v>
      </c>
      <c r="D2389">
        <v>0</v>
      </c>
      <c r="E2389">
        <v>0</v>
      </c>
      <c r="F2389">
        <v>604324.56000000006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3.91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7490</v>
      </c>
      <c r="AW2389">
        <v>3350</v>
      </c>
      <c r="AX2389">
        <v>1219</v>
      </c>
      <c r="AY2389">
        <v>12059</v>
      </c>
      <c r="AZ2389">
        <v>4202</v>
      </c>
      <c r="BA2389">
        <v>7438</v>
      </c>
      <c r="BB2389">
        <v>1432</v>
      </c>
      <c r="BC2389">
        <v>13072</v>
      </c>
      <c r="BD2389">
        <v>9486</v>
      </c>
      <c r="BE2389">
        <v>9222</v>
      </c>
      <c r="BF2389">
        <v>1768</v>
      </c>
      <c r="BG2389">
        <v>20476</v>
      </c>
      <c r="BH2389">
        <v>0</v>
      </c>
      <c r="BI2389">
        <v>0</v>
      </c>
      <c r="BJ2389">
        <v>0</v>
      </c>
      <c r="BK2389">
        <v>0</v>
      </c>
      <c r="BL2389" s="2">
        <v>24.82</v>
      </c>
      <c r="BM2389" s="2">
        <v>42005.095138888886</v>
      </c>
      <c r="BN2389" s="2">
        <v>5.4</v>
      </c>
      <c r="BO2389" s="2">
        <v>42005.092361111114</v>
      </c>
      <c r="BP2389" s="2">
        <v>6.92</v>
      </c>
      <c r="BQ2389" s="2">
        <v>42005.092361111114</v>
      </c>
      <c r="BR2389" s="2">
        <v>11.07</v>
      </c>
      <c r="BS2389" s="2">
        <v>42005.092361111114</v>
      </c>
      <c r="BT2389">
        <v>0</v>
      </c>
      <c r="BU2389">
        <v>0</v>
      </c>
      <c r="BV2389" t="s">
        <v>135</v>
      </c>
      <c r="BW2389">
        <v>0</v>
      </c>
      <c r="BX2389">
        <v>0</v>
      </c>
      <c r="BY2389" t="s">
        <v>135</v>
      </c>
      <c r="BZ2389">
        <v>0</v>
      </c>
      <c r="CA2389">
        <v>0</v>
      </c>
      <c r="CB2389" t="s">
        <v>135</v>
      </c>
      <c r="CH2389" s="2"/>
      <c r="CJ2389" s="2"/>
      <c r="CL2389" s="2"/>
      <c r="CN2389" s="2"/>
      <c r="CQ2389" s="2"/>
      <c r="CT2389" s="2"/>
      <c r="CW2389" s="2"/>
    </row>
    <row r="2390" spans="1:101" x14ac:dyDescent="0.25">
      <c r="A2390" s="1" t="s">
        <v>163</v>
      </c>
      <c r="B2390" s="75" t="s">
        <v>164</v>
      </c>
      <c r="C2390">
        <v>0</v>
      </c>
      <c r="D2390">
        <v>0</v>
      </c>
      <c r="E2390">
        <v>0</v>
      </c>
      <c r="F2390">
        <v>604324.56000000006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3.91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7490</v>
      </c>
      <c r="AW2390">
        <v>3350</v>
      </c>
      <c r="AX2390">
        <v>1219</v>
      </c>
      <c r="AY2390">
        <v>12059</v>
      </c>
      <c r="AZ2390">
        <v>4202</v>
      </c>
      <c r="BA2390">
        <v>7438</v>
      </c>
      <c r="BB2390">
        <v>1432</v>
      </c>
      <c r="BC2390">
        <v>13072</v>
      </c>
      <c r="BD2390">
        <v>9486</v>
      </c>
      <c r="BE2390">
        <v>9222</v>
      </c>
      <c r="BF2390">
        <v>1768</v>
      </c>
      <c r="BG2390">
        <v>20476</v>
      </c>
      <c r="BH2390">
        <v>0</v>
      </c>
      <c r="BI2390">
        <v>0</v>
      </c>
      <c r="BJ2390">
        <v>0</v>
      </c>
      <c r="BK2390">
        <v>0</v>
      </c>
      <c r="BL2390" s="2">
        <v>24.82</v>
      </c>
      <c r="BM2390" s="2">
        <v>42005.095138888886</v>
      </c>
      <c r="BN2390" s="2">
        <v>5.4</v>
      </c>
      <c r="BO2390" s="2">
        <v>42005.092361111114</v>
      </c>
      <c r="BP2390" s="2">
        <v>6.92</v>
      </c>
      <c r="BQ2390" s="2">
        <v>42005.092361111114</v>
      </c>
      <c r="BR2390" s="2">
        <v>11.07</v>
      </c>
      <c r="BS2390" s="2">
        <v>42005.092361111114</v>
      </c>
      <c r="BT2390">
        <v>0</v>
      </c>
      <c r="BU2390">
        <v>0</v>
      </c>
      <c r="BV2390" t="s">
        <v>135</v>
      </c>
      <c r="BW2390">
        <v>0</v>
      </c>
      <c r="BX2390">
        <v>0</v>
      </c>
      <c r="BY2390" t="s">
        <v>135</v>
      </c>
      <c r="BZ2390">
        <v>0</v>
      </c>
      <c r="CA2390">
        <v>0</v>
      </c>
      <c r="CB2390" t="s">
        <v>135</v>
      </c>
      <c r="CH2390" s="2"/>
      <c r="CJ2390" s="2"/>
      <c r="CL2390" s="2"/>
      <c r="CN2390" s="2"/>
      <c r="CQ2390" s="2"/>
      <c r="CT2390" s="2"/>
      <c r="CW2390" s="2"/>
    </row>
    <row r="2391" spans="1:101" x14ac:dyDescent="0.25">
      <c r="A2391" s="1" t="s">
        <v>163</v>
      </c>
      <c r="B2391" s="75" t="s">
        <v>164</v>
      </c>
      <c r="C2391">
        <v>0</v>
      </c>
      <c r="D2391">
        <v>0</v>
      </c>
      <c r="E2391">
        <v>0</v>
      </c>
      <c r="F2391">
        <v>604324.56000000006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3.91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7490</v>
      </c>
      <c r="AW2391">
        <v>3350</v>
      </c>
      <c r="AX2391">
        <v>1219</v>
      </c>
      <c r="AY2391">
        <v>12059</v>
      </c>
      <c r="AZ2391">
        <v>4202</v>
      </c>
      <c r="BA2391">
        <v>7438</v>
      </c>
      <c r="BB2391">
        <v>1432</v>
      </c>
      <c r="BC2391">
        <v>13072</v>
      </c>
      <c r="BD2391">
        <v>9486</v>
      </c>
      <c r="BE2391">
        <v>9222</v>
      </c>
      <c r="BF2391">
        <v>1768</v>
      </c>
      <c r="BG2391">
        <v>20476</v>
      </c>
      <c r="BH2391">
        <v>0</v>
      </c>
      <c r="BI2391">
        <v>0</v>
      </c>
      <c r="BJ2391">
        <v>0</v>
      </c>
      <c r="BK2391">
        <v>0</v>
      </c>
      <c r="BL2391" s="2">
        <v>24.82</v>
      </c>
      <c r="BM2391" s="2">
        <v>42005.095138888886</v>
      </c>
      <c r="BN2391" s="2">
        <v>5.4</v>
      </c>
      <c r="BO2391" s="2">
        <v>42005.092361111114</v>
      </c>
      <c r="BP2391" s="2">
        <v>6.92</v>
      </c>
      <c r="BQ2391" s="2">
        <v>42005.092361111114</v>
      </c>
      <c r="BR2391" s="2">
        <v>11.07</v>
      </c>
      <c r="BS2391" s="2">
        <v>42005.092361111114</v>
      </c>
      <c r="BT2391">
        <v>0</v>
      </c>
      <c r="BU2391">
        <v>0</v>
      </c>
      <c r="BV2391" t="s">
        <v>135</v>
      </c>
      <c r="BW2391">
        <v>0</v>
      </c>
      <c r="BX2391">
        <v>0</v>
      </c>
      <c r="BY2391" t="s">
        <v>135</v>
      </c>
      <c r="BZ2391">
        <v>0</v>
      </c>
      <c r="CA2391">
        <v>0</v>
      </c>
      <c r="CB2391" t="s">
        <v>135</v>
      </c>
      <c r="CH2391" s="2"/>
      <c r="CJ2391" s="2"/>
      <c r="CL2391" s="2"/>
      <c r="CN2391" s="2"/>
      <c r="CQ2391" s="2"/>
      <c r="CT2391" s="2"/>
      <c r="CW2391" s="2"/>
    </row>
    <row r="2392" spans="1:101" x14ac:dyDescent="0.25">
      <c r="A2392" s="1" t="s">
        <v>163</v>
      </c>
      <c r="B2392" s="75" t="s">
        <v>164</v>
      </c>
      <c r="C2392">
        <v>0</v>
      </c>
      <c r="D2392">
        <v>0</v>
      </c>
      <c r="E2392">
        <v>0</v>
      </c>
      <c r="F2392">
        <v>604324.56000000006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3.91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7490</v>
      </c>
      <c r="AW2392">
        <v>3350</v>
      </c>
      <c r="AX2392">
        <v>1219</v>
      </c>
      <c r="AY2392">
        <v>12059</v>
      </c>
      <c r="AZ2392">
        <v>4202</v>
      </c>
      <c r="BA2392">
        <v>7438</v>
      </c>
      <c r="BB2392">
        <v>1432</v>
      </c>
      <c r="BC2392">
        <v>13072</v>
      </c>
      <c r="BD2392">
        <v>9486</v>
      </c>
      <c r="BE2392">
        <v>9222</v>
      </c>
      <c r="BF2392">
        <v>1768</v>
      </c>
      <c r="BG2392">
        <v>20476</v>
      </c>
      <c r="BH2392">
        <v>0</v>
      </c>
      <c r="BI2392">
        <v>0</v>
      </c>
      <c r="BJ2392">
        <v>0</v>
      </c>
      <c r="BK2392">
        <v>0</v>
      </c>
      <c r="BL2392" s="2">
        <v>24.82</v>
      </c>
      <c r="BM2392" s="2">
        <v>42005.095138888886</v>
      </c>
      <c r="BN2392" s="2">
        <v>5.4</v>
      </c>
      <c r="BO2392" s="2">
        <v>42005.092361111114</v>
      </c>
      <c r="BP2392" s="2">
        <v>6.92</v>
      </c>
      <c r="BQ2392" s="2">
        <v>42005.092361111114</v>
      </c>
      <c r="BR2392" s="2">
        <v>11.07</v>
      </c>
      <c r="BS2392" s="2">
        <v>42005.092361111114</v>
      </c>
      <c r="BT2392">
        <v>0</v>
      </c>
      <c r="BU2392">
        <v>0</v>
      </c>
      <c r="BV2392" t="s">
        <v>135</v>
      </c>
      <c r="BW2392">
        <v>0</v>
      </c>
      <c r="BX2392">
        <v>0</v>
      </c>
      <c r="BY2392" t="s">
        <v>135</v>
      </c>
      <c r="BZ2392">
        <v>0</v>
      </c>
      <c r="CA2392">
        <v>0</v>
      </c>
      <c r="CB2392" t="s">
        <v>135</v>
      </c>
      <c r="CH2392" s="2"/>
      <c r="CJ2392" s="2"/>
      <c r="CL2392" s="2"/>
      <c r="CN2392" s="2"/>
      <c r="CQ2392" s="2"/>
      <c r="CT2392" s="2"/>
      <c r="CW2392" s="2"/>
    </row>
    <row r="2393" spans="1:101" x14ac:dyDescent="0.25">
      <c r="A2393" s="1" t="s">
        <v>163</v>
      </c>
      <c r="B2393" s="75" t="s">
        <v>164</v>
      </c>
      <c r="C2393">
        <v>0</v>
      </c>
      <c r="D2393">
        <v>0</v>
      </c>
      <c r="E2393">
        <v>0</v>
      </c>
      <c r="F2393">
        <v>604324.56000000006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3.91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7490</v>
      </c>
      <c r="AW2393">
        <v>3350</v>
      </c>
      <c r="AX2393">
        <v>1219</v>
      </c>
      <c r="AY2393">
        <v>12059</v>
      </c>
      <c r="AZ2393">
        <v>4202</v>
      </c>
      <c r="BA2393">
        <v>7438</v>
      </c>
      <c r="BB2393">
        <v>1432</v>
      </c>
      <c r="BC2393">
        <v>13072</v>
      </c>
      <c r="BD2393">
        <v>9486</v>
      </c>
      <c r="BE2393">
        <v>9222</v>
      </c>
      <c r="BF2393">
        <v>1768</v>
      </c>
      <c r="BG2393">
        <v>20476</v>
      </c>
      <c r="BH2393">
        <v>0</v>
      </c>
      <c r="BI2393">
        <v>0</v>
      </c>
      <c r="BJ2393">
        <v>0</v>
      </c>
      <c r="BK2393">
        <v>0</v>
      </c>
      <c r="BL2393" s="2">
        <v>24.82</v>
      </c>
      <c r="BM2393" s="2">
        <v>42005.095138888886</v>
      </c>
      <c r="BN2393" s="2">
        <v>5.4</v>
      </c>
      <c r="BO2393" s="2">
        <v>42005.092361111114</v>
      </c>
      <c r="BP2393" s="2">
        <v>6.92</v>
      </c>
      <c r="BQ2393" s="2">
        <v>42005.092361111114</v>
      </c>
      <c r="BR2393" s="2">
        <v>11.07</v>
      </c>
      <c r="BS2393" s="2">
        <v>42005.092361111114</v>
      </c>
      <c r="BT2393">
        <v>0</v>
      </c>
      <c r="BU2393">
        <v>0</v>
      </c>
      <c r="BV2393" t="s">
        <v>135</v>
      </c>
      <c r="BW2393">
        <v>0</v>
      </c>
      <c r="BX2393">
        <v>0</v>
      </c>
      <c r="BY2393" t="s">
        <v>135</v>
      </c>
      <c r="BZ2393">
        <v>0</v>
      </c>
      <c r="CA2393">
        <v>0</v>
      </c>
      <c r="CB2393" t="s">
        <v>135</v>
      </c>
      <c r="CH2393" s="2"/>
      <c r="CJ2393" s="2"/>
      <c r="CL2393" s="2"/>
      <c r="CN2393" s="2"/>
      <c r="CQ2393" s="2"/>
      <c r="CT2393" s="2"/>
      <c r="CW2393" s="2"/>
    </row>
    <row r="2394" spans="1:101" x14ac:dyDescent="0.25">
      <c r="A2394" s="1" t="s">
        <v>163</v>
      </c>
      <c r="B2394" s="75" t="s">
        <v>164</v>
      </c>
      <c r="C2394">
        <v>0</v>
      </c>
      <c r="D2394">
        <v>0</v>
      </c>
      <c r="E2394">
        <v>0</v>
      </c>
      <c r="F2394">
        <v>604324.56000000006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3.91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7490</v>
      </c>
      <c r="AW2394">
        <v>3350</v>
      </c>
      <c r="AX2394">
        <v>1219</v>
      </c>
      <c r="AY2394">
        <v>12059</v>
      </c>
      <c r="AZ2394">
        <v>4202</v>
      </c>
      <c r="BA2394">
        <v>7438</v>
      </c>
      <c r="BB2394">
        <v>1432</v>
      </c>
      <c r="BC2394">
        <v>13072</v>
      </c>
      <c r="BD2394">
        <v>9486</v>
      </c>
      <c r="BE2394">
        <v>9222</v>
      </c>
      <c r="BF2394">
        <v>1768</v>
      </c>
      <c r="BG2394">
        <v>20476</v>
      </c>
      <c r="BH2394">
        <v>0</v>
      </c>
      <c r="BI2394">
        <v>0</v>
      </c>
      <c r="BJ2394">
        <v>0</v>
      </c>
      <c r="BK2394">
        <v>0</v>
      </c>
      <c r="BL2394" s="2">
        <v>24.82</v>
      </c>
      <c r="BM2394" s="2">
        <v>42005.095138888886</v>
      </c>
      <c r="BN2394" s="2">
        <v>5.4</v>
      </c>
      <c r="BO2394" s="2">
        <v>42005.092361111114</v>
      </c>
      <c r="BP2394" s="2">
        <v>6.92</v>
      </c>
      <c r="BQ2394" s="2">
        <v>42005.092361111114</v>
      </c>
      <c r="BR2394" s="2">
        <v>11.07</v>
      </c>
      <c r="BS2394" s="2">
        <v>42005.092361111114</v>
      </c>
      <c r="BT2394">
        <v>0</v>
      </c>
      <c r="BU2394">
        <v>0</v>
      </c>
      <c r="BV2394" t="s">
        <v>135</v>
      </c>
      <c r="BW2394">
        <v>0</v>
      </c>
      <c r="BX2394">
        <v>0</v>
      </c>
      <c r="BY2394" t="s">
        <v>135</v>
      </c>
      <c r="BZ2394">
        <v>0</v>
      </c>
      <c r="CA2394">
        <v>0</v>
      </c>
      <c r="CB2394" t="s">
        <v>135</v>
      </c>
      <c r="CH2394" s="2"/>
      <c r="CJ2394" s="2"/>
      <c r="CL2394" s="2"/>
      <c r="CN2394" s="2"/>
      <c r="CQ2394" s="2"/>
      <c r="CT2394" s="2"/>
      <c r="CW2394" s="2"/>
    </row>
    <row r="2395" spans="1:101" x14ac:dyDescent="0.25">
      <c r="A2395" s="1" t="s">
        <v>163</v>
      </c>
      <c r="B2395" s="75" t="s">
        <v>164</v>
      </c>
      <c r="C2395">
        <v>0</v>
      </c>
      <c r="D2395">
        <v>0</v>
      </c>
      <c r="E2395">
        <v>0</v>
      </c>
      <c r="F2395">
        <v>604324.56000000006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3.91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7490</v>
      </c>
      <c r="AW2395">
        <v>3350</v>
      </c>
      <c r="AX2395">
        <v>1219</v>
      </c>
      <c r="AY2395">
        <v>12059</v>
      </c>
      <c r="AZ2395">
        <v>4202</v>
      </c>
      <c r="BA2395">
        <v>7438</v>
      </c>
      <c r="BB2395">
        <v>1432</v>
      </c>
      <c r="BC2395">
        <v>13072</v>
      </c>
      <c r="BD2395">
        <v>9486</v>
      </c>
      <c r="BE2395">
        <v>9222</v>
      </c>
      <c r="BF2395">
        <v>1768</v>
      </c>
      <c r="BG2395">
        <v>20476</v>
      </c>
      <c r="BH2395">
        <v>0</v>
      </c>
      <c r="BI2395">
        <v>0</v>
      </c>
      <c r="BJ2395">
        <v>0</v>
      </c>
      <c r="BK2395">
        <v>0</v>
      </c>
      <c r="BL2395" s="2">
        <v>24.82</v>
      </c>
      <c r="BM2395" s="2">
        <v>42005.095138888886</v>
      </c>
      <c r="BN2395" s="2">
        <v>5.4</v>
      </c>
      <c r="BO2395" s="2">
        <v>42005.092361111114</v>
      </c>
      <c r="BP2395" s="2">
        <v>6.92</v>
      </c>
      <c r="BQ2395" s="2">
        <v>42005.092361111114</v>
      </c>
      <c r="BR2395" s="2">
        <v>11.07</v>
      </c>
      <c r="BS2395" s="2">
        <v>42005.092361111114</v>
      </c>
      <c r="BT2395">
        <v>0</v>
      </c>
      <c r="BU2395">
        <v>0</v>
      </c>
      <c r="BV2395" t="s">
        <v>135</v>
      </c>
      <c r="BW2395">
        <v>0</v>
      </c>
      <c r="BX2395">
        <v>0</v>
      </c>
      <c r="BY2395" t="s">
        <v>135</v>
      </c>
      <c r="BZ2395">
        <v>0</v>
      </c>
      <c r="CA2395">
        <v>0</v>
      </c>
      <c r="CB2395" t="s">
        <v>135</v>
      </c>
      <c r="CH2395" s="2"/>
      <c r="CJ2395" s="2"/>
      <c r="CL2395" s="2"/>
      <c r="CN2395" s="2"/>
      <c r="CQ2395" s="2"/>
      <c r="CT2395" s="2"/>
      <c r="CW2395" s="2"/>
    </row>
    <row r="2396" spans="1:101" x14ac:dyDescent="0.25">
      <c r="A2396" s="1" t="s">
        <v>163</v>
      </c>
      <c r="B2396" s="75" t="s">
        <v>164</v>
      </c>
      <c r="C2396">
        <v>0</v>
      </c>
      <c r="D2396">
        <v>0</v>
      </c>
      <c r="E2396">
        <v>0</v>
      </c>
      <c r="F2396">
        <v>604324.56000000006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3.91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7490</v>
      </c>
      <c r="AW2396">
        <v>3350</v>
      </c>
      <c r="AX2396">
        <v>1219</v>
      </c>
      <c r="AY2396">
        <v>12059</v>
      </c>
      <c r="AZ2396">
        <v>4202</v>
      </c>
      <c r="BA2396">
        <v>7438</v>
      </c>
      <c r="BB2396">
        <v>1432</v>
      </c>
      <c r="BC2396">
        <v>13072</v>
      </c>
      <c r="BD2396">
        <v>9486</v>
      </c>
      <c r="BE2396">
        <v>9222</v>
      </c>
      <c r="BF2396">
        <v>1768</v>
      </c>
      <c r="BG2396">
        <v>20476</v>
      </c>
      <c r="BH2396">
        <v>0</v>
      </c>
      <c r="BI2396">
        <v>0</v>
      </c>
      <c r="BJ2396">
        <v>0</v>
      </c>
      <c r="BK2396">
        <v>0</v>
      </c>
      <c r="BL2396" s="2">
        <v>24.82</v>
      </c>
      <c r="BM2396" s="2">
        <v>42005.095138888886</v>
      </c>
      <c r="BN2396" s="2">
        <v>5.4</v>
      </c>
      <c r="BO2396" s="2">
        <v>42005.092361111114</v>
      </c>
      <c r="BP2396" s="2">
        <v>6.92</v>
      </c>
      <c r="BQ2396" s="2">
        <v>42005.092361111114</v>
      </c>
      <c r="BR2396" s="2">
        <v>11.07</v>
      </c>
      <c r="BS2396" s="2">
        <v>42005.092361111114</v>
      </c>
      <c r="BT2396">
        <v>0</v>
      </c>
      <c r="BU2396">
        <v>0</v>
      </c>
      <c r="BV2396" t="s">
        <v>135</v>
      </c>
      <c r="BW2396">
        <v>0</v>
      </c>
      <c r="BX2396">
        <v>0</v>
      </c>
      <c r="BY2396" t="s">
        <v>135</v>
      </c>
      <c r="BZ2396">
        <v>0</v>
      </c>
      <c r="CA2396">
        <v>0</v>
      </c>
      <c r="CB2396" t="s">
        <v>135</v>
      </c>
      <c r="CH2396" s="2"/>
      <c r="CJ2396" s="2"/>
      <c r="CL2396" s="2"/>
      <c r="CN2396" s="2"/>
      <c r="CQ2396" s="2"/>
      <c r="CT2396" s="2"/>
      <c r="CW2396" s="2"/>
    </row>
    <row r="2397" spans="1:101" x14ac:dyDescent="0.25">
      <c r="A2397" s="1" t="s">
        <v>163</v>
      </c>
      <c r="B2397" s="75" t="s">
        <v>164</v>
      </c>
      <c r="C2397">
        <v>0</v>
      </c>
      <c r="D2397">
        <v>0</v>
      </c>
      <c r="E2397">
        <v>0</v>
      </c>
      <c r="F2397">
        <v>604324.56000000006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3.91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7490</v>
      </c>
      <c r="AW2397">
        <v>3350</v>
      </c>
      <c r="AX2397">
        <v>1219</v>
      </c>
      <c r="AY2397">
        <v>12059</v>
      </c>
      <c r="AZ2397">
        <v>4202</v>
      </c>
      <c r="BA2397">
        <v>7438</v>
      </c>
      <c r="BB2397">
        <v>1432</v>
      </c>
      <c r="BC2397">
        <v>13072</v>
      </c>
      <c r="BD2397">
        <v>9486</v>
      </c>
      <c r="BE2397">
        <v>9222</v>
      </c>
      <c r="BF2397">
        <v>1768</v>
      </c>
      <c r="BG2397">
        <v>20476</v>
      </c>
      <c r="BH2397">
        <v>0</v>
      </c>
      <c r="BI2397">
        <v>0</v>
      </c>
      <c r="BJ2397">
        <v>0</v>
      </c>
      <c r="BK2397">
        <v>0</v>
      </c>
      <c r="BL2397" s="2">
        <v>24.82</v>
      </c>
      <c r="BM2397" s="2">
        <v>42005.095138888886</v>
      </c>
      <c r="BN2397" s="2">
        <v>5.4</v>
      </c>
      <c r="BO2397" s="2">
        <v>42005.092361111114</v>
      </c>
      <c r="BP2397" s="2">
        <v>6.92</v>
      </c>
      <c r="BQ2397" s="2">
        <v>42005.092361111114</v>
      </c>
      <c r="BR2397" s="2">
        <v>11.07</v>
      </c>
      <c r="BS2397" s="2">
        <v>42005.092361111114</v>
      </c>
      <c r="BT2397">
        <v>0</v>
      </c>
      <c r="BU2397">
        <v>0</v>
      </c>
      <c r="BV2397" t="s">
        <v>135</v>
      </c>
      <c r="BW2397">
        <v>0</v>
      </c>
      <c r="BX2397">
        <v>0</v>
      </c>
      <c r="BY2397" t="s">
        <v>135</v>
      </c>
      <c r="BZ2397">
        <v>0</v>
      </c>
      <c r="CA2397">
        <v>0</v>
      </c>
      <c r="CB2397" t="s">
        <v>135</v>
      </c>
      <c r="CH2397" s="2"/>
      <c r="CJ2397" s="2"/>
      <c r="CL2397" s="2"/>
      <c r="CN2397" s="2"/>
      <c r="CQ2397" s="2"/>
      <c r="CT2397" s="2"/>
      <c r="CW2397" s="2"/>
    </row>
    <row r="2398" spans="1:101" x14ac:dyDescent="0.25">
      <c r="A2398" s="1" t="s">
        <v>163</v>
      </c>
      <c r="B2398" s="75" t="s">
        <v>164</v>
      </c>
      <c r="C2398">
        <v>0</v>
      </c>
      <c r="D2398">
        <v>0</v>
      </c>
      <c r="E2398">
        <v>0</v>
      </c>
      <c r="F2398">
        <v>604324.56000000006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3.91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7490</v>
      </c>
      <c r="AW2398">
        <v>3350</v>
      </c>
      <c r="AX2398">
        <v>1219</v>
      </c>
      <c r="AY2398">
        <v>12059</v>
      </c>
      <c r="AZ2398">
        <v>4202</v>
      </c>
      <c r="BA2398">
        <v>7438</v>
      </c>
      <c r="BB2398">
        <v>1432</v>
      </c>
      <c r="BC2398">
        <v>13072</v>
      </c>
      <c r="BD2398">
        <v>9486</v>
      </c>
      <c r="BE2398">
        <v>9222</v>
      </c>
      <c r="BF2398">
        <v>1768</v>
      </c>
      <c r="BG2398">
        <v>20476</v>
      </c>
      <c r="BH2398">
        <v>0</v>
      </c>
      <c r="BI2398">
        <v>0</v>
      </c>
      <c r="BJ2398">
        <v>0</v>
      </c>
      <c r="BK2398">
        <v>0</v>
      </c>
      <c r="BL2398" s="2">
        <v>24.82</v>
      </c>
      <c r="BM2398" s="2">
        <v>42005.095138888886</v>
      </c>
      <c r="BN2398" s="2">
        <v>5.4</v>
      </c>
      <c r="BO2398" s="2">
        <v>42005.092361111114</v>
      </c>
      <c r="BP2398" s="2">
        <v>6.92</v>
      </c>
      <c r="BQ2398" s="2">
        <v>42005.092361111114</v>
      </c>
      <c r="BR2398" s="2">
        <v>11.07</v>
      </c>
      <c r="BS2398" s="2">
        <v>42005.092361111114</v>
      </c>
      <c r="BT2398">
        <v>0</v>
      </c>
      <c r="BU2398">
        <v>0</v>
      </c>
      <c r="BV2398" t="s">
        <v>135</v>
      </c>
      <c r="BW2398">
        <v>0</v>
      </c>
      <c r="BX2398">
        <v>0</v>
      </c>
      <c r="BY2398" t="s">
        <v>135</v>
      </c>
      <c r="BZ2398">
        <v>0</v>
      </c>
      <c r="CA2398">
        <v>0</v>
      </c>
      <c r="CB2398" t="s">
        <v>135</v>
      </c>
      <c r="CH2398" s="2"/>
      <c r="CJ2398" s="2"/>
      <c r="CL2398" s="2"/>
      <c r="CN2398" s="2"/>
      <c r="CQ2398" s="2"/>
      <c r="CT2398" s="2"/>
      <c r="CW2398" s="2"/>
    </row>
    <row r="2399" spans="1:101" x14ac:dyDescent="0.25">
      <c r="A2399" s="1" t="s">
        <v>163</v>
      </c>
      <c r="B2399" s="75" t="s">
        <v>164</v>
      </c>
      <c r="C2399">
        <v>0</v>
      </c>
      <c r="D2399">
        <v>0</v>
      </c>
      <c r="E2399">
        <v>0</v>
      </c>
      <c r="F2399">
        <v>604324.56000000006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3.91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7490</v>
      </c>
      <c r="AW2399">
        <v>3350</v>
      </c>
      <c r="AX2399">
        <v>1219</v>
      </c>
      <c r="AY2399">
        <v>12059</v>
      </c>
      <c r="AZ2399">
        <v>4202</v>
      </c>
      <c r="BA2399">
        <v>7438</v>
      </c>
      <c r="BB2399">
        <v>1432</v>
      </c>
      <c r="BC2399">
        <v>13072</v>
      </c>
      <c r="BD2399">
        <v>9486</v>
      </c>
      <c r="BE2399">
        <v>9222</v>
      </c>
      <c r="BF2399">
        <v>1768</v>
      </c>
      <c r="BG2399">
        <v>20476</v>
      </c>
      <c r="BH2399">
        <v>0</v>
      </c>
      <c r="BI2399">
        <v>0</v>
      </c>
      <c r="BJ2399">
        <v>0</v>
      </c>
      <c r="BK2399">
        <v>0</v>
      </c>
      <c r="BL2399" s="2">
        <v>24.82</v>
      </c>
      <c r="BM2399" s="2">
        <v>42005.095138888886</v>
      </c>
      <c r="BN2399" s="2">
        <v>5.4</v>
      </c>
      <c r="BO2399" s="2">
        <v>42005.092361111114</v>
      </c>
      <c r="BP2399" s="2">
        <v>6.92</v>
      </c>
      <c r="BQ2399" s="2">
        <v>42005.092361111114</v>
      </c>
      <c r="BR2399" s="2">
        <v>11.07</v>
      </c>
      <c r="BS2399" s="2">
        <v>42005.092361111114</v>
      </c>
      <c r="BT2399">
        <v>0</v>
      </c>
      <c r="BU2399">
        <v>0</v>
      </c>
      <c r="BV2399" t="s">
        <v>135</v>
      </c>
      <c r="BW2399">
        <v>0</v>
      </c>
      <c r="BX2399">
        <v>0</v>
      </c>
      <c r="BY2399" t="s">
        <v>135</v>
      </c>
      <c r="BZ2399">
        <v>0</v>
      </c>
      <c r="CA2399">
        <v>0</v>
      </c>
      <c r="CB2399" t="s">
        <v>135</v>
      </c>
      <c r="CH2399" s="2"/>
      <c r="CJ2399" s="2"/>
      <c r="CL2399" s="2"/>
      <c r="CN2399" s="2"/>
      <c r="CQ2399" s="2"/>
      <c r="CT2399" s="2"/>
      <c r="CW2399" s="2"/>
    </row>
    <row r="2400" spans="1:101" x14ac:dyDescent="0.25">
      <c r="A2400" s="1" t="s">
        <v>163</v>
      </c>
      <c r="B2400" s="75" t="s">
        <v>164</v>
      </c>
      <c r="C2400">
        <v>0</v>
      </c>
      <c r="D2400">
        <v>0</v>
      </c>
      <c r="E2400">
        <v>0</v>
      </c>
      <c r="F2400">
        <v>604324.56000000006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3.91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7490</v>
      </c>
      <c r="AW2400">
        <v>3350</v>
      </c>
      <c r="AX2400">
        <v>1219</v>
      </c>
      <c r="AY2400">
        <v>12059</v>
      </c>
      <c r="AZ2400">
        <v>4202</v>
      </c>
      <c r="BA2400">
        <v>7438</v>
      </c>
      <c r="BB2400">
        <v>1432</v>
      </c>
      <c r="BC2400">
        <v>13072</v>
      </c>
      <c r="BD2400">
        <v>9486</v>
      </c>
      <c r="BE2400">
        <v>9222</v>
      </c>
      <c r="BF2400">
        <v>1768</v>
      </c>
      <c r="BG2400">
        <v>20476</v>
      </c>
      <c r="BH2400">
        <v>0</v>
      </c>
      <c r="BI2400">
        <v>0</v>
      </c>
      <c r="BJ2400">
        <v>0</v>
      </c>
      <c r="BK2400">
        <v>0</v>
      </c>
      <c r="BL2400" s="2">
        <v>24.82</v>
      </c>
      <c r="BM2400" s="2">
        <v>42005.095138888886</v>
      </c>
      <c r="BN2400" s="2">
        <v>5.4</v>
      </c>
      <c r="BO2400" s="2">
        <v>42005.092361111114</v>
      </c>
      <c r="BP2400" s="2">
        <v>6.92</v>
      </c>
      <c r="BQ2400" s="2">
        <v>42005.092361111114</v>
      </c>
      <c r="BR2400" s="2">
        <v>11.07</v>
      </c>
      <c r="BS2400" s="2">
        <v>42005.092361111114</v>
      </c>
      <c r="BT2400">
        <v>0</v>
      </c>
      <c r="BU2400">
        <v>0</v>
      </c>
      <c r="BV2400" t="s">
        <v>135</v>
      </c>
      <c r="BW2400">
        <v>0</v>
      </c>
      <c r="BX2400">
        <v>0</v>
      </c>
      <c r="BY2400" t="s">
        <v>135</v>
      </c>
      <c r="BZ2400">
        <v>0</v>
      </c>
      <c r="CA2400">
        <v>0</v>
      </c>
      <c r="CB2400" t="s">
        <v>135</v>
      </c>
      <c r="CH2400" s="2"/>
      <c r="CJ2400" s="2"/>
      <c r="CL2400" s="2"/>
      <c r="CN2400" s="2"/>
      <c r="CQ2400" s="2"/>
      <c r="CT2400" s="2"/>
      <c r="CW2400" s="2"/>
    </row>
    <row r="2401" spans="1:101" x14ac:dyDescent="0.25">
      <c r="A2401" s="1" t="s">
        <v>163</v>
      </c>
      <c r="B2401" s="75" t="s">
        <v>164</v>
      </c>
      <c r="C2401">
        <v>0</v>
      </c>
      <c r="D2401">
        <v>0</v>
      </c>
      <c r="E2401">
        <v>0</v>
      </c>
      <c r="F2401">
        <v>604324.56000000006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3.91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7490</v>
      </c>
      <c r="AW2401">
        <v>3350</v>
      </c>
      <c r="AX2401">
        <v>1219</v>
      </c>
      <c r="AY2401">
        <v>12059</v>
      </c>
      <c r="AZ2401">
        <v>4202</v>
      </c>
      <c r="BA2401">
        <v>7438</v>
      </c>
      <c r="BB2401">
        <v>1432</v>
      </c>
      <c r="BC2401">
        <v>13072</v>
      </c>
      <c r="BD2401">
        <v>9486</v>
      </c>
      <c r="BE2401">
        <v>9222</v>
      </c>
      <c r="BF2401">
        <v>1768</v>
      </c>
      <c r="BG2401">
        <v>20476</v>
      </c>
      <c r="BH2401">
        <v>0</v>
      </c>
      <c r="BI2401">
        <v>0</v>
      </c>
      <c r="BJ2401">
        <v>0</v>
      </c>
      <c r="BK2401">
        <v>0</v>
      </c>
      <c r="BL2401" s="2">
        <v>24.82</v>
      </c>
      <c r="BM2401" s="2">
        <v>42005.095138888886</v>
      </c>
      <c r="BN2401" s="2">
        <v>5.4</v>
      </c>
      <c r="BO2401" s="2">
        <v>42005.092361111114</v>
      </c>
      <c r="BP2401" s="2">
        <v>6.92</v>
      </c>
      <c r="BQ2401" s="2">
        <v>42005.092361111114</v>
      </c>
      <c r="BR2401" s="2">
        <v>11.07</v>
      </c>
      <c r="BS2401" s="2">
        <v>42005.092361111114</v>
      </c>
      <c r="BT2401">
        <v>0</v>
      </c>
      <c r="BU2401">
        <v>0</v>
      </c>
      <c r="BV2401" t="s">
        <v>135</v>
      </c>
      <c r="BW2401">
        <v>0</v>
      </c>
      <c r="BX2401">
        <v>0</v>
      </c>
      <c r="BY2401" t="s">
        <v>135</v>
      </c>
      <c r="BZ2401">
        <v>0</v>
      </c>
      <c r="CA2401">
        <v>0</v>
      </c>
      <c r="CB2401" t="s">
        <v>135</v>
      </c>
      <c r="CH2401" s="2"/>
      <c r="CJ2401" s="2"/>
      <c r="CL2401" s="2"/>
      <c r="CN2401" s="2"/>
      <c r="CQ2401" s="2"/>
      <c r="CT2401" s="2"/>
      <c r="CW2401" s="2"/>
    </row>
    <row r="2402" spans="1:101" x14ac:dyDescent="0.25">
      <c r="A2402" s="1" t="s">
        <v>163</v>
      </c>
      <c r="B2402" s="75" t="s">
        <v>164</v>
      </c>
      <c r="C2402">
        <v>0</v>
      </c>
      <c r="D2402">
        <v>0</v>
      </c>
      <c r="E2402">
        <v>0</v>
      </c>
      <c r="F2402">
        <v>604324.56000000006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3.91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7490</v>
      </c>
      <c r="AW2402">
        <v>3350</v>
      </c>
      <c r="AX2402">
        <v>1219</v>
      </c>
      <c r="AY2402">
        <v>12059</v>
      </c>
      <c r="AZ2402">
        <v>4202</v>
      </c>
      <c r="BA2402">
        <v>7438</v>
      </c>
      <c r="BB2402">
        <v>1432</v>
      </c>
      <c r="BC2402">
        <v>13072</v>
      </c>
      <c r="BD2402">
        <v>9486</v>
      </c>
      <c r="BE2402">
        <v>9222</v>
      </c>
      <c r="BF2402">
        <v>1768</v>
      </c>
      <c r="BG2402">
        <v>20476</v>
      </c>
      <c r="BH2402">
        <v>0</v>
      </c>
      <c r="BI2402">
        <v>0</v>
      </c>
      <c r="BJ2402">
        <v>0</v>
      </c>
      <c r="BK2402">
        <v>0</v>
      </c>
      <c r="BL2402" s="2">
        <v>24.82</v>
      </c>
      <c r="BM2402" s="2">
        <v>42005.095138888886</v>
      </c>
      <c r="BN2402" s="2">
        <v>5.4</v>
      </c>
      <c r="BO2402" s="2">
        <v>42005.092361111114</v>
      </c>
      <c r="BP2402" s="2">
        <v>6.92</v>
      </c>
      <c r="BQ2402" s="2">
        <v>42005.092361111114</v>
      </c>
      <c r="BR2402" s="2">
        <v>11.07</v>
      </c>
      <c r="BS2402" s="2">
        <v>42005.092361111114</v>
      </c>
      <c r="BT2402">
        <v>0</v>
      </c>
      <c r="BU2402">
        <v>0</v>
      </c>
      <c r="BV2402" t="s">
        <v>135</v>
      </c>
      <c r="BW2402">
        <v>0</v>
      </c>
      <c r="BX2402">
        <v>0</v>
      </c>
      <c r="BY2402" t="s">
        <v>135</v>
      </c>
      <c r="BZ2402">
        <v>0</v>
      </c>
      <c r="CA2402">
        <v>0</v>
      </c>
      <c r="CB2402" t="s">
        <v>135</v>
      </c>
      <c r="CH2402" s="2"/>
      <c r="CJ2402" s="2"/>
      <c r="CL2402" s="2"/>
      <c r="CN2402" s="2"/>
      <c r="CQ2402" s="2"/>
      <c r="CT2402" s="2"/>
      <c r="CW2402" s="2"/>
    </row>
    <row r="2403" spans="1:101" x14ac:dyDescent="0.25">
      <c r="A2403" s="1" t="s">
        <v>163</v>
      </c>
      <c r="B2403" s="75" t="s">
        <v>164</v>
      </c>
      <c r="C2403">
        <v>0</v>
      </c>
      <c r="D2403">
        <v>0</v>
      </c>
      <c r="E2403">
        <v>0</v>
      </c>
      <c r="F2403">
        <v>604324.56000000006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3.91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7490</v>
      </c>
      <c r="AW2403">
        <v>3350</v>
      </c>
      <c r="AX2403">
        <v>1219</v>
      </c>
      <c r="AY2403">
        <v>12059</v>
      </c>
      <c r="AZ2403">
        <v>4202</v>
      </c>
      <c r="BA2403">
        <v>7438</v>
      </c>
      <c r="BB2403">
        <v>1432</v>
      </c>
      <c r="BC2403">
        <v>13072</v>
      </c>
      <c r="BD2403">
        <v>9486</v>
      </c>
      <c r="BE2403">
        <v>9222</v>
      </c>
      <c r="BF2403">
        <v>1768</v>
      </c>
      <c r="BG2403">
        <v>20476</v>
      </c>
      <c r="BH2403">
        <v>0</v>
      </c>
      <c r="BI2403">
        <v>0</v>
      </c>
      <c r="BJ2403">
        <v>0</v>
      </c>
      <c r="BK2403">
        <v>0</v>
      </c>
      <c r="BL2403" s="2">
        <v>24.82</v>
      </c>
      <c r="BM2403" s="2">
        <v>42005.095138888886</v>
      </c>
      <c r="BN2403" s="2">
        <v>5.4</v>
      </c>
      <c r="BO2403" s="2">
        <v>42005.092361111114</v>
      </c>
      <c r="BP2403" s="2">
        <v>6.92</v>
      </c>
      <c r="BQ2403" s="2">
        <v>42005.092361111114</v>
      </c>
      <c r="BR2403" s="2">
        <v>11.07</v>
      </c>
      <c r="BS2403" s="2">
        <v>42005.092361111114</v>
      </c>
      <c r="BT2403">
        <v>0</v>
      </c>
      <c r="BU2403">
        <v>0</v>
      </c>
      <c r="BV2403" t="s">
        <v>135</v>
      </c>
      <c r="BW2403">
        <v>0</v>
      </c>
      <c r="BX2403">
        <v>0</v>
      </c>
      <c r="BY2403" t="s">
        <v>135</v>
      </c>
      <c r="BZ2403">
        <v>0</v>
      </c>
      <c r="CA2403">
        <v>0</v>
      </c>
      <c r="CB2403" t="s">
        <v>135</v>
      </c>
      <c r="CH2403" s="2"/>
      <c r="CJ2403" s="2"/>
      <c r="CL2403" s="2"/>
      <c r="CN2403" s="2"/>
      <c r="CQ2403" s="2"/>
      <c r="CT2403" s="2"/>
      <c r="CW2403" s="2"/>
    </row>
    <row r="2404" spans="1:101" x14ac:dyDescent="0.25">
      <c r="A2404" s="1" t="s">
        <v>163</v>
      </c>
      <c r="B2404" s="75" t="s">
        <v>164</v>
      </c>
      <c r="C2404">
        <v>0</v>
      </c>
      <c r="D2404">
        <v>0</v>
      </c>
      <c r="E2404">
        <v>0</v>
      </c>
      <c r="F2404">
        <v>604324.56000000006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3.91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7490</v>
      </c>
      <c r="AW2404">
        <v>3350</v>
      </c>
      <c r="AX2404">
        <v>1219</v>
      </c>
      <c r="AY2404">
        <v>12059</v>
      </c>
      <c r="AZ2404">
        <v>4202</v>
      </c>
      <c r="BA2404">
        <v>7438</v>
      </c>
      <c r="BB2404">
        <v>1432</v>
      </c>
      <c r="BC2404">
        <v>13072</v>
      </c>
      <c r="BD2404">
        <v>9486</v>
      </c>
      <c r="BE2404">
        <v>9222</v>
      </c>
      <c r="BF2404">
        <v>1768</v>
      </c>
      <c r="BG2404">
        <v>20476</v>
      </c>
      <c r="BH2404">
        <v>0</v>
      </c>
      <c r="BI2404">
        <v>0</v>
      </c>
      <c r="BJ2404">
        <v>0</v>
      </c>
      <c r="BK2404">
        <v>0</v>
      </c>
      <c r="BL2404" s="2">
        <v>24.82</v>
      </c>
      <c r="BM2404" s="2">
        <v>42005.095138888886</v>
      </c>
      <c r="BN2404" s="2">
        <v>5.4</v>
      </c>
      <c r="BO2404" s="2">
        <v>42005.092361111114</v>
      </c>
      <c r="BP2404" s="2">
        <v>6.92</v>
      </c>
      <c r="BQ2404" s="2">
        <v>42005.092361111114</v>
      </c>
      <c r="BR2404" s="2">
        <v>11.07</v>
      </c>
      <c r="BS2404" s="2">
        <v>42005.092361111114</v>
      </c>
      <c r="BT2404">
        <v>0</v>
      </c>
      <c r="BU2404">
        <v>0</v>
      </c>
      <c r="BV2404" t="s">
        <v>135</v>
      </c>
      <c r="BW2404">
        <v>0</v>
      </c>
      <c r="BX2404">
        <v>0</v>
      </c>
      <c r="BY2404" t="s">
        <v>135</v>
      </c>
      <c r="BZ2404">
        <v>0</v>
      </c>
      <c r="CA2404">
        <v>0</v>
      </c>
      <c r="CB2404" t="s">
        <v>135</v>
      </c>
      <c r="CH2404" s="2"/>
      <c r="CJ2404" s="2"/>
      <c r="CL2404" s="2"/>
      <c r="CN2404" s="2"/>
      <c r="CQ2404" s="2"/>
      <c r="CT2404" s="2"/>
      <c r="CW2404" s="2"/>
    </row>
    <row r="2405" spans="1:101" x14ac:dyDescent="0.25">
      <c r="A2405" s="1" t="s">
        <v>163</v>
      </c>
      <c r="B2405" s="75" t="s">
        <v>164</v>
      </c>
      <c r="C2405">
        <v>0</v>
      </c>
      <c r="D2405">
        <v>0</v>
      </c>
      <c r="E2405">
        <v>0</v>
      </c>
      <c r="F2405">
        <v>604324.56000000006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3.91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7490</v>
      </c>
      <c r="AW2405">
        <v>3350</v>
      </c>
      <c r="AX2405">
        <v>1219</v>
      </c>
      <c r="AY2405">
        <v>12059</v>
      </c>
      <c r="AZ2405">
        <v>4202</v>
      </c>
      <c r="BA2405">
        <v>7438</v>
      </c>
      <c r="BB2405">
        <v>1432</v>
      </c>
      <c r="BC2405">
        <v>13072</v>
      </c>
      <c r="BD2405">
        <v>9486</v>
      </c>
      <c r="BE2405">
        <v>9222</v>
      </c>
      <c r="BF2405">
        <v>1768</v>
      </c>
      <c r="BG2405">
        <v>20476</v>
      </c>
      <c r="BH2405">
        <v>0</v>
      </c>
      <c r="BI2405">
        <v>0</v>
      </c>
      <c r="BJ2405">
        <v>0</v>
      </c>
      <c r="BK2405">
        <v>0</v>
      </c>
      <c r="BL2405" s="2">
        <v>24.82</v>
      </c>
      <c r="BM2405" s="2">
        <v>42005.095138888886</v>
      </c>
      <c r="BN2405" s="2">
        <v>5.4</v>
      </c>
      <c r="BO2405" s="2">
        <v>42005.092361111114</v>
      </c>
      <c r="BP2405" s="2">
        <v>6.92</v>
      </c>
      <c r="BQ2405" s="2">
        <v>42005.092361111114</v>
      </c>
      <c r="BR2405" s="2">
        <v>11.07</v>
      </c>
      <c r="BS2405" s="2">
        <v>42005.092361111114</v>
      </c>
      <c r="BT2405">
        <v>0</v>
      </c>
      <c r="BU2405">
        <v>0</v>
      </c>
      <c r="BV2405" t="s">
        <v>135</v>
      </c>
      <c r="BW2405">
        <v>0</v>
      </c>
      <c r="BX2405">
        <v>0</v>
      </c>
      <c r="BY2405" t="s">
        <v>135</v>
      </c>
      <c r="BZ2405">
        <v>0</v>
      </c>
      <c r="CA2405">
        <v>0</v>
      </c>
      <c r="CB2405" t="s">
        <v>135</v>
      </c>
      <c r="CH2405" s="2"/>
      <c r="CJ2405" s="2"/>
      <c r="CL2405" s="2"/>
      <c r="CN2405" s="2"/>
      <c r="CQ2405" s="2"/>
      <c r="CT2405" s="2"/>
      <c r="CW2405" s="2"/>
    </row>
    <row r="2406" spans="1:101" x14ac:dyDescent="0.25">
      <c r="A2406" s="1" t="s">
        <v>163</v>
      </c>
      <c r="B2406" s="75" t="s">
        <v>164</v>
      </c>
      <c r="C2406">
        <v>0</v>
      </c>
      <c r="D2406">
        <v>0</v>
      </c>
      <c r="E2406">
        <v>0</v>
      </c>
      <c r="F2406">
        <v>604324.56000000006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3.91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7490</v>
      </c>
      <c r="AW2406">
        <v>3350</v>
      </c>
      <c r="AX2406">
        <v>1219</v>
      </c>
      <c r="AY2406">
        <v>12059</v>
      </c>
      <c r="AZ2406">
        <v>4202</v>
      </c>
      <c r="BA2406">
        <v>7438</v>
      </c>
      <c r="BB2406">
        <v>1432</v>
      </c>
      <c r="BC2406">
        <v>13072</v>
      </c>
      <c r="BD2406">
        <v>9486</v>
      </c>
      <c r="BE2406">
        <v>9222</v>
      </c>
      <c r="BF2406">
        <v>1768</v>
      </c>
      <c r="BG2406">
        <v>20476</v>
      </c>
      <c r="BH2406">
        <v>0</v>
      </c>
      <c r="BI2406">
        <v>0</v>
      </c>
      <c r="BJ2406">
        <v>0</v>
      </c>
      <c r="BK2406">
        <v>0</v>
      </c>
      <c r="BL2406" s="2">
        <v>24.82</v>
      </c>
      <c r="BM2406" s="2">
        <v>42005.095138888886</v>
      </c>
      <c r="BN2406" s="2">
        <v>5.4</v>
      </c>
      <c r="BO2406" s="2">
        <v>42005.092361111114</v>
      </c>
      <c r="BP2406" s="2">
        <v>6.92</v>
      </c>
      <c r="BQ2406" s="2">
        <v>42005.092361111114</v>
      </c>
      <c r="BR2406" s="2">
        <v>11.07</v>
      </c>
      <c r="BS2406" s="2">
        <v>42005.092361111114</v>
      </c>
      <c r="BT2406">
        <v>0</v>
      </c>
      <c r="BU2406">
        <v>0</v>
      </c>
      <c r="BV2406" t="s">
        <v>135</v>
      </c>
      <c r="BW2406">
        <v>0</v>
      </c>
      <c r="BX2406">
        <v>0</v>
      </c>
      <c r="BY2406" t="s">
        <v>135</v>
      </c>
      <c r="BZ2406">
        <v>0</v>
      </c>
      <c r="CA2406">
        <v>0</v>
      </c>
      <c r="CB2406" t="s">
        <v>135</v>
      </c>
      <c r="CH2406" s="2"/>
      <c r="CJ2406" s="2"/>
      <c r="CL2406" s="2"/>
      <c r="CN2406" s="2"/>
      <c r="CQ2406" s="2"/>
      <c r="CT2406" s="2"/>
      <c r="CW2406" s="2"/>
    </row>
    <row r="2407" spans="1:101" x14ac:dyDescent="0.25">
      <c r="A2407" s="1" t="s">
        <v>163</v>
      </c>
      <c r="B2407" s="75" t="s">
        <v>164</v>
      </c>
      <c r="C2407">
        <v>0</v>
      </c>
      <c r="D2407">
        <v>0</v>
      </c>
      <c r="E2407">
        <v>0</v>
      </c>
      <c r="F2407">
        <v>604324.56000000006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3.91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7490</v>
      </c>
      <c r="AW2407">
        <v>3350</v>
      </c>
      <c r="AX2407">
        <v>1219</v>
      </c>
      <c r="AY2407">
        <v>12059</v>
      </c>
      <c r="AZ2407">
        <v>4202</v>
      </c>
      <c r="BA2407">
        <v>7438</v>
      </c>
      <c r="BB2407">
        <v>1432</v>
      </c>
      <c r="BC2407">
        <v>13072</v>
      </c>
      <c r="BD2407">
        <v>9486</v>
      </c>
      <c r="BE2407">
        <v>9222</v>
      </c>
      <c r="BF2407">
        <v>1768</v>
      </c>
      <c r="BG2407">
        <v>20476</v>
      </c>
      <c r="BH2407">
        <v>0</v>
      </c>
      <c r="BI2407">
        <v>0</v>
      </c>
      <c r="BJ2407">
        <v>0</v>
      </c>
      <c r="BK2407">
        <v>0</v>
      </c>
      <c r="BL2407" s="2">
        <v>24.82</v>
      </c>
      <c r="BM2407" s="2">
        <v>42005.095138888886</v>
      </c>
      <c r="BN2407" s="2">
        <v>5.4</v>
      </c>
      <c r="BO2407" s="2">
        <v>42005.092361111114</v>
      </c>
      <c r="BP2407" s="2">
        <v>6.92</v>
      </c>
      <c r="BQ2407" s="2">
        <v>42005.092361111114</v>
      </c>
      <c r="BR2407" s="2">
        <v>11.07</v>
      </c>
      <c r="BS2407" s="2">
        <v>42005.092361111114</v>
      </c>
      <c r="BT2407">
        <v>0</v>
      </c>
      <c r="BU2407">
        <v>0</v>
      </c>
      <c r="BV2407" t="s">
        <v>135</v>
      </c>
      <c r="BW2407">
        <v>0</v>
      </c>
      <c r="BX2407">
        <v>0</v>
      </c>
      <c r="BY2407" t="s">
        <v>135</v>
      </c>
      <c r="BZ2407">
        <v>0</v>
      </c>
      <c r="CA2407">
        <v>0</v>
      </c>
      <c r="CB2407" t="s">
        <v>135</v>
      </c>
      <c r="CH2407" s="2"/>
      <c r="CJ2407" s="2"/>
      <c r="CL2407" s="2"/>
      <c r="CN2407" s="2"/>
      <c r="CQ2407" s="2"/>
      <c r="CT2407" s="2"/>
      <c r="CW2407" s="2"/>
    </row>
    <row r="2408" spans="1:101" x14ac:dyDescent="0.25">
      <c r="A2408" s="1" t="s">
        <v>163</v>
      </c>
      <c r="B2408" s="75" t="s">
        <v>164</v>
      </c>
      <c r="C2408">
        <v>0</v>
      </c>
      <c r="D2408">
        <v>0</v>
      </c>
      <c r="E2408">
        <v>0</v>
      </c>
      <c r="F2408">
        <v>604324.56000000006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3.91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7490</v>
      </c>
      <c r="AW2408">
        <v>3350</v>
      </c>
      <c r="AX2408">
        <v>1219</v>
      </c>
      <c r="AY2408">
        <v>12059</v>
      </c>
      <c r="AZ2408">
        <v>4202</v>
      </c>
      <c r="BA2408">
        <v>7438</v>
      </c>
      <c r="BB2408">
        <v>1432</v>
      </c>
      <c r="BC2408">
        <v>13072</v>
      </c>
      <c r="BD2408">
        <v>9486</v>
      </c>
      <c r="BE2408">
        <v>9222</v>
      </c>
      <c r="BF2408">
        <v>1768</v>
      </c>
      <c r="BG2408">
        <v>20476</v>
      </c>
      <c r="BH2408">
        <v>0</v>
      </c>
      <c r="BI2408">
        <v>0</v>
      </c>
      <c r="BJ2408">
        <v>0</v>
      </c>
      <c r="BK2408">
        <v>0</v>
      </c>
      <c r="BL2408" s="2">
        <v>24.82</v>
      </c>
      <c r="BM2408" s="2">
        <v>42005.095138888886</v>
      </c>
      <c r="BN2408" s="2">
        <v>5.4</v>
      </c>
      <c r="BO2408" s="2">
        <v>42005.092361111114</v>
      </c>
      <c r="BP2408" s="2">
        <v>6.92</v>
      </c>
      <c r="BQ2408" s="2">
        <v>42005.092361111114</v>
      </c>
      <c r="BR2408" s="2">
        <v>11.07</v>
      </c>
      <c r="BS2408" s="2">
        <v>42005.092361111114</v>
      </c>
      <c r="BT2408">
        <v>0</v>
      </c>
      <c r="BU2408">
        <v>0</v>
      </c>
      <c r="BV2408" t="s">
        <v>135</v>
      </c>
      <c r="BW2408">
        <v>0</v>
      </c>
      <c r="BX2408">
        <v>0</v>
      </c>
      <c r="BY2408" t="s">
        <v>135</v>
      </c>
      <c r="BZ2408">
        <v>0</v>
      </c>
      <c r="CA2408">
        <v>0</v>
      </c>
      <c r="CB2408" t="s">
        <v>135</v>
      </c>
      <c r="CH2408" s="2"/>
      <c r="CJ2408" s="2"/>
      <c r="CL2408" s="2"/>
      <c r="CN2408" s="2"/>
      <c r="CQ2408" s="2"/>
      <c r="CT2408" s="2"/>
      <c r="CW2408" s="2"/>
    </row>
    <row r="2409" spans="1:101" x14ac:dyDescent="0.25">
      <c r="A2409" s="1" t="s">
        <v>163</v>
      </c>
      <c r="B2409" s="75" t="s">
        <v>164</v>
      </c>
      <c r="C2409">
        <v>0</v>
      </c>
      <c r="D2409">
        <v>0</v>
      </c>
      <c r="E2409">
        <v>0</v>
      </c>
      <c r="F2409">
        <v>604324.56000000006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3.91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7490</v>
      </c>
      <c r="AW2409">
        <v>3350</v>
      </c>
      <c r="AX2409">
        <v>1219</v>
      </c>
      <c r="AY2409">
        <v>12059</v>
      </c>
      <c r="AZ2409">
        <v>4202</v>
      </c>
      <c r="BA2409">
        <v>7438</v>
      </c>
      <c r="BB2409">
        <v>1432</v>
      </c>
      <c r="BC2409">
        <v>13072</v>
      </c>
      <c r="BD2409">
        <v>9486</v>
      </c>
      <c r="BE2409">
        <v>9222</v>
      </c>
      <c r="BF2409">
        <v>1768</v>
      </c>
      <c r="BG2409">
        <v>20476</v>
      </c>
      <c r="BH2409">
        <v>0</v>
      </c>
      <c r="BI2409">
        <v>0</v>
      </c>
      <c r="BJ2409">
        <v>0</v>
      </c>
      <c r="BK2409">
        <v>0</v>
      </c>
      <c r="BL2409" s="2">
        <v>24.82</v>
      </c>
      <c r="BM2409" s="2">
        <v>42005.095138888886</v>
      </c>
      <c r="BN2409" s="2">
        <v>5.4</v>
      </c>
      <c r="BO2409" s="2">
        <v>42005.092361111114</v>
      </c>
      <c r="BP2409" s="2">
        <v>6.92</v>
      </c>
      <c r="BQ2409" s="2">
        <v>42005.092361111114</v>
      </c>
      <c r="BR2409" s="2">
        <v>11.07</v>
      </c>
      <c r="BS2409" s="2">
        <v>42005.092361111114</v>
      </c>
      <c r="BT2409">
        <v>0</v>
      </c>
      <c r="BU2409">
        <v>0</v>
      </c>
      <c r="BV2409" t="s">
        <v>135</v>
      </c>
      <c r="BW2409">
        <v>0</v>
      </c>
      <c r="BX2409">
        <v>0</v>
      </c>
      <c r="BY2409" t="s">
        <v>135</v>
      </c>
      <c r="BZ2409">
        <v>0</v>
      </c>
      <c r="CA2409">
        <v>0</v>
      </c>
      <c r="CB2409" t="s">
        <v>135</v>
      </c>
      <c r="CH2409" s="2"/>
      <c r="CJ2409" s="2"/>
      <c r="CL2409" s="2"/>
      <c r="CN2409" s="2"/>
      <c r="CQ2409" s="2"/>
      <c r="CT2409" s="2"/>
      <c r="CW2409" s="2"/>
    </row>
    <row r="2410" spans="1:101" x14ac:dyDescent="0.25">
      <c r="A2410" s="1" t="s">
        <v>163</v>
      </c>
      <c r="B2410" s="75" t="s">
        <v>164</v>
      </c>
      <c r="C2410">
        <v>0</v>
      </c>
      <c r="D2410">
        <v>0</v>
      </c>
      <c r="E2410">
        <v>0</v>
      </c>
      <c r="F2410">
        <v>604324.56000000006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3.91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7490</v>
      </c>
      <c r="AW2410">
        <v>3350</v>
      </c>
      <c r="AX2410">
        <v>1219</v>
      </c>
      <c r="AY2410">
        <v>12059</v>
      </c>
      <c r="AZ2410">
        <v>4202</v>
      </c>
      <c r="BA2410">
        <v>7438</v>
      </c>
      <c r="BB2410">
        <v>1432</v>
      </c>
      <c r="BC2410">
        <v>13072</v>
      </c>
      <c r="BD2410">
        <v>9486</v>
      </c>
      <c r="BE2410">
        <v>9222</v>
      </c>
      <c r="BF2410">
        <v>1768</v>
      </c>
      <c r="BG2410">
        <v>20476</v>
      </c>
      <c r="BH2410">
        <v>0</v>
      </c>
      <c r="BI2410">
        <v>0</v>
      </c>
      <c r="BJ2410">
        <v>0</v>
      </c>
      <c r="BK2410">
        <v>0</v>
      </c>
      <c r="BL2410" s="2">
        <v>24.82</v>
      </c>
      <c r="BM2410" s="2">
        <v>42005.095138888886</v>
      </c>
      <c r="BN2410" s="2">
        <v>5.4</v>
      </c>
      <c r="BO2410" s="2">
        <v>42005.092361111114</v>
      </c>
      <c r="BP2410" s="2">
        <v>6.92</v>
      </c>
      <c r="BQ2410" s="2">
        <v>42005.092361111114</v>
      </c>
      <c r="BR2410" s="2">
        <v>11.07</v>
      </c>
      <c r="BS2410" s="2">
        <v>42005.092361111114</v>
      </c>
      <c r="BT2410">
        <v>0</v>
      </c>
      <c r="BU2410">
        <v>0</v>
      </c>
      <c r="BV2410" t="s">
        <v>135</v>
      </c>
      <c r="BW2410">
        <v>0</v>
      </c>
      <c r="BX2410">
        <v>0</v>
      </c>
      <c r="BY2410" t="s">
        <v>135</v>
      </c>
      <c r="BZ2410">
        <v>0</v>
      </c>
      <c r="CA2410">
        <v>0</v>
      </c>
      <c r="CB2410" t="s">
        <v>135</v>
      </c>
      <c r="CH2410" s="2"/>
      <c r="CJ2410" s="2"/>
      <c r="CL2410" s="2"/>
      <c r="CN2410" s="2"/>
      <c r="CQ2410" s="2"/>
      <c r="CT2410" s="2"/>
      <c r="CW2410" s="2"/>
    </row>
    <row r="2411" spans="1:101" x14ac:dyDescent="0.25">
      <c r="A2411" s="1" t="s">
        <v>163</v>
      </c>
      <c r="B2411" s="75" t="s">
        <v>164</v>
      </c>
      <c r="C2411">
        <v>0</v>
      </c>
      <c r="D2411">
        <v>0</v>
      </c>
      <c r="E2411">
        <v>0</v>
      </c>
      <c r="F2411">
        <v>604324.56000000006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3.91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7490</v>
      </c>
      <c r="AW2411">
        <v>3350</v>
      </c>
      <c r="AX2411">
        <v>1219</v>
      </c>
      <c r="AY2411">
        <v>12059</v>
      </c>
      <c r="AZ2411">
        <v>4202</v>
      </c>
      <c r="BA2411">
        <v>7438</v>
      </c>
      <c r="BB2411">
        <v>1432</v>
      </c>
      <c r="BC2411">
        <v>13072</v>
      </c>
      <c r="BD2411">
        <v>9486</v>
      </c>
      <c r="BE2411">
        <v>9222</v>
      </c>
      <c r="BF2411">
        <v>1768</v>
      </c>
      <c r="BG2411">
        <v>20476</v>
      </c>
      <c r="BH2411">
        <v>0</v>
      </c>
      <c r="BI2411">
        <v>0</v>
      </c>
      <c r="BJ2411">
        <v>0</v>
      </c>
      <c r="BK2411">
        <v>0</v>
      </c>
      <c r="BL2411" s="2">
        <v>24.82</v>
      </c>
      <c r="BM2411" s="2">
        <v>42005.095138888886</v>
      </c>
      <c r="BN2411" s="2">
        <v>5.4</v>
      </c>
      <c r="BO2411" s="2">
        <v>42005.092361111114</v>
      </c>
      <c r="BP2411" s="2">
        <v>6.92</v>
      </c>
      <c r="BQ2411" s="2">
        <v>42005.092361111114</v>
      </c>
      <c r="BR2411" s="2">
        <v>11.07</v>
      </c>
      <c r="BS2411" s="2">
        <v>42005.092361111114</v>
      </c>
      <c r="BT2411">
        <v>0</v>
      </c>
      <c r="BU2411">
        <v>0</v>
      </c>
      <c r="BV2411" t="s">
        <v>135</v>
      </c>
      <c r="BW2411">
        <v>0</v>
      </c>
      <c r="BX2411">
        <v>0</v>
      </c>
      <c r="BY2411" t="s">
        <v>135</v>
      </c>
      <c r="BZ2411">
        <v>0</v>
      </c>
      <c r="CA2411">
        <v>0</v>
      </c>
      <c r="CB2411" t="s">
        <v>135</v>
      </c>
      <c r="CH2411" s="2"/>
      <c r="CJ2411" s="2"/>
      <c r="CL2411" s="2"/>
      <c r="CN2411" s="2"/>
      <c r="CQ2411" s="2"/>
      <c r="CT2411" s="2"/>
      <c r="CW2411" s="2"/>
    </row>
    <row r="2412" spans="1:101" x14ac:dyDescent="0.25">
      <c r="A2412" s="1" t="s">
        <v>163</v>
      </c>
      <c r="B2412" s="75" t="s">
        <v>164</v>
      </c>
      <c r="C2412">
        <v>0</v>
      </c>
      <c r="D2412">
        <v>0</v>
      </c>
      <c r="E2412">
        <v>0</v>
      </c>
      <c r="F2412">
        <v>604324.56000000006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3.91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7490</v>
      </c>
      <c r="AW2412">
        <v>3350</v>
      </c>
      <c r="AX2412">
        <v>1219</v>
      </c>
      <c r="AY2412">
        <v>12059</v>
      </c>
      <c r="AZ2412">
        <v>4202</v>
      </c>
      <c r="BA2412">
        <v>7438</v>
      </c>
      <c r="BB2412">
        <v>1432</v>
      </c>
      <c r="BC2412">
        <v>13072</v>
      </c>
      <c r="BD2412">
        <v>9486</v>
      </c>
      <c r="BE2412">
        <v>9222</v>
      </c>
      <c r="BF2412">
        <v>1768</v>
      </c>
      <c r="BG2412">
        <v>20476</v>
      </c>
      <c r="BH2412">
        <v>0</v>
      </c>
      <c r="BI2412">
        <v>0</v>
      </c>
      <c r="BJ2412">
        <v>0</v>
      </c>
      <c r="BK2412">
        <v>0</v>
      </c>
      <c r="BL2412" s="2">
        <v>24.82</v>
      </c>
      <c r="BM2412" s="2">
        <v>42005.095138888886</v>
      </c>
      <c r="BN2412" s="2">
        <v>5.4</v>
      </c>
      <c r="BO2412" s="2">
        <v>42005.092361111114</v>
      </c>
      <c r="BP2412" s="2">
        <v>6.92</v>
      </c>
      <c r="BQ2412" s="2">
        <v>42005.092361111114</v>
      </c>
      <c r="BR2412" s="2">
        <v>11.07</v>
      </c>
      <c r="BS2412" s="2">
        <v>42005.092361111114</v>
      </c>
      <c r="BT2412">
        <v>0</v>
      </c>
      <c r="BU2412">
        <v>0</v>
      </c>
      <c r="BV2412" t="s">
        <v>135</v>
      </c>
      <c r="BW2412">
        <v>0</v>
      </c>
      <c r="BX2412">
        <v>0</v>
      </c>
      <c r="BY2412" t="s">
        <v>135</v>
      </c>
      <c r="BZ2412">
        <v>0</v>
      </c>
      <c r="CA2412">
        <v>0</v>
      </c>
      <c r="CB2412" t="s">
        <v>135</v>
      </c>
      <c r="CH2412" s="2"/>
      <c r="CJ2412" s="2"/>
      <c r="CL2412" s="2"/>
      <c r="CN2412" s="2"/>
      <c r="CQ2412" s="2"/>
      <c r="CT2412" s="2"/>
      <c r="CW2412" s="2"/>
    </row>
    <row r="2413" spans="1:101" x14ac:dyDescent="0.25">
      <c r="A2413" s="1" t="s">
        <v>163</v>
      </c>
      <c r="B2413" s="75" t="s">
        <v>164</v>
      </c>
      <c r="C2413">
        <v>0</v>
      </c>
      <c r="D2413">
        <v>0</v>
      </c>
      <c r="E2413">
        <v>0</v>
      </c>
      <c r="F2413">
        <v>604324.56000000006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3.91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7490</v>
      </c>
      <c r="AW2413">
        <v>3350</v>
      </c>
      <c r="AX2413">
        <v>1219</v>
      </c>
      <c r="AY2413">
        <v>12059</v>
      </c>
      <c r="AZ2413">
        <v>4202</v>
      </c>
      <c r="BA2413">
        <v>7438</v>
      </c>
      <c r="BB2413">
        <v>1432</v>
      </c>
      <c r="BC2413">
        <v>13072</v>
      </c>
      <c r="BD2413">
        <v>9486</v>
      </c>
      <c r="BE2413">
        <v>9222</v>
      </c>
      <c r="BF2413">
        <v>1768</v>
      </c>
      <c r="BG2413">
        <v>20476</v>
      </c>
      <c r="BH2413">
        <v>0</v>
      </c>
      <c r="BI2413">
        <v>0</v>
      </c>
      <c r="BJ2413">
        <v>0</v>
      </c>
      <c r="BK2413">
        <v>0</v>
      </c>
      <c r="BL2413" s="2">
        <v>24.82</v>
      </c>
      <c r="BM2413" s="2">
        <v>42005.095138888886</v>
      </c>
      <c r="BN2413" s="2">
        <v>5.4</v>
      </c>
      <c r="BO2413" s="2">
        <v>42005.092361111114</v>
      </c>
      <c r="BP2413" s="2">
        <v>6.92</v>
      </c>
      <c r="BQ2413" s="2">
        <v>42005.092361111114</v>
      </c>
      <c r="BR2413" s="2">
        <v>11.07</v>
      </c>
      <c r="BS2413" s="2">
        <v>42005.092361111114</v>
      </c>
      <c r="BT2413">
        <v>0</v>
      </c>
      <c r="BU2413">
        <v>0</v>
      </c>
      <c r="BV2413" t="s">
        <v>135</v>
      </c>
      <c r="BW2413">
        <v>0</v>
      </c>
      <c r="BX2413">
        <v>0</v>
      </c>
      <c r="BY2413" t="s">
        <v>135</v>
      </c>
      <c r="BZ2413">
        <v>0</v>
      </c>
      <c r="CA2413">
        <v>0</v>
      </c>
      <c r="CB2413" t="s">
        <v>135</v>
      </c>
      <c r="CH2413" s="2"/>
      <c r="CJ2413" s="2"/>
      <c r="CL2413" s="2"/>
      <c r="CN2413" s="2"/>
      <c r="CQ2413" s="2"/>
      <c r="CT2413" s="2"/>
      <c r="CW2413" s="2"/>
    </row>
    <row r="2414" spans="1:101" x14ac:dyDescent="0.25">
      <c r="A2414" s="1" t="s">
        <v>163</v>
      </c>
      <c r="B2414" s="75" t="s">
        <v>164</v>
      </c>
      <c r="C2414">
        <v>0</v>
      </c>
      <c r="D2414">
        <v>0</v>
      </c>
      <c r="E2414">
        <v>0</v>
      </c>
      <c r="F2414">
        <v>604324.56000000006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3.91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7490</v>
      </c>
      <c r="AW2414">
        <v>3350</v>
      </c>
      <c r="AX2414">
        <v>1219</v>
      </c>
      <c r="AY2414">
        <v>12059</v>
      </c>
      <c r="AZ2414">
        <v>4202</v>
      </c>
      <c r="BA2414">
        <v>7438</v>
      </c>
      <c r="BB2414">
        <v>1432</v>
      </c>
      <c r="BC2414">
        <v>13072</v>
      </c>
      <c r="BD2414">
        <v>9486</v>
      </c>
      <c r="BE2414">
        <v>9222</v>
      </c>
      <c r="BF2414">
        <v>1768</v>
      </c>
      <c r="BG2414">
        <v>20476</v>
      </c>
      <c r="BH2414">
        <v>0</v>
      </c>
      <c r="BI2414">
        <v>0</v>
      </c>
      <c r="BJ2414">
        <v>0</v>
      </c>
      <c r="BK2414">
        <v>0</v>
      </c>
      <c r="BL2414" s="2">
        <v>24.82</v>
      </c>
      <c r="BM2414" s="2">
        <v>42005.095138888886</v>
      </c>
      <c r="BN2414" s="2">
        <v>5.4</v>
      </c>
      <c r="BO2414" s="2">
        <v>42005.092361111114</v>
      </c>
      <c r="BP2414" s="2">
        <v>6.92</v>
      </c>
      <c r="BQ2414" s="2">
        <v>42005.092361111114</v>
      </c>
      <c r="BR2414" s="2">
        <v>11.07</v>
      </c>
      <c r="BS2414" s="2">
        <v>42005.092361111114</v>
      </c>
      <c r="BT2414">
        <v>0</v>
      </c>
      <c r="BU2414">
        <v>0</v>
      </c>
      <c r="BV2414" t="s">
        <v>135</v>
      </c>
      <c r="BW2414">
        <v>0</v>
      </c>
      <c r="BX2414">
        <v>0</v>
      </c>
      <c r="BY2414" t="s">
        <v>135</v>
      </c>
      <c r="BZ2414">
        <v>0</v>
      </c>
      <c r="CA2414">
        <v>0</v>
      </c>
      <c r="CB2414" t="s">
        <v>135</v>
      </c>
      <c r="CH2414" s="2"/>
      <c r="CJ2414" s="2"/>
      <c r="CL2414" s="2"/>
      <c r="CN2414" s="2"/>
      <c r="CQ2414" s="2"/>
      <c r="CT2414" s="2"/>
      <c r="CW2414" s="2"/>
    </row>
    <row r="2415" spans="1:101" x14ac:dyDescent="0.25">
      <c r="A2415" s="1" t="s">
        <v>163</v>
      </c>
      <c r="B2415" s="75" t="s">
        <v>164</v>
      </c>
      <c r="C2415">
        <v>0</v>
      </c>
      <c r="D2415">
        <v>0</v>
      </c>
      <c r="E2415">
        <v>0</v>
      </c>
      <c r="F2415">
        <v>604324.56000000006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3.91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7490</v>
      </c>
      <c r="AW2415">
        <v>3350</v>
      </c>
      <c r="AX2415">
        <v>1219</v>
      </c>
      <c r="AY2415">
        <v>12059</v>
      </c>
      <c r="AZ2415">
        <v>4202</v>
      </c>
      <c r="BA2415">
        <v>7438</v>
      </c>
      <c r="BB2415">
        <v>1432</v>
      </c>
      <c r="BC2415">
        <v>13072</v>
      </c>
      <c r="BD2415">
        <v>9486</v>
      </c>
      <c r="BE2415">
        <v>9222</v>
      </c>
      <c r="BF2415">
        <v>1768</v>
      </c>
      <c r="BG2415">
        <v>20476</v>
      </c>
      <c r="BH2415">
        <v>0</v>
      </c>
      <c r="BI2415">
        <v>0</v>
      </c>
      <c r="BJ2415">
        <v>0</v>
      </c>
      <c r="BK2415">
        <v>0</v>
      </c>
      <c r="BL2415" s="2">
        <v>24.82</v>
      </c>
      <c r="BM2415" s="2">
        <v>42005.095138888886</v>
      </c>
      <c r="BN2415" s="2">
        <v>5.4</v>
      </c>
      <c r="BO2415" s="2">
        <v>42005.092361111114</v>
      </c>
      <c r="BP2415" s="2">
        <v>6.92</v>
      </c>
      <c r="BQ2415" s="2">
        <v>42005.092361111114</v>
      </c>
      <c r="BR2415" s="2">
        <v>11.07</v>
      </c>
      <c r="BS2415" s="2">
        <v>42005.092361111114</v>
      </c>
      <c r="BT2415">
        <v>0</v>
      </c>
      <c r="BU2415">
        <v>0</v>
      </c>
      <c r="BV2415" t="s">
        <v>135</v>
      </c>
      <c r="BW2415">
        <v>0</v>
      </c>
      <c r="BX2415">
        <v>0</v>
      </c>
      <c r="BY2415" t="s">
        <v>135</v>
      </c>
      <c r="BZ2415">
        <v>0</v>
      </c>
      <c r="CA2415">
        <v>0</v>
      </c>
      <c r="CB2415" t="s">
        <v>135</v>
      </c>
      <c r="CH2415" s="2"/>
      <c r="CJ2415" s="2"/>
      <c r="CL2415" s="2"/>
      <c r="CN2415" s="2"/>
      <c r="CQ2415" s="2"/>
      <c r="CT2415" s="2"/>
      <c r="CW2415" s="2"/>
    </row>
    <row r="2416" spans="1:101" x14ac:dyDescent="0.25">
      <c r="A2416" s="1" t="s">
        <v>163</v>
      </c>
      <c r="B2416" s="75" t="s">
        <v>164</v>
      </c>
      <c r="C2416">
        <v>0</v>
      </c>
      <c r="D2416">
        <v>0</v>
      </c>
      <c r="E2416">
        <v>0</v>
      </c>
      <c r="F2416">
        <v>604324.56000000006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3.91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7490</v>
      </c>
      <c r="AW2416">
        <v>3350</v>
      </c>
      <c r="AX2416">
        <v>1219</v>
      </c>
      <c r="AY2416">
        <v>12059</v>
      </c>
      <c r="AZ2416">
        <v>4202</v>
      </c>
      <c r="BA2416">
        <v>7438</v>
      </c>
      <c r="BB2416">
        <v>1432</v>
      </c>
      <c r="BC2416">
        <v>13072</v>
      </c>
      <c r="BD2416">
        <v>9486</v>
      </c>
      <c r="BE2416">
        <v>9222</v>
      </c>
      <c r="BF2416">
        <v>1768</v>
      </c>
      <c r="BG2416">
        <v>20476</v>
      </c>
      <c r="BH2416">
        <v>0</v>
      </c>
      <c r="BI2416">
        <v>0</v>
      </c>
      <c r="BJ2416">
        <v>0</v>
      </c>
      <c r="BK2416">
        <v>0</v>
      </c>
      <c r="BL2416" s="2">
        <v>24.82</v>
      </c>
      <c r="BM2416" s="2">
        <v>42005.095138888886</v>
      </c>
      <c r="BN2416" s="2">
        <v>5.4</v>
      </c>
      <c r="BO2416" s="2">
        <v>42005.092361111114</v>
      </c>
      <c r="BP2416" s="2">
        <v>6.92</v>
      </c>
      <c r="BQ2416" s="2">
        <v>42005.092361111114</v>
      </c>
      <c r="BR2416" s="2">
        <v>11.07</v>
      </c>
      <c r="BS2416" s="2">
        <v>42005.092361111114</v>
      </c>
      <c r="BT2416">
        <v>0</v>
      </c>
      <c r="BU2416">
        <v>0</v>
      </c>
      <c r="BV2416" t="s">
        <v>135</v>
      </c>
      <c r="BW2416">
        <v>0</v>
      </c>
      <c r="BX2416">
        <v>0</v>
      </c>
      <c r="BY2416" t="s">
        <v>135</v>
      </c>
      <c r="BZ2416">
        <v>0</v>
      </c>
      <c r="CA2416">
        <v>0</v>
      </c>
      <c r="CB2416" t="s">
        <v>135</v>
      </c>
      <c r="CH2416" s="2"/>
      <c r="CJ2416" s="2"/>
      <c r="CL2416" s="2"/>
      <c r="CN2416" s="2"/>
      <c r="CQ2416" s="2"/>
      <c r="CT2416" s="2"/>
      <c r="CW2416" s="2"/>
    </row>
    <row r="2417" spans="1:101" x14ac:dyDescent="0.25">
      <c r="A2417" s="1" t="s">
        <v>163</v>
      </c>
      <c r="B2417" s="75" t="s">
        <v>164</v>
      </c>
      <c r="C2417">
        <v>0</v>
      </c>
      <c r="D2417">
        <v>0</v>
      </c>
      <c r="E2417">
        <v>0</v>
      </c>
      <c r="F2417">
        <v>604324.56000000006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3.91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7490</v>
      </c>
      <c r="AW2417">
        <v>3350</v>
      </c>
      <c r="AX2417">
        <v>1219</v>
      </c>
      <c r="AY2417">
        <v>12059</v>
      </c>
      <c r="AZ2417">
        <v>4202</v>
      </c>
      <c r="BA2417">
        <v>7438</v>
      </c>
      <c r="BB2417">
        <v>1432</v>
      </c>
      <c r="BC2417">
        <v>13072</v>
      </c>
      <c r="BD2417">
        <v>9486</v>
      </c>
      <c r="BE2417">
        <v>9222</v>
      </c>
      <c r="BF2417">
        <v>1768</v>
      </c>
      <c r="BG2417">
        <v>20476</v>
      </c>
      <c r="BH2417">
        <v>0</v>
      </c>
      <c r="BI2417">
        <v>0</v>
      </c>
      <c r="BJ2417">
        <v>0</v>
      </c>
      <c r="BK2417">
        <v>0</v>
      </c>
      <c r="BL2417" s="2">
        <v>24.82</v>
      </c>
      <c r="BM2417" s="2">
        <v>42005.095138888886</v>
      </c>
      <c r="BN2417" s="2">
        <v>5.4</v>
      </c>
      <c r="BO2417" s="2">
        <v>42005.092361111114</v>
      </c>
      <c r="BP2417" s="2">
        <v>6.92</v>
      </c>
      <c r="BQ2417" s="2">
        <v>42005.092361111114</v>
      </c>
      <c r="BR2417" s="2">
        <v>11.07</v>
      </c>
      <c r="BS2417" s="2">
        <v>42005.092361111114</v>
      </c>
      <c r="BT2417">
        <v>0</v>
      </c>
      <c r="BU2417">
        <v>0</v>
      </c>
      <c r="BV2417" t="s">
        <v>135</v>
      </c>
      <c r="BW2417">
        <v>0</v>
      </c>
      <c r="BX2417">
        <v>0</v>
      </c>
      <c r="BY2417" t="s">
        <v>135</v>
      </c>
      <c r="BZ2417">
        <v>0</v>
      </c>
      <c r="CA2417">
        <v>0</v>
      </c>
      <c r="CB2417" t="s">
        <v>135</v>
      </c>
      <c r="CH2417" s="2"/>
      <c r="CJ2417" s="2"/>
      <c r="CL2417" s="2"/>
      <c r="CN2417" s="2"/>
      <c r="CQ2417" s="2"/>
      <c r="CT2417" s="2"/>
      <c r="CW2417" s="2"/>
    </row>
    <row r="2418" spans="1:101" x14ac:dyDescent="0.25">
      <c r="A2418" s="1" t="s">
        <v>163</v>
      </c>
      <c r="B2418" s="75" t="s">
        <v>164</v>
      </c>
      <c r="C2418">
        <v>0</v>
      </c>
      <c r="D2418">
        <v>0</v>
      </c>
      <c r="E2418">
        <v>0</v>
      </c>
      <c r="F2418">
        <v>604324.56000000006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3.91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7490</v>
      </c>
      <c r="AW2418">
        <v>3350</v>
      </c>
      <c r="AX2418">
        <v>1219</v>
      </c>
      <c r="AY2418">
        <v>12059</v>
      </c>
      <c r="AZ2418">
        <v>4202</v>
      </c>
      <c r="BA2418">
        <v>7438</v>
      </c>
      <c r="BB2418">
        <v>1432</v>
      </c>
      <c r="BC2418">
        <v>13072</v>
      </c>
      <c r="BD2418">
        <v>9486</v>
      </c>
      <c r="BE2418">
        <v>9222</v>
      </c>
      <c r="BF2418">
        <v>1768</v>
      </c>
      <c r="BG2418">
        <v>20476</v>
      </c>
      <c r="BH2418">
        <v>0</v>
      </c>
      <c r="BI2418">
        <v>0</v>
      </c>
      <c r="BJ2418">
        <v>0</v>
      </c>
      <c r="BK2418">
        <v>0</v>
      </c>
      <c r="BL2418" s="2">
        <v>24.82</v>
      </c>
      <c r="BM2418" s="2">
        <v>42005.095138888886</v>
      </c>
      <c r="BN2418" s="2">
        <v>5.4</v>
      </c>
      <c r="BO2418" s="2">
        <v>42005.092361111114</v>
      </c>
      <c r="BP2418" s="2">
        <v>6.92</v>
      </c>
      <c r="BQ2418" s="2">
        <v>42005.092361111114</v>
      </c>
      <c r="BR2418" s="2">
        <v>11.07</v>
      </c>
      <c r="BS2418" s="2">
        <v>42005.092361111114</v>
      </c>
      <c r="BT2418">
        <v>0</v>
      </c>
      <c r="BU2418">
        <v>0</v>
      </c>
      <c r="BV2418" t="s">
        <v>135</v>
      </c>
      <c r="BW2418">
        <v>0</v>
      </c>
      <c r="BX2418">
        <v>0</v>
      </c>
      <c r="BY2418" t="s">
        <v>135</v>
      </c>
      <c r="BZ2418">
        <v>0</v>
      </c>
      <c r="CA2418">
        <v>0</v>
      </c>
      <c r="CB2418" t="s">
        <v>135</v>
      </c>
      <c r="CH2418" s="2"/>
      <c r="CJ2418" s="2"/>
      <c r="CL2418" s="2"/>
      <c r="CN2418" s="2"/>
      <c r="CQ2418" s="2"/>
      <c r="CT2418" s="2"/>
      <c r="CW2418" s="2"/>
    </row>
    <row r="2419" spans="1:101" x14ac:dyDescent="0.25">
      <c r="A2419" s="1" t="s">
        <v>163</v>
      </c>
      <c r="B2419" s="75" t="s">
        <v>164</v>
      </c>
      <c r="C2419">
        <v>0</v>
      </c>
      <c r="D2419">
        <v>0</v>
      </c>
      <c r="E2419">
        <v>0</v>
      </c>
      <c r="F2419">
        <v>604324.56000000006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3.91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7490</v>
      </c>
      <c r="AW2419">
        <v>3350</v>
      </c>
      <c r="AX2419">
        <v>1219</v>
      </c>
      <c r="AY2419">
        <v>12059</v>
      </c>
      <c r="AZ2419">
        <v>4202</v>
      </c>
      <c r="BA2419">
        <v>7438</v>
      </c>
      <c r="BB2419">
        <v>1432</v>
      </c>
      <c r="BC2419">
        <v>13072</v>
      </c>
      <c r="BD2419">
        <v>9486</v>
      </c>
      <c r="BE2419">
        <v>9222</v>
      </c>
      <c r="BF2419">
        <v>1768</v>
      </c>
      <c r="BG2419">
        <v>20476</v>
      </c>
      <c r="BH2419">
        <v>0</v>
      </c>
      <c r="BI2419">
        <v>0</v>
      </c>
      <c r="BJ2419">
        <v>0</v>
      </c>
      <c r="BK2419">
        <v>0</v>
      </c>
      <c r="BL2419" s="2">
        <v>24.82</v>
      </c>
      <c r="BM2419" s="2">
        <v>42005.095138888886</v>
      </c>
      <c r="BN2419" s="2">
        <v>5.4</v>
      </c>
      <c r="BO2419" s="2">
        <v>42005.092361111114</v>
      </c>
      <c r="BP2419" s="2">
        <v>6.92</v>
      </c>
      <c r="BQ2419" s="2">
        <v>42005.092361111114</v>
      </c>
      <c r="BR2419" s="2">
        <v>11.07</v>
      </c>
      <c r="BS2419" s="2">
        <v>42005.092361111114</v>
      </c>
      <c r="BT2419">
        <v>0</v>
      </c>
      <c r="BU2419">
        <v>0</v>
      </c>
      <c r="BV2419" t="s">
        <v>135</v>
      </c>
      <c r="BW2419">
        <v>0</v>
      </c>
      <c r="BX2419">
        <v>0</v>
      </c>
      <c r="BY2419" t="s">
        <v>135</v>
      </c>
      <c r="BZ2419">
        <v>0</v>
      </c>
      <c r="CA2419">
        <v>0</v>
      </c>
      <c r="CB2419" t="s">
        <v>135</v>
      </c>
      <c r="CH2419" s="2"/>
      <c r="CJ2419" s="2"/>
      <c r="CL2419" s="2"/>
      <c r="CN2419" s="2"/>
      <c r="CQ2419" s="2"/>
      <c r="CT2419" s="2"/>
      <c r="CW2419" s="2"/>
    </row>
    <row r="2420" spans="1:101" x14ac:dyDescent="0.25">
      <c r="A2420" s="1" t="s">
        <v>163</v>
      </c>
      <c r="B2420" s="75" t="s">
        <v>164</v>
      </c>
      <c r="C2420">
        <v>0</v>
      </c>
      <c r="D2420">
        <v>0</v>
      </c>
      <c r="E2420">
        <v>0</v>
      </c>
      <c r="F2420">
        <v>604324.56000000006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3.91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7490</v>
      </c>
      <c r="AW2420">
        <v>3350</v>
      </c>
      <c r="AX2420">
        <v>1219</v>
      </c>
      <c r="AY2420">
        <v>12059</v>
      </c>
      <c r="AZ2420">
        <v>4202</v>
      </c>
      <c r="BA2420">
        <v>7438</v>
      </c>
      <c r="BB2420">
        <v>1432</v>
      </c>
      <c r="BC2420">
        <v>13072</v>
      </c>
      <c r="BD2420">
        <v>9486</v>
      </c>
      <c r="BE2420">
        <v>9222</v>
      </c>
      <c r="BF2420">
        <v>1768</v>
      </c>
      <c r="BG2420">
        <v>20476</v>
      </c>
      <c r="BH2420">
        <v>0</v>
      </c>
      <c r="BI2420">
        <v>0</v>
      </c>
      <c r="BJ2420">
        <v>0</v>
      </c>
      <c r="BK2420">
        <v>0</v>
      </c>
      <c r="BL2420" s="2">
        <v>24.82</v>
      </c>
      <c r="BM2420" s="2">
        <v>42005.095138888886</v>
      </c>
      <c r="BN2420" s="2">
        <v>5.4</v>
      </c>
      <c r="BO2420" s="2">
        <v>42005.092361111114</v>
      </c>
      <c r="BP2420" s="2">
        <v>6.92</v>
      </c>
      <c r="BQ2420" s="2">
        <v>42005.092361111114</v>
      </c>
      <c r="BR2420" s="2">
        <v>11.07</v>
      </c>
      <c r="BS2420" s="2">
        <v>42005.092361111114</v>
      </c>
      <c r="BT2420">
        <v>0</v>
      </c>
      <c r="BU2420">
        <v>0</v>
      </c>
      <c r="BV2420" t="s">
        <v>135</v>
      </c>
      <c r="BW2420">
        <v>0</v>
      </c>
      <c r="BX2420">
        <v>0</v>
      </c>
      <c r="BY2420" t="s">
        <v>135</v>
      </c>
      <c r="BZ2420">
        <v>0</v>
      </c>
      <c r="CA2420">
        <v>0</v>
      </c>
      <c r="CB2420" t="s">
        <v>135</v>
      </c>
      <c r="CH2420" s="2"/>
      <c r="CJ2420" s="2"/>
      <c r="CL2420" s="2"/>
      <c r="CN2420" s="2"/>
      <c r="CQ2420" s="2"/>
      <c r="CT2420" s="2"/>
      <c r="CW2420" s="2"/>
    </row>
    <row r="2421" spans="1:101" x14ac:dyDescent="0.25">
      <c r="A2421" s="1" t="s">
        <v>163</v>
      </c>
      <c r="B2421" s="75" t="s">
        <v>164</v>
      </c>
      <c r="C2421">
        <v>0</v>
      </c>
      <c r="D2421">
        <v>0</v>
      </c>
      <c r="E2421">
        <v>0</v>
      </c>
      <c r="F2421">
        <v>604324.56000000006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3.91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7490</v>
      </c>
      <c r="AW2421">
        <v>3350</v>
      </c>
      <c r="AX2421">
        <v>1219</v>
      </c>
      <c r="AY2421">
        <v>12059</v>
      </c>
      <c r="AZ2421">
        <v>4202</v>
      </c>
      <c r="BA2421">
        <v>7438</v>
      </c>
      <c r="BB2421">
        <v>1432</v>
      </c>
      <c r="BC2421">
        <v>13072</v>
      </c>
      <c r="BD2421">
        <v>9486</v>
      </c>
      <c r="BE2421">
        <v>9222</v>
      </c>
      <c r="BF2421">
        <v>1768</v>
      </c>
      <c r="BG2421">
        <v>20476</v>
      </c>
      <c r="BH2421">
        <v>0</v>
      </c>
      <c r="BI2421">
        <v>0</v>
      </c>
      <c r="BJ2421">
        <v>0</v>
      </c>
      <c r="BK2421">
        <v>0</v>
      </c>
      <c r="BL2421" s="2">
        <v>24.82</v>
      </c>
      <c r="BM2421" s="2">
        <v>42005.095138888886</v>
      </c>
      <c r="BN2421" s="2">
        <v>5.4</v>
      </c>
      <c r="BO2421" s="2">
        <v>42005.092361111114</v>
      </c>
      <c r="BP2421" s="2">
        <v>6.92</v>
      </c>
      <c r="BQ2421" s="2">
        <v>42005.092361111114</v>
      </c>
      <c r="BR2421" s="2">
        <v>11.07</v>
      </c>
      <c r="BS2421" s="2">
        <v>42005.092361111114</v>
      </c>
      <c r="BT2421">
        <v>0</v>
      </c>
      <c r="BU2421">
        <v>0</v>
      </c>
      <c r="BV2421" t="s">
        <v>135</v>
      </c>
      <c r="BW2421">
        <v>0</v>
      </c>
      <c r="BX2421">
        <v>0</v>
      </c>
      <c r="BY2421" t="s">
        <v>135</v>
      </c>
      <c r="BZ2421">
        <v>0</v>
      </c>
      <c r="CA2421">
        <v>0</v>
      </c>
      <c r="CB2421" t="s">
        <v>135</v>
      </c>
      <c r="CH2421" s="2"/>
      <c r="CJ2421" s="2"/>
      <c r="CL2421" s="2"/>
      <c r="CN2421" s="2"/>
      <c r="CQ2421" s="2"/>
      <c r="CT2421" s="2"/>
      <c r="CW2421" s="2"/>
    </row>
    <row r="2422" spans="1:101" x14ac:dyDescent="0.25">
      <c r="A2422" s="1" t="s">
        <v>163</v>
      </c>
      <c r="B2422" s="75" t="s">
        <v>164</v>
      </c>
      <c r="C2422">
        <v>0</v>
      </c>
      <c r="D2422">
        <v>0</v>
      </c>
      <c r="E2422">
        <v>0</v>
      </c>
      <c r="F2422">
        <v>604324.56000000006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3.91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7490</v>
      </c>
      <c r="AW2422">
        <v>3350</v>
      </c>
      <c r="AX2422">
        <v>1219</v>
      </c>
      <c r="AY2422">
        <v>12059</v>
      </c>
      <c r="AZ2422">
        <v>4202</v>
      </c>
      <c r="BA2422">
        <v>7438</v>
      </c>
      <c r="BB2422">
        <v>1432</v>
      </c>
      <c r="BC2422">
        <v>13072</v>
      </c>
      <c r="BD2422">
        <v>9486</v>
      </c>
      <c r="BE2422">
        <v>9222</v>
      </c>
      <c r="BF2422">
        <v>1768</v>
      </c>
      <c r="BG2422">
        <v>20476</v>
      </c>
      <c r="BH2422">
        <v>0</v>
      </c>
      <c r="BI2422">
        <v>0</v>
      </c>
      <c r="BJ2422">
        <v>0</v>
      </c>
      <c r="BK2422">
        <v>0</v>
      </c>
      <c r="BL2422" s="2">
        <v>24.82</v>
      </c>
      <c r="BM2422" s="2">
        <v>42005.095138888886</v>
      </c>
      <c r="BN2422" s="2">
        <v>5.4</v>
      </c>
      <c r="BO2422" s="2">
        <v>42005.092361111114</v>
      </c>
      <c r="BP2422" s="2">
        <v>6.92</v>
      </c>
      <c r="BQ2422" s="2">
        <v>42005.092361111114</v>
      </c>
      <c r="BR2422" s="2">
        <v>11.07</v>
      </c>
      <c r="BS2422" s="2">
        <v>42005.092361111114</v>
      </c>
      <c r="BT2422">
        <v>0</v>
      </c>
      <c r="BU2422">
        <v>0</v>
      </c>
      <c r="BV2422" t="s">
        <v>135</v>
      </c>
      <c r="BW2422">
        <v>0</v>
      </c>
      <c r="BX2422">
        <v>0</v>
      </c>
      <c r="BY2422" t="s">
        <v>135</v>
      </c>
      <c r="BZ2422">
        <v>0</v>
      </c>
      <c r="CA2422">
        <v>0</v>
      </c>
      <c r="CB2422" t="s">
        <v>135</v>
      </c>
      <c r="CH2422" s="2"/>
      <c r="CJ2422" s="2"/>
      <c r="CL2422" s="2"/>
      <c r="CN2422" s="2"/>
      <c r="CQ2422" s="2"/>
      <c r="CT2422" s="2"/>
      <c r="CW2422" s="2"/>
    </row>
    <row r="2423" spans="1:101" x14ac:dyDescent="0.25">
      <c r="A2423" s="1" t="s">
        <v>163</v>
      </c>
      <c r="B2423" s="75" t="s">
        <v>164</v>
      </c>
      <c r="C2423">
        <v>0</v>
      </c>
      <c r="D2423">
        <v>0</v>
      </c>
      <c r="E2423">
        <v>0</v>
      </c>
      <c r="F2423">
        <v>604324.56000000006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3.91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7490</v>
      </c>
      <c r="AW2423">
        <v>3350</v>
      </c>
      <c r="AX2423">
        <v>1219</v>
      </c>
      <c r="AY2423">
        <v>12059</v>
      </c>
      <c r="AZ2423">
        <v>4202</v>
      </c>
      <c r="BA2423">
        <v>7438</v>
      </c>
      <c r="BB2423">
        <v>1432</v>
      </c>
      <c r="BC2423">
        <v>13072</v>
      </c>
      <c r="BD2423">
        <v>9486</v>
      </c>
      <c r="BE2423">
        <v>9222</v>
      </c>
      <c r="BF2423">
        <v>1768</v>
      </c>
      <c r="BG2423">
        <v>20476</v>
      </c>
      <c r="BH2423">
        <v>0</v>
      </c>
      <c r="BI2423">
        <v>0</v>
      </c>
      <c r="BJ2423">
        <v>0</v>
      </c>
      <c r="BK2423">
        <v>0</v>
      </c>
      <c r="BL2423" s="2">
        <v>24.82</v>
      </c>
      <c r="BM2423" s="2">
        <v>42005.095138888886</v>
      </c>
      <c r="BN2423" s="2">
        <v>5.4</v>
      </c>
      <c r="BO2423" s="2">
        <v>42005.092361111114</v>
      </c>
      <c r="BP2423" s="2">
        <v>6.92</v>
      </c>
      <c r="BQ2423" s="2">
        <v>42005.092361111114</v>
      </c>
      <c r="BR2423" s="2">
        <v>11.07</v>
      </c>
      <c r="BS2423" s="2">
        <v>42005.092361111114</v>
      </c>
      <c r="BT2423">
        <v>0</v>
      </c>
      <c r="BU2423">
        <v>0</v>
      </c>
      <c r="BV2423" t="s">
        <v>135</v>
      </c>
      <c r="BW2423">
        <v>0</v>
      </c>
      <c r="BX2423">
        <v>0</v>
      </c>
      <c r="BY2423" t="s">
        <v>135</v>
      </c>
      <c r="BZ2423">
        <v>0</v>
      </c>
      <c r="CA2423">
        <v>0</v>
      </c>
      <c r="CB2423" t="s">
        <v>135</v>
      </c>
      <c r="CH2423" s="2"/>
      <c r="CJ2423" s="2"/>
      <c r="CL2423" s="2"/>
      <c r="CN2423" s="2"/>
      <c r="CQ2423" s="2"/>
      <c r="CT2423" s="2"/>
      <c r="CW2423" s="2"/>
    </row>
    <row r="2424" spans="1:101" x14ac:dyDescent="0.25">
      <c r="A2424" s="1" t="s">
        <v>163</v>
      </c>
      <c r="B2424" s="75" t="s">
        <v>164</v>
      </c>
      <c r="C2424">
        <v>0</v>
      </c>
      <c r="D2424">
        <v>0</v>
      </c>
      <c r="E2424">
        <v>0</v>
      </c>
      <c r="F2424">
        <v>604324.56000000006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3.91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7490</v>
      </c>
      <c r="AW2424">
        <v>3350</v>
      </c>
      <c r="AX2424">
        <v>1219</v>
      </c>
      <c r="AY2424">
        <v>12059</v>
      </c>
      <c r="AZ2424">
        <v>4202</v>
      </c>
      <c r="BA2424">
        <v>7438</v>
      </c>
      <c r="BB2424">
        <v>1432</v>
      </c>
      <c r="BC2424">
        <v>13072</v>
      </c>
      <c r="BD2424">
        <v>9486</v>
      </c>
      <c r="BE2424">
        <v>9222</v>
      </c>
      <c r="BF2424">
        <v>1768</v>
      </c>
      <c r="BG2424">
        <v>20476</v>
      </c>
      <c r="BH2424">
        <v>0</v>
      </c>
      <c r="BI2424">
        <v>0</v>
      </c>
      <c r="BJ2424">
        <v>0</v>
      </c>
      <c r="BK2424">
        <v>0</v>
      </c>
      <c r="BL2424" s="2">
        <v>24.82</v>
      </c>
      <c r="BM2424" s="2">
        <v>42005.095138888886</v>
      </c>
      <c r="BN2424" s="2">
        <v>5.4</v>
      </c>
      <c r="BO2424" s="2">
        <v>42005.092361111114</v>
      </c>
      <c r="BP2424" s="2">
        <v>6.92</v>
      </c>
      <c r="BQ2424" s="2">
        <v>42005.092361111114</v>
      </c>
      <c r="BR2424" s="2">
        <v>11.07</v>
      </c>
      <c r="BS2424" s="2">
        <v>42005.092361111114</v>
      </c>
      <c r="BT2424">
        <v>0</v>
      </c>
      <c r="BU2424">
        <v>0</v>
      </c>
      <c r="BV2424" t="s">
        <v>135</v>
      </c>
      <c r="BW2424">
        <v>0</v>
      </c>
      <c r="BX2424">
        <v>0</v>
      </c>
      <c r="BY2424" t="s">
        <v>135</v>
      </c>
      <c r="BZ2424">
        <v>0</v>
      </c>
      <c r="CA2424">
        <v>0</v>
      </c>
      <c r="CB2424" t="s">
        <v>135</v>
      </c>
      <c r="CH2424" s="2"/>
      <c r="CJ2424" s="2"/>
      <c r="CL2424" s="2"/>
      <c r="CN2424" s="2"/>
      <c r="CQ2424" s="2"/>
      <c r="CT2424" s="2"/>
      <c r="CW2424" s="2"/>
    </row>
    <row r="2425" spans="1:101" x14ac:dyDescent="0.25">
      <c r="A2425" s="1" t="s">
        <v>163</v>
      </c>
      <c r="B2425" s="75" t="s">
        <v>164</v>
      </c>
      <c r="C2425">
        <v>0</v>
      </c>
      <c r="D2425">
        <v>0</v>
      </c>
      <c r="E2425">
        <v>0</v>
      </c>
      <c r="F2425">
        <v>604324.56000000006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3.91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7490</v>
      </c>
      <c r="AW2425">
        <v>3350</v>
      </c>
      <c r="AX2425">
        <v>1219</v>
      </c>
      <c r="AY2425">
        <v>12059</v>
      </c>
      <c r="AZ2425">
        <v>4202</v>
      </c>
      <c r="BA2425">
        <v>7438</v>
      </c>
      <c r="BB2425">
        <v>1432</v>
      </c>
      <c r="BC2425">
        <v>13072</v>
      </c>
      <c r="BD2425">
        <v>9486</v>
      </c>
      <c r="BE2425">
        <v>9222</v>
      </c>
      <c r="BF2425">
        <v>1768</v>
      </c>
      <c r="BG2425">
        <v>20476</v>
      </c>
      <c r="BH2425">
        <v>0</v>
      </c>
      <c r="BI2425">
        <v>0</v>
      </c>
      <c r="BJ2425">
        <v>0</v>
      </c>
      <c r="BK2425">
        <v>0</v>
      </c>
      <c r="BL2425" s="2">
        <v>24.82</v>
      </c>
      <c r="BM2425" s="2">
        <v>42005.095138888886</v>
      </c>
      <c r="BN2425" s="2">
        <v>5.4</v>
      </c>
      <c r="BO2425" s="2">
        <v>42005.092361111114</v>
      </c>
      <c r="BP2425" s="2">
        <v>6.92</v>
      </c>
      <c r="BQ2425" s="2">
        <v>42005.092361111114</v>
      </c>
      <c r="BR2425" s="2">
        <v>11.07</v>
      </c>
      <c r="BS2425" s="2">
        <v>42005.092361111114</v>
      </c>
      <c r="BT2425">
        <v>0</v>
      </c>
      <c r="BU2425">
        <v>0</v>
      </c>
      <c r="BV2425" t="s">
        <v>135</v>
      </c>
      <c r="BW2425">
        <v>0</v>
      </c>
      <c r="BX2425">
        <v>0</v>
      </c>
      <c r="BY2425" t="s">
        <v>135</v>
      </c>
      <c r="BZ2425">
        <v>0</v>
      </c>
      <c r="CA2425">
        <v>0</v>
      </c>
      <c r="CB2425" t="s">
        <v>135</v>
      </c>
      <c r="CH2425" s="2"/>
      <c r="CJ2425" s="2"/>
      <c r="CL2425" s="2"/>
      <c r="CN2425" s="2"/>
      <c r="CQ2425" s="2"/>
      <c r="CT2425" s="2"/>
      <c r="CW2425" s="2"/>
    </row>
    <row r="2426" spans="1:101" x14ac:dyDescent="0.25">
      <c r="A2426" s="1" t="s">
        <v>163</v>
      </c>
      <c r="B2426" s="75" t="s">
        <v>164</v>
      </c>
      <c r="C2426">
        <v>0</v>
      </c>
      <c r="D2426">
        <v>0</v>
      </c>
      <c r="E2426">
        <v>0</v>
      </c>
      <c r="F2426">
        <v>604324.56000000006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3.91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7490</v>
      </c>
      <c r="AW2426">
        <v>3350</v>
      </c>
      <c r="AX2426">
        <v>1219</v>
      </c>
      <c r="AY2426">
        <v>12059</v>
      </c>
      <c r="AZ2426">
        <v>4202</v>
      </c>
      <c r="BA2426">
        <v>7438</v>
      </c>
      <c r="BB2426">
        <v>1432</v>
      </c>
      <c r="BC2426">
        <v>13072</v>
      </c>
      <c r="BD2426">
        <v>9486</v>
      </c>
      <c r="BE2426">
        <v>9222</v>
      </c>
      <c r="BF2426">
        <v>1768</v>
      </c>
      <c r="BG2426">
        <v>20476</v>
      </c>
      <c r="BH2426">
        <v>0</v>
      </c>
      <c r="BI2426">
        <v>0</v>
      </c>
      <c r="BJ2426">
        <v>0</v>
      </c>
      <c r="BK2426">
        <v>0</v>
      </c>
      <c r="BL2426" s="2">
        <v>24.82</v>
      </c>
      <c r="BM2426" s="2">
        <v>42005.095138888886</v>
      </c>
      <c r="BN2426" s="2">
        <v>5.4</v>
      </c>
      <c r="BO2426" s="2">
        <v>42005.092361111114</v>
      </c>
      <c r="BP2426" s="2">
        <v>6.92</v>
      </c>
      <c r="BQ2426" s="2">
        <v>42005.092361111114</v>
      </c>
      <c r="BR2426" s="2">
        <v>11.07</v>
      </c>
      <c r="BS2426" s="2">
        <v>42005.092361111114</v>
      </c>
      <c r="BT2426">
        <v>0</v>
      </c>
      <c r="BU2426">
        <v>0</v>
      </c>
      <c r="BV2426" t="s">
        <v>135</v>
      </c>
      <c r="BW2426">
        <v>0</v>
      </c>
      <c r="BX2426">
        <v>0</v>
      </c>
      <c r="BY2426" t="s">
        <v>135</v>
      </c>
      <c r="BZ2426">
        <v>0</v>
      </c>
      <c r="CA2426">
        <v>0</v>
      </c>
      <c r="CB2426" t="s">
        <v>135</v>
      </c>
      <c r="CH2426" s="2"/>
      <c r="CJ2426" s="2"/>
      <c r="CL2426" s="2"/>
      <c r="CN2426" s="2"/>
      <c r="CQ2426" s="2"/>
      <c r="CT2426" s="2"/>
      <c r="CW2426" s="2"/>
    </row>
    <row r="2427" spans="1:101" x14ac:dyDescent="0.25">
      <c r="A2427" s="1" t="s">
        <v>163</v>
      </c>
      <c r="B2427" s="75" t="s">
        <v>164</v>
      </c>
      <c r="C2427">
        <v>0</v>
      </c>
      <c r="D2427">
        <v>0</v>
      </c>
      <c r="E2427">
        <v>0</v>
      </c>
      <c r="F2427">
        <v>604324.56000000006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3.91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7490</v>
      </c>
      <c r="AW2427">
        <v>3350</v>
      </c>
      <c r="AX2427">
        <v>1219</v>
      </c>
      <c r="AY2427">
        <v>12059</v>
      </c>
      <c r="AZ2427">
        <v>4202</v>
      </c>
      <c r="BA2427">
        <v>7438</v>
      </c>
      <c r="BB2427">
        <v>1432</v>
      </c>
      <c r="BC2427">
        <v>13072</v>
      </c>
      <c r="BD2427">
        <v>9486</v>
      </c>
      <c r="BE2427">
        <v>9222</v>
      </c>
      <c r="BF2427">
        <v>1768</v>
      </c>
      <c r="BG2427">
        <v>20476</v>
      </c>
      <c r="BH2427">
        <v>0</v>
      </c>
      <c r="BI2427">
        <v>0</v>
      </c>
      <c r="BJ2427">
        <v>0</v>
      </c>
      <c r="BK2427">
        <v>0</v>
      </c>
      <c r="BL2427" s="2">
        <v>24.82</v>
      </c>
      <c r="BM2427" s="2">
        <v>42005.095138888886</v>
      </c>
      <c r="BN2427" s="2">
        <v>5.4</v>
      </c>
      <c r="BO2427" s="2">
        <v>42005.092361111114</v>
      </c>
      <c r="BP2427" s="2">
        <v>6.92</v>
      </c>
      <c r="BQ2427" s="2">
        <v>42005.092361111114</v>
      </c>
      <c r="BR2427" s="2">
        <v>11.07</v>
      </c>
      <c r="BS2427" s="2">
        <v>42005.092361111114</v>
      </c>
      <c r="BT2427">
        <v>0</v>
      </c>
      <c r="BU2427">
        <v>0</v>
      </c>
      <c r="BV2427" t="s">
        <v>135</v>
      </c>
      <c r="BW2427">
        <v>0</v>
      </c>
      <c r="BX2427">
        <v>0</v>
      </c>
      <c r="BY2427" t="s">
        <v>135</v>
      </c>
      <c r="BZ2427">
        <v>0</v>
      </c>
      <c r="CA2427">
        <v>0</v>
      </c>
      <c r="CB2427" t="s">
        <v>135</v>
      </c>
      <c r="CH2427" s="2"/>
      <c r="CJ2427" s="2"/>
      <c r="CL2427" s="2"/>
      <c r="CN2427" s="2"/>
      <c r="CQ2427" s="2"/>
      <c r="CT2427" s="2"/>
      <c r="CW2427" s="2"/>
    </row>
    <row r="2428" spans="1:101" x14ac:dyDescent="0.25">
      <c r="A2428" s="1" t="s">
        <v>163</v>
      </c>
      <c r="B2428" s="75" t="s">
        <v>164</v>
      </c>
      <c r="C2428">
        <v>0</v>
      </c>
      <c r="D2428">
        <v>0</v>
      </c>
      <c r="E2428">
        <v>0</v>
      </c>
      <c r="F2428">
        <v>604324.56000000006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3.91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7490</v>
      </c>
      <c r="AW2428">
        <v>3350</v>
      </c>
      <c r="AX2428">
        <v>1219</v>
      </c>
      <c r="AY2428">
        <v>12059</v>
      </c>
      <c r="AZ2428">
        <v>4202</v>
      </c>
      <c r="BA2428">
        <v>7438</v>
      </c>
      <c r="BB2428">
        <v>1432</v>
      </c>
      <c r="BC2428">
        <v>13072</v>
      </c>
      <c r="BD2428">
        <v>9486</v>
      </c>
      <c r="BE2428">
        <v>9222</v>
      </c>
      <c r="BF2428">
        <v>1768</v>
      </c>
      <c r="BG2428">
        <v>20476</v>
      </c>
      <c r="BH2428">
        <v>0</v>
      </c>
      <c r="BI2428">
        <v>0</v>
      </c>
      <c r="BJ2428">
        <v>0</v>
      </c>
      <c r="BK2428">
        <v>0</v>
      </c>
      <c r="BL2428" s="2">
        <v>24.82</v>
      </c>
      <c r="BM2428" s="2">
        <v>42005.095138888886</v>
      </c>
      <c r="BN2428" s="2">
        <v>5.4</v>
      </c>
      <c r="BO2428" s="2">
        <v>42005.092361111114</v>
      </c>
      <c r="BP2428" s="2">
        <v>6.92</v>
      </c>
      <c r="BQ2428" s="2">
        <v>42005.092361111114</v>
      </c>
      <c r="BR2428" s="2">
        <v>11.07</v>
      </c>
      <c r="BS2428" s="2">
        <v>42005.092361111114</v>
      </c>
      <c r="BT2428">
        <v>0</v>
      </c>
      <c r="BU2428">
        <v>0</v>
      </c>
      <c r="BV2428" t="s">
        <v>135</v>
      </c>
      <c r="BW2428">
        <v>0</v>
      </c>
      <c r="BX2428">
        <v>0</v>
      </c>
      <c r="BY2428" t="s">
        <v>135</v>
      </c>
      <c r="BZ2428">
        <v>0</v>
      </c>
      <c r="CA2428">
        <v>0</v>
      </c>
      <c r="CB2428" t="s">
        <v>135</v>
      </c>
      <c r="CH2428" s="2"/>
      <c r="CJ2428" s="2"/>
      <c r="CL2428" s="2"/>
      <c r="CN2428" s="2"/>
      <c r="CQ2428" s="2"/>
      <c r="CT2428" s="2"/>
      <c r="CW2428" s="2"/>
    </row>
    <row r="2429" spans="1:101" x14ac:dyDescent="0.25">
      <c r="A2429" s="1" t="s">
        <v>163</v>
      </c>
      <c r="B2429" s="75" t="s">
        <v>164</v>
      </c>
      <c r="C2429">
        <v>0</v>
      </c>
      <c r="D2429">
        <v>0</v>
      </c>
      <c r="E2429">
        <v>0</v>
      </c>
      <c r="F2429">
        <v>604324.56000000006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3.91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7490</v>
      </c>
      <c r="AW2429">
        <v>3350</v>
      </c>
      <c r="AX2429">
        <v>1219</v>
      </c>
      <c r="AY2429">
        <v>12059</v>
      </c>
      <c r="AZ2429">
        <v>4202</v>
      </c>
      <c r="BA2429">
        <v>7438</v>
      </c>
      <c r="BB2429">
        <v>1432</v>
      </c>
      <c r="BC2429">
        <v>13072</v>
      </c>
      <c r="BD2429">
        <v>9486</v>
      </c>
      <c r="BE2429">
        <v>9222</v>
      </c>
      <c r="BF2429">
        <v>1768</v>
      </c>
      <c r="BG2429">
        <v>20476</v>
      </c>
      <c r="BH2429">
        <v>0</v>
      </c>
      <c r="BI2429">
        <v>0</v>
      </c>
      <c r="BJ2429">
        <v>0</v>
      </c>
      <c r="BK2429">
        <v>0</v>
      </c>
      <c r="BL2429" s="2">
        <v>24.82</v>
      </c>
      <c r="BM2429" s="2">
        <v>42005.095138888886</v>
      </c>
      <c r="BN2429" s="2">
        <v>5.4</v>
      </c>
      <c r="BO2429" s="2">
        <v>42005.092361111114</v>
      </c>
      <c r="BP2429" s="2">
        <v>6.92</v>
      </c>
      <c r="BQ2429" s="2">
        <v>42005.092361111114</v>
      </c>
      <c r="BR2429" s="2">
        <v>11.07</v>
      </c>
      <c r="BS2429" s="2">
        <v>42005.092361111114</v>
      </c>
      <c r="BT2429">
        <v>0</v>
      </c>
      <c r="BU2429">
        <v>0</v>
      </c>
      <c r="BV2429" t="s">
        <v>135</v>
      </c>
      <c r="BW2429">
        <v>0</v>
      </c>
      <c r="BX2429">
        <v>0</v>
      </c>
      <c r="BY2429" t="s">
        <v>135</v>
      </c>
      <c r="BZ2429">
        <v>0</v>
      </c>
      <c r="CA2429">
        <v>0</v>
      </c>
      <c r="CB2429" t="s">
        <v>135</v>
      </c>
      <c r="CH2429" s="2"/>
      <c r="CJ2429" s="2"/>
      <c r="CL2429" s="2"/>
      <c r="CN2429" s="2"/>
      <c r="CQ2429" s="2"/>
      <c r="CT2429" s="2"/>
      <c r="CW2429" s="2"/>
    </row>
    <row r="2430" spans="1:101" x14ac:dyDescent="0.25">
      <c r="A2430" s="1" t="s">
        <v>163</v>
      </c>
      <c r="B2430" s="75" t="s">
        <v>164</v>
      </c>
      <c r="C2430">
        <v>0</v>
      </c>
      <c r="D2430">
        <v>0</v>
      </c>
      <c r="E2430">
        <v>0</v>
      </c>
      <c r="F2430">
        <v>604324.56000000006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3.91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7490</v>
      </c>
      <c r="AW2430">
        <v>3350</v>
      </c>
      <c r="AX2430">
        <v>1219</v>
      </c>
      <c r="AY2430">
        <v>12059</v>
      </c>
      <c r="AZ2430">
        <v>4202</v>
      </c>
      <c r="BA2430">
        <v>7438</v>
      </c>
      <c r="BB2430">
        <v>1432</v>
      </c>
      <c r="BC2430">
        <v>13072</v>
      </c>
      <c r="BD2430">
        <v>9486</v>
      </c>
      <c r="BE2430">
        <v>9222</v>
      </c>
      <c r="BF2430">
        <v>1768</v>
      </c>
      <c r="BG2430">
        <v>20476</v>
      </c>
      <c r="BH2430">
        <v>0</v>
      </c>
      <c r="BI2430">
        <v>0</v>
      </c>
      <c r="BJ2430">
        <v>0</v>
      </c>
      <c r="BK2430">
        <v>0</v>
      </c>
      <c r="BL2430" s="2">
        <v>24.82</v>
      </c>
      <c r="BM2430" s="2">
        <v>42005.095138888886</v>
      </c>
      <c r="BN2430" s="2">
        <v>5.4</v>
      </c>
      <c r="BO2430" s="2">
        <v>42005.092361111114</v>
      </c>
      <c r="BP2430" s="2">
        <v>6.92</v>
      </c>
      <c r="BQ2430" s="2">
        <v>42005.092361111114</v>
      </c>
      <c r="BR2430" s="2">
        <v>11.07</v>
      </c>
      <c r="BS2430" s="2">
        <v>42005.092361111114</v>
      </c>
      <c r="BT2430">
        <v>0</v>
      </c>
      <c r="BU2430">
        <v>0</v>
      </c>
      <c r="BV2430" t="s">
        <v>135</v>
      </c>
      <c r="BW2430">
        <v>0</v>
      </c>
      <c r="BX2430">
        <v>0</v>
      </c>
      <c r="BY2430" t="s">
        <v>135</v>
      </c>
      <c r="BZ2430">
        <v>0</v>
      </c>
      <c r="CA2430">
        <v>0</v>
      </c>
      <c r="CB2430" t="s">
        <v>135</v>
      </c>
      <c r="CH2430" s="2"/>
      <c r="CJ2430" s="2"/>
      <c r="CL2430" s="2"/>
      <c r="CN2430" s="2"/>
      <c r="CQ2430" s="2"/>
      <c r="CT2430" s="2"/>
      <c r="CW2430" s="2"/>
    </row>
    <row r="2431" spans="1:101" x14ac:dyDescent="0.25">
      <c r="A2431" s="1" t="s">
        <v>163</v>
      </c>
      <c r="B2431" s="75" t="s">
        <v>164</v>
      </c>
      <c r="C2431">
        <v>0</v>
      </c>
      <c r="D2431">
        <v>0</v>
      </c>
      <c r="E2431">
        <v>0</v>
      </c>
      <c r="F2431">
        <v>604324.56000000006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3.91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7490</v>
      </c>
      <c r="AW2431">
        <v>3350</v>
      </c>
      <c r="AX2431">
        <v>1219</v>
      </c>
      <c r="AY2431">
        <v>12059</v>
      </c>
      <c r="AZ2431">
        <v>4202</v>
      </c>
      <c r="BA2431">
        <v>7438</v>
      </c>
      <c r="BB2431">
        <v>1432</v>
      </c>
      <c r="BC2431">
        <v>13072</v>
      </c>
      <c r="BD2431">
        <v>9486</v>
      </c>
      <c r="BE2431">
        <v>9222</v>
      </c>
      <c r="BF2431">
        <v>1768</v>
      </c>
      <c r="BG2431">
        <v>20476</v>
      </c>
      <c r="BH2431">
        <v>0</v>
      </c>
      <c r="BI2431">
        <v>0</v>
      </c>
      <c r="BJ2431">
        <v>0</v>
      </c>
      <c r="BK2431">
        <v>0</v>
      </c>
      <c r="BL2431" s="2">
        <v>24.82</v>
      </c>
      <c r="BM2431" s="2">
        <v>42005.095138888886</v>
      </c>
      <c r="BN2431" s="2">
        <v>5.4</v>
      </c>
      <c r="BO2431" s="2">
        <v>42005.092361111114</v>
      </c>
      <c r="BP2431" s="2">
        <v>6.92</v>
      </c>
      <c r="BQ2431" s="2">
        <v>42005.092361111114</v>
      </c>
      <c r="BR2431" s="2">
        <v>11.07</v>
      </c>
      <c r="BS2431" s="2">
        <v>42005.092361111114</v>
      </c>
      <c r="BT2431">
        <v>0</v>
      </c>
      <c r="BU2431">
        <v>0</v>
      </c>
      <c r="BV2431" t="s">
        <v>135</v>
      </c>
      <c r="BW2431">
        <v>0</v>
      </c>
      <c r="BX2431">
        <v>0</v>
      </c>
      <c r="BY2431" t="s">
        <v>135</v>
      </c>
      <c r="BZ2431">
        <v>0</v>
      </c>
      <c r="CA2431">
        <v>0</v>
      </c>
      <c r="CB2431" t="s">
        <v>135</v>
      </c>
      <c r="CH2431" s="2"/>
      <c r="CJ2431" s="2"/>
      <c r="CL2431" s="2"/>
      <c r="CN2431" s="2"/>
      <c r="CQ2431" s="2"/>
      <c r="CT2431" s="2"/>
      <c r="CW2431" s="2"/>
    </row>
    <row r="2432" spans="1:101" x14ac:dyDescent="0.25">
      <c r="A2432" s="1" t="s">
        <v>163</v>
      </c>
      <c r="B2432" s="75" t="s">
        <v>164</v>
      </c>
      <c r="C2432">
        <v>0</v>
      </c>
      <c r="D2432">
        <v>0</v>
      </c>
      <c r="E2432">
        <v>0</v>
      </c>
      <c r="F2432">
        <v>604324.56000000006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3.91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7490</v>
      </c>
      <c r="AW2432">
        <v>3350</v>
      </c>
      <c r="AX2432">
        <v>1219</v>
      </c>
      <c r="AY2432">
        <v>12059</v>
      </c>
      <c r="AZ2432">
        <v>4202</v>
      </c>
      <c r="BA2432">
        <v>7438</v>
      </c>
      <c r="BB2432">
        <v>1432</v>
      </c>
      <c r="BC2432">
        <v>13072</v>
      </c>
      <c r="BD2432">
        <v>9486</v>
      </c>
      <c r="BE2432">
        <v>9222</v>
      </c>
      <c r="BF2432">
        <v>1768</v>
      </c>
      <c r="BG2432">
        <v>20476</v>
      </c>
      <c r="BH2432">
        <v>0</v>
      </c>
      <c r="BI2432">
        <v>0</v>
      </c>
      <c r="BJ2432">
        <v>0</v>
      </c>
      <c r="BK2432">
        <v>0</v>
      </c>
      <c r="BL2432" s="2">
        <v>24.82</v>
      </c>
      <c r="BM2432" s="2">
        <v>42005.095138888886</v>
      </c>
      <c r="BN2432" s="2">
        <v>5.4</v>
      </c>
      <c r="BO2432" s="2">
        <v>42005.092361111114</v>
      </c>
      <c r="BP2432" s="2">
        <v>6.92</v>
      </c>
      <c r="BQ2432" s="2">
        <v>42005.092361111114</v>
      </c>
      <c r="BR2432" s="2">
        <v>11.07</v>
      </c>
      <c r="BS2432" s="2">
        <v>42005.092361111114</v>
      </c>
      <c r="BT2432">
        <v>0</v>
      </c>
      <c r="BU2432">
        <v>0</v>
      </c>
      <c r="BV2432" t="s">
        <v>135</v>
      </c>
      <c r="BW2432">
        <v>0</v>
      </c>
      <c r="BX2432">
        <v>0</v>
      </c>
      <c r="BY2432" t="s">
        <v>135</v>
      </c>
      <c r="BZ2432">
        <v>0</v>
      </c>
      <c r="CA2432">
        <v>0</v>
      </c>
      <c r="CB2432" t="s">
        <v>135</v>
      </c>
      <c r="CH2432" s="2"/>
      <c r="CJ2432" s="2"/>
      <c r="CL2432" s="2"/>
      <c r="CN2432" s="2"/>
      <c r="CQ2432" s="2"/>
      <c r="CT2432" s="2"/>
      <c r="CW2432" s="2"/>
    </row>
    <row r="2433" spans="1:101" x14ac:dyDescent="0.25">
      <c r="A2433" s="1" t="s">
        <v>163</v>
      </c>
      <c r="B2433" s="75" t="s">
        <v>164</v>
      </c>
      <c r="C2433">
        <v>0</v>
      </c>
      <c r="D2433">
        <v>0</v>
      </c>
      <c r="E2433">
        <v>0</v>
      </c>
      <c r="F2433">
        <v>604324.56000000006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3.91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7490</v>
      </c>
      <c r="AW2433">
        <v>3350</v>
      </c>
      <c r="AX2433">
        <v>1219</v>
      </c>
      <c r="AY2433">
        <v>12059</v>
      </c>
      <c r="AZ2433">
        <v>4202</v>
      </c>
      <c r="BA2433">
        <v>7438</v>
      </c>
      <c r="BB2433">
        <v>1432</v>
      </c>
      <c r="BC2433">
        <v>13072</v>
      </c>
      <c r="BD2433">
        <v>9486</v>
      </c>
      <c r="BE2433">
        <v>9222</v>
      </c>
      <c r="BF2433">
        <v>1768</v>
      </c>
      <c r="BG2433">
        <v>20476</v>
      </c>
      <c r="BH2433">
        <v>0</v>
      </c>
      <c r="BI2433">
        <v>0</v>
      </c>
      <c r="BJ2433">
        <v>0</v>
      </c>
      <c r="BK2433">
        <v>0</v>
      </c>
      <c r="BL2433" s="2">
        <v>24.82</v>
      </c>
      <c r="BM2433" s="2">
        <v>42005.095138888886</v>
      </c>
      <c r="BN2433" s="2">
        <v>5.4</v>
      </c>
      <c r="BO2433" s="2">
        <v>42005.092361111114</v>
      </c>
      <c r="BP2433" s="2">
        <v>6.92</v>
      </c>
      <c r="BQ2433" s="2">
        <v>42005.092361111114</v>
      </c>
      <c r="BR2433" s="2">
        <v>11.07</v>
      </c>
      <c r="BS2433" s="2">
        <v>42005.092361111114</v>
      </c>
      <c r="BT2433">
        <v>0</v>
      </c>
      <c r="BU2433">
        <v>0</v>
      </c>
      <c r="BV2433" t="s">
        <v>135</v>
      </c>
      <c r="BW2433">
        <v>0</v>
      </c>
      <c r="BX2433">
        <v>0</v>
      </c>
      <c r="BY2433" t="s">
        <v>135</v>
      </c>
      <c r="BZ2433">
        <v>0</v>
      </c>
      <c r="CA2433">
        <v>0</v>
      </c>
      <c r="CB2433" t="s">
        <v>135</v>
      </c>
      <c r="CH2433" s="2"/>
      <c r="CJ2433" s="2"/>
      <c r="CL2433" s="2"/>
      <c r="CN2433" s="2"/>
      <c r="CQ2433" s="2"/>
      <c r="CT2433" s="2"/>
      <c r="CW2433" s="2"/>
    </row>
    <row r="2434" spans="1:101" x14ac:dyDescent="0.25">
      <c r="A2434" s="1" t="s">
        <v>163</v>
      </c>
      <c r="B2434" s="75" t="s">
        <v>164</v>
      </c>
      <c r="C2434">
        <v>0</v>
      </c>
      <c r="D2434">
        <v>0</v>
      </c>
      <c r="E2434">
        <v>0</v>
      </c>
      <c r="F2434">
        <v>604324.56000000006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3.91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7490</v>
      </c>
      <c r="AW2434">
        <v>3350</v>
      </c>
      <c r="AX2434">
        <v>1219</v>
      </c>
      <c r="AY2434">
        <v>12059</v>
      </c>
      <c r="AZ2434">
        <v>4202</v>
      </c>
      <c r="BA2434">
        <v>7438</v>
      </c>
      <c r="BB2434">
        <v>1432</v>
      </c>
      <c r="BC2434">
        <v>13072</v>
      </c>
      <c r="BD2434">
        <v>9486</v>
      </c>
      <c r="BE2434">
        <v>9222</v>
      </c>
      <c r="BF2434">
        <v>1768</v>
      </c>
      <c r="BG2434">
        <v>20476</v>
      </c>
      <c r="BH2434">
        <v>0</v>
      </c>
      <c r="BI2434">
        <v>0</v>
      </c>
      <c r="BJ2434">
        <v>0</v>
      </c>
      <c r="BK2434">
        <v>0</v>
      </c>
      <c r="BL2434" s="2">
        <v>24.82</v>
      </c>
      <c r="BM2434" s="2">
        <v>42005.095138888886</v>
      </c>
      <c r="BN2434" s="2">
        <v>5.4</v>
      </c>
      <c r="BO2434" s="2">
        <v>42005.092361111114</v>
      </c>
      <c r="BP2434" s="2">
        <v>6.92</v>
      </c>
      <c r="BQ2434" s="2">
        <v>42005.092361111114</v>
      </c>
      <c r="BR2434" s="2">
        <v>11.07</v>
      </c>
      <c r="BS2434" s="2">
        <v>42005.092361111114</v>
      </c>
      <c r="BT2434">
        <v>0</v>
      </c>
      <c r="BU2434">
        <v>0</v>
      </c>
      <c r="BV2434" t="s">
        <v>135</v>
      </c>
      <c r="BW2434">
        <v>0</v>
      </c>
      <c r="BX2434">
        <v>0</v>
      </c>
      <c r="BY2434" t="s">
        <v>135</v>
      </c>
      <c r="BZ2434">
        <v>0</v>
      </c>
      <c r="CA2434">
        <v>0</v>
      </c>
      <c r="CB2434" t="s">
        <v>135</v>
      </c>
      <c r="CH2434" s="2"/>
      <c r="CJ2434" s="2"/>
      <c r="CL2434" s="2"/>
      <c r="CN2434" s="2"/>
      <c r="CQ2434" s="2"/>
      <c r="CT2434" s="2"/>
      <c r="CW2434" s="2"/>
    </row>
    <row r="2435" spans="1:101" x14ac:dyDescent="0.25">
      <c r="A2435" s="1" t="s">
        <v>163</v>
      </c>
      <c r="B2435" s="75" t="s">
        <v>164</v>
      </c>
      <c r="C2435">
        <v>0</v>
      </c>
      <c r="D2435">
        <v>0</v>
      </c>
      <c r="E2435">
        <v>0</v>
      </c>
      <c r="F2435">
        <v>604324.56000000006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3.91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7490</v>
      </c>
      <c r="AW2435">
        <v>3350</v>
      </c>
      <c r="AX2435">
        <v>1219</v>
      </c>
      <c r="AY2435">
        <v>12059</v>
      </c>
      <c r="AZ2435">
        <v>4202</v>
      </c>
      <c r="BA2435">
        <v>7438</v>
      </c>
      <c r="BB2435">
        <v>1432</v>
      </c>
      <c r="BC2435">
        <v>13072</v>
      </c>
      <c r="BD2435">
        <v>9486</v>
      </c>
      <c r="BE2435">
        <v>9222</v>
      </c>
      <c r="BF2435">
        <v>1768</v>
      </c>
      <c r="BG2435">
        <v>20476</v>
      </c>
      <c r="BH2435">
        <v>0</v>
      </c>
      <c r="BI2435">
        <v>0</v>
      </c>
      <c r="BJ2435">
        <v>0</v>
      </c>
      <c r="BK2435">
        <v>0</v>
      </c>
      <c r="BL2435" s="2">
        <v>24.82</v>
      </c>
      <c r="BM2435" s="2">
        <v>42005.095138888886</v>
      </c>
      <c r="BN2435" s="2">
        <v>5.4</v>
      </c>
      <c r="BO2435" s="2">
        <v>42005.092361111114</v>
      </c>
      <c r="BP2435" s="2">
        <v>6.92</v>
      </c>
      <c r="BQ2435" s="2">
        <v>42005.092361111114</v>
      </c>
      <c r="BR2435" s="2">
        <v>11.07</v>
      </c>
      <c r="BS2435" s="2">
        <v>42005.092361111114</v>
      </c>
      <c r="BT2435">
        <v>0</v>
      </c>
      <c r="BU2435">
        <v>0</v>
      </c>
      <c r="BV2435" t="s">
        <v>135</v>
      </c>
      <c r="BW2435">
        <v>0</v>
      </c>
      <c r="BX2435">
        <v>0</v>
      </c>
      <c r="BY2435" t="s">
        <v>135</v>
      </c>
      <c r="BZ2435">
        <v>0</v>
      </c>
      <c r="CA2435">
        <v>0</v>
      </c>
      <c r="CB2435" t="s">
        <v>135</v>
      </c>
      <c r="CH2435" s="2"/>
      <c r="CJ2435" s="2"/>
      <c r="CL2435" s="2"/>
      <c r="CN2435" s="2"/>
      <c r="CQ2435" s="2"/>
      <c r="CT2435" s="2"/>
      <c r="CW2435" s="2"/>
    </row>
    <row r="2436" spans="1:101" x14ac:dyDescent="0.25">
      <c r="A2436" s="1" t="s">
        <v>163</v>
      </c>
      <c r="B2436" s="75" t="s">
        <v>164</v>
      </c>
      <c r="C2436">
        <v>0</v>
      </c>
      <c r="D2436">
        <v>0</v>
      </c>
      <c r="E2436">
        <v>0</v>
      </c>
      <c r="F2436">
        <v>604324.56000000006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3.91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7490</v>
      </c>
      <c r="AW2436">
        <v>3350</v>
      </c>
      <c r="AX2436">
        <v>1219</v>
      </c>
      <c r="AY2436">
        <v>12059</v>
      </c>
      <c r="AZ2436">
        <v>4202</v>
      </c>
      <c r="BA2436">
        <v>7438</v>
      </c>
      <c r="BB2436">
        <v>1432</v>
      </c>
      <c r="BC2436">
        <v>13072</v>
      </c>
      <c r="BD2436">
        <v>9486</v>
      </c>
      <c r="BE2436">
        <v>9222</v>
      </c>
      <c r="BF2436">
        <v>1768</v>
      </c>
      <c r="BG2436">
        <v>20476</v>
      </c>
      <c r="BH2436">
        <v>0</v>
      </c>
      <c r="BI2436">
        <v>0</v>
      </c>
      <c r="BJ2436">
        <v>0</v>
      </c>
      <c r="BK2436">
        <v>0</v>
      </c>
      <c r="BL2436" s="2">
        <v>24.82</v>
      </c>
      <c r="BM2436" s="2">
        <v>42005.095138888886</v>
      </c>
      <c r="BN2436" s="2">
        <v>5.4</v>
      </c>
      <c r="BO2436" s="2">
        <v>42005.092361111114</v>
      </c>
      <c r="BP2436" s="2">
        <v>6.92</v>
      </c>
      <c r="BQ2436" s="2">
        <v>42005.092361111114</v>
      </c>
      <c r="BR2436" s="2">
        <v>11.07</v>
      </c>
      <c r="BS2436" s="2">
        <v>42005.092361111114</v>
      </c>
      <c r="BT2436">
        <v>0</v>
      </c>
      <c r="BU2436">
        <v>0</v>
      </c>
      <c r="BV2436" t="s">
        <v>135</v>
      </c>
      <c r="BW2436">
        <v>0</v>
      </c>
      <c r="BX2436">
        <v>0</v>
      </c>
      <c r="BY2436" t="s">
        <v>135</v>
      </c>
      <c r="BZ2436">
        <v>0</v>
      </c>
      <c r="CA2436">
        <v>0</v>
      </c>
      <c r="CB2436" t="s">
        <v>135</v>
      </c>
      <c r="CH2436" s="2"/>
      <c r="CJ2436" s="2"/>
      <c r="CL2436" s="2"/>
      <c r="CN2436" s="2"/>
      <c r="CQ2436" s="2"/>
      <c r="CT2436" s="2"/>
      <c r="CW2436" s="2"/>
    </row>
    <row r="2437" spans="1:101" x14ac:dyDescent="0.25">
      <c r="A2437" s="1" t="s">
        <v>163</v>
      </c>
      <c r="B2437" s="75" t="s">
        <v>164</v>
      </c>
      <c r="C2437">
        <v>0</v>
      </c>
      <c r="D2437">
        <v>0</v>
      </c>
      <c r="E2437">
        <v>0</v>
      </c>
      <c r="F2437">
        <v>604324.56000000006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3.91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7490</v>
      </c>
      <c r="AW2437">
        <v>3350</v>
      </c>
      <c r="AX2437">
        <v>1219</v>
      </c>
      <c r="AY2437">
        <v>12059</v>
      </c>
      <c r="AZ2437">
        <v>4202</v>
      </c>
      <c r="BA2437">
        <v>7438</v>
      </c>
      <c r="BB2437">
        <v>1432</v>
      </c>
      <c r="BC2437">
        <v>13072</v>
      </c>
      <c r="BD2437">
        <v>9486</v>
      </c>
      <c r="BE2437">
        <v>9222</v>
      </c>
      <c r="BF2437">
        <v>1768</v>
      </c>
      <c r="BG2437">
        <v>20476</v>
      </c>
      <c r="BH2437">
        <v>0</v>
      </c>
      <c r="BI2437">
        <v>0</v>
      </c>
      <c r="BJ2437">
        <v>0</v>
      </c>
      <c r="BK2437">
        <v>0</v>
      </c>
      <c r="BL2437" s="2">
        <v>24.82</v>
      </c>
      <c r="BM2437" s="2">
        <v>42005.095138888886</v>
      </c>
      <c r="BN2437" s="2">
        <v>5.4</v>
      </c>
      <c r="BO2437" s="2">
        <v>42005.092361111114</v>
      </c>
      <c r="BP2437" s="2">
        <v>6.92</v>
      </c>
      <c r="BQ2437" s="2">
        <v>42005.092361111114</v>
      </c>
      <c r="BR2437" s="2">
        <v>11.07</v>
      </c>
      <c r="BS2437" s="2">
        <v>42005.092361111114</v>
      </c>
      <c r="BT2437">
        <v>0</v>
      </c>
      <c r="BU2437">
        <v>0</v>
      </c>
      <c r="BV2437" t="s">
        <v>135</v>
      </c>
      <c r="BW2437">
        <v>0</v>
      </c>
      <c r="BX2437">
        <v>0</v>
      </c>
      <c r="BY2437" t="s">
        <v>135</v>
      </c>
      <c r="BZ2437">
        <v>0</v>
      </c>
      <c r="CA2437">
        <v>0</v>
      </c>
      <c r="CB2437" t="s">
        <v>135</v>
      </c>
      <c r="CH2437" s="2"/>
      <c r="CJ2437" s="2"/>
      <c r="CL2437" s="2"/>
      <c r="CN2437" s="2"/>
      <c r="CQ2437" s="2"/>
      <c r="CT2437" s="2"/>
      <c r="CW2437" s="2"/>
    </row>
    <row r="2438" spans="1:101" x14ac:dyDescent="0.25">
      <c r="A2438" s="1" t="s">
        <v>163</v>
      </c>
      <c r="B2438" s="75" t="s">
        <v>164</v>
      </c>
      <c r="C2438">
        <v>0</v>
      </c>
      <c r="D2438">
        <v>0</v>
      </c>
      <c r="E2438">
        <v>0</v>
      </c>
      <c r="F2438">
        <v>604324.56000000006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3.91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7490</v>
      </c>
      <c r="AW2438">
        <v>3350</v>
      </c>
      <c r="AX2438">
        <v>1219</v>
      </c>
      <c r="AY2438">
        <v>12059</v>
      </c>
      <c r="AZ2438">
        <v>4202</v>
      </c>
      <c r="BA2438">
        <v>7438</v>
      </c>
      <c r="BB2438">
        <v>1432</v>
      </c>
      <c r="BC2438">
        <v>13072</v>
      </c>
      <c r="BD2438">
        <v>9486</v>
      </c>
      <c r="BE2438">
        <v>9222</v>
      </c>
      <c r="BF2438">
        <v>1768</v>
      </c>
      <c r="BG2438">
        <v>20476</v>
      </c>
      <c r="BH2438">
        <v>0</v>
      </c>
      <c r="BI2438">
        <v>0</v>
      </c>
      <c r="BJ2438">
        <v>0</v>
      </c>
      <c r="BK2438">
        <v>0</v>
      </c>
      <c r="BL2438" s="2">
        <v>24.82</v>
      </c>
      <c r="BM2438" s="2">
        <v>42005.095138888886</v>
      </c>
      <c r="BN2438" s="2">
        <v>5.4</v>
      </c>
      <c r="BO2438" s="2">
        <v>42005.092361111114</v>
      </c>
      <c r="BP2438" s="2">
        <v>6.92</v>
      </c>
      <c r="BQ2438" s="2">
        <v>42005.092361111114</v>
      </c>
      <c r="BR2438" s="2">
        <v>11.07</v>
      </c>
      <c r="BS2438" s="2">
        <v>42005.092361111114</v>
      </c>
      <c r="BT2438">
        <v>0</v>
      </c>
      <c r="BU2438">
        <v>0</v>
      </c>
      <c r="BV2438" t="s">
        <v>135</v>
      </c>
      <c r="BW2438">
        <v>0</v>
      </c>
      <c r="BX2438">
        <v>0</v>
      </c>
      <c r="BY2438" t="s">
        <v>135</v>
      </c>
      <c r="BZ2438">
        <v>0</v>
      </c>
      <c r="CA2438">
        <v>0</v>
      </c>
      <c r="CB2438" t="s">
        <v>135</v>
      </c>
      <c r="CH2438" s="2"/>
      <c r="CJ2438" s="2"/>
      <c r="CL2438" s="2"/>
      <c r="CN2438" s="2"/>
      <c r="CQ2438" s="2"/>
      <c r="CT2438" s="2"/>
      <c r="CW2438" s="2"/>
    </row>
    <row r="2439" spans="1:101" x14ac:dyDescent="0.25">
      <c r="A2439" s="1" t="s">
        <v>163</v>
      </c>
      <c r="B2439" s="75" t="s">
        <v>164</v>
      </c>
      <c r="C2439">
        <v>0</v>
      </c>
      <c r="D2439">
        <v>0</v>
      </c>
      <c r="E2439">
        <v>0</v>
      </c>
      <c r="F2439">
        <v>604324.56000000006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3.91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7490</v>
      </c>
      <c r="AW2439">
        <v>3350</v>
      </c>
      <c r="AX2439">
        <v>1219</v>
      </c>
      <c r="AY2439">
        <v>12059</v>
      </c>
      <c r="AZ2439">
        <v>4202</v>
      </c>
      <c r="BA2439">
        <v>7438</v>
      </c>
      <c r="BB2439">
        <v>1432</v>
      </c>
      <c r="BC2439">
        <v>13072</v>
      </c>
      <c r="BD2439">
        <v>9486</v>
      </c>
      <c r="BE2439">
        <v>9222</v>
      </c>
      <c r="BF2439">
        <v>1768</v>
      </c>
      <c r="BG2439">
        <v>20476</v>
      </c>
      <c r="BH2439">
        <v>0</v>
      </c>
      <c r="BI2439">
        <v>0</v>
      </c>
      <c r="BJ2439">
        <v>0</v>
      </c>
      <c r="BK2439">
        <v>0</v>
      </c>
      <c r="BL2439" s="2">
        <v>24.82</v>
      </c>
      <c r="BM2439" s="2">
        <v>42005.095138888886</v>
      </c>
      <c r="BN2439" s="2">
        <v>5.4</v>
      </c>
      <c r="BO2439" s="2">
        <v>42005.092361111114</v>
      </c>
      <c r="BP2439" s="2">
        <v>6.92</v>
      </c>
      <c r="BQ2439" s="2">
        <v>42005.092361111114</v>
      </c>
      <c r="BR2439" s="2">
        <v>11.07</v>
      </c>
      <c r="BS2439" s="2">
        <v>42005.092361111114</v>
      </c>
      <c r="BT2439">
        <v>0</v>
      </c>
      <c r="BU2439">
        <v>0</v>
      </c>
      <c r="BV2439" t="s">
        <v>135</v>
      </c>
      <c r="BW2439">
        <v>0</v>
      </c>
      <c r="BX2439">
        <v>0</v>
      </c>
      <c r="BY2439" t="s">
        <v>135</v>
      </c>
      <c r="BZ2439">
        <v>0</v>
      </c>
      <c r="CA2439">
        <v>0</v>
      </c>
      <c r="CB2439" t="s">
        <v>135</v>
      </c>
      <c r="CH2439" s="2"/>
      <c r="CJ2439" s="2"/>
      <c r="CL2439" s="2"/>
      <c r="CN2439" s="2"/>
      <c r="CQ2439" s="2"/>
      <c r="CT2439" s="2"/>
      <c r="CW2439" s="2"/>
    </row>
    <row r="2440" spans="1:101" x14ac:dyDescent="0.25">
      <c r="A2440" s="1" t="s">
        <v>163</v>
      </c>
      <c r="B2440" s="75" t="s">
        <v>164</v>
      </c>
      <c r="C2440">
        <v>0</v>
      </c>
      <c r="D2440">
        <v>0</v>
      </c>
      <c r="E2440">
        <v>0</v>
      </c>
      <c r="F2440">
        <v>604324.56000000006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3.91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7490</v>
      </c>
      <c r="AW2440">
        <v>3350</v>
      </c>
      <c r="AX2440">
        <v>1219</v>
      </c>
      <c r="AY2440">
        <v>12059</v>
      </c>
      <c r="AZ2440">
        <v>4202</v>
      </c>
      <c r="BA2440">
        <v>7438</v>
      </c>
      <c r="BB2440">
        <v>1432</v>
      </c>
      <c r="BC2440">
        <v>13072</v>
      </c>
      <c r="BD2440">
        <v>9486</v>
      </c>
      <c r="BE2440">
        <v>9222</v>
      </c>
      <c r="BF2440">
        <v>1768</v>
      </c>
      <c r="BG2440">
        <v>20476</v>
      </c>
      <c r="BH2440">
        <v>0</v>
      </c>
      <c r="BI2440">
        <v>0</v>
      </c>
      <c r="BJ2440">
        <v>0</v>
      </c>
      <c r="BK2440">
        <v>0</v>
      </c>
      <c r="BL2440" s="2">
        <v>24.82</v>
      </c>
      <c r="BM2440" s="2">
        <v>42005.095138888886</v>
      </c>
      <c r="BN2440" s="2">
        <v>5.4</v>
      </c>
      <c r="BO2440" s="2">
        <v>42005.092361111114</v>
      </c>
      <c r="BP2440" s="2">
        <v>6.92</v>
      </c>
      <c r="BQ2440" s="2">
        <v>42005.092361111114</v>
      </c>
      <c r="BR2440" s="2">
        <v>11.07</v>
      </c>
      <c r="BS2440" s="2">
        <v>42005.092361111114</v>
      </c>
      <c r="BT2440">
        <v>0</v>
      </c>
      <c r="BU2440">
        <v>0</v>
      </c>
      <c r="BV2440" t="s">
        <v>135</v>
      </c>
      <c r="BW2440">
        <v>0</v>
      </c>
      <c r="BX2440">
        <v>0</v>
      </c>
      <c r="BY2440" t="s">
        <v>135</v>
      </c>
      <c r="BZ2440">
        <v>0</v>
      </c>
      <c r="CA2440">
        <v>0</v>
      </c>
      <c r="CB2440" t="s">
        <v>135</v>
      </c>
      <c r="CH2440" s="2"/>
      <c r="CJ2440" s="2"/>
      <c r="CL2440" s="2"/>
      <c r="CN2440" s="2"/>
      <c r="CQ2440" s="2"/>
      <c r="CT2440" s="2"/>
      <c r="CW2440" s="2"/>
    </row>
    <row r="2441" spans="1:101" x14ac:dyDescent="0.25">
      <c r="A2441" s="1" t="s">
        <v>163</v>
      </c>
      <c r="B2441" s="75" t="s">
        <v>164</v>
      </c>
      <c r="C2441">
        <v>0</v>
      </c>
      <c r="D2441">
        <v>0</v>
      </c>
      <c r="E2441">
        <v>0</v>
      </c>
      <c r="F2441">
        <v>604324.56000000006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3.91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7490</v>
      </c>
      <c r="AW2441">
        <v>3350</v>
      </c>
      <c r="AX2441">
        <v>1219</v>
      </c>
      <c r="AY2441">
        <v>12059</v>
      </c>
      <c r="AZ2441">
        <v>4202</v>
      </c>
      <c r="BA2441">
        <v>7438</v>
      </c>
      <c r="BB2441">
        <v>1432</v>
      </c>
      <c r="BC2441">
        <v>13072</v>
      </c>
      <c r="BD2441">
        <v>9486</v>
      </c>
      <c r="BE2441">
        <v>9222</v>
      </c>
      <c r="BF2441">
        <v>1768</v>
      </c>
      <c r="BG2441">
        <v>20476</v>
      </c>
      <c r="BH2441">
        <v>0</v>
      </c>
      <c r="BI2441">
        <v>0</v>
      </c>
      <c r="BJ2441">
        <v>0</v>
      </c>
      <c r="BK2441">
        <v>0</v>
      </c>
      <c r="BL2441" s="2">
        <v>24.82</v>
      </c>
      <c r="BM2441" s="2">
        <v>42005.095138888886</v>
      </c>
      <c r="BN2441" s="2">
        <v>5.4</v>
      </c>
      <c r="BO2441" s="2">
        <v>42005.092361111114</v>
      </c>
      <c r="BP2441" s="2">
        <v>6.92</v>
      </c>
      <c r="BQ2441" s="2">
        <v>42005.092361111114</v>
      </c>
      <c r="BR2441" s="2">
        <v>11.07</v>
      </c>
      <c r="BS2441" s="2">
        <v>42005.092361111114</v>
      </c>
      <c r="BT2441">
        <v>0</v>
      </c>
      <c r="BU2441">
        <v>0</v>
      </c>
      <c r="BV2441" t="s">
        <v>135</v>
      </c>
      <c r="BW2441">
        <v>0</v>
      </c>
      <c r="BX2441">
        <v>0</v>
      </c>
      <c r="BY2441" t="s">
        <v>135</v>
      </c>
      <c r="BZ2441">
        <v>0</v>
      </c>
      <c r="CA2441">
        <v>0</v>
      </c>
      <c r="CB2441" t="s">
        <v>135</v>
      </c>
      <c r="CH2441" s="2"/>
      <c r="CJ2441" s="2"/>
      <c r="CL2441" s="2"/>
      <c r="CN2441" s="2"/>
      <c r="CQ2441" s="2"/>
      <c r="CT2441" s="2"/>
      <c r="CW2441" s="2"/>
    </row>
    <row r="2442" spans="1:101" x14ac:dyDescent="0.25">
      <c r="A2442" s="1" t="s">
        <v>163</v>
      </c>
      <c r="B2442" s="75" t="s">
        <v>164</v>
      </c>
      <c r="C2442">
        <v>0</v>
      </c>
      <c r="D2442">
        <v>0</v>
      </c>
      <c r="E2442">
        <v>0</v>
      </c>
      <c r="F2442">
        <v>604324.56000000006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3.91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7490</v>
      </c>
      <c r="AW2442">
        <v>3350</v>
      </c>
      <c r="AX2442">
        <v>1219</v>
      </c>
      <c r="AY2442">
        <v>12059</v>
      </c>
      <c r="AZ2442">
        <v>4202</v>
      </c>
      <c r="BA2442">
        <v>7438</v>
      </c>
      <c r="BB2442">
        <v>1432</v>
      </c>
      <c r="BC2442">
        <v>13072</v>
      </c>
      <c r="BD2442">
        <v>9486</v>
      </c>
      <c r="BE2442">
        <v>9222</v>
      </c>
      <c r="BF2442">
        <v>1768</v>
      </c>
      <c r="BG2442">
        <v>20476</v>
      </c>
      <c r="BH2442">
        <v>0</v>
      </c>
      <c r="BI2442">
        <v>0</v>
      </c>
      <c r="BJ2442">
        <v>0</v>
      </c>
      <c r="BK2442">
        <v>0</v>
      </c>
      <c r="BL2442" s="2">
        <v>24.82</v>
      </c>
      <c r="BM2442" s="2">
        <v>42005.095138888886</v>
      </c>
      <c r="BN2442" s="2">
        <v>5.4</v>
      </c>
      <c r="BO2442" s="2">
        <v>42005.092361111114</v>
      </c>
      <c r="BP2442" s="2">
        <v>6.92</v>
      </c>
      <c r="BQ2442" s="2">
        <v>42005.092361111114</v>
      </c>
      <c r="BR2442" s="2">
        <v>11.07</v>
      </c>
      <c r="BS2442" s="2">
        <v>42005.092361111114</v>
      </c>
      <c r="BT2442">
        <v>0</v>
      </c>
      <c r="BU2442">
        <v>0</v>
      </c>
      <c r="BV2442" t="s">
        <v>135</v>
      </c>
      <c r="BW2442">
        <v>0</v>
      </c>
      <c r="BX2442">
        <v>0</v>
      </c>
      <c r="BY2442" t="s">
        <v>135</v>
      </c>
      <c r="BZ2442">
        <v>0</v>
      </c>
      <c r="CA2442">
        <v>0</v>
      </c>
      <c r="CB2442" t="s">
        <v>135</v>
      </c>
      <c r="CH2442" s="2"/>
      <c r="CJ2442" s="2"/>
      <c r="CL2442" s="2"/>
      <c r="CN2442" s="2"/>
      <c r="CQ2442" s="2"/>
      <c r="CT2442" s="2"/>
      <c r="CW2442" s="2"/>
    </row>
    <row r="2443" spans="1:101" x14ac:dyDescent="0.25">
      <c r="A2443" s="1" t="s">
        <v>163</v>
      </c>
      <c r="B2443" s="75" t="s">
        <v>164</v>
      </c>
      <c r="C2443">
        <v>0</v>
      </c>
      <c r="D2443">
        <v>0</v>
      </c>
      <c r="E2443">
        <v>0</v>
      </c>
      <c r="F2443">
        <v>604324.56000000006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3.91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7490</v>
      </c>
      <c r="AW2443">
        <v>3350</v>
      </c>
      <c r="AX2443">
        <v>1219</v>
      </c>
      <c r="AY2443">
        <v>12059</v>
      </c>
      <c r="AZ2443">
        <v>4202</v>
      </c>
      <c r="BA2443">
        <v>7438</v>
      </c>
      <c r="BB2443">
        <v>1432</v>
      </c>
      <c r="BC2443">
        <v>13072</v>
      </c>
      <c r="BD2443">
        <v>9486</v>
      </c>
      <c r="BE2443">
        <v>9222</v>
      </c>
      <c r="BF2443">
        <v>1768</v>
      </c>
      <c r="BG2443">
        <v>20476</v>
      </c>
      <c r="BH2443">
        <v>0</v>
      </c>
      <c r="BI2443">
        <v>0</v>
      </c>
      <c r="BJ2443">
        <v>0</v>
      </c>
      <c r="BK2443">
        <v>0</v>
      </c>
      <c r="BL2443" s="2">
        <v>24.82</v>
      </c>
      <c r="BM2443" s="2">
        <v>42005.095138888886</v>
      </c>
      <c r="BN2443" s="2">
        <v>5.4</v>
      </c>
      <c r="BO2443" s="2">
        <v>42005.092361111114</v>
      </c>
      <c r="BP2443" s="2">
        <v>6.92</v>
      </c>
      <c r="BQ2443" s="2">
        <v>42005.092361111114</v>
      </c>
      <c r="BR2443" s="2">
        <v>11.07</v>
      </c>
      <c r="BS2443" s="2">
        <v>42005.092361111114</v>
      </c>
      <c r="BT2443">
        <v>0</v>
      </c>
      <c r="BU2443">
        <v>0</v>
      </c>
      <c r="BV2443" t="s">
        <v>135</v>
      </c>
      <c r="BW2443">
        <v>0</v>
      </c>
      <c r="BX2443">
        <v>0</v>
      </c>
      <c r="BY2443" t="s">
        <v>135</v>
      </c>
      <c r="BZ2443">
        <v>0</v>
      </c>
      <c r="CA2443">
        <v>0</v>
      </c>
      <c r="CB2443" t="s">
        <v>135</v>
      </c>
      <c r="CH2443" s="2"/>
      <c r="CJ2443" s="2"/>
      <c r="CL2443" s="2"/>
      <c r="CN2443" s="2"/>
      <c r="CQ2443" s="2"/>
      <c r="CT2443" s="2"/>
      <c r="CW2443" s="2"/>
    </row>
    <row r="2444" spans="1:101" x14ac:dyDescent="0.25">
      <c r="A2444" s="1" t="s">
        <v>163</v>
      </c>
      <c r="B2444" s="75" t="s">
        <v>164</v>
      </c>
      <c r="C2444">
        <v>0</v>
      </c>
      <c r="D2444">
        <v>0</v>
      </c>
      <c r="E2444">
        <v>0</v>
      </c>
      <c r="F2444">
        <v>604324.56000000006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3.91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7490</v>
      </c>
      <c r="AW2444">
        <v>3350</v>
      </c>
      <c r="AX2444">
        <v>1219</v>
      </c>
      <c r="AY2444">
        <v>12059</v>
      </c>
      <c r="AZ2444">
        <v>4202</v>
      </c>
      <c r="BA2444">
        <v>7438</v>
      </c>
      <c r="BB2444">
        <v>1432</v>
      </c>
      <c r="BC2444">
        <v>13072</v>
      </c>
      <c r="BD2444">
        <v>9486</v>
      </c>
      <c r="BE2444">
        <v>9222</v>
      </c>
      <c r="BF2444">
        <v>1768</v>
      </c>
      <c r="BG2444">
        <v>20476</v>
      </c>
      <c r="BH2444">
        <v>0</v>
      </c>
      <c r="BI2444">
        <v>0</v>
      </c>
      <c r="BJ2444">
        <v>0</v>
      </c>
      <c r="BK2444">
        <v>0</v>
      </c>
      <c r="BL2444" s="2">
        <v>24.82</v>
      </c>
      <c r="BM2444" s="2">
        <v>42005.095138888886</v>
      </c>
      <c r="BN2444" s="2">
        <v>5.4</v>
      </c>
      <c r="BO2444" s="2">
        <v>42005.092361111114</v>
      </c>
      <c r="BP2444" s="2">
        <v>6.92</v>
      </c>
      <c r="BQ2444" s="2">
        <v>42005.092361111114</v>
      </c>
      <c r="BR2444" s="2">
        <v>11.07</v>
      </c>
      <c r="BS2444" s="2">
        <v>42005.092361111114</v>
      </c>
      <c r="BT2444">
        <v>0</v>
      </c>
      <c r="BU2444">
        <v>0</v>
      </c>
      <c r="BV2444" t="s">
        <v>135</v>
      </c>
      <c r="BW2444">
        <v>0</v>
      </c>
      <c r="BX2444">
        <v>0</v>
      </c>
      <c r="BY2444" t="s">
        <v>135</v>
      </c>
      <c r="BZ2444">
        <v>0</v>
      </c>
      <c r="CA2444">
        <v>0</v>
      </c>
      <c r="CB2444" t="s">
        <v>135</v>
      </c>
      <c r="CH2444" s="2"/>
      <c r="CJ2444" s="2"/>
      <c r="CL2444" s="2"/>
      <c r="CN2444" s="2"/>
      <c r="CQ2444" s="2"/>
      <c r="CT2444" s="2"/>
      <c r="CW2444" s="2"/>
    </row>
    <row r="2445" spans="1:101" x14ac:dyDescent="0.25">
      <c r="A2445" s="1" t="s">
        <v>163</v>
      </c>
      <c r="B2445" s="75" t="s">
        <v>164</v>
      </c>
      <c r="C2445">
        <v>0</v>
      </c>
      <c r="D2445">
        <v>0</v>
      </c>
      <c r="E2445">
        <v>0</v>
      </c>
      <c r="F2445">
        <v>604324.56000000006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3.91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7490</v>
      </c>
      <c r="AW2445">
        <v>3350</v>
      </c>
      <c r="AX2445">
        <v>1219</v>
      </c>
      <c r="AY2445">
        <v>12059</v>
      </c>
      <c r="AZ2445">
        <v>4202</v>
      </c>
      <c r="BA2445">
        <v>7438</v>
      </c>
      <c r="BB2445">
        <v>1432</v>
      </c>
      <c r="BC2445">
        <v>13072</v>
      </c>
      <c r="BD2445">
        <v>9486</v>
      </c>
      <c r="BE2445">
        <v>9222</v>
      </c>
      <c r="BF2445">
        <v>1768</v>
      </c>
      <c r="BG2445">
        <v>20476</v>
      </c>
      <c r="BH2445">
        <v>0</v>
      </c>
      <c r="BI2445">
        <v>0</v>
      </c>
      <c r="BJ2445">
        <v>0</v>
      </c>
      <c r="BK2445">
        <v>0</v>
      </c>
      <c r="BL2445" s="2">
        <v>24.82</v>
      </c>
      <c r="BM2445" s="2">
        <v>42005.095138888886</v>
      </c>
      <c r="BN2445" s="2">
        <v>5.4</v>
      </c>
      <c r="BO2445" s="2">
        <v>42005.092361111114</v>
      </c>
      <c r="BP2445" s="2">
        <v>6.92</v>
      </c>
      <c r="BQ2445" s="2">
        <v>42005.092361111114</v>
      </c>
      <c r="BR2445" s="2">
        <v>11.07</v>
      </c>
      <c r="BS2445" s="2">
        <v>42005.092361111114</v>
      </c>
      <c r="BT2445">
        <v>0</v>
      </c>
      <c r="BU2445">
        <v>0</v>
      </c>
      <c r="BV2445" t="s">
        <v>135</v>
      </c>
      <c r="BW2445">
        <v>0</v>
      </c>
      <c r="BX2445">
        <v>0</v>
      </c>
      <c r="BY2445" t="s">
        <v>135</v>
      </c>
      <c r="BZ2445">
        <v>0</v>
      </c>
      <c r="CA2445">
        <v>0</v>
      </c>
      <c r="CB2445" t="s">
        <v>135</v>
      </c>
      <c r="CH2445" s="2"/>
      <c r="CJ2445" s="2"/>
      <c r="CL2445" s="2"/>
      <c r="CN2445" s="2"/>
      <c r="CQ2445" s="2"/>
      <c r="CT2445" s="2"/>
      <c r="CW2445" s="2"/>
    </row>
    <row r="2446" spans="1:101" x14ac:dyDescent="0.25">
      <c r="A2446" s="1" t="s">
        <v>163</v>
      </c>
      <c r="B2446" s="75" t="s">
        <v>164</v>
      </c>
      <c r="C2446">
        <v>0</v>
      </c>
      <c r="D2446">
        <v>0</v>
      </c>
      <c r="E2446">
        <v>0</v>
      </c>
      <c r="F2446">
        <v>604324.56000000006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3.91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7490</v>
      </c>
      <c r="AW2446">
        <v>3350</v>
      </c>
      <c r="AX2446">
        <v>1219</v>
      </c>
      <c r="AY2446">
        <v>12059</v>
      </c>
      <c r="AZ2446">
        <v>4202</v>
      </c>
      <c r="BA2446">
        <v>7438</v>
      </c>
      <c r="BB2446">
        <v>1432</v>
      </c>
      <c r="BC2446">
        <v>13072</v>
      </c>
      <c r="BD2446">
        <v>9486</v>
      </c>
      <c r="BE2446">
        <v>9222</v>
      </c>
      <c r="BF2446">
        <v>1768</v>
      </c>
      <c r="BG2446">
        <v>20476</v>
      </c>
      <c r="BH2446">
        <v>0</v>
      </c>
      <c r="BI2446">
        <v>0</v>
      </c>
      <c r="BJ2446">
        <v>0</v>
      </c>
      <c r="BK2446">
        <v>0</v>
      </c>
      <c r="BL2446" s="2">
        <v>24.82</v>
      </c>
      <c r="BM2446" s="2">
        <v>42005.095138888886</v>
      </c>
      <c r="BN2446" s="2">
        <v>5.4</v>
      </c>
      <c r="BO2446" s="2">
        <v>42005.092361111114</v>
      </c>
      <c r="BP2446" s="2">
        <v>6.92</v>
      </c>
      <c r="BQ2446" s="2">
        <v>42005.092361111114</v>
      </c>
      <c r="BR2446" s="2">
        <v>11.07</v>
      </c>
      <c r="BS2446" s="2">
        <v>42005.092361111114</v>
      </c>
      <c r="BT2446">
        <v>0</v>
      </c>
      <c r="BU2446">
        <v>0</v>
      </c>
      <c r="BV2446" t="s">
        <v>135</v>
      </c>
      <c r="BW2446">
        <v>0</v>
      </c>
      <c r="BX2446">
        <v>0</v>
      </c>
      <c r="BY2446" t="s">
        <v>135</v>
      </c>
      <c r="BZ2446">
        <v>0</v>
      </c>
      <c r="CA2446">
        <v>0</v>
      </c>
      <c r="CB2446" t="s">
        <v>135</v>
      </c>
      <c r="CH2446" s="2"/>
      <c r="CJ2446" s="2"/>
      <c r="CL2446" s="2"/>
      <c r="CN2446" s="2"/>
      <c r="CQ2446" s="2"/>
      <c r="CT2446" s="2"/>
      <c r="CW2446" s="2"/>
    </row>
    <row r="2447" spans="1:101" x14ac:dyDescent="0.25">
      <c r="A2447" s="1" t="s">
        <v>163</v>
      </c>
      <c r="B2447" s="75" t="s">
        <v>164</v>
      </c>
      <c r="C2447">
        <v>0</v>
      </c>
      <c r="D2447">
        <v>0</v>
      </c>
      <c r="E2447">
        <v>0</v>
      </c>
      <c r="F2447">
        <v>604324.56000000006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3.91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7490</v>
      </c>
      <c r="AW2447">
        <v>3350</v>
      </c>
      <c r="AX2447">
        <v>1219</v>
      </c>
      <c r="AY2447">
        <v>12059</v>
      </c>
      <c r="AZ2447">
        <v>4202</v>
      </c>
      <c r="BA2447">
        <v>7438</v>
      </c>
      <c r="BB2447">
        <v>1432</v>
      </c>
      <c r="BC2447">
        <v>13072</v>
      </c>
      <c r="BD2447">
        <v>9486</v>
      </c>
      <c r="BE2447">
        <v>9222</v>
      </c>
      <c r="BF2447">
        <v>1768</v>
      </c>
      <c r="BG2447">
        <v>20476</v>
      </c>
      <c r="BH2447">
        <v>0</v>
      </c>
      <c r="BI2447">
        <v>0</v>
      </c>
      <c r="BJ2447">
        <v>0</v>
      </c>
      <c r="BK2447">
        <v>0</v>
      </c>
      <c r="BL2447" s="2">
        <v>24.82</v>
      </c>
      <c r="BM2447" s="2">
        <v>42005.095138888886</v>
      </c>
      <c r="BN2447" s="2">
        <v>5.4</v>
      </c>
      <c r="BO2447" s="2">
        <v>42005.092361111114</v>
      </c>
      <c r="BP2447" s="2">
        <v>6.92</v>
      </c>
      <c r="BQ2447" s="2">
        <v>42005.092361111114</v>
      </c>
      <c r="BR2447" s="2">
        <v>11.07</v>
      </c>
      <c r="BS2447" s="2">
        <v>42005.092361111114</v>
      </c>
      <c r="BT2447">
        <v>0</v>
      </c>
      <c r="BU2447">
        <v>0</v>
      </c>
      <c r="BV2447" t="s">
        <v>135</v>
      </c>
      <c r="BW2447">
        <v>0</v>
      </c>
      <c r="BX2447">
        <v>0</v>
      </c>
      <c r="BY2447" t="s">
        <v>135</v>
      </c>
      <c r="BZ2447">
        <v>0</v>
      </c>
      <c r="CA2447">
        <v>0</v>
      </c>
      <c r="CB2447" t="s">
        <v>135</v>
      </c>
      <c r="CH2447" s="2"/>
      <c r="CJ2447" s="2"/>
      <c r="CL2447" s="2"/>
      <c r="CN2447" s="2"/>
      <c r="CQ2447" s="2"/>
      <c r="CT2447" s="2"/>
      <c r="CW2447" s="2"/>
    </row>
    <row r="2448" spans="1:101" x14ac:dyDescent="0.25">
      <c r="A2448" s="1" t="s">
        <v>163</v>
      </c>
      <c r="B2448" s="75" t="s">
        <v>164</v>
      </c>
      <c r="C2448">
        <v>0</v>
      </c>
      <c r="D2448">
        <v>0</v>
      </c>
      <c r="E2448">
        <v>0</v>
      </c>
      <c r="F2448">
        <v>604324.56000000006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3.91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7490</v>
      </c>
      <c r="AW2448">
        <v>3350</v>
      </c>
      <c r="AX2448">
        <v>1219</v>
      </c>
      <c r="AY2448">
        <v>12059</v>
      </c>
      <c r="AZ2448">
        <v>4202</v>
      </c>
      <c r="BA2448">
        <v>7438</v>
      </c>
      <c r="BB2448">
        <v>1432</v>
      </c>
      <c r="BC2448">
        <v>13072</v>
      </c>
      <c r="BD2448">
        <v>9486</v>
      </c>
      <c r="BE2448">
        <v>9222</v>
      </c>
      <c r="BF2448">
        <v>1768</v>
      </c>
      <c r="BG2448">
        <v>20476</v>
      </c>
      <c r="BH2448">
        <v>0</v>
      </c>
      <c r="BI2448">
        <v>0</v>
      </c>
      <c r="BJ2448">
        <v>0</v>
      </c>
      <c r="BK2448">
        <v>0</v>
      </c>
      <c r="BL2448" s="2">
        <v>24.82</v>
      </c>
      <c r="BM2448" s="2">
        <v>42005.095138888886</v>
      </c>
      <c r="BN2448" s="2">
        <v>5.4</v>
      </c>
      <c r="BO2448" s="2">
        <v>42005.092361111114</v>
      </c>
      <c r="BP2448" s="2">
        <v>6.92</v>
      </c>
      <c r="BQ2448" s="2">
        <v>42005.092361111114</v>
      </c>
      <c r="BR2448" s="2">
        <v>11.07</v>
      </c>
      <c r="BS2448" s="2">
        <v>42005.092361111114</v>
      </c>
      <c r="BT2448">
        <v>0</v>
      </c>
      <c r="BU2448">
        <v>0</v>
      </c>
      <c r="BV2448" t="s">
        <v>135</v>
      </c>
      <c r="BW2448">
        <v>0</v>
      </c>
      <c r="BX2448">
        <v>0</v>
      </c>
      <c r="BY2448" t="s">
        <v>135</v>
      </c>
      <c r="BZ2448">
        <v>0</v>
      </c>
      <c r="CA2448">
        <v>0</v>
      </c>
      <c r="CB2448" t="s">
        <v>135</v>
      </c>
      <c r="CH2448" s="2"/>
      <c r="CJ2448" s="2"/>
      <c r="CL2448" s="2"/>
      <c r="CN2448" s="2"/>
      <c r="CQ2448" s="2"/>
      <c r="CT2448" s="2"/>
      <c r="CW2448" s="2"/>
    </row>
    <row r="2449" spans="1:101" x14ac:dyDescent="0.25">
      <c r="A2449" s="1" t="s">
        <v>163</v>
      </c>
      <c r="B2449" s="75" t="s">
        <v>164</v>
      </c>
      <c r="C2449">
        <v>0</v>
      </c>
      <c r="D2449">
        <v>0</v>
      </c>
      <c r="E2449">
        <v>0</v>
      </c>
      <c r="F2449">
        <v>604324.56000000006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3.91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7490</v>
      </c>
      <c r="AW2449">
        <v>3350</v>
      </c>
      <c r="AX2449">
        <v>1219</v>
      </c>
      <c r="AY2449">
        <v>12059</v>
      </c>
      <c r="AZ2449">
        <v>4202</v>
      </c>
      <c r="BA2449">
        <v>7438</v>
      </c>
      <c r="BB2449">
        <v>1432</v>
      </c>
      <c r="BC2449">
        <v>13072</v>
      </c>
      <c r="BD2449">
        <v>9486</v>
      </c>
      <c r="BE2449">
        <v>9222</v>
      </c>
      <c r="BF2449">
        <v>1768</v>
      </c>
      <c r="BG2449">
        <v>20476</v>
      </c>
      <c r="BH2449">
        <v>0</v>
      </c>
      <c r="BI2449">
        <v>0</v>
      </c>
      <c r="BJ2449">
        <v>0</v>
      </c>
      <c r="BK2449">
        <v>0</v>
      </c>
      <c r="BL2449" s="2">
        <v>24.82</v>
      </c>
      <c r="BM2449" s="2">
        <v>42005.095138888886</v>
      </c>
      <c r="BN2449" s="2">
        <v>5.4</v>
      </c>
      <c r="BO2449" s="2">
        <v>42005.092361111114</v>
      </c>
      <c r="BP2449" s="2">
        <v>6.92</v>
      </c>
      <c r="BQ2449" s="2">
        <v>42005.092361111114</v>
      </c>
      <c r="BR2449" s="2">
        <v>11.07</v>
      </c>
      <c r="BS2449" s="2">
        <v>42005.092361111114</v>
      </c>
      <c r="BT2449">
        <v>0</v>
      </c>
      <c r="BU2449">
        <v>0</v>
      </c>
      <c r="BV2449" t="s">
        <v>135</v>
      </c>
      <c r="BW2449">
        <v>0</v>
      </c>
      <c r="BX2449">
        <v>0</v>
      </c>
      <c r="BY2449" t="s">
        <v>135</v>
      </c>
      <c r="BZ2449">
        <v>0</v>
      </c>
      <c r="CA2449">
        <v>0</v>
      </c>
      <c r="CB2449" t="s">
        <v>135</v>
      </c>
      <c r="CH2449" s="2"/>
      <c r="CJ2449" s="2"/>
      <c r="CL2449" s="2"/>
      <c r="CN2449" s="2"/>
      <c r="CQ2449" s="2"/>
      <c r="CT2449" s="2"/>
      <c r="CW2449" s="2"/>
    </row>
    <row r="2450" spans="1:101" x14ac:dyDescent="0.25">
      <c r="A2450" s="1" t="s">
        <v>163</v>
      </c>
      <c r="B2450" s="75" t="s">
        <v>164</v>
      </c>
      <c r="C2450">
        <v>0</v>
      </c>
      <c r="D2450">
        <v>0</v>
      </c>
      <c r="E2450">
        <v>0</v>
      </c>
      <c r="F2450">
        <v>604324.56000000006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3.91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7490</v>
      </c>
      <c r="AW2450">
        <v>3350</v>
      </c>
      <c r="AX2450">
        <v>1219</v>
      </c>
      <c r="AY2450">
        <v>12059</v>
      </c>
      <c r="AZ2450">
        <v>4202</v>
      </c>
      <c r="BA2450">
        <v>7438</v>
      </c>
      <c r="BB2450">
        <v>1432</v>
      </c>
      <c r="BC2450">
        <v>13072</v>
      </c>
      <c r="BD2450">
        <v>9486</v>
      </c>
      <c r="BE2450">
        <v>9222</v>
      </c>
      <c r="BF2450">
        <v>1768</v>
      </c>
      <c r="BG2450">
        <v>20476</v>
      </c>
      <c r="BH2450">
        <v>0</v>
      </c>
      <c r="BI2450">
        <v>0</v>
      </c>
      <c r="BJ2450">
        <v>0</v>
      </c>
      <c r="BK2450">
        <v>0</v>
      </c>
      <c r="BL2450" s="2">
        <v>24.82</v>
      </c>
      <c r="BM2450" s="2">
        <v>42005.095138888886</v>
      </c>
      <c r="BN2450" s="2">
        <v>5.4</v>
      </c>
      <c r="BO2450" s="2">
        <v>42005.092361111114</v>
      </c>
      <c r="BP2450" s="2">
        <v>6.92</v>
      </c>
      <c r="BQ2450" s="2">
        <v>42005.092361111114</v>
      </c>
      <c r="BR2450" s="2">
        <v>11.07</v>
      </c>
      <c r="BS2450" s="2">
        <v>42005.092361111114</v>
      </c>
      <c r="BT2450">
        <v>0</v>
      </c>
      <c r="BU2450">
        <v>0</v>
      </c>
      <c r="BV2450" t="s">
        <v>135</v>
      </c>
      <c r="BW2450">
        <v>0</v>
      </c>
      <c r="BX2450">
        <v>0</v>
      </c>
      <c r="BY2450" t="s">
        <v>135</v>
      </c>
      <c r="BZ2450">
        <v>0</v>
      </c>
      <c r="CA2450">
        <v>0</v>
      </c>
      <c r="CB2450" t="s">
        <v>135</v>
      </c>
      <c r="CH2450" s="2"/>
      <c r="CJ2450" s="2"/>
      <c r="CL2450" s="2"/>
      <c r="CN2450" s="2"/>
      <c r="CQ2450" s="2"/>
      <c r="CT2450" s="2"/>
      <c r="CW2450" s="2"/>
    </row>
    <row r="2451" spans="1:101" x14ac:dyDescent="0.25">
      <c r="A2451" s="1" t="s">
        <v>163</v>
      </c>
      <c r="B2451" s="75" t="s">
        <v>164</v>
      </c>
      <c r="C2451">
        <v>0</v>
      </c>
      <c r="D2451">
        <v>0</v>
      </c>
      <c r="E2451">
        <v>0</v>
      </c>
      <c r="F2451">
        <v>604324.56000000006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3.91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7490</v>
      </c>
      <c r="AW2451">
        <v>3350</v>
      </c>
      <c r="AX2451">
        <v>1219</v>
      </c>
      <c r="AY2451">
        <v>12059</v>
      </c>
      <c r="AZ2451">
        <v>4202</v>
      </c>
      <c r="BA2451">
        <v>7438</v>
      </c>
      <c r="BB2451">
        <v>1432</v>
      </c>
      <c r="BC2451">
        <v>13072</v>
      </c>
      <c r="BD2451">
        <v>9486</v>
      </c>
      <c r="BE2451">
        <v>9222</v>
      </c>
      <c r="BF2451">
        <v>1768</v>
      </c>
      <c r="BG2451">
        <v>20476</v>
      </c>
      <c r="BH2451">
        <v>0</v>
      </c>
      <c r="BI2451">
        <v>0</v>
      </c>
      <c r="BJ2451">
        <v>0</v>
      </c>
      <c r="BK2451">
        <v>0</v>
      </c>
      <c r="BL2451" s="2">
        <v>24.82</v>
      </c>
      <c r="BM2451" s="2">
        <v>42005.095138888886</v>
      </c>
      <c r="BN2451" s="2">
        <v>5.4</v>
      </c>
      <c r="BO2451" s="2">
        <v>42005.092361111114</v>
      </c>
      <c r="BP2451" s="2">
        <v>6.92</v>
      </c>
      <c r="BQ2451" s="2">
        <v>42005.092361111114</v>
      </c>
      <c r="BR2451" s="2">
        <v>11.07</v>
      </c>
      <c r="BS2451" s="2">
        <v>42005.092361111114</v>
      </c>
      <c r="BT2451">
        <v>0</v>
      </c>
      <c r="BU2451">
        <v>0</v>
      </c>
      <c r="BV2451" t="s">
        <v>135</v>
      </c>
      <c r="BW2451">
        <v>0</v>
      </c>
      <c r="BX2451">
        <v>0</v>
      </c>
      <c r="BY2451" t="s">
        <v>135</v>
      </c>
      <c r="BZ2451">
        <v>0</v>
      </c>
      <c r="CA2451">
        <v>0</v>
      </c>
      <c r="CB2451" t="s">
        <v>135</v>
      </c>
      <c r="CH2451" s="2"/>
      <c r="CJ2451" s="2"/>
      <c r="CL2451" s="2"/>
      <c r="CN2451" s="2"/>
      <c r="CQ2451" s="2"/>
      <c r="CT2451" s="2"/>
      <c r="CW2451" s="2"/>
    </row>
    <row r="2452" spans="1:101" x14ac:dyDescent="0.25">
      <c r="A2452" s="1" t="s">
        <v>163</v>
      </c>
      <c r="B2452" s="75" t="s">
        <v>164</v>
      </c>
      <c r="C2452">
        <v>0</v>
      </c>
      <c r="D2452">
        <v>0</v>
      </c>
      <c r="E2452">
        <v>0</v>
      </c>
      <c r="F2452">
        <v>604324.56000000006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3.91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7490</v>
      </c>
      <c r="AW2452">
        <v>3350</v>
      </c>
      <c r="AX2452">
        <v>1219</v>
      </c>
      <c r="AY2452">
        <v>12059</v>
      </c>
      <c r="AZ2452">
        <v>4202</v>
      </c>
      <c r="BA2452">
        <v>7438</v>
      </c>
      <c r="BB2452">
        <v>1432</v>
      </c>
      <c r="BC2452">
        <v>13072</v>
      </c>
      <c r="BD2452">
        <v>9486</v>
      </c>
      <c r="BE2452">
        <v>9222</v>
      </c>
      <c r="BF2452">
        <v>1768</v>
      </c>
      <c r="BG2452">
        <v>20476</v>
      </c>
      <c r="BH2452">
        <v>0</v>
      </c>
      <c r="BI2452">
        <v>0</v>
      </c>
      <c r="BJ2452">
        <v>0</v>
      </c>
      <c r="BK2452">
        <v>0</v>
      </c>
      <c r="BL2452" s="2">
        <v>24.82</v>
      </c>
      <c r="BM2452" s="2">
        <v>42005.095138888886</v>
      </c>
      <c r="BN2452" s="2">
        <v>5.4</v>
      </c>
      <c r="BO2452" s="2">
        <v>42005.092361111114</v>
      </c>
      <c r="BP2452" s="2">
        <v>6.92</v>
      </c>
      <c r="BQ2452" s="2">
        <v>42005.092361111114</v>
      </c>
      <c r="BR2452" s="2">
        <v>11.07</v>
      </c>
      <c r="BS2452" s="2">
        <v>42005.092361111114</v>
      </c>
      <c r="BT2452">
        <v>0</v>
      </c>
      <c r="BU2452">
        <v>0</v>
      </c>
      <c r="BV2452" t="s">
        <v>135</v>
      </c>
      <c r="BW2452">
        <v>0</v>
      </c>
      <c r="BX2452">
        <v>0</v>
      </c>
      <c r="BY2452" t="s">
        <v>135</v>
      </c>
      <c r="BZ2452">
        <v>0</v>
      </c>
      <c r="CA2452">
        <v>0</v>
      </c>
      <c r="CB2452" t="s">
        <v>135</v>
      </c>
      <c r="CH2452" s="2"/>
      <c r="CJ2452" s="2"/>
      <c r="CL2452" s="2"/>
      <c r="CN2452" s="2"/>
      <c r="CQ2452" s="2"/>
      <c r="CT2452" s="2"/>
      <c r="CW2452" s="2"/>
    </row>
    <row r="2453" spans="1:101" x14ac:dyDescent="0.25">
      <c r="A2453" s="1" t="s">
        <v>163</v>
      </c>
      <c r="B2453" s="75" t="s">
        <v>164</v>
      </c>
      <c r="C2453">
        <v>0</v>
      </c>
      <c r="D2453">
        <v>0</v>
      </c>
      <c r="E2453">
        <v>0</v>
      </c>
      <c r="F2453">
        <v>604324.56000000006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3.91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7490</v>
      </c>
      <c r="AW2453">
        <v>3350</v>
      </c>
      <c r="AX2453">
        <v>1219</v>
      </c>
      <c r="AY2453">
        <v>12059</v>
      </c>
      <c r="AZ2453">
        <v>4202</v>
      </c>
      <c r="BA2453">
        <v>7438</v>
      </c>
      <c r="BB2453">
        <v>1432</v>
      </c>
      <c r="BC2453">
        <v>13072</v>
      </c>
      <c r="BD2453">
        <v>9486</v>
      </c>
      <c r="BE2453">
        <v>9222</v>
      </c>
      <c r="BF2453">
        <v>1768</v>
      </c>
      <c r="BG2453">
        <v>20476</v>
      </c>
      <c r="BH2453">
        <v>0</v>
      </c>
      <c r="BI2453">
        <v>0</v>
      </c>
      <c r="BJ2453">
        <v>0</v>
      </c>
      <c r="BK2453">
        <v>0</v>
      </c>
      <c r="BL2453" s="2">
        <v>24.82</v>
      </c>
      <c r="BM2453" s="2">
        <v>42005.095138888886</v>
      </c>
      <c r="BN2453" s="2">
        <v>5.4</v>
      </c>
      <c r="BO2453" s="2">
        <v>42005.092361111114</v>
      </c>
      <c r="BP2453" s="2">
        <v>6.92</v>
      </c>
      <c r="BQ2453" s="2">
        <v>42005.092361111114</v>
      </c>
      <c r="BR2453" s="2">
        <v>11.07</v>
      </c>
      <c r="BS2453" s="2">
        <v>42005.092361111114</v>
      </c>
      <c r="BT2453">
        <v>0</v>
      </c>
      <c r="BU2453">
        <v>0</v>
      </c>
      <c r="BV2453" t="s">
        <v>135</v>
      </c>
      <c r="BW2453">
        <v>0</v>
      </c>
      <c r="BX2453">
        <v>0</v>
      </c>
      <c r="BY2453" t="s">
        <v>135</v>
      </c>
      <c r="BZ2453">
        <v>0</v>
      </c>
      <c r="CA2453">
        <v>0</v>
      </c>
      <c r="CB2453" t="s">
        <v>135</v>
      </c>
      <c r="CH2453" s="2"/>
      <c r="CJ2453" s="2"/>
      <c r="CL2453" s="2"/>
      <c r="CN2453" s="2"/>
      <c r="CQ2453" s="2"/>
      <c r="CT2453" s="2"/>
      <c r="CW2453" s="2"/>
    </row>
    <row r="2454" spans="1:101" x14ac:dyDescent="0.25">
      <c r="A2454" s="1" t="s">
        <v>163</v>
      </c>
      <c r="B2454" s="75" t="s">
        <v>164</v>
      </c>
      <c r="C2454">
        <v>0</v>
      </c>
      <c r="D2454">
        <v>0</v>
      </c>
      <c r="E2454">
        <v>0</v>
      </c>
      <c r="F2454">
        <v>604324.56000000006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3.91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7490</v>
      </c>
      <c r="AW2454">
        <v>3350</v>
      </c>
      <c r="AX2454">
        <v>1219</v>
      </c>
      <c r="AY2454">
        <v>12059</v>
      </c>
      <c r="AZ2454">
        <v>4202</v>
      </c>
      <c r="BA2454">
        <v>7438</v>
      </c>
      <c r="BB2454">
        <v>1432</v>
      </c>
      <c r="BC2454">
        <v>13072</v>
      </c>
      <c r="BD2454">
        <v>9486</v>
      </c>
      <c r="BE2454">
        <v>9222</v>
      </c>
      <c r="BF2454">
        <v>1768</v>
      </c>
      <c r="BG2454">
        <v>20476</v>
      </c>
      <c r="BH2454">
        <v>0</v>
      </c>
      <c r="BI2454">
        <v>0</v>
      </c>
      <c r="BJ2454">
        <v>0</v>
      </c>
      <c r="BK2454">
        <v>0</v>
      </c>
      <c r="BL2454" s="2">
        <v>24.82</v>
      </c>
      <c r="BM2454" s="2">
        <v>42005.095138888886</v>
      </c>
      <c r="BN2454" s="2">
        <v>5.4</v>
      </c>
      <c r="BO2454" s="2">
        <v>42005.092361111114</v>
      </c>
      <c r="BP2454" s="2">
        <v>6.92</v>
      </c>
      <c r="BQ2454" s="2">
        <v>42005.092361111114</v>
      </c>
      <c r="BR2454" s="2">
        <v>11.07</v>
      </c>
      <c r="BS2454" s="2">
        <v>42005.092361111114</v>
      </c>
      <c r="BT2454">
        <v>0</v>
      </c>
      <c r="BU2454">
        <v>0</v>
      </c>
      <c r="BV2454" t="s">
        <v>135</v>
      </c>
      <c r="BW2454">
        <v>0</v>
      </c>
      <c r="BX2454">
        <v>0</v>
      </c>
      <c r="BY2454" t="s">
        <v>135</v>
      </c>
      <c r="BZ2454">
        <v>0</v>
      </c>
      <c r="CA2454">
        <v>0</v>
      </c>
      <c r="CB2454" t="s">
        <v>135</v>
      </c>
      <c r="CH2454" s="2"/>
      <c r="CJ2454" s="2"/>
      <c r="CL2454" s="2"/>
      <c r="CN2454" s="2"/>
      <c r="CQ2454" s="2"/>
      <c r="CT2454" s="2"/>
      <c r="CW2454" s="2"/>
    </row>
    <row r="2455" spans="1:101" x14ac:dyDescent="0.25">
      <c r="A2455" s="1" t="s">
        <v>163</v>
      </c>
      <c r="B2455" s="75" t="s">
        <v>164</v>
      </c>
      <c r="C2455">
        <v>0</v>
      </c>
      <c r="D2455">
        <v>0</v>
      </c>
      <c r="E2455">
        <v>0</v>
      </c>
      <c r="F2455">
        <v>604324.56000000006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3.91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7490</v>
      </c>
      <c r="AW2455">
        <v>3350</v>
      </c>
      <c r="AX2455">
        <v>1219</v>
      </c>
      <c r="AY2455">
        <v>12059</v>
      </c>
      <c r="AZ2455">
        <v>4202</v>
      </c>
      <c r="BA2455">
        <v>7438</v>
      </c>
      <c r="BB2455">
        <v>1432</v>
      </c>
      <c r="BC2455">
        <v>13072</v>
      </c>
      <c r="BD2455">
        <v>9486</v>
      </c>
      <c r="BE2455">
        <v>9222</v>
      </c>
      <c r="BF2455">
        <v>1768</v>
      </c>
      <c r="BG2455">
        <v>20476</v>
      </c>
      <c r="BH2455">
        <v>0</v>
      </c>
      <c r="BI2455">
        <v>0</v>
      </c>
      <c r="BJ2455">
        <v>0</v>
      </c>
      <c r="BK2455">
        <v>0</v>
      </c>
      <c r="BL2455" s="2">
        <v>24.82</v>
      </c>
      <c r="BM2455" s="2">
        <v>42005.095138888886</v>
      </c>
      <c r="BN2455" s="2">
        <v>5.4</v>
      </c>
      <c r="BO2455" s="2">
        <v>42005.092361111114</v>
      </c>
      <c r="BP2455" s="2">
        <v>6.92</v>
      </c>
      <c r="BQ2455" s="2">
        <v>42005.092361111114</v>
      </c>
      <c r="BR2455" s="2">
        <v>11.07</v>
      </c>
      <c r="BS2455" s="2">
        <v>42005.092361111114</v>
      </c>
      <c r="BT2455">
        <v>0</v>
      </c>
      <c r="BU2455">
        <v>0</v>
      </c>
      <c r="BV2455" t="s">
        <v>135</v>
      </c>
      <c r="BW2455">
        <v>0</v>
      </c>
      <c r="BX2455">
        <v>0</v>
      </c>
      <c r="BY2455" t="s">
        <v>135</v>
      </c>
      <c r="BZ2455">
        <v>0</v>
      </c>
      <c r="CA2455">
        <v>0</v>
      </c>
      <c r="CB2455" t="s">
        <v>135</v>
      </c>
      <c r="CH2455" s="2"/>
      <c r="CJ2455" s="2"/>
      <c r="CL2455" s="2"/>
      <c r="CN2455" s="2"/>
      <c r="CQ2455" s="2"/>
      <c r="CT2455" s="2"/>
      <c r="CW2455" s="2"/>
    </row>
    <row r="2456" spans="1:101" x14ac:dyDescent="0.25">
      <c r="A2456" s="1" t="s">
        <v>163</v>
      </c>
      <c r="B2456" s="75" t="s">
        <v>164</v>
      </c>
      <c r="C2456">
        <v>0</v>
      </c>
      <c r="D2456">
        <v>0</v>
      </c>
      <c r="E2456">
        <v>0</v>
      </c>
      <c r="F2456">
        <v>604324.56000000006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3.91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7490</v>
      </c>
      <c r="AW2456">
        <v>3350</v>
      </c>
      <c r="AX2456">
        <v>1219</v>
      </c>
      <c r="AY2456">
        <v>12059</v>
      </c>
      <c r="AZ2456">
        <v>4202</v>
      </c>
      <c r="BA2456">
        <v>7438</v>
      </c>
      <c r="BB2456">
        <v>1432</v>
      </c>
      <c r="BC2456">
        <v>13072</v>
      </c>
      <c r="BD2456">
        <v>9486</v>
      </c>
      <c r="BE2456">
        <v>9222</v>
      </c>
      <c r="BF2456">
        <v>1768</v>
      </c>
      <c r="BG2456">
        <v>20476</v>
      </c>
      <c r="BH2456">
        <v>0</v>
      </c>
      <c r="BI2456">
        <v>0</v>
      </c>
      <c r="BJ2456">
        <v>0</v>
      </c>
      <c r="BK2456">
        <v>0</v>
      </c>
      <c r="BL2456" s="2">
        <v>24.82</v>
      </c>
      <c r="BM2456" s="2">
        <v>42005.095138888886</v>
      </c>
      <c r="BN2456" s="2">
        <v>5.4</v>
      </c>
      <c r="BO2456" s="2">
        <v>42005.092361111114</v>
      </c>
      <c r="BP2456" s="2">
        <v>6.92</v>
      </c>
      <c r="BQ2456" s="2">
        <v>42005.092361111114</v>
      </c>
      <c r="BR2456" s="2">
        <v>11.07</v>
      </c>
      <c r="BS2456" s="2">
        <v>42005.092361111114</v>
      </c>
      <c r="BT2456">
        <v>0</v>
      </c>
      <c r="BU2456">
        <v>0</v>
      </c>
      <c r="BV2456" t="s">
        <v>135</v>
      </c>
      <c r="BW2456">
        <v>0</v>
      </c>
      <c r="BX2456">
        <v>0</v>
      </c>
      <c r="BY2456" t="s">
        <v>135</v>
      </c>
      <c r="BZ2456">
        <v>0</v>
      </c>
      <c r="CA2456">
        <v>0</v>
      </c>
      <c r="CB2456" t="s">
        <v>135</v>
      </c>
      <c r="CH2456" s="2"/>
      <c r="CJ2456" s="2"/>
      <c r="CL2456" s="2"/>
      <c r="CN2456" s="2"/>
      <c r="CQ2456" s="2"/>
      <c r="CT2456" s="2"/>
      <c r="CW2456" s="2"/>
    </row>
    <row r="2457" spans="1:101" x14ac:dyDescent="0.25">
      <c r="A2457" s="1" t="s">
        <v>163</v>
      </c>
      <c r="B2457" s="75" t="s">
        <v>164</v>
      </c>
      <c r="C2457">
        <v>0</v>
      </c>
      <c r="D2457">
        <v>0</v>
      </c>
      <c r="E2457">
        <v>0</v>
      </c>
      <c r="F2457">
        <v>604324.56000000006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3.91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7490</v>
      </c>
      <c r="AW2457">
        <v>3350</v>
      </c>
      <c r="AX2457">
        <v>1219</v>
      </c>
      <c r="AY2457">
        <v>12059</v>
      </c>
      <c r="AZ2457">
        <v>4202</v>
      </c>
      <c r="BA2457">
        <v>7438</v>
      </c>
      <c r="BB2457">
        <v>1432</v>
      </c>
      <c r="BC2457">
        <v>13072</v>
      </c>
      <c r="BD2457">
        <v>9486</v>
      </c>
      <c r="BE2457">
        <v>9222</v>
      </c>
      <c r="BF2457">
        <v>1768</v>
      </c>
      <c r="BG2457">
        <v>20476</v>
      </c>
      <c r="BH2457">
        <v>0</v>
      </c>
      <c r="BI2457">
        <v>0</v>
      </c>
      <c r="BJ2457">
        <v>0</v>
      </c>
      <c r="BK2457">
        <v>0</v>
      </c>
      <c r="BL2457" s="2">
        <v>24.82</v>
      </c>
      <c r="BM2457" s="2">
        <v>42005.095138888886</v>
      </c>
      <c r="BN2457" s="2">
        <v>5.4</v>
      </c>
      <c r="BO2457" s="2">
        <v>42005.092361111114</v>
      </c>
      <c r="BP2457" s="2">
        <v>6.92</v>
      </c>
      <c r="BQ2457" s="2">
        <v>42005.092361111114</v>
      </c>
      <c r="BR2457" s="2">
        <v>11.07</v>
      </c>
      <c r="BS2457" s="2">
        <v>42005.092361111114</v>
      </c>
      <c r="BT2457">
        <v>0</v>
      </c>
      <c r="BU2457">
        <v>0</v>
      </c>
      <c r="BV2457" t="s">
        <v>135</v>
      </c>
      <c r="BW2457">
        <v>0</v>
      </c>
      <c r="BX2457">
        <v>0</v>
      </c>
      <c r="BY2457" t="s">
        <v>135</v>
      </c>
      <c r="BZ2457">
        <v>0</v>
      </c>
      <c r="CA2457">
        <v>0</v>
      </c>
      <c r="CB2457" t="s">
        <v>135</v>
      </c>
      <c r="CH2457" s="2"/>
      <c r="CJ2457" s="2"/>
      <c r="CL2457" s="2"/>
      <c r="CN2457" s="2"/>
      <c r="CQ2457" s="2"/>
      <c r="CT2457" s="2"/>
      <c r="CW2457" s="2"/>
    </row>
    <row r="2458" spans="1:101" x14ac:dyDescent="0.25">
      <c r="A2458" s="1" t="s">
        <v>163</v>
      </c>
      <c r="B2458" s="75" t="s">
        <v>164</v>
      </c>
      <c r="C2458">
        <v>0</v>
      </c>
      <c r="D2458">
        <v>0</v>
      </c>
      <c r="E2458">
        <v>0</v>
      </c>
      <c r="F2458">
        <v>604324.56000000006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3.91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7490</v>
      </c>
      <c r="AW2458">
        <v>3350</v>
      </c>
      <c r="AX2458">
        <v>1219</v>
      </c>
      <c r="AY2458">
        <v>12059</v>
      </c>
      <c r="AZ2458">
        <v>4202</v>
      </c>
      <c r="BA2458">
        <v>7438</v>
      </c>
      <c r="BB2458">
        <v>1432</v>
      </c>
      <c r="BC2458">
        <v>13072</v>
      </c>
      <c r="BD2458">
        <v>9486</v>
      </c>
      <c r="BE2458">
        <v>9222</v>
      </c>
      <c r="BF2458">
        <v>1768</v>
      </c>
      <c r="BG2458">
        <v>20476</v>
      </c>
      <c r="BH2458">
        <v>0</v>
      </c>
      <c r="BI2458">
        <v>0</v>
      </c>
      <c r="BJ2458">
        <v>0</v>
      </c>
      <c r="BK2458">
        <v>0</v>
      </c>
      <c r="BL2458" s="2">
        <v>24.82</v>
      </c>
      <c r="BM2458" s="2">
        <v>42005.095138888886</v>
      </c>
      <c r="BN2458" s="2">
        <v>5.4</v>
      </c>
      <c r="BO2458" s="2">
        <v>42005.092361111114</v>
      </c>
      <c r="BP2458" s="2">
        <v>6.92</v>
      </c>
      <c r="BQ2458" s="2">
        <v>42005.092361111114</v>
      </c>
      <c r="BR2458" s="2">
        <v>11.07</v>
      </c>
      <c r="BS2458" s="2">
        <v>42005.092361111114</v>
      </c>
      <c r="BT2458">
        <v>0</v>
      </c>
      <c r="BU2458">
        <v>0</v>
      </c>
      <c r="BV2458" t="s">
        <v>135</v>
      </c>
      <c r="BW2458">
        <v>0</v>
      </c>
      <c r="BX2458">
        <v>0</v>
      </c>
      <c r="BY2458" t="s">
        <v>135</v>
      </c>
      <c r="BZ2458">
        <v>0</v>
      </c>
      <c r="CA2458">
        <v>0</v>
      </c>
      <c r="CB2458" t="s">
        <v>135</v>
      </c>
      <c r="CH2458" s="2"/>
      <c r="CJ2458" s="2"/>
      <c r="CL2458" s="2"/>
      <c r="CN2458" s="2"/>
      <c r="CQ2458" s="2"/>
      <c r="CT2458" s="2"/>
      <c r="CW2458" s="2"/>
    </row>
    <row r="2459" spans="1:101" x14ac:dyDescent="0.25">
      <c r="A2459" s="1" t="s">
        <v>163</v>
      </c>
      <c r="B2459" s="75" t="s">
        <v>164</v>
      </c>
      <c r="C2459">
        <v>0</v>
      </c>
      <c r="D2459">
        <v>0</v>
      </c>
      <c r="E2459">
        <v>0</v>
      </c>
      <c r="F2459">
        <v>604324.56000000006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3.91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7490</v>
      </c>
      <c r="AW2459">
        <v>3350</v>
      </c>
      <c r="AX2459">
        <v>1219</v>
      </c>
      <c r="AY2459">
        <v>12059</v>
      </c>
      <c r="AZ2459">
        <v>4202</v>
      </c>
      <c r="BA2459">
        <v>7438</v>
      </c>
      <c r="BB2459">
        <v>1432</v>
      </c>
      <c r="BC2459">
        <v>13072</v>
      </c>
      <c r="BD2459">
        <v>9486</v>
      </c>
      <c r="BE2459">
        <v>9222</v>
      </c>
      <c r="BF2459">
        <v>1768</v>
      </c>
      <c r="BG2459">
        <v>20476</v>
      </c>
      <c r="BH2459">
        <v>0</v>
      </c>
      <c r="BI2459">
        <v>0</v>
      </c>
      <c r="BJ2459">
        <v>0</v>
      </c>
      <c r="BK2459">
        <v>0</v>
      </c>
      <c r="BL2459" s="2">
        <v>24.82</v>
      </c>
      <c r="BM2459" s="2">
        <v>42005.095138888886</v>
      </c>
      <c r="BN2459" s="2">
        <v>5.4</v>
      </c>
      <c r="BO2459" s="2">
        <v>42005.092361111114</v>
      </c>
      <c r="BP2459" s="2">
        <v>6.92</v>
      </c>
      <c r="BQ2459" s="2">
        <v>42005.092361111114</v>
      </c>
      <c r="BR2459" s="2">
        <v>11.07</v>
      </c>
      <c r="BS2459" s="2">
        <v>42005.092361111114</v>
      </c>
      <c r="BT2459">
        <v>0</v>
      </c>
      <c r="BU2459">
        <v>0</v>
      </c>
      <c r="BV2459" t="s">
        <v>135</v>
      </c>
      <c r="BW2459">
        <v>0</v>
      </c>
      <c r="BX2459">
        <v>0</v>
      </c>
      <c r="BY2459" t="s">
        <v>135</v>
      </c>
      <c r="BZ2459">
        <v>0</v>
      </c>
      <c r="CA2459">
        <v>0</v>
      </c>
      <c r="CB2459" t="s">
        <v>135</v>
      </c>
      <c r="CH2459" s="2"/>
      <c r="CJ2459" s="2"/>
      <c r="CL2459" s="2"/>
      <c r="CN2459" s="2"/>
      <c r="CQ2459" s="2"/>
      <c r="CT2459" s="2"/>
      <c r="CW2459" s="2"/>
    </row>
    <row r="2460" spans="1:101" x14ac:dyDescent="0.25">
      <c r="A2460" s="1" t="s">
        <v>163</v>
      </c>
      <c r="B2460" s="75" t="s">
        <v>164</v>
      </c>
      <c r="C2460">
        <v>0</v>
      </c>
      <c r="D2460">
        <v>0</v>
      </c>
      <c r="E2460">
        <v>0</v>
      </c>
      <c r="F2460">
        <v>604324.56000000006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3.91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7490</v>
      </c>
      <c r="AW2460">
        <v>3350</v>
      </c>
      <c r="AX2460">
        <v>1219</v>
      </c>
      <c r="AY2460">
        <v>12059</v>
      </c>
      <c r="AZ2460">
        <v>4202</v>
      </c>
      <c r="BA2460">
        <v>7438</v>
      </c>
      <c r="BB2460">
        <v>1432</v>
      </c>
      <c r="BC2460">
        <v>13072</v>
      </c>
      <c r="BD2460">
        <v>9486</v>
      </c>
      <c r="BE2460">
        <v>9222</v>
      </c>
      <c r="BF2460">
        <v>1768</v>
      </c>
      <c r="BG2460">
        <v>20476</v>
      </c>
      <c r="BH2460">
        <v>0</v>
      </c>
      <c r="BI2460">
        <v>0</v>
      </c>
      <c r="BJ2460">
        <v>0</v>
      </c>
      <c r="BK2460">
        <v>0</v>
      </c>
      <c r="BL2460" s="2">
        <v>24.82</v>
      </c>
      <c r="BM2460" s="2">
        <v>42005.095138888886</v>
      </c>
      <c r="BN2460" s="2">
        <v>5.4</v>
      </c>
      <c r="BO2460" s="2">
        <v>42005.092361111114</v>
      </c>
      <c r="BP2460" s="2">
        <v>6.92</v>
      </c>
      <c r="BQ2460" s="2">
        <v>42005.092361111114</v>
      </c>
      <c r="BR2460" s="2">
        <v>11.07</v>
      </c>
      <c r="BS2460" s="2">
        <v>42005.092361111114</v>
      </c>
      <c r="BT2460">
        <v>0</v>
      </c>
      <c r="BU2460">
        <v>0</v>
      </c>
      <c r="BV2460" t="s">
        <v>135</v>
      </c>
      <c r="BW2460">
        <v>0</v>
      </c>
      <c r="BX2460">
        <v>0</v>
      </c>
      <c r="BY2460" t="s">
        <v>135</v>
      </c>
      <c r="BZ2460">
        <v>0</v>
      </c>
      <c r="CA2460">
        <v>0</v>
      </c>
      <c r="CB2460" t="s">
        <v>135</v>
      </c>
      <c r="CH2460" s="2"/>
      <c r="CJ2460" s="2"/>
      <c r="CL2460" s="2"/>
      <c r="CN2460" s="2"/>
      <c r="CQ2460" s="2"/>
      <c r="CT2460" s="2"/>
      <c r="CW2460" s="2"/>
    </row>
    <row r="2461" spans="1:101" x14ac:dyDescent="0.25">
      <c r="A2461" s="1" t="s">
        <v>163</v>
      </c>
      <c r="B2461" s="75" t="s">
        <v>164</v>
      </c>
      <c r="C2461">
        <v>0</v>
      </c>
      <c r="D2461">
        <v>0</v>
      </c>
      <c r="E2461">
        <v>0</v>
      </c>
      <c r="F2461">
        <v>604324.56000000006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3.91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7490</v>
      </c>
      <c r="AW2461">
        <v>3350</v>
      </c>
      <c r="AX2461">
        <v>1219</v>
      </c>
      <c r="AY2461">
        <v>12059</v>
      </c>
      <c r="AZ2461">
        <v>4202</v>
      </c>
      <c r="BA2461">
        <v>7438</v>
      </c>
      <c r="BB2461">
        <v>1432</v>
      </c>
      <c r="BC2461">
        <v>13072</v>
      </c>
      <c r="BD2461">
        <v>9486</v>
      </c>
      <c r="BE2461">
        <v>9222</v>
      </c>
      <c r="BF2461">
        <v>1768</v>
      </c>
      <c r="BG2461">
        <v>20476</v>
      </c>
      <c r="BH2461">
        <v>0</v>
      </c>
      <c r="BI2461">
        <v>0</v>
      </c>
      <c r="BJ2461">
        <v>0</v>
      </c>
      <c r="BK2461">
        <v>0</v>
      </c>
      <c r="BL2461" s="2">
        <v>24.82</v>
      </c>
      <c r="BM2461" s="2">
        <v>42005.095138888886</v>
      </c>
      <c r="BN2461" s="2">
        <v>5.4</v>
      </c>
      <c r="BO2461" s="2">
        <v>42005.092361111114</v>
      </c>
      <c r="BP2461" s="2">
        <v>6.92</v>
      </c>
      <c r="BQ2461" s="2">
        <v>42005.092361111114</v>
      </c>
      <c r="BR2461" s="2">
        <v>11.07</v>
      </c>
      <c r="BS2461" s="2">
        <v>42005.092361111114</v>
      </c>
      <c r="BT2461">
        <v>0</v>
      </c>
      <c r="BU2461">
        <v>0</v>
      </c>
      <c r="BV2461" t="s">
        <v>135</v>
      </c>
      <c r="BW2461">
        <v>0</v>
      </c>
      <c r="BX2461">
        <v>0</v>
      </c>
      <c r="BY2461" t="s">
        <v>135</v>
      </c>
      <c r="BZ2461">
        <v>0</v>
      </c>
      <c r="CA2461">
        <v>0</v>
      </c>
      <c r="CB2461" t="s">
        <v>135</v>
      </c>
      <c r="CH2461" s="2"/>
      <c r="CJ2461" s="2"/>
      <c r="CL2461" s="2"/>
      <c r="CN2461" s="2"/>
      <c r="CQ2461" s="2"/>
      <c r="CT2461" s="2"/>
      <c r="CW2461" s="2"/>
    </row>
    <row r="2462" spans="1:101" x14ac:dyDescent="0.25">
      <c r="A2462" s="1" t="s">
        <v>163</v>
      </c>
      <c r="B2462" s="75" t="s">
        <v>164</v>
      </c>
      <c r="C2462">
        <v>0</v>
      </c>
      <c r="D2462">
        <v>0</v>
      </c>
      <c r="E2462">
        <v>0</v>
      </c>
      <c r="F2462">
        <v>604324.56000000006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3.91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7490</v>
      </c>
      <c r="AW2462">
        <v>3350</v>
      </c>
      <c r="AX2462">
        <v>1219</v>
      </c>
      <c r="AY2462">
        <v>12059</v>
      </c>
      <c r="AZ2462">
        <v>4202</v>
      </c>
      <c r="BA2462">
        <v>7438</v>
      </c>
      <c r="BB2462">
        <v>1432</v>
      </c>
      <c r="BC2462">
        <v>13072</v>
      </c>
      <c r="BD2462">
        <v>9486</v>
      </c>
      <c r="BE2462">
        <v>9222</v>
      </c>
      <c r="BF2462">
        <v>1768</v>
      </c>
      <c r="BG2462">
        <v>20476</v>
      </c>
      <c r="BH2462">
        <v>0</v>
      </c>
      <c r="BI2462">
        <v>0</v>
      </c>
      <c r="BJ2462">
        <v>0</v>
      </c>
      <c r="BK2462">
        <v>0</v>
      </c>
      <c r="BL2462" s="2">
        <v>24.82</v>
      </c>
      <c r="BM2462" s="2">
        <v>42005.095138888886</v>
      </c>
      <c r="BN2462" s="2">
        <v>5.4</v>
      </c>
      <c r="BO2462" s="2">
        <v>42005.092361111114</v>
      </c>
      <c r="BP2462" s="2">
        <v>6.92</v>
      </c>
      <c r="BQ2462" s="2">
        <v>42005.092361111114</v>
      </c>
      <c r="BR2462" s="2">
        <v>11.07</v>
      </c>
      <c r="BS2462" s="2">
        <v>42005.092361111114</v>
      </c>
      <c r="BT2462">
        <v>0</v>
      </c>
      <c r="BU2462">
        <v>0</v>
      </c>
      <c r="BV2462" t="s">
        <v>135</v>
      </c>
      <c r="BW2462">
        <v>0</v>
      </c>
      <c r="BX2462">
        <v>0</v>
      </c>
      <c r="BY2462" t="s">
        <v>135</v>
      </c>
      <c r="BZ2462">
        <v>0</v>
      </c>
      <c r="CA2462">
        <v>0</v>
      </c>
      <c r="CB2462" t="s">
        <v>135</v>
      </c>
      <c r="CH2462" s="2"/>
      <c r="CJ2462" s="2"/>
      <c r="CL2462" s="2"/>
      <c r="CN2462" s="2"/>
      <c r="CQ2462" s="2"/>
      <c r="CT2462" s="2"/>
      <c r="CW2462" s="2"/>
    </row>
    <row r="2463" spans="1:101" x14ac:dyDescent="0.25">
      <c r="A2463" s="1" t="s">
        <v>163</v>
      </c>
      <c r="B2463" s="75" t="s">
        <v>164</v>
      </c>
      <c r="C2463">
        <v>0</v>
      </c>
      <c r="D2463">
        <v>0</v>
      </c>
      <c r="E2463">
        <v>0</v>
      </c>
      <c r="F2463">
        <v>604324.56000000006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3.91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7490</v>
      </c>
      <c r="AW2463">
        <v>3350</v>
      </c>
      <c r="AX2463">
        <v>1219</v>
      </c>
      <c r="AY2463">
        <v>12059</v>
      </c>
      <c r="AZ2463">
        <v>4202</v>
      </c>
      <c r="BA2463">
        <v>7438</v>
      </c>
      <c r="BB2463">
        <v>1432</v>
      </c>
      <c r="BC2463">
        <v>13072</v>
      </c>
      <c r="BD2463">
        <v>9486</v>
      </c>
      <c r="BE2463">
        <v>9222</v>
      </c>
      <c r="BF2463">
        <v>1768</v>
      </c>
      <c r="BG2463">
        <v>20476</v>
      </c>
      <c r="BH2463">
        <v>0</v>
      </c>
      <c r="BI2463">
        <v>0</v>
      </c>
      <c r="BJ2463">
        <v>0</v>
      </c>
      <c r="BK2463">
        <v>0</v>
      </c>
      <c r="BL2463" s="2">
        <v>24.82</v>
      </c>
      <c r="BM2463" s="2">
        <v>42005.095138888886</v>
      </c>
      <c r="BN2463" s="2">
        <v>5.4</v>
      </c>
      <c r="BO2463" s="2">
        <v>42005.092361111114</v>
      </c>
      <c r="BP2463" s="2">
        <v>6.92</v>
      </c>
      <c r="BQ2463" s="2">
        <v>42005.092361111114</v>
      </c>
      <c r="BR2463" s="2">
        <v>11.07</v>
      </c>
      <c r="BS2463" s="2">
        <v>42005.092361111114</v>
      </c>
      <c r="BT2463">
        <v>0</v>
      </c>
      <c r="BU2463">
        <v>0</v>
      </c>
      <c r="BV2463" t="s">
        <v>135</v>
      </c>
      <c r="BW2463">
        <v>0</v>
      </c>
      <c r="BX2463">
        <v>0</v>
      </c>
      <c r="BY2463" t="s">
        <v>135</v>
      </c>
      <c r="BZ2463">
        <v>0</v>
      </c>
      <c r="CA2463">
        <v>0</v>
      </c>
      <c r="CB2463" t="s">
        <v>135</v>
      </c>
      <c r="CH2463" s="2"/>
      <c r="CJ2463" s="2"/>
      <c r="CL2463" s="2"/>
      <c r="CN2463" s="2"/>
      <c r="CQ2463" s="2"/>
      <c r="CT2463" s="2"/>
      <c r="CW2463" s="2"/>
    </row>
    <row r="2464" spans="1:101" x14ac:dyDescent="0.25">
      <c r="A2464" s="1" t="s">
        <v>163</v>
      </c>
      <c r="B2464" s="75" t="s">
        <v>164</v>
      </c>
      <c r="C2464">
        <v>0</v>
      </c>
      <c r="D2464">
        <v>0</v>
      </c>
      <c r="E2464">
        <v>0</v>
      </c>
      <c r="F2464">
        <v>604324.56000000006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3.91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7490</v>
      </c>
      <c r="AW2464">
        <v>3350</v>
      </c>
      <c r="AX2464">
        <v>1219</v>
      </c>
      <c r="AY2464">
        <v>12059</v>
      </c>
      <c r="AZ2464">
        <v>4202</v>
      </c>
      <c r="BA2464">
        <v>7438</v>
      </c>
      <c r="BB2464">
        <v>1432</v>
      </c>
      <c r="BC2464">
        <v>13072</v>
      </c>
      <c r="BD2464">
        <v>9486</v>
      </c>
      <c r="BE2464">
        <v>9222</v>
      </c>
      <c r="BF2464">
        <v>1768</v>
      </c>
      <c r="BG2464">
        <v>20476</v>
      </c>
      <c r="BH2464">
        <v>0</v>
      </c>
      <c r="BI2464">
        <v>0</v>
      </c>
      <c r="BJ2464">
        <v>0</v>
      </c>
      <c r="BK2464">
        <v>0</v>
      </c>
      <c r="BL2464" s="2">
        <v>24.82</v>
      </c>
      <c r="BM2464" s="2">
        <v>42005.095138888886</v>
      </c>
      <c r="BN2464" s="2">
        <v>5.4</v>
      </c>
      <c r="BO2464" s="2">
        <v>42005.092361111114</v>
      </c>
      <c r="BP2464" s="2">
        <v>6.92</v>
      </c>
      <c r="BQ2464" s="2">
        <v>42005.092361111114</v>
      </c>
      <c r="BR2464" s="2">
        <v>11.07</v>
      </c>
      <c r="BS2464" s="2">
        <v>42005.092361111114</v>
      </c>
      <c r="BT2464">
        <v>0</v>
      </c>
      <c r="BU2464">
        <v>0</v>
      </c>
      <c r="BV2464" t="s">
        <v>135</v>
      </c>
      <c r="BW2464">
        <v>0</v>
      </c>
      <c r="BX2464">
        <v>0</v>
      </c>
      <c r="BY2464" t="s">
        <v>135</v>
      </c>
      <c r="BZ2464">
        <v>0</v>
      </c>
      <c r="CA2464">
        <v>0</v>
      </c>
      <c r="CB2464" t="s">
        <v>135</v>
      </c>
      <c r="CH2464" s="2"/>
      <c r="CJ2464" s="2"/>
      <c r="CL2464" s="2"/>
      <c r="CN2464" s="2"/>
      <c r="CQ2464" s="2"/>
      <c r="CT2464" s="2"/>
      <c r="CW2464" s="2"/>
    </row>
    <row r="2465" spans="1:101" x14ac:dyDescent="0.25">
      <c r="A2465" s="1" t="s">
        <v>163</v>
      </c>
      <c r="B2465" s="75" t="s">
        <v>164</v>
      </c>
      <c r="C2465">
        <v>0</v>
      </c>
      <c r="D2465">
        <v>0</v>
      </c>
      <c r="E2465">
        <v>0</v>
      </c>
      <c r="F2465">
        <v>604324.56000000006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3.91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7490</v>
      </c>
      <c r="AW2465">
        <v>3350</v>
      </c>
      <c r="AX2465">
        <v>1219</v>
      </c>
      <c r="AY2465">
        <v>12059</v>
      </c>
      <c r="AZ2465">
        <v>4202</v>
      </c>
      <c r="BA2465">
        <v>7438</v>
      </c>
      <c r="BB2465">
        <v>1432</v>
      </c>
      <c r="BC2465">
        <v>13072</v>
      </c>
      <c r="BD2465">
        <v>9486</v>
      </c>
      <c r="BE2465">
        <v>9222</v>
      </c>
      <c r="BF2465">
        <v>1768</v>
      </c>
      <c r="BG2465">
        <v>20476</v>
      </c>
      <c r="BH2465">
        <v>0</v>
      </c>
      <c r="BI2465">
        <v>0</v>
      </c>
      <c r="BJ2465">
        <v>0</v>
      </c>
      <c r="BK2465">
        <v>0</v>
      </c>
      <c r="BL2465" s="2">
        <v>24.82</v>
      </c>
      <c r="BM2465" s="2">
        <v>42005.095138888886</v>
      </c>
      <c r="BN2465" s="2">
        <v>5.4</v>
      </c>
      <c r="BO2465" s="2">
        <v>42005.092361111114</v>
      </c>
      <c r="BP2465" s="2">
        <v>6.92</v>
      </c>
      <c r="BQ2465" s="2">
        <v>42005.092361111114</v>
      </c>
      <c r="BR2465" s="2">
        <v>11.07</v>
      </c>
      <c r="BS2465" s="2">
        <v>42005.092361111114</v>
      </c>
      <c r="BT2465">
        <v>0</v>
      </c>
      <c r="BU2465">
        <v>0</v>
      </c>
      <c r="BV2465" t="s">
        <v>135</v>
      </c>
      <c r="BW2465">
        <v>0</v>
      </c>
      <c r="BX2465">
        <v>0</v>
      </c>
      <c r="BY2465" t="s">
        <v>135</v>
      </c>
      <c r="BZ2465">
        <v>0</v>
      </c>
      <c r="CA2465">
        <v>0</v>
      </c>
      <c r="CB2465" t="s">
        <v>135</v>
      </c>
      <c r="CH2465" s="2"/>
      <c r="CJ2465" s="2"/>
      <c r="CL2465" s="2"/>
      <c r="CN2465" s="2"/>
      <c r="CQ2465" s="2"/>
      <c r="CT2465" s="2"/>
      <c r="CW2465" s="2"/>
    </row>
    <row r="2466" spans="1:101" x14ac:dyDescent="0.25">
      <c r="A2466" s="1" t="s">
        <v>163</v>
      </c>
      <c r="B2466" s="75" t="s">
        <v>164</v>
      </c>
      <c r="C2466">
        <v>0</v>
      </c>
      <c r="D2466">
        <v>0</v>
      </c>
      <c r="E2466">
        <v>0</v>
      </c>
      <c r="F2466">
        <v>604324.56000000006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3.91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7490</v>
      </c>
      <c r="AW2466">
        <v>3350</v>
      </c>
      <c r="AX2466">
        <v>1219</v>
      </c>
      <c r="AY2466">
        <v>12059</v>
      </c>
      <c r="AZ2466">
        <v>4202</v>
      </c>
      <c r="BA2466">
        <v>7438</v>
      </c>
      <c r="BB2466">
        <v>1432</v>
      </c>
      <c r="BC2466">
        <v>13072</v>
      </c>
      <c r="BD2466">
        <v>9486</v>
      </c>
      <c r="BE2466">
        <v>9222</v>
      </c>
      <c r="BF2466">
        <v>1768</v>
      </c>
      <c r="BG2466">
        <v>20476</v>
      </c>
      <c r="BH2466">
        <v>0</v>
      </c>
      <c r="BI2466">
        <v>0</v>
      </c>
      <c r="BJ2466">
        <v>0</v>
      </c>
      <c r="BK2466">
        <v>0</v>
      </c>
      <c r="BL2466" s="2">
        <v>24.82</v>
      </c>
      <c r="BM2466" s="2">
        <v>42005.095138888886</v>
      </c>
      <c r="BN2466" s="2">
        <v>5.4</v>
      </c>
      <c r="BO2466" s="2">
        <v>42005.092361111114</v>
      </c>
      <c r="BP2466" s="2">
        <v>6.92</v>
      </c>
      <c r="BQ2466" s="2">
        <v>42005.092361111114</v>
      </c>
      <c r="BR2466" s="2">
        <v>11.07</v>
      </c>
      <c r="BS2466" s="2">
        <v>42005.092361111114</v>
      </c>
      <c r="BT2466">
        <v>0</v>
      </c>
      <c r="BU2466">
        <v>0</v>
      </c>
      <c r="BV2466" t="s">
        <v>135</v>
      </c>
      <c r="BW2466">
        <v>0</v>
      </c>
      <c r="BX2466">
        <v>0</v>
      </c>
      <c r="BY2466" t="s">
        <v>135</v>
      </c>
      <c r="BZ2466">
        <v>0</v>
      </c>
      <c r="CA2466">
        <v>0</v>
      </c>
      <c r="CB2466" t="s">
        <v>135</v>
      </c>
      <c r="CH2466" s="2"/>
      <c r="CJ2466" s="2"/>
      <c r="CL2466" s="2"/>
      <c r="CN2466" s="2"/>
      <c r="CQ2466" s="2"/>
      <c r="CT2466" s="2"/>
      <c r="CW2466" s="2"/>
    </row>
    <row r="2467" spans="1:101" x14ac:dyDescent="0.25">
      <c r="A2467" s="1" t="s">
        <v>163</v>
      </c>
      <c r="B2467" s="75" t="s">
        <v>164</v>
      </c>
      <c r="C2467">
        <v>0</v>
      </c>
      <c r="D2467">
        <v>0</v>
      </c>
      <c r="E2467">
        <v>0</v>
      </c>
      <c r="F2467">
        <v>604324.56000000006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3.91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7490</v>
      </c>
      <c r="AW2467">
        <v>3350</v>
      </c>
      <c r="AX2467">
        <v>1219</v>
      </c>
      <c r="AY2467">
        <v>12059</v>
      </c>
      <c r="AZ2467">
        <v>4202</v>
      </c>
      <c r="BA2467">
        <v>7438</v>
      </c>
      <c r="BB2467">
        <v>1432</v>
      </c>
      <c r="BC2467">
        <v>13072</v>
      </c>
      <c r="BD2467">
        <v>9486</v>
      </c>
      <c r="BE2467">
        <v>9222</v>
      </c>
      <c r="BF2467">
        <v>1768</v>
      </c>
      <c r="BG2467">
        <v>20476</v>
      </c>
      <c r="BH2467">
        <v>0</v>
      </c>
      <c r="BI2467">
        <v>0</v>
      </c>
      <c r="BJ2467">
        <v>0</v>
      </c>
      <c r="BK2467">
        <v>0</v>
      </c>
      <c r="BL2467" s="2">
        <v>24.82</v>
      </c>
      <c r="BM2467" s="2">
        <v>42005.095138888886</v>
      </c>
      <c r="BN2467" s="2">
        <v>5.4</v>
      </c>
      <c r="BO2467" s="2">
        <v>42005.092361111114</v>
      </c>
      <c r="BP2467" s="2">
        <v>6.92</v>
      </c>
      <c r="BQ2467" s="2">
        <v>42005.092361111114</v>
      </c>
      <c r="BR2467" s="2">
        <v>11.07</v>
      </c>
      <c r="BS2467" s="2">
        <v>42005.092361111114</v>
      </c>
      <c r="BT2467">
        <v>0</v>
      </c>
      <c r="BU2467">
        <v>0</v>
      </c>
      <c r="BV2467" t="s">
        <v>135</v>
      </c>
      <c r="BW2467">
        <v>0</v>
      </c>
      <c r="BX2467">
        <v>0</v>
      </c>
      <c r="BY2467" t="s">
        <v>135</v>
      </c>
      <c r="BZ2467">
        <v>0</v>
      </c>
      <c r="CA2467">
        <v>0</v>
      </c>
      <c r="CB2467" t="s">
        <v>135</v>
      </c>
      <c r="CH2467" s="2"/>
      <c r="CJ2467" s="2"/>
      <c r="CL2467" s="2"/>
      <c r="CN2467" s="2"/>
      <c r="CQ2467" s="2"/>
      <c r="CT2467" s="2"/>
      <c r="CW2467" s="2"/>
    </row>
    <row r="2468" spans="1:101" x14ac:dyDescent="0.25">
      <c r="A2468" s="1" t="s">
        <v>163</v>
      </c>
      <c r="B2468" s="75" t="s">
        <v>164</v>
      </c>
      <c r="C2468">
        <v>0</v>
      </c>
      <c r="D2468">
        <v>0</v>
      </c>
      <c r="E2468">
        <v>0</v>
      </c>
      <c r="F2468">
        <v>604324.56000000006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3.91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7490</v>
      </c>
      <c r="AW2468">
        <v>3350</v>
      </c>
      <c r="AX2468">
        <v>1219</v>
      </c>
      <c r="AY2468">
        <v>12059</v>
      </c>
      <c r="AZ2468">
        <v>4202</v>
      </c>
      <c r="BA2468">
        <v>7438</v>
      </c>
      <c r="BB2468">
        <v>1432</v>
      </c>
      <c r="BC2468">
        <v>13072</v>
      </c>
      <c r="BD2468">
        <v>9486</v>
      </c>
      <c r="BE2468">
        <v>9222</v>
      </c>
      <c r="BF2468">
        <v>1768</v>
      </c>
      <c r="BG2468">
        <v>20476</v>
      </c>
      <c r="BH2468">
        <v>0</v>
      </c>
      <c r="BI2468">
        <v>0</v>
      </c>
      <c r="BJ2468">
        <v>0</v>
      </c>
      <c r="BK2468">
        <v>0</v>
      </c>
      <c r="BL2468" s="2">
        <v>24.82</v>
      </c>
      <c r="BM2468" s="2">
        <v>42005.095138888886</v>
      </c>
      <c r="BN2468" s="2">
        <v>5.4</v>
      </c>
      <c r="BO2468" s="2">
        <v>42005.092361111114</v>
      </c>
      <c r="BP2468" s="2">
        <v>6.92</v>
      </c>
      <c r="BQ2468" s="2">
        <v>42005.092361111114</v>
      </c>
      <c r="BR2468" s="2">
        <v>11.07</v>
      </c>
      <c r="BS2468" s="2">
        <v>42005.092361111114</v>
      </c>
      <c r="BT2468">
        <v>0</v>
      </c>
      <c r="BU2468">
        <v>0</v>
      </c>
      <c r="BV2468" t="s">
        <v>135</v>
      </c>
      <c r="BW2468">
        <v>0</v>
      </c>
      <c r="BX2468">
        <v>0</v>
      </c>
      <c r="BY2468" t="s">
        <v>135</v>
      </c>
      <c r="BZ2468">
        <v>0</v>
      </c>
      <c r="CA2468">
        <v>0</v>
      </c>
      <c r="CB2468" t="s">
        <v>135</v>
      </c>
      <c r="CH2468" s="2"/>
      <c r="CJ2468" s="2"/>
      <c r="CL2468" s="2"/>
      <c r="CN2468" s="2"/>
      <c r="CQ2468" s="2"/>
      <c r="CT2468" s="2"/>
      <c r="CW2468" s="2"/>
    </row>
    <row r="2469" spans="1:101" x14ac:dyDescent="0.25">
      <c r="A2469" s="1" t="s">
        <v>163</v>
      </c>
      <c r="B2469" s="75" t="s">
        <v>164</v>
      </c>
      <c r="C2469">
        <v>0</v>
      </c>
      <c r="D2469">
        <v>0</v>
      </c>
      <c r="E2469">
        <v>0</v>
      </c>
      <c r="F2469">
        <v>604324.56000000006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3.91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7490</v>
      </c>
      <c r="AW2469">
        <v>3350</v>
      </c>
      <c r="AX2469">
        <v>1219</v>
      </c>
      <c r="AY2469">
        <v>12059</v>
      </c>
      <c r="AZ2469">
        <v>4202</v>
      </c>
      <c r="BA2469">
        <v>7438</v>
      </c>
      <c r="BB2469">
        <v>1432</v>
      </c>
      <c r="BC2469">
        <v>13072</v>
      </c>
      <c r="BD2469">
        <v>9486</v>
      </c>
      <c r="BE2469">
        <v>9222</v>
      </c>
      <c r="BF2469">
        <v>1768</v>
      </c>
      <c r="BG2469">
        <v>20476</v>
      </c>
      <c r="BH2469">
        <v>0</v>
      </c>
      <c r="BI2469">
        <v>0</v>
      </c>
      <c r="BJ2469">
        <v>0</v>
      </c>
      <c r="BK2469">
        <v>0</v>
      </c>
      <c r="BL2469" s="2">
        <v>24.82</v>
      </c>
      <c r="BM2469" s="2">
        <v>42005.095138888886</v>
      </c>
      <c r="BN2469" s="2">
        <v>5.4</v>
      </c>
      <c r="BO2469" s="2">
        <v>42005.092361111114</v>
      </c>
      <c r="BP2469" s="2">
        <v>6.92</v>
      </c>
      <c r="BQ2469" s="2">
        <v>42005.092361111114</v>
      </c>
      <c r="BR2469" s="2">
        <v>11.07</v>
      </c>
      <c r="BS2469" s="2">
        <v>42005.092361111114</v>
      </c>
      <c r="BT2469">
        <v>0</v>
      </c>
      <c r="BU2469">
        <v>0</v>
      </c>
      <c r="BV2469" t="s">
        <v>135</v>
      </c>
      <c r="BW2469">
        <v>0</v>
      </c>
      <c r="BX2469">
        <v>0</v>
      </c>
      <c r="BY2469" t="s">
        <v>135</v>
      </c>
      <c r="BZ2469">
        <v>0</v>
      </c>
      <c r="CA2469">
        <v>0</v>
      </c>
      <c r="CB2469" t="s">
        <v>135</v>
      </c>
      <c r="CH2469" s="2"/>
      <c r="CJ2469" s="2"/>
      <c r="CL2469" s="2"/>
      <c r="CN2469" s="2"/>
      <c r="CQ2469" s="2"/>
      <c r="CT2469" s="2"/>
      <c r="CW2469" s="2"/>
    </row>
    <row r="2470" spans="1:101" x14ac:dyDescent="0.25">
      <c r="A2470" s="1" t="s">
        <v>163</v>
      </c>
      <c r="B2470" s="75" t="s">
        <v>164</v>
      </c>
      <c r="C2470">
        <v>0</v>
      </c>
      <c r="D2470">
        <v>0</v>
      </c>
      <c r="E2470">
        <v>0</v>
      </c>
      <c r="F2470">
        <v>604324.56000000006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3.91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7490</v>
      </c>
      <c r="AW2470">
        <v>3350</v>
      </c>
      <c r="AX2470">
        <v>1219</v>
      </c>
      <c r="AY2470">
        <v>12059</v>
      </c>
      <c r="AZ2470">
        <v>4202</v>
      </c>
      <c r="BA2470">
        <v>7438</v>
      </c>
      <c r="BB2470">
        <v>1432</v>
      </c>
      <c r="BC2470">
        <v>13072</v>
      </c>
      <c r="BD2470">
        <v>9486</v>
      </c>
      <c r="BE2470">
        <v>9222</v>
      </c>
      <c r="BF2470">
        <v>1768</v>
      </c>
      <c r="BG2470">
        <v>20476</v>
      </c>
      <c r="BH2470">
        <v>0</v>
      </c>
      <c r="BI2470">
        <v>0</v>
      </c>
      <c r="BJ2470">
        <v>0</v>
      </c>
      <c r="BK2470">
        <v>0</v>
      </c>
      <c r="BL2470" s="2">
        <v>24.82</v>
      </c>
      <c r="BM2470" s="2">
        <v>42005.095138888886</v>
      </c>
      <c r="BN2470" s="2">
        <v>5.4</v>
      </c>
      <c r="BO2470" s="2">
        <v>42005.092361111114</v>
      </c>
      <c r="BP2470" s="2">
        <v>6.92</v>
      </c>
      <c r="BQ2470" s="2">
        <v>42005.092361111114</v>
      </c>
      <c r="BR2470" s="2">
        <v>11.07</v>
      </c>
      <c r="BS2470" s="2">
        <v>42005.092361111114</v>
      </c>
      <c r="BT2470">
        <v>0</v>
      </c>
      <c r="BU2470">
        <v>0</v>
      </c>
      <c r="BV2470" t="s">
        <v>135</v>
      </c>
      <c r="BW2470">
        <v>0</v>
      </c>
      <c r="BX2470">
        <v>0</v>
      </c>
      <c r="BY2470" t="s">
        <v>135</v>
      </c>
      <c r="BZ2470">
        <v>0</v>
      </c>
      <c r="CA2470">
        <v>0</v>
      </c>
      <c r="CB2470" t="s">
        <v>135</v>
      </c>
      <c r="CH2470" s="2"/>
      <c r="CJ2470" s="2"/>
      <c r="CL2470" s="2"/>
      <c r="CN2470" s="2"/>
      <c r="CQ2470" s="2"/>
      <c r="CT2470" s="2"/>
      <c r="CW2470" s="2"/>
    </row>
    <row r="2471" spans="1:101" x14ac:dyDescent="0.25">
      <c r="A2471" s="1" t="s">
        <v>163</v>
      </c>
      <c r="B2471" s="75" t="s">
        <v>164</v>
      </c>
      <c r="C2471">
        <v>0</v>
      </c>
      <c r="D2471">
        <v>0</v>
      </c>
      <c r="E2471">
        <v>0</v>
      </c>
      <c r="F2471">
        <v>604324.56000000006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3.91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7490</v>
      </c>
      <c r="AW2471">
        <v>3350</v>
      </c>
      <c r="AX2471">
        <v>1219</v>
      </c>
      <c r="AY2471">
        <v>12059</v>
      </c>
      <c r="AZ2471">
        <v>4202</v>
      </c>
      <c r="BA2471">
        <v>7438</v>
      </c>
      <c r="BB2471">
        <v>1432</v>
      </c>
      <c r="BC2471">
        <v>13072</v>
      </c>
      <c r="BD2471">
        <v>9486</v>
      </c>
      <c r="BE2471">
        <v>9222</v>
      </c>
      <c r="BF2471">
        <v>1768</v>
      </c>
      <c r="BG2471">
        <v>20476</v>
      </c>
      <c r="BH2471">
        <v>0</v>
      </c>
      <c r="BI2471">
        <v>0</v>
      </c>
      <c r="BJ2471">
        <v>0</v>
      </c>
      <c r="BK2471">
        <v>0</v>
      </c>
      <c r="BL2471" s="2">
        <v>24.82</v>
      </c>
      <c r="BM2471" s="2">
        <v>42005.095138888886</v>
      </c>
      <c r="BN2471" s="2">
        <v>5.4</v>
      </c>
      <c r="BO2471" s="2">
        <v>42005.092361111114</v>
      </c>
      <c r="BP2471" s="2">
        <v>6.92</v>
      </c>
      <c r="BQ2471" s="2">
        <v>42005.092361111114</v>
      </c>
      <c r="BR2471" s="2">
        <v>11.07</v>
      </c>
      <c r="BS2471" s="2">
        <v>42005.092361111114</v>
      </c>
      <c r="BT2471">
        <v>0</v>
      </c>
      <c r="BU2471">
        <v>0</v>
      </c>
      <c r="BV2471" t="s">
        <v>135</v>
      </c>
      <c r="BW2471">
        <v>0</v>
      </c>
      <c r="BX2471">
        <v>0</v>
      </c>
      <c r="BY2471" t="s">
        <v>135</v>
      </c>
      <c r="BZ2471">
        <v>0</v>
      </c>
      <c r="CA2471">
        <v>0</v>
      </c>
      <c r="CB2471" t="s">
        <v>135</v>
      </c>
      <c r="CH2471" s="2"/>
      <c r="CJ2471" s="2"/>
      <c r="CL2471" s="2"/>
      <c r="CN2471" s="2"/>
      <c r="CQ2471" s="2"/>
      <c r="CT2471" s="2"/>
      <c r="CW2471" s="2"/>
    </row>
    <row r="2472" spans="1:101" x14ac:dyDescent="0.25">
      <c r="A2472" s="1" t="s">
        <v>163</v>
      </c>
      <c r="B2472" s="75" t="s">
        <v>164</v>
      </c>
      <c r="C2472">
        <v>0</v>
      </c>
      <c r="D2472">
        <v>0</v>
      </c>
      <c r="E2472">
        <v>0</v>
      </c>
      <c r="F2472">
        <v>604324.56000000006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3.91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7490</v>
      </c>
      <c r="AW2472">
        <v>3350</v>
      </c>
      <c r="AX2472">
        <v>1219</v>
      </c>
      <c r="AY2472">
        <v>12059</v>
      </c>
      <c r="AZ2472">
        <v>4202</v>
      </c>
      <c r="BA2472">
        <v>7438</v>
      </c>
      <c r="BB2472">
        <v>1432</v>
      </c>
      <c r="BC2472">
        <v>13072</v>
      </c>
      <c r="BD2472">
        <v>9486</v>
      </c>
      <c r="BE2472">
        <v>9222</v>
      </c>
      <c r="BF2472">
        <v>1768</v>
      </c>
      <c r="BG2472">
        <v>20476</v>
      </c>
      <c r="BH2472">
        <v>0</v>
      </c>
      <c r="BI2472">
        <v>0</v>
      </c>
      <c r="BJ2472">
        <v>0</v>
      </c>
      <c r="BK2472">
        <v>0</v>
      </c>
      <c r="BL2472" s="2">
        <v>24.82</v>
      </c>
      <c r="BM2472" s="2">
        <v>42005.095138888886</v>
      </c>
      <c r="BN2472" s="2">
        <v>5.4</v>
      </c>
      <c r="BO2472" s="2">
        <v>42005.092361111114</v>
      </c>
      <c r="BP2472" s="2">
        <v>6.92</v>
      </c>
      <c r="BQ2472" s="2">
        <v>42005.092361111114</v>
      </c>
      <c r="BR2472" s="2">
        <v>11.07</v>
      </c>
      <c r="BS2472" s="2">
        <v>42005.092361111114</v>
      </c>
      <c r="BT2472">
        <v>0</v>
      </c>
      <c r="BU2472">
        <v>0</v>
      </c>
      <c r="BV2472" t="s">
        <v>135</v>
      </c>
      <c r="BW2472">
        <v>0</v>
      </c>
      <c r="BX2472">
        <v>0</v>
      </c>
      <c r="BY2472" t="s">
        <v>135</v>
      </c>
      <c r="BZ2472">
        <v>0</v>
      </c>
      <c r="CA2472">
        <v>0</v>
      </c>
      <c r="CB2472" t="s">
        <v>135</v>
      </c>
      <c r="CH2472" s="2"/>
      <c r="CJ2472" s="2"/>
      <c r="CL2472" s="2"/>
      <c r="CN2472" s="2"/>
      <c r="CQ2472" s="2"/>
      <c r="CT2472" s="2"/>
      <c r="CW2472" s="2"/>
    </row>
    <row r="2473" spans="1:101" x14ac:dyDescent="0.25">
      <c r="A2473" s="1" t="s">
        <v>163</v>
      </c>
      <c r="B2473" s="75" t="s">
        <v>164</v>
      </c>
      <c r="C2473">
        <v>0</v>
      </c>
      <c r="D2473">
        <v>0</v>
      </c>
      <c r="E2473">
        <v>0</v>
      </c>
      <c r="F2473">
        <v>604324.56000000006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3.91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7490</v>
      </c>
      <c r="AW2473">
        <v>3350</v>
      </c>
      <c r="AX2473">
        <v>1219</v>
      </c>
      <c r="AY2473">
        <v>12059</v>
      </c>
      <c r="AZ2473">
        <v>4202</v>
      </c>
      <c r="BA2473">
        <v>7438</v>
      </c>
      <c r="BB2473">
        <v>1432</v>
      </c>
      <c r="BC2473">
        <v>13072</v>
      </c>
      <c r="BD2473">
        <v>9486</v>
      </c>
      <c r="BE2473">
        <v>9222</v>
      </c>
      <c r="BF2473">
        <v>1768</v>
      </c>
      <c r="BG2473">
        <v>20476</v>
      </c>
      <c r="BH2473">
        <v>0</v>
      </c>
      <c r="BI2473">
        <v>0</v>
      </c>
      <c r="BJ2473">
        <v>0</v>
      </c>
      <c r="BK2473">
        <v>0</v>
      </c>
      <c r="BL2473" s="2">
        <v>24.82</v>
      </c>
      <c r="BM2473" s="2">
        <v>42005.095138888886</v>
      </c>
      <c r="BN2473" s="2">
        <v>5.4</v>
      </c>
      <c r="BO2473" s="2">
        <v>42005.092361111114</v>
      </c>
      <c r="BP2473" s="2">
        <v>6.92</v>
      </c>
      <c r="BQ2473" s="2">
        <v>42005.092361111114</v>
      </c>
      <c r="BR2473" s="2">
        <v>11.07</v>
      </c>
      <c r="BS2473" s="2">
        <v>42005.092361111114</v>
      </c>
      <c r="BT2473">
        <v>0</v>
      </c>
      <c r="BU2473">
        <v>0</v>
      </c>
      <c r="BV2473" t="s">
        <v>135</v>
      </c>
      <c r="BW2473">
        <v>0</v>
      </c>
      <c r="BX2473">
        <v>0</v>
      </c>
      <c r="BY2473" t="s">
        <v>135</v>
      </c>
      <c r="BZ2473">
        <v>0</v>
      </c>
      <c r="CA2473">
        <v>0</v>
      </c>
      <c r="CB2473" t="s">
        <v>135</v>
      </c>
      <c r="CH2473" s="2"/>
      <c r="CJ2473" s="2"/>
      <c r="CL2473" s="2"/>
      <c r="CN2473" s="2"/>
      <c r="CQ2473" s="2"/>
      <c r="CT2473" s="2"/>
      <c r="CW2473" s="2"/>
    </row>
    <row r="2474" spans="1:101" x14ac:dyDescent="0.25">
      <c r="A2474" s="1" t="s">
        <v>163</v>
      </c>
      <c r="B2474" s="75" t="s">
        <v>164</v>
      </c>
      <c r="C2474">
        <v>0</v>
      </c>
      <c r="D2474">
        <v>0</v>
      </c>
      <c r="E2474">
        <v>0</v>
      </c>
      <c r="F2474">
        <v>604324.56000000006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3.91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7490</v>
      </c>
      <c r="AW2474">
        <v>3350</v>
      </c>
      <c r="AX2474">
        <v>1219</v>
      </c>
      <c r="AY2474">
        <v>12059</v>
      </c>
      <c r="AZ2474">
        <v>4202</v>
      </c>
      <c r="BA2474">
        <v>7438</v>
      </c>
      <c r="BB2474">
        <v>1432</v>
      </c>
      <c r="BC2474">
        <v>13072</v>
      </c>
      <c r="BD2474">
        <v>9486</v>
      </c>
      <c r="BE2474">
        <v>9222</v>
      </c>
      <c r="BF2474">
        <v>1768</v>
      </c>
      <c r="BG2474">
        <v>20476</v>
      </c>
      <c r="BH2474">
        <v>0</v>
      </c>
      <c r="BI2474">
        <v>0</v>
      </c>
      <c r="BJ2474">
        <v>0</v>
      </c>
      <c r="BK2474">
        <v>0</v>
      </c>
      <c r="BL2474" s="2">
        <v>24.82</v>
      </c>
      <c r="BM2474" s="2">
        <v>42005.095138888886</v>
      </c>
      <c r="BN2474" s="2">
        <v>5.4</v>
      </c>
      <c r="BO2474" s="2">
        <v>42005.092361111114</v>
      </c>
      <c r="BP2474" s="2">
        <v>6.92</v>
      </c>
      <c r="BQ2474" s="2">
        <v>42005.092361111114</v>
      </c>
      <c r="BR2474" s="2">
        <v>11.07</v>
      </c>
      <c r="BS2474" s="2">
        <v>42005.092361111114</v>
      </c>
      <c r="BT2474">
        <v>0</v>
      </c>
      <c r="BU2474">
        <v>0</v>
      </c>
      <c r="BV2474" t="s">
        <v>135</v>
      </c>
      <c r="BW2474">
        <v>0</v>
      </c>
      <c r="BX2474">
        <v>0</v>
      </c>
      <c r="BY2474" t="s">
        <v>135</v>
      </c>
      <c r="BZ2474">
        <v>0</v>
      </c>
      <c r="CA2474">
        <v>0</v>
      </c>
      <c r="CB2474" t="s">
        <v>135</v>
      </c>
      <c r="CH2474" s="2"/>
      <c r="CJ2474" s="2"/>
      <c r="CL2474" s="2"/>
      <c r="CN2474" s="2"/>
      <c r="CQ2474" s="2"/>
      <c r="CT2474" s="2"/>
      <c r="CW2474" s="2"/>
    </row>
    <row r="2475" spans="1:101" x14ac:dyDescent="0.25">
      <c r="A2475" s="1" t="s">
        <v>163</v>
      </c>
      <c r="B2475" s="75" t="s">
        <v>164</v>
      </c>
      <c r="C2475">
        <v>0</v>
      </c>
      <c r="D2475">
        <v>0</v>
      </c>
      <c r="E2475">
        <v>0</v>
      </c>
      <c r="F2475">
        <v>604324.56000000006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3.91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7490</v>
      </c>
      <c r="AW2475">
        <v>3350</v>
      </c>
      <c r="AX2475">
        <v>1219</v>
      </c>
      <c r="AY2475">
        <v>12059</v>
      </c>
      <c r="AZ2475">
        <v>4202</v>
      </c>
      <c r="BA2475">
        <v>7438</v>
      </c>
      <c r="BB2475">
        <v>1432</v>
      </c>
      <c r="BC2475">
        <v>13072</v>
      </c>
      <c r="BD2475">
        <v>9486</v>
      </c>
      <c r="BE2475">
        <v>9222</v>
      </c>
      <c r="BF2475">
        <v>1768</v>
      </c>
      <c r="BG2475">
        <v>20476</v>
      </c>
      <c r="BH2475">
        <v>0</v>
      </c>
      <c r="BI2475">
        <v>0</v>
      </c>
      <c r="BJ2475">
        <v>0</v>
      </c>
      <c r="BK2475">
        <v>0</v>
      </c>
      <c r="BL2475" s="2">
        <v>24.82</v>
      </c>
      <c r="BM2475" s="2">
        <v>42005.095138888886</v>
      </c>
      <c r="BN2475" s="2">
        <v>5.4</v>
      </c>
      <c r="BO2475" s="2">
        <v>42005.092361111114</v>
      </c>
      <c r="BP2475" s="2">
        <v>6.92</v>
      </c>
      <c r="BQ2475" s="2">
        <v>42005.092361111114</v>
      </c>
      <c r="BR2475" s="2">
        <v>11.07</v>
      </c>
      <c r="BS2475" s="2">
        <v>42005.092361111114</v>
      </c>
      <c r="BT2475">
        <v>0</v>
      </c>
      <c r="BU2475">
        <v>0</v>
      </c>
      <c r="BV2475" t="s">
        <v>135</v>
      </c>
      <c r="BW2475">
        <v>0</v>
      </c>
      <c r="BX2475">
        <v>0</v>
      </c>
      <c r="BY2475" t="s">
        <v>135</v>
      </c>
      <c r="BZ2475">
        <v>0</v>
      </c>
      <c r="CA2475">
        <v>0</v>
      </c>
      <c r="CB2475" t="s">
        <v>135</v>
      </c>
      <c r="CH2475" s="2"/>
      <c r="CJ2475" s="2"/>
      <c r="CL2475" s="2"/>
      <c r="CN2475" s="2"/>
      <c r="CQ2475" s="2"/>
      <c r="CT2475" s="2"/>
      <c r="CW2475" s="2"/>
    </row>
    <row r="2476" spans="1:101" x14ac:dyDescent="0.25">
      <c r="A2476" s="1" t="s">
        <v>163</v>
      </c>
      <c r="B2476" s="75" t="s">
        <v>164</v>
      </c>
      <c r="C2476">
        <v>0</v>
      </c>
      <c r="D2476">
        <v>0</v>
      </c>
      <c r="E2476">
        <v>0</v>
      </c>
      <c r="F2476">
        <v>604324.56000000006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3.91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7490</v>
      </c>
      <c r="AW2476">
        <v>3350</v>
      </c>
      <c r="AX2476">
        <v>1219</v>
      </c>
      <c r="AY2476">
        <v>12059</v>
      </c>
      <c r="AZ2476">
        <v>4202</v>
      </c>
      <c r="BA2476">
        <v>7438</v>
      </c>
      <c r="BB2476">
        <v>1432</v>
      </c>
      <c r="BC2476">
        <v>13072</v>
      </c>
      <c r="BD2476">
        <v>9486</v>
      </c>
      <c r="BE2476">
        <v>9222</v>
      </c>
      <c r="BF2476">
        <v>1768</v>
      </c>
      <c r="BG2476">
        <v>20476</v>
      </c>
      <c r="BH2476">
        <v>0</v>
      </c>
      <c r="BI2476">
        <v>0</v>
      </c>
      <c r="BJ2476">
        <v>0</v>
      </c>
      <c r="BK2476">
        <v>0</v>
      </c>
      <c r="BL2476" s="2">
        <v>24.82</v>
      </c>
      <c r="BM2476" s="2">
        <v>42005.095138888886</v>
      </c>
      <c r="BN2476" s="2">
        <v>5.4</v>
      </c>
      <c r="BO2476" s="2">
        <v>42005.092361111114</v>
      </c>
      <c r="BP2476" s="2">
        <v>6.92</v>
      </c>
      <c r="BQ2476" s="2">
        <v>42005.092361111114</v>
      </c>
      <c r="BR2476" s="2">
        <v>11.07</v>
      </c>
      <c r="BS2476" s="2">
        <v>42005.092361111114</v>
      </c>
      <c r="BT2476">
        <v>0</v>
      </c>
      <c r="BU2476">
        <v>0</v>
      </c>
      <c r="BV2476" t="s">
        <v>135</v>
      </c>
      <c r="BW2476">
        <v>0</v>
      </c>
      <c r="BX2476">
        <v>0</v>
      </c>
      <c r="BY2476" t="s">
        <v>135</v>
      </c>
      <c r="BZ2476">
        <v>0</v>
      </c>
      <c r="CA2476">
        <v>0</v>
      </c>
      <c r="CB2476" t="s">
        <v>135</v>
      </c>
      <c r="CH2476" s="2"/>
      <c r="CJ2476" s="2"/>
      <c r="CL2476" s="2"/>
      <c r="CN2476" s="2"/>
      <c r="CQ2476" s="2"/>
      <c r="CT2476" s="2"/>
      <c r="CW2476" s="2"/>
    </row>
    <row r="2477" spans="1:101" x14ac:dyDescent="0.25">
      <c r="A2477" s="1" t="s">
        <v>163</v>
      </c>
      <c r="B2477" s="75" t="s">
        <v>164</v>
      </c>
      <c r="C2477">
        <v>0</v>
      </c>
      <c r="D2477">
        <v>0</v>
      </c>
      <c r="E2477">
        <v>0</v>
      </c>
      <c r="F2477">
        <v>604324.56000000006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3.91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7490</v>
      </c>
      <c r="AW2477">
        <v>3350</v>
      </c>
      <c r="AX2477">
        <v>1219</v>
      </c>
      <c r="AY2477">
        <v>12059</v>
      </c>
      <c r="AZ2477">
        <v>4202</v>
      </c>
      <c r="BA2477">
        <v>7438</v>
      </c>
      <c r="BB2477">
        <v>1432</v>
      </c>
      <c r="BC2477">
        <v>13072</v>
      </c>
      <c r="BD2477">
        <v>9486</v>
      </c>
      <c r="BE2477">
        <v>9222</v>
      </c>
      <c r="BF2477">
        <v>1768</v>
      </c>
      <c r="BG2477">
        <v>20476</v>
      </c>
      <c r="BH2477">
        <v>0</v>
      </c>
      <c r="BI2477">
        <v>0</v>
      </c>
      <c r="BJ2477">
        <v>0</v>
      </c>
      <c r="BK2477">
        <v>0</v>
      </c>
      <c r="BL2477" s="2">
        <v>24.82</v>
      </c>
      <c r="BM2477" s="2">
        <v>42005.095138888886</v>
      </c>
      <c r="BN2477" s="2">
        <v>5.4</v>
      </c>
      <c r="BO2477" s="2">
        <v>42005.092361111114</v>
      </c>
      <c r="BP2477" s="2">
        <v>6.92</v>
      </c>
      <c r="BQ2477" s="2">
        <v>42005.092361111114</v>
      </c>
      <c r="BR2477" s="2">
        <v>11.07</v>
      </c>
      <c r="BS2477" s="2">
        <v>42005.092361111114</v>
      </c>
      <c r="BT2477">
        <v>0</v>
      </c>
      <c r="BU2477">
        <v>0</v>
      </c>
      <c r="BV2477" t="s">
        <v>135</v>
      </c>
      <c r="BW2477">
        <v>0</v>
      </c>
      <c r="BX2477">
        <v>0</v>
      </c>
      <c r="BY2477" t="s">
        <v>135</v>
      </c>
      <c r="BZ2477">
        <v>0</v>
      </c>
      <c r="CA2477">
        <v>0</v>
      </c>
      <c r="CB2477" t="s">
        <v>135</v>
      </c>
      <c r="CH2477" s="2"/>
      <c r="CJ2477" s="2"/>
      <c r="CL2477" s="2"/>
      <c r="CN2477" s="2"/>
      <c r="CQ2477" s="2"/>
      <c r="CT2477" s="2"/>
      <c r="CW2477" s="2"/>
    </row>
    <row r="2478" spans="1:101" x14ac:dyDescent="0.25">
      <c r="A2478" s="1" t="s">
        <v>163</v>
      </c>
      <c r="B2478" s="75" t="s">
        <v>164</v>
      </c>
      <c r="C2478">
        <v>0</v>
      </c>
      <c r="D2478">
        <v>0</v>
      </c>
      <c r="E2478">
        <v>0</v>
      </c>
      <c r="F2478">
        <v>604324.56000000006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3.91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7490</v>
      </c>
      <c r="AW2478">
        <v>3350</v>
      </c>
      <c r="AX2478">
        <v>1219</v>
      </c>
      <c r="AY2478">
        <v>12059</v>
      </c>
      <c r="AZ2478">
        <v>4202</v>
      </c>
      <c r="BA2478">
        <v>7438</v>
      </c>
      <c r="BB2478">
        <v>1432</v>
      </c>
      <c r="BC2478">
        <v>13072</v>
      </c>
      <c r="BD2478">
        <v>9486</v>
      </c>
      <c r="BE2478">
        <v>9222</v>
      </c>
      <c r="BF2478">
        <v>1768</v>
      </c>
      <c r="BG2478">
        <v>20476</v>
      </c>
      <c r="BH2478">
        <v>0</v>
      </c>
      <c r="BI2478">
        <v>0</v>
      </c>
      <c r="BJ2478">
        <v>0</v>
      </c>
      <c r="BK2478">
        <v>0</v>
      </c>
      <c r="BL2478" s="2">
        <v>24.82</v>
      </c>
      <c r="BM2478" s="2">
        <v>42005.095138888886</v>
      </c>
      <c r="BN2478" s="2">
        <v>5.4</v>
      </c>
      <c r="BO2478" s="2">
        <v>42005.092361111114</v>
      </c>
      <c r="BP2478" s="2">
        <v>6.92</v>
      </c>
      <c r="BQ2478" s="2">
        <v>42005.092361111114</v>
      </c>
      <c r="BR2478" s="2">
        <v>11.07</v>
      </c>
      <c r="BS2478" s="2">
        <v>42005.092361111114</v>
      </c>
      <c r="BT2478">
        <v>0</v>
      </c>
      <c r="BU2478">
        <v>0</v>
      </c>
      <c r="BV2478" t="s">
        <v>135</v>
      </c>
      <c r="BW2478">
        <v>0</v>
      </c>
      <c r="BX2478">
        <v>0</v>
      </c>
      <c r="BY2478" t="s">
        <v>135</v>
      </c>
      <c r="BZ2478">
        <v>0</v>
      </c>
      <c r="CA2478">
        <v>0</v>
      </c>
      <c r="CB2478" t="s">
        <v>135</v>
      </c>
      <c r="CH2478" s="2"/>
      <c r="CJ2478" s="2"/>
      <c r="CL2478" s="2"/>
      <c r="CN2478" s="2"/>
      <c r="CQ2478" s="2"/>
      <c r="CT2478" s="2"/>
      <c r="CW2478" s="2"/>
    </row>
    <row r="2479" spans="1:101" x14ac:dyDescent="0.25">
      <c r="A2479" s="1" t="s">
        <v>163</v>
      </c>
      <c r="B2479" s="75" t="s">
        <v>164</v>
      </c>
      <c r="C2479">
        <v>0</v>
      </c>
      <c r="D2479">
        <v>0</v>
      </c>
      <c r="E2479">
        <v>0</v>
      </c>
      <c r="F2479">
        <v>604324.56000000006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3.91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7490</v>
      </c>
      <c r="AW2479">
        <v>3350</v>
      </c>
      <c r="AX2479">
        <v>1219</v>
      </c>
      <c r="AY2479">
        <v>12059</v>
      </c>
      <c r="AZ2479">
        <v>4202</v>
      </c>
      <c r="BA2479">
        <v>7438</v>
      </c>
      <c r="BB2479">
        <v>1432</v>
      </c>
      <c r="BC2479">
        <v>13072</v>
      </c>
      <c r="BD2479">
        <v>9486</v>
      </c>
      <c r="BE2479">
        <v>9222</v>
      </c>
      <c r="BF2479">
        <v>1768</v>
      </c>
      <c r="BG2479">
        <v>20476</v>
      </c>
      <c r="BH2479">
        <v>0</v>
      </c>
      <c r="BI2479">
        <v>0</v>
      </c>
      <c r="BJ2479">
        <v>0</v>
      </c>
      <c r="BK2479">
        <v>0</v>
      </c>
      <c r="BL2479" s="2">
        <v>24.82</v>
      </c>
      <c r="BM2479" s="2">
        <v>42005.095138888886</v>
      </c>
      <c r="BN2479" s="2">
        <v>5.4</v>
      </c>
      <c r="BO2479" s="2">
        <v>42005.092361111114</v>
      </c>
      <c r="BP2479" s="2">
        <v>6.92</v>
      </c>
      <c r="BQ2479" s="2">
        <v>42005.092361111114</v>
      </c>
      <c r="BR2479" s="2">
        <v>11.07</v>
      </c>
      <c r="BS2479" s="2">
        <v>42005.092361111114</v>
      </c>
      <c r="BT2479">
        <v>0</v>
      </c>
      <c r="BU2479">
        <v>0</v>
      </c>
      <c r="BV2479" t="s">
        <v>135</v>
      </c>
      <c r="BW2479">
        <v>0</v>
      </c>
      <c r="BX2479">
        <v>0</v>
      </c>
      <c r="BY2479" t="s">
        <v>135</v>
      </c>
      <c r="BZ2479">
        <v>0</v>
      </c>
      <c r="CA2479">
        <v>0</v>
      </c>
      <c r="CB2479" t="s">
        <v>135</v>
      </c>
      <c r="CH2479" s="2"/>
      <c r="CJ2479" s="2"/>
      <c r="CL2479" s="2"/>
      <c r="CN2479" s="2"/>
      <c r="CQ2479" s="2"/>
      <c r="CT2479" s="2"/>
      <c r="CW2479" s="2"/>
    </row>
    <row r="2480" spans="1:101" x14ac:dyDescent="0.25">
      <c r="A2480" s="1" t="s">
        <v>163</v>
      </c>
      <c r="B2480" s="75" t="s">
        <v>164</v>
      </c>
      <c r="C2480">
        <v>0</v>
      </c>
      <c r="D2480">
        <v>0</v>
      </c>
      <c r="E2480">
        <v>0</v>
      </c>
      <c r="F2480">
        <v>604324.56000000006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3.91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7490</v>
      </c>
      <c r="AW2480">
        <v>3350</v>
      </c>
      <c r="AX2480">
        <v>1219</v>
      </c>
      <c r="AY2480">
        <v>12059</v>
      </c>
      <c r="AZ2480">
        <v>4202</v>
      </c>
      <c r="BA2480">
        <v>7438</v>
      </c>
      <c r="BB2480">
        <v>1432</v>
      </c>
      <c r="BC2480">
        <v>13072</v>
      </c>
      <c r="BD2480">
        <v>9486</v>
      </c>
      <c r="BE2480">
        <v>9222</v>
      </c>
      <c r="BF2480">
        <v>1768</v>
      </c>
      <c r="BG2480">
        <v>20476</v>
      </c>
      <c r="BH2480">
        <v>0</v>
      </c>
      <c r="BI2480">
        <v>0</v>
      </c>
      <c r="BJ2480">
        <v>0</v>
      </c>
      <c r="BK2480">
        <v>0</v>
      </c>
      <c r="BL2480" s="2">
        <v>24.82</v>
      </c>
      <c r="BM2480" s="2">
        <v>42005.095138888886</v>
      </c>
      <c r="BN2480" s="2">
        <v>5.4</v>
      </c>
      <c r="BO2480" s="2">
        <v>42005.092361111114</v>
      </c>
      <c r="BP2480" s="2">
        <v>6.92</v>
      </c>
      <c r="BQ2480" s="2">
        <v>42005.092361111114</v>
      </c>
      <c r="BR2480" s="2">
        <v>11.07</v>
      </c>
      <c r="BS2480" s="2">
        <v>42005.092361111114</v>
      </c>
      <c r="BT2480">
        <v>0</v>
      </c>
      <c r="BU2480">
        <v>0</v>
      </c>
      <c r="BV2480" t="s">
        <v>135</v>
      </c>
      <c r="BW2480">
        <v>0</v>
      </c>
      <c r="BX2480">
        <v>0</v>
      </c>
      <c r="BY2480" t="s">
        <v>135</v>
      </c>
      <c r="BZ2480">
        <v>0</v>
      </c>
      <c r="CA2480">
        <v>0</v>
      </c>
      <c r="CB2480" t="s">
        <v>135</v>
      </c>
      <c r="CH2480" s="2"/>
      <c r="CJ2480" s="2"/>
      <c r="CL2480" s="2"/>
      <c r="CN2480" s="2"/>
      <c r="CQ2480" s="2"/>
      <c r="CT2480" s="2"/>
      <c r="CW2480" s="2"/>
    </row>
    <row r="2481" spans="1:101" x14ac:dyDescent="0.25">
      <c r="A2481" s="1" t="s">
        <v>163</v>
      </c>
      <c r="B2481" s="75" t="s">
        <v>164</v>
      </c>
      <c r="C2481">
        <v>0</v>
      </c>
      <c r="D2481">
        <v>0</v>
      </c>
      <c r="E2481">
        <v>0</v>
      </c>
      <c r="F2481">
        <v>604324.56000000006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3.91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7490</v>
      </c>
      <c r="AW2481">
        <v>3350</v>
      </c>
      <c r="AX2481">
        <v>1219</v>
      </c>
      <c r="AY2481">
        <v>12059</v>
      </c>
      <c r="AZ2481">
        <v>4202</v>
      </c>
      <c r="BA2481">
        <v>7438</v>
      </c>
      <c r="BB2481">
        <v>1432</v>
      </c>
      <c r="BC2481">
        <v>13072</v>
      </c>
      <c r="BD2481">
        <v>9486</v>
      </c>
      <c r="BE2481">
        <v>9222</v>
      </c>
      <c r="BF2481">
        <v>1768</v>
      </c>
      <c r="BG2481">
        <v>20476</v>
      </c>
      <c r="BH2481">
        <v>0</v>
      </c>
      <c r="BI2481">
        <v>0</v>
      </c>
      <c r="BJ2481">
        <v>0</v>
      </c>
      <c r="BK2481">
        <v>0</v>
      </c>
      <c r="BL2481" s="2">
        <v>24.82</v>
      </c>
      <c r="BM2481" s="2">
        <v>42005.095138888886</v>
      </c>
      <c r="BN2481" s="2">
        <v>5.4</v>
      </c>
      <c r="BO2481" s="2">
        <v>42005.092361111114</v>
      </c>
      <c r="BP2481" s="2">
        <v>6.92</v>
      </c>
      <c r="BQ2481" s="2">
        <v>42005.092361111114</v>
      </c>
      <c r="BR2481" s="2">
        <v>11.07</v>
      </c>
      <c r="BS2481" s="2">
        <v>42005.092361111114</v>
      </c>
      <c r="BT2481">
        <v>0</v>
      </c>
      <c r="BU2481">
        <v>0</v>
      </c>
      <c r="BV2481" t="s">
        <v>135</v>
      </c>
      <c r="BW2481">
        <v>0</v>
      </c>
      <c r="BX2481">
        <v>0</v>
      </c>
      <c r="BY2481" t="s">
        <v>135</v>
      </c>
      <c r="BZ2481">
        <v>0</v>
      </c>
      <c r="CA2481">
        <v>0</v>
      </c>
      <c r="CB2481" t="s">
        <v>135</v>
      </c>
      <c r="CH2481" s="2"/>
      <c r="CJ2481" s="2"/>
      <c r="CL2481" s="2"/>
      <c r="CN2481" s="2"/>
      <c r="CQ2481" s="2"/>
      <c r="CT2481" s="2"/>
      <c r="CW2481" s="2"/>
    </row>
    <row r="2482" spans="1:101" x14ac:dyDescent="0.25">
      <c r="A2482" s="1" t="s">
        <v>163</v>
      </c>
      <c r="B2482" s="75" t="s">
        <v>164</v>
      </c>
      <c r="C2482">
        <v>0</v>
      </c>
      <c r="D2482">
        <v>0</v>
      </c>
      <c r="E2482">
        <v>0</v>
      </c>
      <c r="F2482">
        <v>604324.56000000006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3.91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7490</v>
      </c>
      <c r="AW2482">
        <v>3350</v>
      </c>
      <c r="AX2482">
        <v>1219</v>
      </c>
      <c r="AY2482">
        <v>12059</v>
      </c>
      <c r="AZ2482">
        <v>4202</v>
      </c>
      <c r="BA2482">
        <v>7438</v>
      </c>
      <c r="BB2482">
        <v>1432</v>
      </c>
      <c r="BC2482">
        <v>13072</v>
      </c>
      <c r="BD2482">
        <v>9486</v>
      </c>
      <c r="BE2482">
        <v>9222</v>
      </c>
      <c r="BF2482">
        <v>1768</v>
      </c>
      <c r="BG2482">
        <v>20476</v>
      </c>
      <c r="BH2482">
        <v>0</v>
      </c>
      <c r="BI2482">
        <v>0</v>
      </c>
      <c r="BJ2482">
        <v>0</v>
      </c>
      <c r="BK2482">
        <v>0</v>
      </c>
      <c r="BL2482" s="2">
        <v>24.82</v>
      </c>
      <c r="BM2482" s="2">
        <v>42005.095138888886</v>
      </c>
      <c r="BN2482" s="2">
        <v>5.4</v>
      </c>
      <c r="BO2482" s="2">
        <v>42005.092361111114</v>
      </c>
      <c r="BP2482" s="2">
        <v>6.92</v>
      </c>
      <c r="BQ2482" s="2">
        <v>42005.092361111114</v>
      </c>
      <c r="BR2482" s="2">
        <v>11.07</v>
      </c>
      <c r="BS2482" s="2">
        <v>42005.092361111114</v>
      </c>
      <c r="BT2482">
        <v>0</v>
      </c>
      <c r="BU2482">
        <v>0</v>
      </c>
      <c r="BV2482" t="s">
        <v>135</v>
      </c>
      <c r="BW2482">
        <v>0</v>
      </c>
      <c r="BX2482">
        <v>0</v>
      </c>
      <c r="BY2482" t="s">
        <v>135</v>
      </c>
      <c r="BZ2482">
        <v>0</v>
      </c>
      <c r="CA2482">
        <v>0</v>
      </c>
      <c r="CB2482" t="s">
        <v>135</v>
      </c>
      <c r="CH2482" s="2"/>
      <c r="CJ2482" s="2"/>
      <c r="CL2482" s="2"/>
      <c r="CN2482" s="2"/>
      <c r="CQ2482" s="2"/>
      <c r="CT2482" s="2"/>
      <c r="CW2482" s="2"/>
    </row>
    <row r="2483" spans="1:101" x14ac:dyDescent="0.25">
      <c r="A2483" s="1" t="s">
        <v>163</v>
      </c>
      <c r="B2483" s="75" t="s">
        <v>164</v>
      </c>
      <c r="C2483">
        <v>0</v>
      </c>
      <c r="D2483">
        <v>0</v>
      </c>
      <c r="E2483">
        <v>0</v>
      </c>
      <c r="F2483">
        <v>604324.56000000006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3.91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7490</v>
      </c>
      <c r="AW2483">
        <v>3350</v>
      </c>
      <c r="AX2483">
        <v>1219</v>
      </c>
      <c r="AY2483">
        <v>12059</v>
      </c>
      <c r="AZ2483">
        <v>4202</v>
      </c>
      <c r="BA2483">
        <v>7438</v>
      </c>
      <c r="BB2483">
        <v>1432</v>
      </c>
      <c r="BC2483">
        <v>13072</v>
      </c>
      <c r="BD2483">
        <v>9486</v>
      </c>
      <c r="BE2483">
        <v>9222</v>
      </c>
      <c r="BF2483">
        <v>1768</v>
      </c>
      <c r="BG2483">
        <v>20476</v>
      </c>
      <c r="BH2483">
        <v>0</v>
      </c>
      <c r="BI2483">
        <v>0</v>
      </c>
      <c r="BJ2483">
        <v>0</v>
      </c>
      <c r="BK2483">
        <v>0</v>
      </c>
      <c r="BL2483" s="2">
        <v>24.82</v>
      </c>
      <c r="BM2483" s="2">
        <v>42005.095138888886</v>
      </c>
      <c r="BN2483" s="2">
        <v>5.4</v>
      </c>
      <c r="BO2483" s="2">
        <v>42005.092361111114</v>
      </c>
      <c r="BP2483" s="2">
        <v>6.92</v>
      </c>
      <c r="BQ2483" s="2">
        <v>42005.092361111114</v>
      </c>
      <c r="BR2483" s="2">
        <v>11.07</v>
      </c>
      <c r="BS2483" s="2">
        <v>42005.092361111114</v>
      </c>
      <c r="BT2483">
        <v>0</v>
      </c>
      <c r="BU2483">
        <v>0</v>
      </c>
      <c r="BV2483" t="s">
        <v>135</v>
      </c>
      <c r="BW2483">
        <v>0</v>
      </c>
      <c r="BX2483">
        <v>0</v>
      </c>
      <c r="BY2483" t="s">
        <v>135</v>
      </c>
      <c r="BZ2483">
        <v>0</v>
      </c>
      <c r="CA2483">
        <v>0</v>
      </c>
      <c r="CB2483" t="s">
        <v>135</v>
      </c>
      <c r="CH2483" s="2"/>
      <c r="CJ2483" s="2"/>
      <c r="CL2483" s="2"/>
      <c r="CN2483" s="2"/>
      <c r="CQ2483" s="2"/>
      <c r="CT2483" s="2"/>
      <c r="CW2483" s="2"/>
    </row>
    <row r="2484" spans="1:101" x14ac:dyDescent="0.25">
      <c r="A2484" s="1" t="s">
        <v>163</v>
      </c>
      <c r="B2484" s="75" t="s">
        <v>164</v>
      </c>
      <c r="C2484">
        <v>0</v>
      </c>
      <c r="D2484">
        <v>0</v>
      </c>
      <c r="E2484">
        <v>0</v>
      </c>
      <c r="F2484">
        <v>604324.56000000006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3.91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7490</v>
      </c>
      <c r="AW2484">
        <v>3350</v>
      </c>
      <c r="AX2484">
        <v>1219</v>
      </c>
      <c r="AY2484">
        <v>12059</v>
      </c>
      <c r="AZ2484">
        <v>4202</v>
      </c>
      <c r="BA2484">
        <v>7438</v>
      </c>
      <c r="BB2484">
        <v>1432</v>
      </c>
      <c r="BC2484">
        <v>13072</v>
      </c>
      <c r="BD2484">
        <v>9486</v>
      </c>
      <c r="BE2484">
        <v>9222</v>
      </c>
      <c r="BF2484">
        <v>1768</v>
      </c>
      <c r="BG2484">
        <v>20476</v>
      </c>
      <c r="BH2484">
        <v>0</v>
      </c>
      <c r="BI2484">
        <v>0</v>
      </c>
      <c r="BJ2484">
        <v>0</v>
      </c>
      <c r="BK2484">
        <v>0</v>
      </c>
      <c r="BL2484" s="2">
        <v>24.82</v>
      </c>
      <c r="BM2484" s="2">
        <v>42005.095138888886</v>
      </c>
      <c r="BN2484" s="2">
        <v>5.4</v>
      </c>
      <c r="BO2484" s="2">
        <v>42005.092361111114</v>
      </c>
      <c r="BP2484" s="2">
        <v>6.92</v>
      </c>
      <c r="BQ2484" s="2">
        <v>42005.092361111114</v>
      </c>
      <c r="BR2484" s="2">
        <v>11.07</v>
      </c>
      <c r="BS2484" s="2">
        <v>42005.092361111114</v>
      </c>
      <c r="BT2484">
        <v>0</v>
      </c>
      <c r="BU2484">
        <v>0</v>
      </c>
      <c r="BV2484" t="s">
        <v>135</v>
      </c>
      <c r="BW2484">
        <v>0</v>
      </c>
      <c r="BX2484">
        <v>0</v>
      </c>
      <c r="BY2484" t="s">
        <v>135</v>
      </c>
      <c r="BZ2484">
        <v>0</v>
      </c>
      <c r="CA2484">
        <v>0</v>
      </c>
      <c r="CB2484" t="s">
        <v>135</v>
      </c>
      <c r="CH2484" s="2"/>
      <c r="CJ2484" s="2"/>
      <c r="CL2484" s="2"/>
      <c r="CN2484" s="2"/>
      <c r="CQ2484" s="2"/>
      <c r="CT2484" s="2"/>
      <c r="CW2484" s="2"/>
    </row>
    <row r="2485" spans="1:101" x14ac:dyDescent="0.25">
      <c r="A2485" s="1" t="s">
        <v>163</v>
      </c>
      <c r="B2485" s="75" t="s">
        <v>164</v>
      </c>
      <c r="C2485">
        <v>0</v>
      </c>
      <c r="D2485">
        <v>0</v>
      </c>
      <c r="E2485">
        <v>0</v>
      </c>
      <c r="F2485">
        <v>604324.56000000006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3.91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7490</v>
      </c>
      <c r="AW2485">
        <v>3350</v>
      </c>
      <c r="AX2485">
        <v>1219</v>
      </c>
      <c r="AY2485">
        <v>12059</v>
      </c>
      <c r="AZ2485">
        <v>4202</v>
      </c>
      <c r="BA2485">
        <v>7438</v>
      </c>
      <c r="BB2485">
        <v>1432</v>
      </c>
      <c r="BC2485">
        <v>13072</v>
      </c>
      <c r="BD2485">
        <v>9486</v>
      </c>
      <c r="BE2485">
        <v>9222</v>
      </c>
      <c r="BF2485">
        <v>1768</v>
      </c>
      <c r="BG2485">
        <v>20476</v>
      </c>
      <c r="BH2485">
        <v>0</v>
      </c>
      <c r="BI2485">
        <v>0</v>
      </c>
      <c r="BJ2485">
        <v>0</v>
      </c>
      <c r="BK2485">
        <v>0</v>
      </c>
      <c r="BL2485" s="2">
        <v>24.82</v>
      </c>
      <c r="BM2485" s="2">
        <v>42005.095138888886</v>
      </c>
      <c r="BN2485" s="2">
        <v>5.4</v>
      </c>
      <c r="BO2485" s="2">
        <v>42005.092361111114</v>
      </c>
      <c r="BP2485" s="2">
        <v>6.92</v>
      </c>
      <c r="BQ2485" s="2">
        <v>42005.092361111114</v>
      </c>
      <c r="BR2485" s="2">
        <v>11.07</v>
      </c>
      <c r="BS2485" s="2">
        <v>42005.092361111114</v>
      </c>
      <c r="BT2485">
        <v>0</v>
      </c>
      <c r="BU2485">
        <v>0</v>
      </c>
      <c r="BV2485" t="s">
        <v>135</v>
      </c>
      <c r="BW2485">
        <v>0</v>
      </c>
      <c r="BX2485">
        <v>0</v>
      </c>
      <c r="BY2485" t="s">
        <v>135</v>
      </c>
      <c r="BZ2485">
        <v>0</v>
      </c>
      <c r="CA2485">
        <v>0</v>
      </c>
      <c r="CB2485" t="s">
        <v>135</v>
      </c>
      <c r="CH2485" s="2"/>
      <c r="CJ2485" s="2"/>
      <c r="CL2485" s="2"/>
      <c r="CN2485" s="2"/>
      <c r="CQ2485" s="2"/>
      <c r="CT2485" s="2"/>
      <c r="CW2485" s="2"/>
    </row>
    <row r="2486" spans="1:101" x14ac:dyDescent="0.25">
      <c r="A2486" s="1" t="s">
        <v>163</v>
      </c>
      <c r="B2486" s="75" t="s">
        <v>164</v>
      </c>
      <c r="C2486">
        <v>0</v>
      </c>
      <c r="D2486">
        <v>0</v>
      </c>
      <c r="E2486">
        <v>0</v>
      </c>
      <c r="F2486">
        <v>604324.56000000006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3.91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7490</v>
      </c>
      <c r="AW2486">
        <v>3350</v>
      </c>
      <c r="AX2486">
        <v>1219</v>
      </c>
      <c r="AY2486">
        <v>12059</v>
      </c>
      <c r="AZ2486">
        <v>4202</v>
      </c>
      <c r="BA2486">
        <v>7438</v>
      </c>
      <c r="BB2486">
        <v>1432</v>
      </c>
      <c r="BC2486">
        <v>13072</v>
      </c>
      <c r="BD2486">
        <v>9486</v>
      </c>
      <c r="BE2486">
        <v>9222</v>
      </c>
      <c r="BF2486">
        <v>1768</v>
      </c>
      <c r="BG2486">
        <v>20476</v>
      </c>
      <c r="BH2486">
        <v>0</v>
      </c>
      <c r="BI2486">
        <v>0</v>
      </c>
      <c r="BJ2486">
        <v>0</v>
      </c>
      <c r="BK2486">
        <v>0</v>
      </c>
      <c r="BL2486" s="2">
        <v>24.82</v>
      </c>
      <c r="BM2486" s="2">
        <v>42005.095138888886</v>
      </c>
      <c r="BN2486" s="2">
        <v>5.4</v>
      </c>
      <c r="BO2486" s="2">
        <v>42005.092361111114</v>
      </c>
      <c r="BP2486" s="2">
        <v>6.92</v>
      </c>
      <c r="BQ2486" s="2">
        <v>42005.092361111114</v>
      </c>
      <c r="BR2486" s="2">
        <v>11.07</v>
      </c>
      <c r="BS2486" s="2">
        <v>42005.092361111114</v>
      </c>
      <c r="BT2486">
        <v>0</v>
      </c>
      <c r="BU2486">
        <v>0</v>
      </c>
      <c r="BV2486" t="s">
        <v>135</v>
      </c>
      <c r="BW2486">
        <v>0</v>
      </c>
      <c r="BX2486">
        <v>0</v>
      </c>
      <c r="BY2486" t="s">
        <v>135</v>
      </c>
      <c r="BZ2486">
        <v>0</v>
      </c>
      <c r="CA2486">
        <v>0</v>
      </c>
      <c r="CB2486" t="s">
        <v>135</v>
      </c>
      <c r="CH2486" s="2"/>
      <c r="CJ2486" s="2"/>
      <c r="CL2486" s="2"/>
      <c r="CN2486" s="2"/>
      <c r="CQ2486" s="2"/>
      <c r="CT2486" s="2"/>
      <c r="CW2486" s="2"/>
    </row>
    <row r="2487" spans="1:101" x14ac:dyDescent="0.25">
      <c r="A2487" s="1" t="s">
        <v>163</v>
      </c>
      <c r="B2487" s="75" t="s">
        <v>164</v>
      </c>
      <c r="C2487">
        <v>0</v>
      </c>
      <c r="D2487">
        <v>0</v>
      </c>
      <c r="E2487">
        <v>0</v>
      </c>
      <c r="F2487">
        <v>604324.56000000006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3.91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7490</v>
      </c>
      <c r="AW2487">
        <v>3350</v>
      </c>
      <c r="AX2487">
        <v>1219</v>
      </c>
      <c r="AY2487">
        <v>12059</v>
      </c>
      <c r="AZ2487">
        <v>4202</v>
      </c>
      <c r="BA2487">
        <v>7438</v>
      </c>
      <c r="BB2487">
        <v>1432</v>
      </c>
      <c r="BC2487">
        <v>13072</v>
      </c>
      <c r="BD2487">
        <v>9486</v>
      </c>
      <c r="BE2487">
        <v>9222</v>
      </c>
      <c r="BF2487">
        <v>1768</v>
      </c>
      <c r="BG2487">
        <v>20476</v>
      </c>
      <c r="BH2487">
        <v>0</v>
      </c>
      <c r="BI2487">
        <v>0</v>
      </c>
      <c r="BJ2487">
        <v>0</v>
      </c>
      <c r="BK2487">
        <v>0</v>
      </c>
      <c r="BL2487" s="2">
        <v>24.82</v>
      </c>
      <c r="BM2487" s="2">
        <v>42005.095138888886</v>
      </c>
      <c r="BN2487" s="2">
        <v>5.4</v>
      </c>
      <c r="BO2487" s="2">
        <v>42005.092361111114</v>
      </c>
      <c r="BP2487" s="2">
        <v>6.92</v>
      </c>
      <c r="BQ2487" s="2">
        <v>42005.092361111114</v>
      </c>
      <c r="BR2487" s="2">
        <v>11.07</v>
      </c>
      <c r="BS2487" s="2">
        <v>42005.092361111114</v>
      </c>
      <c r="BT2487">
        <v>0</v>
      </c>
      <c r="BU2487">
        <v>0</v>
      </c>
      <c r="BV2487" t="s">
        <v>135</v>
      </c>
      <c r="BW2487">
        <v>0</v>
      </c>
      <c r="BX2487">
        <v>0</v>
      </c>
      <c r="BY2487" t="s">
        <v>135</v>
      </c>
      <c r="BZ2487">
        <v>0</v>
      </c>
      <c r="CA2487">
        <v>0</v>
      </c>
      <c r="CB2487" t="s">
        <v>135</v>
      </c>
      <c r="CH2487" s="2"/>
      <c r="CJ2487" s="2"/>
      <c r="CL2487" s="2"/>
      <c r="CN2487" s="2"/>
      <c r="CQ2487" s="2"/>
      <c r="CT2487" s="2"/>
      <c r="CW2487" s="2"/>
    </row>
    <row r="2488" spans="1:101" x14ac:dyDescent="0.25">
      <c r="A2488" s="1" t="s">
        <v>163</v>
      </c>
      <c r="B2488" s="75" t="s">
        <v>164</v>
      </c>
      <c r="C2488">
        <v>0</v>
      </c>
      <c r="D2488">
        <v>0</v>
      </c>
      <c r="E2488">
        <v>0</v>
      </c>
      <c r="F2488">
        <v>604324.56000000006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3.91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7490</v>
      </c>
      <c r="AW2488">
        <v>3350</v>
      </c>
      <c r="AX2488">
        <v>1219</v>
      </c>
      <c r="AY2488">
        <v>12059</v>
      </c>
      <c r="AZ2488">
        <v>4202</v>
      </c>
      <c r="BA2488">
        <v>7438</v>
      </c>
      <c r="BB2488">
        <v>1432</v>
      </c>
      <c r="BC2488">
        <v>13072</v>
      </c>
      <c r="BD2488">
        <v>9486</v>
      </c>
      <c r="BE2488">
        <v>9222</v>
      </c>
      <c r="BF2488">
        <v>1768</v>
      </c>
      <c r="BG2488">
        <v>20476</v>
      </c>
      <c r="BH2488">
        <v>0</v>
      </c>
      <c r="BI2488">
        <v>0</v>
      </c>
      <c r="BJ2488">
        <v>0</v>
      </c>
      <c r="BK2488">
        <v>0</v>
      </c>
      <c r="BL2488" s="2">
        <v>24.82</v>
      </c>
      <c r="BM2488" s="2">
        <v>42005.095138888886</v>
      </c>
      <c r="BN2488" s="2">
        <v>5.4</v>
      </c>
      <c r="BO2488" s="2">
        <v>42005.092361111114</v>
      </c>
      <c r="BP2488" s="2">
        <v>6.92</v>
      </c>
      <c r="BQ2488" s="2">
        <v>42005.092361111114</v>
      </c>
      <c r="BR2488" s="2">
        <v>11.07</v>
      </c>
      <c r="BS2488" s="2">
        <v>42005.092361111114</v>
      </c>
      <c r="BT2488">
        <v>0</v>
      </c>
      <c r="BU2488">
        <v>0</v>
      </c>
      <c r="BV2488" t="s">
        <v>135</v>
      </c>
      <c r="BW2488">
        <v>0</v>
      </c>
      <c r="BX2488">
        <v>0</v>
      </c>
      <c r="BY2488" t="s">
        <v>135</v>
      </c>
      <c r="BZ2488">
        <v>0</v>
      </c>
      <c r="CA2488">
        <v>0</v>
      </c>
      <c r="CB2488" t="s">
        <v>135</v>
      </c>
      <c r="CH2488" s="2"/>
      <c r="CJ2488" s="2"/>
      <c r="CL2488" s="2"/>
      <c r="CN2488" s="2"/>
      <c r="CQ2488" s="2"/>
      <c r="CT2488" s="2"/>
      <c r="CW2488" s="2"/>
    </row>
    <row r="2489" spans="1:101" x14ac:dyDescent="0.25">
      <c r="A2489" s="1" t="s">
        <v>163</v>
      </c>
      <c r="B2489" s="75" t="s">
        <v>164</v>
      </c>
      <c r="C2489">
        <v>0</v>
      </c>
      <c r="D2489">
        <v>0</v>
      </c>
      <c r="E2489">
        <v>0</v>
      </c>
      <c r="F2489">
        <v>604324.56000000006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3.91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7490</v>
      </c>
      <c r="AW2489">
        <v>3350</v>
      </c>
      <c r="AX2489">
        <v>1219</v>
      </c>
      <c r="AY2489">
        <v>12059</v>
      </c>
      <c r="AZ2489">
        <v>4202</v>
      </c>
      <c r="BA2489">
        <v>7438</v>
      </c>
      <c r="BB2489">
        <v>1432</v>
      </c>
      <c r="BC2489">
        <v>13072</v>
      </c>
      <c r="BD2489">
        <v>9486</v>
      </c>
      <c r="BE2489">
        <v>9222</v>
      </c>
      <c r="BF2489">
        <v>1768</v>
      </c>
      <c r="BG2489">
        <v>20476</v>
      </c>
      <c r="BH2489">
        <v>0</v>
      </c>
      <c r="BI2489">
        <v>0</v>
      </c>
      <c r="BJ2489">
        <v>0</v>
      </c>
      <c r="BK2489">
        <v>0</v>
      </c>
      <c r="BL2489" s="2">
        <v>24.82</v>
      </c>
      <c r="BM2489" s="2">
        <v>42005.095138888886</v>
      </c>
      <c r="BN2489" s="2">
        <v>5.4</v>
      </c>
      <c r="BO2489" s="2">
        <v>42005.092361111114</v>
      </c>
      <c r="BP2489" s="2">
        <v>6.92</v>
      </c>
      <c r="BQ2489" s="2">
        <v>42005.092361111114</v>
      </c>
      <c r="BR2489" s="2">
        <v>11.07</v>
      </c>
      <c r="BS2489" s="2">
        <v>42005.092361111114</v>
      </c>
      <c r="BT2489">
        <v>0</v>
      </c>
      <c r="BU2489">
        <v>0</v>
      </c>
      <c r="BV2489" t="s">
        <v>135</v>
      </c>
      <c r="BW2489">
        <v>0</v>
      </c>
      <c r="BX2489">
        <v>0</v>
      </c>
      <c r="BY2489" t="s">
        <v>135</v>
      </c>
      <c r="BZ2489">
        <v>0</v>
      </c>
      <c r="CA2489">
        <v>0</v>
      </c>
      <c r="CB2489" t="s">
        <v>135</v>
      </c>
      <c r="CH2489" s="2"/>
      <c r="CJ2489" s="2"/>
      <c r="CL2489" s="2"/>
      <c r="CN2489" s="2"/>
      <c r="CQ2489" s="2"/>
      <c r="CT2489" s="2"/>
      <c r="CW2489" s="2"/>
    </row>
    <row r="2490" spans="1:101" x14ac:dyDescent="0.25">
      <c r="A2490" s="1" t="s">
        <v>163</v>
      </c>
      <c r="B2490" s="75" t="s">
        <v>164</v>
      </c>
      <c r="C2490">
        <v>0</v>
      </c>
      <c r="D2490">
        <v>0</v>
      </c>
      <c r="E2490">
        <v>0</v>
      </c>
      <c r="F2490">
        <v>604324.56000000006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3.91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7490</v>
      </c>
      <c r="AW2490">
        <v>3350</v>
      </c>
      <c r="AX2490">
        <v>1219</v>
      </c>
      <c r="AY2490">
        <v>12059</v>
      </c>
      <c r="AZ2490">
        <v>4202</v>
      </c>
      <c r="BA2490">
        <v>7438</v>
      </c>
      <c r="BB2490">
        <v>1432</v>
      </c>
      <c r="BC2490">
        <v>13072</v>
      </c>
      <c r="BD2490">
        <v>9486</v>
      </c>
      <c r="BE2490">
        <v>9222</v>
      </c>
      <c r="BF2490">
        <v>1768</v>
      </c>
      <c r="BG2490">
        <v>20476</v>
      </c>
      <c r="BH2490">
        <v>0</v>
      </c>
      <c r="BI2490">
        <v>0</v>
      </c>
      <c r="BJ2490">
        <v>0</v>
      </c>
      <c r="BK2490">
        <v>0</v>
      </c>
      <c r="BL2490" s="2">
        <v>24.82</v>
      </c>
      <c r="BM2490" s="2">
        <v>42005.095138888886</v>
      </c>
      <c r="BN2490" s="2">
        <v>5.4</v>
      </c>
      <c r="BO2490" s="2">
        <v>42005.092361111114</v>
      </c>
      <c r="BP2490" s="2">
        <v>6.92</v>
      </c>
      <c r="BQ2490" s="2">
        <v>42005.092361111114</v>
      </c>
      <c r="BR2490" s="2">
        <v>11.07</v>
      </c>
      <c r="BS2490" s="2">
        <v>42005.092361111114</v>
      </c>
      <c r="BT2490">
        <v>0</v>
      </c>
      <c r="BU2490">
        <v>0</v>
      </c>
      <c r="BV2490" t="s">
        <v>135</v>
      </c>
      <c r="BW2490">
        <v>0</v>
      </c>
      <c r="BX2490">
        <v>0</v>
      </c>
      <c r="BY2490" t="s">
        <v>135</v>
      </c>
      <c r="BZ2490">
        <v>0</v>
      </c>
      <c r="CA2490">
        <v>0</v>
      </c>
      <c r="CB2490" t="s">
        <v>135</v>
      </c>
      <c r="CH2490" s="2"/>
      <c r="CJ2490" s="2"/>
      <c r="CL2490" s="2"/>
      <c r="CN2490" s="2"/>
      <c r="CQ2490" s="2"/>
      <c r="CT2490" s="2"/>
      <c r="CW2490" s="2"/>
    </row>
    <row r="2491" spans="1:101" x14ac:dyDescent="0.25">
      <c r="A2491" s="1" t="s">
        <v>163</v>
      </c>
      <c r="B2491" s="75" t="s">
        <v>164</v>
      </c>
      <c r="C2491">
        <v>0</v>
      </c>
      <c r="D2491">
        <v>0</v>
      </c>
      <c r="E2491">
        <v>0</v>
      </c>
      <c r="F2491">
        <v>604324.56000000006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3.91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7490</v>
      </c>
      <c r="AW2491">
        <v>3350</v>
      </c>
      <c r="AX2491">
        <v>1219</v>
      </c>
      <c r="AY2491">
        <v>12059</v>
      </c>
      <c r="AZ2491">
        <v>4202</v>
      </c>
      <c r="BA2491">
        <v>7438</v>
      </c>
      <c r="BB2491">
        <v>1432</v>
      </c>
      <c r="BC2491">
        <v>13072</v>
      </c>
      <c r="BD2491">
        <v>9486</v>
      </c>
      <c r="BE2491">
        <v>9222</v>
      </c>
      <c r="BF2491">
        <v>1768</v>
      </c>
      <c r="BG2491">
        <v>20476</v>
      </c>
      <c r="BH2491">
        <v>0</v>
      </c>
      <c r="BI2491">
        <v>0</v>
      </c>
      <c r="BJ2491">
        <v>0</v>
      </c>
      <c r="BK2491">
        <v>0</v>
      </c>
      <c r="BL2491" s="2">
        <v>24.82</v>
      </c>
      <c r="BM2491" s="2">
        <v>42005.095138888886</v>
      </c>
      <c r="BN2491" s="2">
        <v>5.4</v>
      </c>
      <c r="BO2491" s="2">
        <v>42005.092361111114</v>
      </c>
      <c r="BP2491" s="2">
        <v>6.92</v>
      </c>
      <c r="BQ2491" s="2">
        <v>42005.092361111114</v>
      </c>
      <c r="BR2491" s="2">
        <v>11.07</v>
      </c>
      <c r="BS2491" s="2">
        <v>42005.092361111114</v>
      </c>
      <c r="BT2491">
        <v>0</v>
      </c>
      <c r="BU2491">
        <v>0</v>
      </c>
      <c r="BV2491" t="s">
        <v>135</v>
      </c>
      <c r="BW2491">
        <v>0</v>
      </c>
      <c r="BX2491">
        <v>0</v>
      </c>
      <c r="BY2491" t="s">
        <v>135</v>
      </c>
      <c r="BZ2491">
        <v>0</v>
      </c>
      <c r="CA2491">
        <v>0</v>
      </c>
      <c r="CB2491" t="s">
        <v>135</v>
      </c>
      <c r="CH2491" s="2"/>
      <c r="CJ2491" s="2"/>
      <c r="CL2491" s="2"/>
      <c r="CN2491" s="2"/>
      <c r="CQ2491" s="2"/>
      <c r="CT2491" s="2"/>
      <c r="CW2491" s="2"/>
    </row>
    <row r="2492" spans="1:101" x14ac:dyDescent="0.25">
      <c r="A2492" s="1" t="s">
        <v>163</v>
      </c>
      <c r="B2492" s="75" t="s">
        <v>164</v>
      </c>
      <c r="C2492">
        <v>0</v>
      </c>
      <c r="D2492">
        <v>0</v>
      </c>
      <c r="E2492">
        <v>0</v>
      </c>
      <c r="F2492">
        <v>604324.56000000006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3.91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7490</v>
      </c>
      <c r="AW2492">
        <v>3350</v>
      </c>
      <c r="AX2492">
        <v>1219</v>
      </c>
      <c r="AY2492">
        <v>12059</v>
      </c>
      <c r="AZ2492">
        <v>4202</v>
      </c>
      <c r="BA2492">
        <v>7438</v>
      </c>
      <c r="BB2492">
        <v>1432</v>
      </c>
      <c r="BC2492">
        <v>13072</v>
      </c>
      <c r="BD2492">
        <v>9486</v>
      </c>
      <c r="BE2492">
        <v>9222</v>
      </c>
      <c r="BF2492">
        <v>1768</v>
      </c>
      <c r="BG2492">
        <v>20476</v>
      </c>
      <c r="BH2492">
        <v>0</v>
      </c>
      <c r="BI2492">
        <v>0</v>
      </c>
      <c r="BJ2492">
        <v>0</v>
      </c>
      <c r="BK2492">
        <v>0</v>
      </c>
      <c r="BL2492" s="2">
        <v>24.82</v>
      </c>
      <c r="BM2492" s="2">
        <v>42005.095138888886</v>
      </c>
      <c r="BN2492" s="2">
        <v>5.4</v>
      </c>
      <c r="BO2492" s="2">
        <v>42005.092361111114</v>
      </c>
      <c r="BP2492" s="2">
        <v>6.92</v>
      </c>
      <c r="BQ2492" s="2">
        <v>42005.092361111114</v>
      </c>
      <c r="BR2492" s="2">
        <v>11.07</v>
      </c>
      <c r="BS2492" s="2">
        <v>42005.092361111114</v>
      </c>
      <c r="BT2492">
        <v>0</v>
      </c>
      <c r="BU2492">
        <v>0</v>
      </c>
      <c r="BV2492" t="s">
        <v>135</v>
      </c>
      <c r="BW2492">
        <v>0</v>
      </c>
      <c r="BX2492">
        <v>0</v>
      </c>
      <c r="BY2492" t="s">
        <v>135</v>
      </c>
      <c r="BZ2492">
        <v>0</v>
      </c>
      <c r="CA2492">
        <v>0</v>
      </c>
      <c r="CB2492" t="s">
        <v>135</v>
      </c>
      <c r="CH2492" s="2"/>
      <c r="CJ2492" s="2"/>
      <c r="CL2492" s="2"/>
      <c r="CN2492" s="2"/>
      <c r="CQ2492" s="2"/>
      <c r="CT2492" s="2"/>
      <c r="CW2492" s="2"/>
    </row>
    <row r="2493" spans="1:101" x14ac:dyDescent="0.25">
      <c r="A2493" s="1" t="s">
        <v>163</v>
      </c>
      <c r="B2493" s="75" t="s">
        <v>164</v>
      </c>
      <c r="C2493">
        <v>0</v>
      </c>
      <c r="D2493">
        <v>0</v>
      </c>
      <c r="E2493">
        <v>0</v>
      </c>
      <c r="F2493">
        <v>604324.56000000006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3.91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7490</v>
      </c>
      <c r="AW2493">
        <v>3350</v>
      </c>
      <c r="AX2493">
        <v>1219</v>
      </c>
      <c r="AY2493">
        <v>12059</v>
      </c>
      <c r="AZ2493">
        <v>4202</v>
      </c>
      <c r="BA2493">
        <v>7438</v>
      </c>
      <c r="BB2493">
        <v>1432</v>
      </c>
      <c r="BC2493">
        <v>13072</v>
      </c>
      <c r="BD2493">
        <v>9486</v>
      </c>
      <c r="BE2493">
        <v>9222</v>
      </c>
      <c r="BF2493">
        <v>1768</v>
      </c>
      <c r="BG2493">
        <v>20476</v>
      </c>
      <c r="BH2493">
        <v>0</v>
      </c>
      <c r="BI2493">
        <v>0</v>
      </c>
      <c r="BJ2493">
        <v>0</v>
      </c>
      <c r="BK2493">
        <v>0</v>
      </c>
      <c r="BL2493" s="2">
        <v>24.82</v>
      </c>
      <c r="BM2493" s="2">
        <v>42005.095138888886</v>
      </c>
      <c r="BN2493" s="2">
        <v>5.4</v>
      </c>
      <c r="BO2493" s="2">
        <v>42005.092361111114</v>
      </c>
      <c r="BP2493" s="2">
        <v>6.92</v>
      </c>
      <c r="BQ2493" s="2">
        <v>42005.092361111114</v>
      </c>
      <c r="BR2493" s="2">
        <v>11.07</v>
      </c>
      <c r="BS2493" s="2">
        <v>42005.092361111114</v>
      </c>
      <c r="BT2493">
        <v>0</v>
      </c>
      <c r="BU2493">
        <v>0</v>
      </c>
      <c r="BV2493" t="s">
        <v>135</v>
      </c>
      <c r="BW2493">
        <v>0</v>
      </c>
      <c r="BX2493">
        <v>0</v>
      </c>
      <c r="BY2493" t="s">
        <v>135</v>
      </c>
      <c r="BZ2493">
        <v>0</v>
      </c>
      <c r="CA2493">
        <v>0</v>
      </c>
      <c r="CB2493" t="s">
        <v>135</v>
      </c>
      <c r="CH2493" s="2"/>
      <c r="CJ2493" s="2"/>
      <c r="CL2493" s="2"/>
      <c r="CN2493" s="2"/>
      <c r="CQ2493" s="2"/>
      <c r="CT2493" s="2"/>
      <c r="CW2493" s="2"/>
    </row>
    <row r="2494" spans="1:101" x14ac:dyDescent="0.25">
      <c r="A2494" s="1" t="s">
        <v>163</v>
      </c>
      <c r="B2494" s="75" t="s">
        <v>164</v>
      </c>
      <c r="C2494">
        <v>0</v>
      </c>
      <c r="D2494">
        <v>0</v>
      </c>
      <c r="E2494">
        <v>0</v>
      </c>
      <c r="F2494">
        <v>604324.56000000006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3.91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7490</v>
      </c>
      <c r="AW2494">
        <v>3350</v>
      </c>
      <c r="AX2494">
        <v>1219</v>
      </c>
      <c r="AY2494">
        <v>12059</v>
      </c>
      <c r="AZ2494">
        <v>4202</v>
      </c>
      <c r="BA2494">
        <v>7438</v>
      </c>
      <c r="BB2494">
        <v>1432</v>
      </c>
      <c r="BC2494">
        <v>13072</v>
      </c>
      <c r="BD2494">
        <v>9486</v>
      </c>
      <c r="BE2494">
        <v>9222</v>
      </c>
      <c r="BF2494">
        <v>1768</v>
      </c>
      <c r="BG2494">
        <v>20476</v>
      </c>
      <c r="BH2494">
        <v>0</v>
      </c>
      <c r="BI2494">
        <v>0</v>
      </c>
      <c r="BJ2494">
        <v>0</v>
      </c>
      <c r="BK2494">
        <v>0</v>
      </c>
      <c r="BL2494" s="2">
        <v>24.82</v>
      </c>
      <c r="BM2494" s="2">
        <v>42005.095138888886</v>
      </c>
      <c r="BN2494" s="2">
        <v>5.4</v>
      </c>
      <c r="BO2494" s="2">
        <v>42005.092361111114</v>
      </c>
      <c r="BP2494" s="2">
        <v>6.92</v>
      </c>
      <c r="BQ2494" s="2">
        <v>42005.092361111114</v>
      </c>
      <c r="BR2494" s="2">
        <v>11.07</v>
      </c>
      <c r="BS2494" s="2">
        <v>42005.092361111114</v>
      </c>
      <c r="BT2494">
        <v>0</v>
      </c>
      <c r="BU2494">
        <v>0</v>
      </c>
      <c r="BV2494" t="s">
        <v>135</v>
      </c>
      <c r="BW2494">
        <v>0</v>
      </c>
      <c r="BX2494">
        <v>0</v>
      </c>
      <c r="BY2494" t="s">
        <v>135</v>
      </c>
      <c r="BZ2494">
        <v>0</v>
      </c>
      <c r="CA2494">
        <v>0</v>
      </c>
      <c r="CB2494" t="s">
        <v>135</v>
      </c>
      <c r="CH2494" s="2"/>
      <c r="CJ2494" s="2"/>
      <c r="CL2494" s="2"/>
      <c r="CN2494" s="2"/>
      <c r="CQ2494" s="2"/>
      <c r="CT2494" s="2"/>
      <c r="CW2494" s="2"/>
    </row>
    <row r="2495" spans="1:101" x14ac:dyDescent="0.25">
      <c r="A2495" s="1" t="s">
        <v>163</v>
      </c>
      <c r="B2495" s="75" t="s">
        <v>164</v>
      </c>
      <c r="C2495">
        <v>0</v>
      </c>
      <c r="D2495">
        <v>0</v>
      </c>
      <c r="E2495">
        <v>0</v>
      </c>
      <c r="F2495">
        <v>604324.56000000006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3.91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7490</v>
      </c>
      <c r="AW2495">
        <v>3350</v>
      </c>
      <c r="AX2495">
        <v>1219</v>
      </c>
      <c r="AY2495">
        <v>12059</v>
      </c>
      <c r="AZ2495">
        <v>4202</v>
      </c>
      <c r="BA2495">
        <v>7438</v>
      </c>
      <c r="BB2495">
        <v>1432</v>
      </c>
      <c r="BC2495">
        <v>13072</v>
      </c>
      <c r="BD2495">
        <v>9486</v>
      </c>
      <c r="BE2495">
        <v>9222</v>
      </c>
      <c r="BF2495">
        <v>1768</v>
      </c>
      <c r="BG2495">
        <v>20476</v>
      </c>
      <c r="BH2495">
        <v>0</v>
      </c>
      <c r="BI2495">
        <v>0</v>
      </c>
      <c r="BJ2495">
        <v>0</v>
      </c>
      <c r="BK2495">
        <v>0</v>
      </c>
      <c r="BL2495" s="2">
        <v>24.82</v>
      </c>
      <c r="BM2495" s="2">
        <v>42005.095138888886</v>
      </c>
      <c r="BN2495" s="2">
        <v>5.4</v>
      </c>
      <c r="BO2495" s="2">
        <v>42005.092361111114</v>
      </c>
      <c r="BP2495" s="2">
        <v>6.92</v>
      </c>
      <c r="BQ2495" s="2">
        <v>42005.092361111114</v>
      </c>
      <c r="BR2495" s="2">
        <v>11.07</v>
      </c>
      <c r="BS2495" s="2">
        <v>42005.092361111114</v>
      </c>
      <c r="BT2495">
        <v>0</v>
      </c>
      <c r="BU2495">
        <v>0</v>
      </c>
      <c r="BV2495" t="s">
        <v>135</v>
      </c>
      <c r="BW2495">
        <v>0</v>
      </c>
      <c r="BX2495">
        <v>0</v>
      </c>
      <c r="BY2495" t="s">
        <v>135</v>
      </c>
      <c r="BZ2495">
        <v>0</v>
      </c>
      <c r="CA2495">
        <v>0</v>
      </c>
      <c r="CB2495" t="s">
        <v>135</v>
      </c>
      <c r="CH2495" s="2"/>
      <c r="CJ2495" s="2"/>
      <c r="CL2495" s="2"/>
      <c r="CN2495" s="2"/>
      <c r="CQ2495" s="2"/>
      <c r="CT2495" s="2"/>
      <c r="CW2495" s="2"/>
    </row>
    <row r="2496" spans="1:101" x14ac:dyDescent="0.25">
      <c r="A2496" s="1" t="s">
        <v>163</v>
      </c>
      <c r="B2496" s="75" t="s">
        <v>164</v>
      </c>
      <c r="C2496">
        <v>0</v>
      </c>
      <c r="D2496">
        <v>0</v>
      </c>
      <c r="E2496">
        <v>0</v>
      </c>
      <c r="F2496">
        <v>604324.56000000006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3.91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7490</v>
      </c>
      <c r="AW2496">
        <v>3350</v>
      </c>
      <c r="AX2496">
        <v>1219</v>
      </c>
      <c r="AY2496">
        <v>12059</v>
      </c>
      <c r="AZ2496">
        <v>4202</v>
      </c>
      <c r="BA2496">
        <v>7438</v>
      </c>
      <c r="BB2496">
        <v>1432</v>
      </c>
      <c r="BC2496">
        <v>13072</v>
      </c>
      <c r="BD2496">
        <v>9486</v>
      </c>
      <c r="BE2496">
        <v>9222</v>
      </c>
      <c r="BF2496">
        <v>1768</v>
      </c>
      <c r="BG2496">
        <v>20476</v>
      </c>
      <c r="BH2496">
        <v>0</v>
      </c>
      <c r="BI2496">
        <v>0</v>
      </c>
      <c r="BJ2496">
        <v>0</v>
      </c>
      <c r="BK2496">
        <v>0</v>
      </c>
      <c r="BL2496" s="2">
        <v>24.82</v>
      </c>
      <c r="BM2496" s="2">
        <v>42005.095138888886</v>
      </c>
      <c r="BN2496" s="2">
        <v>5.4</v>
      </c>
      <c r="BO2496" s="2">
        <v>42005.092361111114</v>
      </c>
      <c r="BP2496" s="2">
        <v>6.92</v>
      </c>
      <c r="BQ2496" s="2">
        <v>42005.092361111114</v>
      </c>
      <c r="BR2496" s="2">
        <v>11.07</v>
      </c>
      <c r="BS2496" s="2">
        <v>42005.092361111114</v>
      </c>
      <c r="BT2496">
        <v>0</v>
      </c>
      <c r="BU2496">
        <v>0</v>
      </c>
      <c r="BV2496" t="s">
        <v>135</v>
      </c>
      <c r="BW2496">
        <v>0</v>
      </c>
      <c r="BX2496">
        <v>0</v>
      </c>
      <c r="BY2496" t="s">
        <v>135</v>
      </c>
      <c r="BZ2496">
        <v>0</v>
      </c>
      <c r="CA2496">
        <v>0</v>
      </c>
      <c r="CB2496" t="s">
        <v>135</v>
      </c>
      <c r="CH2496" s="2"/>
      <c r="CJ2496" s="2"/>
      <c r="CL2496" s="2"/>
      <c r="CN2496" s="2"/>
      <c r="CQ2496" s="2"/>
      <c r="CT2496" s="2"/>
      <c r="CW2496" s="2"/>
    </row>
    <row r="2497" spans="1:101" x14ac:dyDescent="0.25">
      <c r="A2497" s="1" t="s">
        <v>163</v>
      </c>
      <c r="B2497" s="75" t="s">
        <v>164</v>
      </c>
      <c r="C2497">
        <v>0</v>
      </c>
      <c r="D2497">
        <v>0</v>
      </c>
      <c r="E2497">
        <v>0</v>
      </c>
      <c r="F2497">
        <v>604324.56000000006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3.91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7490</v>
      </c>
      <c r="AW2497">
        <v>3350</v>
      </c>
      <c r="AX2497">
        <v>1219</v>
      </c>
      <c r="AY2497">
        <v>12059</v>
      </c>
      <c r="AZ2497">
        <v>4202</v>
      </c>
      <c r="BA2497">
        <v>7438</v>
      </c>
      <c r="BB2497">
        <v>1432</v>
      </c>
      <c r="BC2497">
        <v>13072</v>
      </c>
      <c r="BD2497">
        <v>9486</v>
      </c>
      <c r="BE2497">
        <v>9222</v>
      </c>
      <c r="BF2497">
        <v>1768</v>
      </c>
      <c r="BG2497">
        <v>20476</v>
      </c>
      <c r="BH2497">
        <v>0</v>
      </c>
      <c r="BI2497">
        <v>0</v>
      </c>
      <c r="BJ2497">
        <v>0</v>
      </c>
      <c r="BK2497">
        <v>0</v>
      </c>
      <c r="BL2497" s="2">
        <v>24.82</v>
      </c>
      <c r="BM2497" s="2">
        <v>42005.095138888886</v>
      </c>
      <c r="BN2497" s="2">
        <v>5.4</v>
      </c>
      <c r="BO2497" s="2">
        <v>42005.092361111114</v>
      </c>
      <c r="BP2497" s="2">
        <v>6.92</v>
      </c>
      <c r="BQ2497" s="2">
        <v>42005.092361111114</v>
      </c>
      <c r="BR2497" s="2">
        <v>11.07</v>
      </c>
      <c r="BS2497" s="2">
        <v>42005.092361111114</v>
      </c>
      <c r="BT2497">
        <v>0</v>
      </c>
      <c r="BU2497">
        <v>0</v>
      </c>
      <c r="BV2497" t="s">
        <v>135</v>
      </c>
      <c r="BW2497">
        <v>0</v>
      </c>
      <c r="BX2497">
        <v>0</v>
      </c>
      <c r="BY2497" t="s">
        <v>135</v>
      </c>
      <c r="BZ2497">
        <v>0</v>
      </c>
      <c r="CA2497">
        <v>0</v>
      </c>
      <c r="CB2497" t="s">
        <v>135</v>
      </c>
      <c r="CH2497" s="2"/>
      <c r="CJ2497" s="2"/>
      <c r="CL2497" s="2"/>
      <c r="CN2497" s="2"/>
      <c r="CQ2497" s="2"/>
      <c r="CT2497" s="2"/>
      <c r="CW2497" s="2"/>
    </row>
    <row r="2498" spans="1:101" x14ac:dyDescent="0.25">
      <c r="A2498" s="1" t="s">
        <v>163</v>
      </c>
      <c r="B2498" s="75" t="s">
        <v>164</v>
      </c>
      <c r="C2498">
        <v>0</v>
      </c>
      <c r="D2498">
        <v>0</v>
      </c>
      <c r="E2498">
        <v>0</v>
      </c>
      <c r="F2498">
        <v>604324.56000000006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3.91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7490</v>
      </c>
      <c r="AW2498">
        <v>3350</v>
      </c>
      <c r="AX2498">
        <v>1219</v>
      </c>
      <c r="AY2498">
        <v>12059</v>
      </c>
      <c r="AZ2498">
        <v>4202</v>
      </c>
      <c r="BA2498">
        <v>7438</v>
      </c>
      <c r="BB2498">
        <v>1432</v>
      </c>
      <c r="BC2498">
        <v>13072</v>
      </c>
      <c r="BD2498">
        <v>9486</v>
      </c>
      <c r="BE2498">
        <v>9222</v>
      </c>
      <c r="BF2498">
        <v>1768</v>
      </c>
      <c r="BG2498">
        <v>20476</v>
      </c>
      <c r="BH2498">
        <v>0</v>
      </c>
      <c r="BI2498">
        <v>0</v>
      </c>
      <c r="BJ2498">
        <v>0</v>
      </c>
      <c r="BK2498">
        <v>0</v>
      </c>
      <c r="BL2498" s="2">
        <v>24.82</v>
      </c>
      <c r="BM2498" s="2">
        <v>42005.095138888886</v>
      </c>
      <c r="BN2498" s="2">
        <v>5.4</v>
      </c>
      <c r="BO2498" s="2">
        <v>42005.092361111114</v>
      </c>
      <c r="BP2498" s="2">
        <v>6.92</v>
      </c>
      <c r="BQ2498" s="2">
        <v>42005.092361111114</v>
      </c>
      <c r="BR2498" s="2">
        <v>11.07</v>
      </c>
      <c r="BS2498" s="2">
        <v>42005.092361111114</v>
      </c>
      <c r="BT2498">
        <v>0</v>
      </c>
      <c r="BU2498">
        <v>0</v>
      </c>
      <c r="BV2498" t="s">
        <v>135</v>
      </c>
      <c r="BW2498">
        <v>0</v>
      </c>
      <c r="BX2498">
        <v>0</v>
      </c>
      <c r="BY2498" t="s">
        <v>135</v>
      </c>
      <c r="BZ2498">
        <v>0</v>
      </c>
      <c r="CA2498">
        <v>0</v>
      </c>
      <c r="CB2498" t="s">
        <v>135</v>
      </c>
      <c r="CH2498" s="2"/>
      <c r="CJ2498" s="2"/>
      <c r="CL2498" s="2"/>
      <c r="CN2498" s="2"/>
      <c r="CQ2498" s="2"/>
      <c r="CT2498" s="2"/>
      <c r="CW2498" s="2"/>
    </row>
    <row r="2499" spans="1:101" x14ac:dyDescent="0.25">
      <c r="A2499" s="1" t="s">
        <v>163</v>
      </c>
      <c r="B2499" s="75" t="s">
        <v>164</v>
      </c>
      <c r="C2499">
        <v>0</v>
      </c>
      <c r="D2499">
        <v>0</v>
      </c>
      <c r="E2499">
        <v>0</v>
      </c>
      <c r="F2499">
        <v>604324.56000000006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3.91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7490</v>
      </c>
      <c r="AW2499">
        <v>3350</v>
      </c>
      <c r="AX2499">
        <v>1219</v>
      </c>
      <c r="AY2499">
        <v>12059</v>
      </c>
      <c r="AZ2499">
        <v>4202</v>
      </c>
      <c r="BA2499">
        <v>7438</v>
      </c>
      <c r="BB2499">
        <v>1432</v>
      </c>
      <c r="BC2499">
        <v>13072</v>
      </c>
      <c r="BD2499">
        <v>9486</v>
      </c>
      <c r="BE2499">
        <v>9222</v>
      </c>
      <c r="BF2499">
        <v>1768</v>
      </c>
      <c r="BG2499">
        <v>20476</v>
      </c>
      <c r="BH2499">
        <v>0</v>
      </c>
      <c r="BI2499">
        <v>0</v>
      </c>
      <c r="BJ2499">
        <v>0</v>
      </c>
      <c r="BK2499">
        <v>0</v>
      </c>
      <c r="BL2499" s="2">
        <v>24.82</v>
      </c>
      <c r="BM2499" s="2">
        <v>42005.095138888886</v>
      </c>
      <c r="BN2499" s="2">
        <v>5.4</v>
      </c>
      <c r="BO2499" s="2">
        <v>42005.092361111114</v>
      </c>
      <c r="BP2499" s="2">
        <v>6.92</v>
      </c>
      <c r="BQ2499" s="2">
        <v>42005.092361111114</v>
      </c>
      <c r="BR2499" s="2">
        <v>11.07</v>
      </c>
      <c r="BS2499" s="2">
        <v>42005.092361111114</v>
      </c>
      <c r="BT2499">
        <v>0</v>
      </c>
      <c r="BU2499">
        <v>0</v>
      </c>
      <c r="BV2499" t="s">
        <v>135</v>
      </c>
      <c r="BW2499">
        <v>0</v>
      </c>
      <c r="BX2499">
        <v>0</v>
      </c>
      <c r="BY2499" t="s">
        <v>135</v>
      </c>
      <c r="BZ2499">
        <v>0</v>
      </c>
      <c r="CA2499">
        <v>0</v>
      </c>
      <c r="CB2499" t="s">
        <v>135</v>
      </c>
      <c r="CH2499" s="2"/>
      <c r="CJ2499" s="2"/>
      <c r="CL2499" s="2"/>
      <c r="CN2499" s="2"/>
      <c r="CQ2499" s="2"/>
      <c r="CT2499" s="2"/>
      <c r="CW2499" s="2"/>
    </row>
    <row r="2500" spans="1:101" x14ac:dyDescent="0.25">
      <c r="A2500" s="1" t="s">
        <v>163</v>
      </c>
      <c r="B2500" s="75" t="s">
        <v>164</v>
      </c>
      <c r="C2500">
        <v>0</v>
      </c>
      <c r="D2500">
        <v>0</v>
      </c>
      <c r="E2500">
        <v>0</v>
      </c>
      <c r="F2500">
        <v>604324.56000000006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3.91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7490</v>
      </c>
      <c r="AW2500">
        <v>3350</v>
      </c>
      <c r="AX2500">
        <v>1219</v>
      </c>
      <c r="AY2500">
        <v>12059</v>
      </c>
      <c r="AZ2500">
        <v>4202</v>
      </c>
      <c r="BA2500">
        <v>7438</v>
      </c>
      <c r="BB2500">
        <v>1432</v>
      </c>
      <c r="BC2500">
        <v>13072</v>
      </c>
      <c r="BD2500">
        <v>9486</v>
      </c>
      <c r="BE2500">
        <v>9222</v>
      </c>
      <c r="BF2500">
        <v>1768</v>
      </c>
      <c r="BG2500">
        <v>20476</v>
      </c>
      <c r="BH2500">
        <v>0</v>
      </c>
      <c r="BI2500">
        <v>0</v>
      </c>
      <c r="BJ2500">
        <v>0</v>
      </c>
      <c r="BK2500">
        <v>0</v>
      </c>
      <c r="BL2500" s="2">
        <v>24.82</v>
      </c>
      <c r="BM2500" s="2">
        <v>42005.095138888886</v>
      </c>
      <c r="BN2500" s="2">
        <v>5.4</v>
      </c>
      <c r="BO2500" s="2">
        <v>42005.092361111114</v>
      </c>
      <c r="BP2500" s="2">
        <v>6.92</v>
      </c>
      <c r="BQ2500" s="2">
        <v>42005.092361111114</v>
      </c>
      <c r="BR2500" s="2">
        <v>11.07</v>
      </c>
      <c r="BS2500" s="2">
        <v>42005.092361111114</v>
      </c>
      <c r="BT2500">
        <v>0</v>
      </c>
      <c r="BU2500">
        <v>0</v>
      </c>
      <c r="BV2500" t="s">
        <v>135</v>
      </c>
      <c r="BW2500">
        <v>0</v>
      </c>
      <c r="BX2500">
        <v>0</v>
      </c>
      <c r="BY2500" t="s">
        <v>135</v>
      </c>
      <c r="BZ2500">
        <v>0</v>
      </c>
      <c r="CA2500">
        <v>0</v>
      </c>
      <c r="CB2500" t="s">
        <v>135</v>
      </c>
      <c r="CH2500" s="2"/>
      <c r="CJ2500" s="2"/>
      <c r="CL2500" s="2"/>
      <c r="CN2500" s="2"/>
      <c r="CQ2500" s="2"/>
      <c r="CT2500" s="2"/>
      <c r="CW2500" s="2"/>
    </row>
    <row r="2501" spans="1:101" x14ac:dyDescent="0.25">
      <c r="A2501" s="1" t="s">
        <v>163</v>
      </c>
      <c r="B2501" s="75" t="s">
        <v>164</v>
      </c>
      <c r="C2501">
        <v>0</v>
      </c>
      <c r="D2501">
        <v>0</v>
      </c>
      <c r="E2501">
        <v>0</v>
      </c>
      <c r="F2501">
        <v>604324.56000000006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3.91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7490</v>
      </c>
      <c r="AW2501">
        <v>3350</v>
      </c>
      <c r="AX2501">
        <v>1219</v>
      </c>
      <c r="AY2501">
        <v>12059</v>
      </c>
      <c r="AZ2501">
        <v>4202</v>
      </c>
      <c r="BA2501">
        <v>7438</v>
      </c>
      <c r="BB2501">
        <v>1432</v>
      </c>
      <c r="BC2501">
        <v>13072</v>
      </c>
      <c r="BD2501">
        <v>9486</v>
      </c>
      <c r="BE2501">
        <v>9222</v>
      </c>
      <c r="BF2501">
        <v>1768</v>
      </c>
      <c r="BG2501">
        <v>20476</v>
      </c>
      <c r="BH2501">
        <v>0</v>
      </c>
      <c r="BI2501">
        <v>0</v>
      </c>
      <c r="BJ2501">
        <v>0</v>
      </c>
      <c r="BK2501">
        <v>0</v>
      </c>
      <c r="BL2501" s="2">
        <v>24.82</v>
      </c>
      <c r="BM2501" s="2">
        <v>42005.095138888886</v>
      </c>
      <c r="BN2501" s="2">
        <v>5.4</v>
      </c>
      <c r="BO2501" s="2">
        <v>42005.092361111114</v>
      </c>
      <c r="BP2501" s="2">
        <v>6.92</v>
      </c>
      <c r="BQ2501" s="2">
        <v>42005.092361111114</v>
      </c>
      <c r="BR2501" s="2">
        <v>11.07</v>
      </c>
      <c r="BS2501" s="2">
        <v>42005.092361111114</v>
      </c>
      <c r="BT2501">
        <v>0</v>
      </c>
      <c r="BU2501">
        <v>0</v>
      </c>
      <c r="BV2501" t="s">
        <v>135</v>
      </c>
      <c r="BW2501">
        <v>0</v>
      </c>
      <c r="BX2501">
        <v>0</v>
      </c>
      <c r="BY2501" t="s">
        <v>135</v>
      </c>
      <c r="BZ2501">
        <v>0</v>
      </c>
      <c r="CA2501">
        <v>0</v>
      </c>
      <c r="CB2501" t="s">
        <v>135</v>
      </c>
      <c r="CH2501" s="2"/>
      <c r="CJ2501" s="2"/>
      <c r="CL2501" s="2"/>
      <c r="CN2501" s="2"/>
      <c r="CQ2501" s="2"/>
      <c r="CT2501" s="2"/>
      <c r="CW2501" s="2"/>
    </row>
    <row r="2502" spans="1:101" x14ac:dyDescent="0.25">
      <c r="A2502" s="1" t="s">
        <v>163</v>
      </c>
      <c r="B2502" s="75" t="s">
        <v>164</v>
      </c>
      <c r="C2502">
        <v>0</v>
      </c>
      <c r="D2502">
        <v>0</v>
      </c>
      <c r="E2502">
        <v>0</v>
      </c>
      <c r="F2502">
        <v>604324.56000000006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3.91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7490</v>
      </c>
      <c r="AW2502">
        <v>3350</v>
      </c>
      <c r="AX2502">
        <v>1219</v>
      </c>
      <c r="AY2502">
        <v>12059</v>
      </c>
      <c r="AZ2502">
        <v>4202</v>
      </c>
      <c r="BA2502">
        <v>7438</v>
      </c>
      <c r="BB2502">
        <v>1432</v>
      </c>
      <c r="BC2502">
        <v>13072</v>
      </c>
      <c r="BD2502">
        <v>9486</v>
      </c>
      <c r="BE2502">
        <v>9222</v>
      </c>
      <c r="BF2502">
        <v>1768</v>
      </c>
      <c r="BG2502">
        <v>20476</v>
      </c>
      <c r="BH2502">
        <v>0</v>
      </c>
      <c r="BI2502">
        <v>0</v>
      </c>
      <c r="BJ2502">
        <v>0</v>
      </c>
      <c r="BK2502">
        <v>0</v>
      </c>
      <c r="BL2502" s="2">
        <v>24.82</v>
      </c>
      <c r="BM2502" s="2">
        <v>42005.095138888886</v>
      </c>
      <c r="BN2502" s="2">
        <v>5.4</v>
      </c>
      <c r="BO2502" s="2">
        <v>42005.092361111114</v>
      </c>
      <c r="BP2502" s="2">
        <v>6.92</v>
      </c>
      <c r="BQ2502" s="2">
        <v>42005.092361111114</v>
      </c>
      <c r="BR2502" s="2">
        <v>11.07</v>
      </c>
      <c r="BS2502" s="2">
        <v>42005.092361111114</v>
      </c>
      <c r="BT2502">
        <v>0</v>
      </c>
      <c r="BU2502">
        <v>0</v>
      </c>
      <c r="BV2502" t="s">
        <v>135</v>
      </c>
      <c r="BW2502">
        <v>0</v>
      </c>
      <c r="BX2502">
        <v>0</v>
      </c>
      <c r="BY2502" t="s">
        <v>135</v>
      </c>
      <c r="BZ2502">
        <v>0</v>
      </c>
      <c r="CA2502">
        <v>0</v>
      </c>
      <c r="CB2502" t="s">
        <v>135</v>
      </c>
      <c r="CH2502" s="2"/>
      <c r="CJ2502" s="2"/>
      <c r="CL2502" s="2"/>
      <c r="CN2502" s="2"/>
      <c r="CQ2502" s="2"/>
      <c r="CT2502" s="2"/>
      <c r="CW2502" s="2"/>
    </row>
    <row r="2503" spans="1:101" x14ac:dyDescent="0.25">
      <c r="A2503" s="1" t="s">
        <v>163</v>
      </c>
      <c r="B2503" s="75" t="s">
        <v>164</v>
      </c>
      <c r="C2503">
        <v>0</v>
      </c>
      <c r="D2503">
        <v>0</v>
      </c>
      <c r="E2503">
        <v>0</v>
      </c>
      <c r="F2503">
        <v>604324.56000000006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3.91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7490</v>
      </c>
      <c r="AW2503">
        <v>3350</v>
      </c>
      <c r="AX2503">
        <v>1219</v>
      </c>
      <c r="AY2503">
        <v>12059</v>
      </c>
      <c r="AZ2503">
        <v>4202</v>
      </c>
      <c r="BA2503">
        <v>7438</v>
      </c>
      <c r="BB2503">
        <v>1432</v>
      </c>
      <c r="BC2503">
        <v>13072</v>
      </c>
      <c r="BD2503">
        <v>9486</v>
      </c>
      <c r="BE2503">
        <v>9222</v>
      </c>
      <c r="BF2503">
        <v>1768</v>
      </c>
      <c r="BG2503">
        <v>20476</v>
      </c>
      <c r="BH2503">
        <v>0</v>
      </c>
      <c r="BI2503">
        <v>0</v>
      </c>
      <c r="BJ2503">
        <v>0</v>
      </c>
      <c r="BK2503">
        <v>0</v>
      </c>
      <c r="BL2503" s="2">
        <v>24.82</v>
      </c>
      <c r="BM2503" s="2">
        <v>42005.095138888886</v>
      </c>
      <c r="BN2503" s="2">
        <v>5.4</v>
      </c>
      <c r="BO2503" s="2">
        <v>42005.092361111114</v>
      </c>
      <c r="BP2503" s="2">
        <v>6.92</v>
      </c>
      <c r="BQ2503" s="2">
        <v>42005.092361111114</v>
      </c>
      <c r="BR2503" s="2">
        <v>11.07</v>
      </c>
      <c r="BS2503" s="2">
        <v>42005.092361111114</v>
      </c>
      <c r="BT2503">
        <v>0</v>
      </c>
      <c r="BU2503">
        <v>0</v>
      </c>
      <c r="BV2503" t="s">
        <v>135</v>
      </c>
      <c r="BW2503">
        <v>0</v>
      </c>
      <c r="BX2503">
        <v>0</v>
      </c>
      <c r="BY2503" t="s">
        <v>135</v>
      </c>
      <c r="BZ2503">
        <v>0</v>
      </c>
      <c r="CA2503">
        <v>0</v>
      </c>
      <c r="CB2503" t="s">
        <v>135</v>
      </c>
      <c r="CH2503" s="2"/>
      <c r="CJ2503" s="2"/>
      <c r="CL2503" s="2"/>
      <c r="CN2503" s="2"/>
      <c r="CQ2503" s="2"/>
      <c r="CT2503" s="2"/>
      <c r="CW2503" s="2"/>
    </row>
    <row r="2504" spans="1:101" x14ac:dyDescent="0.25">
      <c r="A2504" s="1" t="s">
        <v>163</v>
      </c>
      <c r="B2504" s="75" t="s">
        <v>164</v>
      </c>
      <c r="C2504">
        <v>0</v>
      </c>
      <c r="D2504">
        <v>0</v>
      </c>
      <c r="E2504">
        <v>0</v>
      </c>
      <c r="F2504">
        <v>604324.56000000006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3.91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7490</v>
      </c>
      <c r="AW2504">
        <v>3350</v>
      </c>
      <c r="AX2504">
        <v>1219</v>
      </c>
      <c r="AY2504">
        <v>12059</v>
      </c>
      <c r="AZ2504">
        <v>4202</v>
      </c>
      <c r="BA2504">
        <v>7438</v>
      </c>
      <c r="BB2504">
        <v>1432</v>
      </c>
      <c r="BC2504">
        <v>13072</v>
      </c>
      <c r="BD2504">
        <v>9486</v>
      </c>
      <c r="BE2504">
        <v>9222</v>
      </c>
      <c r="BF2504">
        <v>1768</v>
      </c>
      <c r="BG2504">
        <v>20476</v>
      </c>
      <c r="BH2504">
        <v>0</v>
      </c>
      <c r="BI2504">
        <v>0</v>
      </c>
      <c r="BJ2504">
        <v>0</v>
      </c>
      <c r="BK2504">
        <v>0</v>
      </c>
      <c r="BL2504" s="2">
        <v>24.82</v>
      </c>
      <c r="BM2504" s="2">
        <v>42005.095138888886</v>
      </c>
      <c r="BN2504" s="2">
        <v>5.4</v>
      </c>
      <c r="BO2504" s="2">
        <v>42005.092361111114</v>
      </c>
      <c r="BP2504" s="2">
        <v>6.92</v>
      </c>
      <c r="BQ2504" s="2">
        <v>42005.092361111114</v>
      </c>
      <c r="BR2504" s="2">
        <v>11.07</v>
      </c>
      <c r="BS2504" s="2">
        <v>42005.092361111114</v>
      </c>
      <c r="BT2504">
        <v>0</v>
      </c>
      <c r="BU2504">
        <v>0</v>
      </c>
      <c r="BV2504" t="s">
        <v>135</v>
      </c>
      <c r="BW2504">
        <v>0</v>
      </c>
      <c r="BX2504">
        <v>0</v>
      </c>
      <c r="BY2504" t="s">
        <v>135</v>
      </c>
      <c r="BZ2504">
        <v>0</v>
      </c>
      <c r="CA2504">
        <v>0</v>
      </c>
      <c r="CB2504" t="s">
        <v>135</v>
      </c>
      <c r="CH2504" s="2"/>
      <c r="CJ2504" s="2"/>
      <c r="CL2504" s="2"/>
      <c r="CN2504" s="2"/>
      <c r="CQ2504" s="2"/>
      <c r="CT2504" s="2"/>
      <c r="CW2504" s="2"/>
    </row>
    <row r="2505" spans="1:101" x14ac:dyDescent="0.25">
      <c r="A2505" s="1" t="s">
        <v>163</v>
      </c>
      <c r="B2505" s="75" t="s">
        <v>164</v>
      </c>
      <c r="C2505">
        <v>0</v>
      </c>
      <c r="D2505">
        <v>0</v>
      </c>
      <c r="E2505">
        <v>0</v>
      </c>
      <c r="F2505">
        <v>604324.56000000006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3.91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7490</v>
      </c>
      <c r="AW2505">
        <v>3350</v>
      </c>
      <c r="AX2505">
        <v>1219</v>
      </c>
      <c r="AY2505">
        <v>12059</v>
      </c>
      <c r="AZ2505">
        <v>4202</v>
      </c>
      <c r="BA2505">
        <v>7438</v>
      </c>
      <c r="BB2505">
        <v>1432</v>
      </c>
      <c r="BC2505">
        <v>13072</v>
      </c>
      <c r="BD2505">
        <v>9486</v>
      </c>
      <c r="BE2505">
        <v>9222</v>
      </c>
      <c r="BF2505">
        <v>1768</v>
      </c>
      <c r="BG2505">
        <v>20476</v>
      </c>
      <c r="BH2505">
        <v>0</v>
      </c>
      <c r="BI2505">
        <v>0</v>
      </c>
      <c r="BJ2505">
        <v>0</v>
      </c>
      <c r="BK2505">
        <v>0</v>
      </c>
      <c r="BL2505" s="2">
        <v>24.82</v>
      </c>
      <c r="BM2505" s="2">
        <v>42005.095138888886</v>
      </c>
      <c r="BN2505" s="2">
        <v>5.4</v>
      </c>
      <c r="BO2505" s="2">
        <v>42005.092361111114</v>
      </c>
      <c r="BP2505" s="2">
        <v>6.92</v>
      </c>
      <c r="BQ2505" s="2">
        <v>42005.092361111114</v>
      </c>
      <c r="BR2505" s="2">
        <v>11.07</v>
      </c>
      <c r="BS2505" s="2">
        <v>42005.092361111114</v>
      </c>
      <c r="BT2505">
        <v>0</v>
      </c>
      <c r="BU2505">
        <v>0</v>
      </c>
      <c r="BV2505" t="s">
        <v>135</v>
      </c>
      <c r="BW2505">
        <v>0</v>
      </c>
      <c r="BX2505">
        <v>0</v>
      </c>
      <c r="BY2505" t="s">
        <v>135</v>
      </c>
      <c r="BZ2505">
        <v>0</v>
      </c>
      <c r="CA2505">
        <v>0</v>
      </c>
      <c r="CB2505" t="s">
        <v>135</v>
      </c>
      <c r="CH2505" s="2"/>
      <c r="CJ2505" s="2"/>
      <c r="CL2505" s="2"/>
      <c r="CN2505" s="2"/>
      <c r="CQ2505" s="2"/>
      <c r="CT2505" s="2"/>
      <c r="CW2505" s="2"/>
    </row>
    <row r="2506" spans="1:101" x14ac:dyDescent="0.25">
      <c r="A2506" s="1" t="s">
        <v>163</v>
      </c>
      <c r="B2506" s="75" t="s">
        <v>164</v>
      </c>
      <c r="C2506">
        <v>0</v>
      </c>
      <c r="D2506">
        <v>0</v>
      </c>
      <c r="E2506">
        <v>0</v>
      </c>
      <c r="F2506">
        <v>604324.56000000006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3.91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7490</v>
      </c>
      <c r="AW2506">
        <v>3350</v>
      </c>
      <c r="AX2506">
        <v>1219</v>
      </c>
      <c r="AY2506">
        <v>12059</v>
      </c>
      <c r="AZ2506">
        <v>4202</v>
      </c>
      <c r="BA2506">
        <v>7438</v>
      </c>
      <c r="BB2506">
        <v>1432</v>
      </c>
      <c r="BC2506">
        <v>13072</v>
      </c>
      <c r="BD2506">
        <v>9486</v>
      </c>
      <c r="BE2506">
        <v>9222</v>
      </c>
      <c r="BF2506">
        <v>1768</v>
      </c>
      <c r="BG2506">
        <v>20476</v>
      </c>
      <c r="BH2506">
        <v>0</v>
      </c>
      <c r="BI2506">
        <v>0</v>
      </c>
      <c r="BJ2506">
        <v>0</v>
      </c>
      <c r="BK2506">
        <v>0</v>
      </c>
      <c r="BL2506" s="2">
        <v>24.82</v>
      </c>
      <c r="BM2506" s="2">
        <v>42005.095138888886</v>
      </c>
      <c r="BN2506" s="2">
        <v>5.4</v>
      </c>
      <c r="BO2506" s="2">
        <v>42005.092361111114</v>
      </c>
      <c r="BP2506" s="2">
        <v>6.92</v>
      </c>
      <c r="BQ2506" s="2">
        <v>42005.092361111114</v>
      </c>
      <c r="BR2506" s="2">
        <v>11.07</v>
      </c>
      <c r="BS2506" s="2">
        <v>42005.092361111114</v>
      </c>
      <c r="BT2506">
        <v>0</v>
      </c>
      <c r="BU2506">
        <v>0</v>
      </c>
      <c r="BV2506" t="s">
        <v>135</v>
      </c>
      <c r="BW2506">
        <v>0</v>
      </c>
      <c r="BX2506">
        <v>0</v>
      </c>
      <c r="BY2506" t="s">
        <v>135</v>
      </c>
      <c r="BZ2506">
        <v>0</v>
      </c>
      <c r="CA2506">
        <v>0</v>
      </c>
      <c r="CB2506" t="s">
        <v>135</v>
      </c>
      <c r="CH2506" s="2"/>
      <c r="CJ2506" s="2"/>
      <c r="CL2506" s="2"/>
      <c r="CN2506" s="2"/>
      <c r="CQ2506" s="2"/>
      <c r="CT2506" s="2"/>
      <c r="CW2506" s="2"/>
    </row>
    <row r="2507" spans="1:101" x14ac:dyDescent="0.25">
      <c r="A2507" s="1" t="s">
        <v>163</v>
      </c>
      <c r="B2507" s="75" t="s">
        <v>164</v>
      </c>
      <c r="C2507">
        <v>0</v>
      </c>
      <c r="D2507">
        <v>0</v>
      </c>
      <c r="E2507">
        <v>0</v>
      </c>
      <c r="F2507">
        <v>604324.56000000006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3.91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7490</v>
      </c>
      <c r="AW2507">
        <v>3350</v>
      </c>
      <c r="AX2507">
        <v>1219</v>
      </c>
      <c r="AY2507">
        <v>12059</v>
      </c>
      <c r="AZ2507">
        <v>4202</v>
      </c>
      <c r="BA2507">
        <v>7438</v>
      </c>
      <c r="BB2507">
        <v>1432</v>
      </c>
      <c r="BC2507">
        <v>13072</v>
      </c>
      <c r="BD2507">
        <v>9486</v>
      </c>
      <c r="BE2507">
        <v>9222</v>
      </c>
      <c r="BF2507">
        <v>1768</v>
      </c>
      <c r="BG2507">
        <v>20476</v>
      </c>
      <c r="BH2507">
        <v>0</v>
      </c>
      <c r="BI2507">
        <v>0</v>
      </c>
      <c r="BJ2507">
        <v>0</v>
      </c>
      <c r="BK2507">
        <v>0</v>
      </c>
      <c r="BL2507" s="2">
        <v>24.82</v>
      </c>
      <c r="BM2507" s="2">
        <v>42005.095138888886</v>
      </c>
      <c r="BN2507" s="2">
        <v>5.4</v>
      </c>
      <c r="BO2507" s="2">
        <v>42005.092361111114</v>
      </c>
      <c r="BP2507" s="2">
        <v>6.92</v>
      </c>
      <c r="BQ2507" s="2">
        <v>42005.092361111114</v>
      </c>
      <c r="BR2507" s="2">
        <v>11.07</v>
      </c>
      <c r="BS2507" s="2">
        <v>42005.092361111114</v>
      </c>
      <c r="BT2507">
        <v>0</v>
      </c>
      <c r="BU2507">
        <v>0</v>
      </c>
      <c r="BV2507" t="s">
        <v>135</v>
      </c>
      <c r="BW2507">
        <v>0</v>
      </c>
      <c r="BX2507">
        <v>0</v>
      </c>
      <c r="BY2507" t="s">
        <v>135</v>
      </c>
      <c r="BZ2507">
        <v>0</v>
      </c>
      <c r="CA2507">
        <v>0</v>
      </c>
      <c r="CB2507" t="s">
        <v>135</v>
      </c>
      <c r="CH2507" s="2"/>
      <c r="CJ2507" s="2"/>
      <c r="CL2507" s="2"/>
      <c r="CN2507" s="2"/>
      <c r="CQ2507" s="2"/>
      <c r="CT2507" s="2"/>
      <c r="CW2507" s="2"/>
    </row>
    <row r="2508" spans="1:101" x14ac:dyDescent="0.25">
      <c r="A2508" s="1" t="s">
        <v>163</v>
      </c>
      <c r="B2508" s="75" t="s">
        <v>164</v>
      </c>
      <c r="C2508">
        <v>0</v>
      </c>
      <c r="D2508">
        <v>0</v>
      </c>
      <c r="E2508">
        <v>0</v>
      </c>
      <c r="F2508">
        <v>604324.56000000006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3.91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7490</v>
      </c>
      <c r="AW2508">
        <v>3350</v>
      </c>
      <c r="AX2508">
        <v>1219</v>
      </c>
      <c r="AY2508">
        <v>12059</v>
      </c>
      <c r="AZ2508">
        <v>4202</v>
      </c>
      <c r="BA2508">
        <v>7438</v>
      </c>
      <c r="BB2508">
        <v>1432</v>
      </c>
      <c r="BC2508">
        <v>13072</v>
      </c>
      <c r="BD2508">
        <v>9486</v>
      </c>
      <c r="BE2508">
        <v>9222</v>
      </c>
      <c r="BF2508">
        <v>1768</v>
      </c>
      <c r="BG2508">
        <v>20476</v>
      </c>
      <c r="BH2508">
        <v>0</v>
      </c>
      <c r="BI2508">
        <v>0</v>
      </c>
      <c r="BJ2508">
        <v>0</v>
      </c>
      <c r="BK2508">
        <v>0</v>
      </c>
      <c r="BL2508" s="2">
        <v>24.82</v>
      </c>
      <c r="BM2508" s="2">
        <v>42005.095138888886</v>
      </c>
      <c r="BN2508" s="2">
        <v>5.4</v>
      </c>
      <c r="BO2508" s="2">
        <v>42005.092361111114</v>
      </c>
      <c r="BP2508" s="2">
        <v>6.92</v>
      </c>
      <c r="BQ2508" s="2">
        <v>42005.092361111114</v>
      </c>
      <c r="BR2508" s="2">
        <v>11.07</v>
      </c>
      <c r="BS2508" s="2">
        <v>42005.092361111114</v>
      </c>
      <c r="BT2508">
        <v>0</v>
      </c>
      <c r="BU2508">
        <v>0</v>
      </c>
      <c r="BV2508" t="s">
        <v>135</v>
      </c>
      <c r="BW2508">
        <v>0</v>
      </c>
      <c r="BX2508">
        <v>0</v>
      </c>
      <c r="BY2508" t="s">
        <v>135</v>
      </c>
      <c r="BZ2508">
        <v>0</v>
      </c>
      <c r="CA2508">
        <v>0</v>
      </c>
      <c r="CB2508" t="s">
        <v>135</v>
      </c>
      <c r="CH2508" s="2"/>
      <c r="CJ2508" s="2"/>
      <c r="CL2508" s="2"/>
      <c r="CN2508" s="2"/>
      <c r="CQ2508" s="2"/>
      <c r="CT2508" s="2"/>
      <c r="CW2508" s="2"/>
    </row>
    <row r="2509" spans="1:101" x14ac:dyDescent="0.25">
      <c r="A2509" s="1" t="s">
        <v>163</v>
      </c>
      <c r="B2509" s="75" t="s">
        <v>164</v>
      </c>
      <c r="C2509">
        <v>0</v>
      </c>
      <c r="D2509">
        <v>0</v>
      </c>
      <c r="E2509">
        <v>0</v>
      </c>
      <c r="F2509">
        <v>604324.56000000006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3.91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7490</v>
      </c>
      <c r="AW2509">
        <v>3350</v>
      </c>
      <c r="AX2509">
        <v>1219</v>
      </c>
      <c r="AY2509">
        <v>12059</v>
      </c>
      <c r="AZ2509">
        <v>4202</v>
      </c>
      <c r="BA2509">
        <v>7438</v>
      </c>
      <c r="BB2509">
        <v>1432</v>
      </c>
      <c r="BC2509">
        <v>13072</v>
      </c>
      <c r="BD2509">
        <v>9486</v>
      </c>
      <c r="BE2509">
        <v>9222</v>
      </c>
      <c r="BF2509">
        <v>1768</v>
      </c>
      <c r="BG2509">
        <v>20476</v>
      </c>
      <c r="BH2509">
        <v>0</v>
      </c>
      <c r="BI2509">
        <v>0</v>
      </c>
      <c r="BJ2509">
        <v>0</v>
      </c>
      <c r="BK2509">
        <v>0</v>
      </c>
      <c r="BL2509" s="2">
        <v>24.82</v>
      </c>
      <c r="BM2509" s="2">
        <v>42005.095138888886</v>
      </c>
      <c r="BN2509" s="2">
        <v>5.4</v>
      </c>
      <c r="BO2509" s="2">
        <v>42005.092361111114</v>
      </c>
      <c r="BP2509" s="2">
        <v>6.92</v>
      </c>
      <c r="BQ2509" s="2">
        <v>42005.092361111114</v>
      </c>
      <c r="BR2509" s="2">
        <v>11.07</v>
      </c>
      <c r="BS2509" s="2">
        <v>42005.092361111114</v>
      </c>
      <c r="BT2509">
        <v>0</v>
      </c>
      <c r="BU2509">
        <v>0</v>
      </c>
      <c r="BV2509" t="s">
        <v>135</v>
      </c>
      <c r="BW2509">
        <v>0</v>
      </c>
      <c r="BX2509">
        <v>0</v>
      </c>
      <c r="BY2509" t="s">
        <v>135</v>
      </c>
      <c r="BZ2509">
        <v>0</v>
      </c>
      <c r="CA2509">
        <v>0</v>
      </c>
      <c r="CB2509" t="s">
        <v>135</v>
      </c>
      <c r="CH2509" s="2"/>
      <c r="CJ2509" s="2"/>
      <c r="CL2509" s="2"/>
      <c r="CN2509" s="2"/>
      <c r="CQ2509" s="2"/>
      <c r="CT2509" s="2"/>
      <c r="CW2509" s="2"/>
    </row>
    <row r="2510" spans="1:101" x14ac:dyDescent="0.25">
      <c r="A2510" s="1" t="s">
        <v>163</v>
      </c>
      <c r="B2510" s="75" t="s">
        <v>164</v>
      </c>
      <c r="C2510">
        <v>0</v>
      </c>
      <c r="D2510">
        <v>0</v>
      </c>
      <c r="E2510">
        <v>0</v>
      </c>
      <c r="F2510">
        <v>604324.56000000006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3.91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7490</v>
      </c>
      <c r="AW2510">
        <v>3350</v>
      </c>
      <c r="AX2510">
        <v>1219</v>
      </c>
      <c r="AY2510">
        <v>12059</v>
      </c>
      <c r="AZ2510">
        <v>4202</v>
      </c>
      <c r="BA2510">
        <v>7438</v>
      </c>
      <c r="BB2510">
        <v>1432</v>
      </c>
      <c r="BC2510">
        <v>13072</v>
      </c>
      <c r="BD2510">
        <v>9486</v>
      </c>
      <c r="BE2510">
        <v>9222</v>
      </c>
      <c r="BF2510">
        <v>1768</v>
      </c>
      <c r="BG2510">
        <v>20476</v>
      </c>
      <c r="BH2510">
        <v>0</v>
      </c>
      <c r="BI2510">
        <v>0</v>
      </c>
      <c r="BJ2510">
        <v>0</v>
      </c>
      <c r="BK2510">
        <v>0</v>
      </c>
      <c r="BL2510" s="2">
        <v>24.82</v>
      </c>
      <c r="BM2510" s="2">
        <v>42005.095138888886</v>
      </c>
      <c r="BN2510" s="2">
        <v>5.4</v>
      </c>
      <c r="BO2510" s="2">
        <v>42005.092361111114</v>
      </c>
      <c r="BP2510" s="2">
        <v>6.92</v>
      </c>
      <c r="BQ2510" s="2">
        <v>42005.092361111114</v>
      </c>
      <c r="BR2510" s="2">
        <v>11.07</v>
      </c>
      <c r="BS2510" s="2">
        <v>42005.092361111114</v>
      </c>
      <c r="BT2510">
        <v>0</v>
      </c>
      <c r="BU2510">
        <v>0</v>
      </c>
      <c r="BV2510" t="s">
        <v>135</v>
      </c>
      <c r="BW2510">
        <v>0</v>
      </c>
      <c r="BX2510">
        <v>0</v>
      </c>
      <c r="BY2510" t="s">
        <v>135</v>
      </c>
      <c r="BZ2510">
        <v>0</v>
      </c>
      <c r="CA2510">
        <v>0</v>
      </c>
      <c r="CB2510" t="s">
        <v>135</v>
      </c>
      <c r="CH2510" s="2"/>
      <c r="CJ2510" s="2"/>
      <c r="CL2510" s="2"/>
      <c r="CN2510" s="2"/>
      <c r="CQ2510" s="2"/>
      <c r="CT2510" s="2"/>
      <c r="CW2510" s="2"/>
    </row>
    <row r="2511" spans="1:101" x14ac:dyDescent="0.25">
      <c r="A2511" s="1" t="s">
        <v>163</v>
      </c>
      <c r="B2511" s="75" t="s">
        <v>164</v>
      </c>
      <c r="C2511">
        <v>0</v>
      </c>
      <c r="D2511">
        <v>0</v>
      </c>
      <c r="E2511">
        <v>0</v>
      </c>
      <c r="F2511">
        <v>604324.56000000006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3.91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7490</v>
      </c>
      <c r="AW2511">
        <v>3350</v>
      </c>
      <c r="AX2511">
        <v>1219</v>
      </c>
      <c r="AY2511">
        <v>12059</v>
      </c>
      <c r="AZ2511">
        <v>4202</v>
      </c>
      <c r="BA2511">
        <v>7438</v>
      </c>
      <c r="BB2511">
        <v>1432</v>
      </c>
      <c r="BC2511">
        <v>13072</v>
      </c>
      <c r="BD2511">
        <v>9486</v>
      </c>
      <c r="BE2511">
        <v>9222</v>
      </c>
      <c r="BF2511">
        <v>1768</v>
      </c>
      <c r="BG2511">
        <v>20476</v>
      </c>
      <c r="BH2511">
        <v>0</v>
      </c>
      <c r="BI2511">
        <v>0</v>
      </c>
      <c r="BJ2511">
        <v>0</v>
      </c>
      <c r="BK2511">
        <v>0</v>
      </c>
      <c r="BL2511" s="2">
        <v>24.82</v>
      </c>
      <c r="BM2511" s="2">
        <v>42005.095138888886</v>
      </c>
      <c r="BN2511" s="2">
        <v>5.4</v>
      </c>
      <c r="BO2511" s="2">
        <v>42005.092361111114</v>
      </c>
      <c r="BP2511" s="2">
        <v>6.92</v>
      </c>
      <c r="BQ2511" s="2">
        <v>42005.092361111114</v>
      </c>
      <c r="BR2511" s="2">
        <v>11.07</v>
      </c>
      <c r="BS2511" s="2">
        <v>42005.092361111114</v>
      </c>
      <c r="BT2511">
        <v>0</v>
      </c>
      <c r="BU2511">
        <v>0</v>
      </c>
      <c r="BV2511" t="s">
        <v>135</v>
      </c>
      <c r="BW2511">
        <v>0</v>
      </c>
      <c r="BX2511">
        <v>0</v>
      </c>
      <c r="BY2511" t="s">
        <v>135</v>
      </c>
      <c r="BZ2511">
        <v>0</v>
      </c>
      <c r="CA2511">
        <v>0</v>
      </c>
      <c r="CB2511" t="s">
        <v>135</v>
      </c>
      <c r="CH2511" s="2"/>
      <c r="CJ2511" s="2"/>
      <c r="CL2511" s="2"/>
      <c r="CN2511" s="2"/>
      <c r="CQ2511" s="2"/>
      <c r="CT2511" s="2"/>
      <c r="CW2511" s="2"/>
    </row>
    <row r="2512" spans="1:101" x14ac:dyDescent="0.25">
      <c r="A2512" s="1" t="s">
        <v>163</v>
      </c>
      <c r="B2512" s="75" t="s">
        <v>164</v>
      </c>
      <c r="C2512">
        <v>0</v>
      </c>
      <c r="D2512">
        <v>0</v>
      </c>
      <c r="E2512">
        <v>0</v>
      </c>
      <c r="F2512">
        <v>604324.56000000006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3.91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7490</v>
      </c>
      <c r="AW2512">
        <v>3350</v>
      </c>
      <c r="AX2512">
        <v>1219</v>
      </c>
      <c r="AY2512">
        <v>12059</v>
      </c>
      <c r="AZ2512">
        <v>4202</v>
      </c>
      <c r="BA2512">
        <v>7438</v>
      </c>
      <c r="BB2512">
        <v>1432</v>
      </c>
      <c r="BC2512">
        <v>13072</v>
      </c>
      <c r="BD2512">
        <v>9486</v>
      </c>
      <c r="BE2512">
        <v>9222</v>
      </c>
      <c r="BF2512">
        <v>1768</v>
      </c>
      <c r="BG2512">
        <v>20476</v>
      </c>
      <c r="BH2512">
        <v>0</v>
      </c>
      <c r="BI2512">
        <v>0</v>
      </c>
      <c r="BJ2512">
        <v>0</v>
      </c>
      <c r="BK2512">
        <v>0</v>
      </c>
      <c r="BL2512" s="2">
        <v>24.82</v>
      </c>
      <c r="BM2512" s="2">
        <v>42005.095138888886</v>
      </c>
      <c r="BN2512" s="2">
        <v>5.4</v>
      </c>
      <c r="BO2512" s="2">
        <v>42005.092361111114</v>
      </c>
      <c r="BP2512" s="2">
        <v>6.92</v>
      </c>
      <c r="BQ2512" s="2">
        <v>42005.092361111114</v>
      </c>
      <c r="BR2512" s="2">
        <v>11.07</v>
      </c>
      <c r="BS2512" s="2">
        <v>42005.092361111114</v>
      </c>
      <c r="BT2512">
        <v>0</v>
      </c>
      <c r="BU2512">
        <v>0</v>
      </c>
      <c r="BV2512" t="s">
        <v>135</v>
      </c>
      <c r="BW2512">
        <v>0</v>
      </c>
      <c r="BX2512">
        <v>0</v>
      </c>
      <c r="BY2512" t="s">
        <v>135</v>
      </c>
      <c r="BZ2512">
        <v>0</v>
      </c>
      <c r="CA2512">
        <v>0</v>
      </c>
      <c r="CB2512" t="s">
        <v>135</v>
      </c>
      <c r="CH2512" s="2"/>
      <c r="CJ2512" s="2"/>
      <c r="CL2512" s="2"/>
      <c r="CN2512" s="2"/>
      <c r="CQ2512" s="2"/>
      <c r="CT2512" s="2"/>
      <c r="CW2512" s="2"/>
    </row>
    <row r="2513" spans="1:101" x14ac:dyDescent="0.25">
      <c r="A2513" s="1" t="s">
        <v>163</v>
      </c>
      <c r="B2513" s="75" t="s">
        <v>164</v>
      </c>
      <c r="C2513">
        <v>0</v>
      </c>
      <c r="D2513">
        <v>0</v>
      </c>
      <c r="E2513">
        <v>0</v>
      </c>
      <c r="F2513">
        <v>604324.56000000006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3.91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7490</v>
      </c>
      <c r="AW2513">
        <v>3350</v>
      </c>
      <c r="AX2513">
        <v>1219</v>
      </c>
      <c r="AY2513">
        <v>12059</v>
      </c>
      <c r="AZ2513">
        <v>4202</v>
      </c>
      <c r="BA2513">
        <v>7438</v>
      </c>
      <c r="BB2513">
        <v>1432</v>
      </c>
      <c r="BC2513">
        <v>13072</v>
      </c>
      <c r="BD2513">
        <v>9486</v>
      </c>
      <c r="BE2513">
        <v>9222</v>
      </c>
      <c r="BF2513">
        <v>1768</v>
      </c>
      <c r="BG2513">
        <v>20476</v>
      </c>
      <c r="BH2513">
        <v>0</v>
      </c>
      <c r="BI2513">
        <v>0</v>
      </c>
      <c r="BJ2513">
        <v>0</v>
      </c>
      <c r="BK2513">
        <v>0</v>
      </c>
      <c r="BL2513" s="2">
        <v>24.82</v>
      </c>
      <c r="BM2513" s="2">
        <v>42005.095138888886</v>
      </c>
      <c r="BN2513" s="2">
        <v>5.4</v>
      </c>
      <c r="BO2513" s="2">
        <v>42005.092361111114</v>
      </c>
      <c r="BP2513" s="2">
        <v>6.92</v>
      </c>
      <c r="BQ2513" s="2">
        <v>42005.092361111114</v>
      </c>
      <c r="BR2513" s="2">
        <v>11.07</v>
      </c>
      <c r="BS2513" s="2">
        <v>42005.092361111114</v>
      </c>
      <c r="BT2513">
        <v>0</v>
      </c>
      <c r="BU2513">
        <v>0</v>
      </c>
      <c r="BV2513" t="s">
        <v>135</v>
      </c>
      <c r="BW2513">
        <v>0</v>
      </c>
      <c r="BX2513">
        <v>0</v>
      </c>
      <c r="BY2513" t="s">
        <v>135</v>
      </c>
      <c r="BZ2513">
        <v>0</v>
      </c>
      <c r="CA2513">
        <v>0</v>
      </c>
      <c r="CB2513" t="s">
        <v>135</v>
      </c>
      <c r="CH2513" s="2"/>
      <c r="CJ2513" s="2"/>
      <c r="CL2513" s="2"/>
      <c r="CN2513" s="2"/>
      <c r="CQ2513" s="2"/>
      <c r="CT2513" s="2"/>
      <c r="CW2513" s="2"/>
    </row>
    <row r="2514" spans="1:101" x14ac:dyDescent="0.25">
      <c r="A2514" s="1" t="s">
        <v>163</v>
      </c>
      <c r="B2514" s="75" t="s">
        <v>164</v>
      </c>
      <c r="C2514">
        <v>0</v>
      </c>
      <c r="D2514">
        <v>0</v>
      </c>
      <c r="E2514">
        <v>0</v>
      </c>
      <c r="F2514">
        <v>604324.56000000006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3.91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7490</v>
      </c>
      <c r="AW2514">
        <v>3350</v>
      </c>
      <c r="AX2514">
        <v>1219</v>
      </c>
      <c r="AY2514">
        <v>12059</v>
      </c>
      <c r="AZ2514">
        <v>4202</v>
      </c>
      <c r="BA2514">
        <v>7438</v>
      </c>
      <c r="BB2514">
        <v>1432</v>
      </c>
      <c r="BC2514">
        <v>13072</v>
      </c>
      <c r="BD2514">
        <v>9486</v>
      </c>
      <c r="BE2514">
        <v>9222</v>
      </c>
      <c r="BF2514">
        <v>1768</v>
      </c>
      <c r="BG2514">
        <v>20476</v>
      </c>
      <c r="BH2514">
        <v>0</v>
      </c>
      <c r="BI2514">
        <v>0</v>
      </c>
      <c r="BJ2514">
        <v>0</v>
      </c>
      <c r="BK2514">
        <v>0</v>
      </c>
      <c r="BL2514" s="2">
        <v>24.82</v>
      </c>
      <c r="BM2514" s="2">
        <v>42005.095138888886</v>
      </c>
      <c r="BN2514" s="2">
        <v>5.4</v>
      </c>
      <c r="BO2514" s="2">
        <v>42005.092361111114</v>
      </c>
      <c r="BP2514" s="2">
        <v>6.92</v>
      </c>
      <c r="BQ2514" s="2">
        <v>42005.092361111114</v>
      </c>
      <c r="BR2514" s="2">
        <v>11.07</v>
      </c>
      <c r="BS2514" s="2">
        <v>42005.092361111114</v>
      </c>
      <c r="BT2514">
        <v>0</v>
      </c>
      <c r="BU2514">
        <v>0</v>
      </c>
      <c r="BV2514" t="s">
        <v>135</v>
      </c>
      <c r="BW2514">
        <v>0</v>
      </c>
      <c r="BX2514">
        <v>0</v>
      </c>
      <c r="BY2514" t="s">
        <v>135</v>
      </c>
      <c r="BZ2514">
        <v>0</v>
      </c>
      <c r="CA2514">
        <v>0</v>
      </c>
      <c r="CB2514" t="s">
        <v>135</v>
      </c>
      <c r="CH2514" s="2"/>
      <c r="CJ2514" s="2"/>
      <c r="CL2514" s="2"/>
      <c r="CN2514" s="2"/>
      <c r="CQ2514" s="2"/>
      <c r="CT2514" s="2"/>
      <c r="CW2514" s="2"/>
    </row>
    <row r="2515" spans="1:101" x14ac:dyDescent="0.25">
      <c r="A2515" s="1" t="s">
        <v>163</v>
      </c>
      <c r="B2515" s="75" t="s">
        <v>164</v>
      </c>
      <c r="C2515">
        <v>0</v>
      </c>
      <c r="D2515">
        <v>0</v>
      </c>
      <c r="E2515">
        <v>0</v>
      </c>
      <c r="F2515">
        <v>604324.56000000006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3.91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7490</v>
      </c>
      <c r="AW2515">
        <v>3350</v>
      </c>
      <c r="AX2515">
        <v>1219</v>
      </c>
      <c r="AY2515">
        <v>12059</v>
      </c>
      <c r="AZ2515">
        <v>4202</v>
      </c>
      <c r="BA2515">
        <v>7438</v>
      </c>
      <c r="BB2515">
        <v>1432</v>
      </c>
      <c r="BC2515">
        <v>13072</v>
      </c>
      <c r="BD2515">
        <v>9486</v>
      </c>
      <c r="BE2515">
        <v>9222</v>
      </c>
      <c r="BF2515">
        <v>1768</v>
      </c>
      <c r="BG2515">
        <v>20476</v>
      </c>
      <c r="BH2515">
        <v>0</v>
      </c>
      <c r="BI2515">
        <v>0</v>
      </c>
      <c r="BJ2515">
        <v>0</v>
      </c>
      <c r="BK2515">
        <v>0</v>
      </c>
      <c r="BL2515" s="2">
        <v>24.82</v>
      </c>
      <c r="BM2515" s="2">
        <v>42005.095138888886</v>
      </c>
      <c r="BN2515" s="2">
        <v>5.4</v>
      </c>
      <c r="BO2515" s="2">
        <v>42005.092361111114</v>
      </c>
      <c r="BP2515" s="2">
        <v>6.92</v>
      </c>
      <c r="BQ2515" s="2">
        <v>42005.092361111114</v>
      </c>
      <c r="BR2515" s="2">
        <v>11.07</v>
      </c>
      <c r="BS2515" s="2">
        <v>42005.092361111114</v>
      </c>
      <c r="BT2515">
        <v>0</v>
      </c>
      <c r="BU2515">
        <v>0</v>
      </c>
      <c r="BV2515" t="s">
        <v>135</v>
      </c>
      <c r="BW2515">
        <v>0</v>
      </c>
      <c r="BX2515">
        <v>0</v>
      </c>
      <c r="BY2515" t="s">
        <v>135</v>
      </c>
      <c r="BZ2515">
        <v>0</v>
      </c>
      <c r="CA2515">
        <v>0</v>
      </c>
      <c r="CB2515" t="s">
        <v>135</v>
      </c>
      <c r="CH2515" s="2"/>
      <c r="CJ2515" s="2"/>
      <c r="CL2515" s="2"/>
      <c r="CN2515" s="2"/>
      <c r="CQ2515" s="2"/>
      <c r="CT2515" s="2"/>
      <c r="CW2515" s="2"/>
    </row>
    <row r="2516" spans="1:101" x14ac:dyDescent="0.25">
      <c r="A2516" s="1" t="s">
        <v>163</v>
      </c>
      <c r="B2516" s="75" t="s">
        <v>164</v>
      </c>
      <c r="C2516">
        <v>0</v>
      </c>
      <c r="D2516">
        <v>0</v>
      </c>
      <c r="E2516">
        <v>0</v>
      </c>
      <c r="F2516">
        <v>604324.56000000006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3.91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7490</v>
      </c>
      <c r="AW2516">
        <v>3350</v>
      </c>
      <c r="AX2516">
        <v>1219</v>
      </c>
      <c r="AY2516">
        <v>12059</v>
      </c>
      <c r="AZ2516">
        <v>4202</v>
      </c>
      <c r="BA2516">
        <v>7438</v>
      </c>
      <c r="BB2516">
        <v>1432</v>
      </c>
      <c r="BC2516">
        <v>13072</v>
      </c>
      <c r="BD2516">
        <v>9486</v>
      </c>
      <c r="BE2516">
        <v>9222</v>
      </c>
      <c r="BF2516">
        <v>1768</v>
      </c>
      <c r="BG2516">
        <v>20476</v>
      </c>
      <c r="BH2516">
        <v>0</v>
      </c>
      <c r="BI2516">
        <v>0</v>
      </c>
      <c r="BJ2516">
        <v>0</v>
      </c>
      <c r="BK2516">
        <v>0</v>
      </c>
      <c r="BL2516" s="2">
        <v>24.82</v>
      </c>
      <c r="BM2516" s="2">
        <v>42005.095138888886</v>
      </c>
      <c r="BN2516" s="2">
        <v>5.4</v>
      </c>
      <c r="BO2516" s="2">
        <v>42005.092361111114</v>
      </c>
      <c r="BP2516" s="2">
        <v>6.92</v>
      </c>
      <c r="BQ2516" s="2">
        <v>42005.092361111114</v>
      </c>
      <c r="BR2516" s="2">
        <v>11.07</v>
      </c>
      <c r="BS2516" s="2">
        <v>42005.092361111114</v>
      </c>
      <c r="BT2516">
        <v>0</v>
      </c>
      <c r="BU2516">
        <v>0</v>
      </c>
      <c r="BV2516" t="s">
        <v>135</v>
      </c>
      <c r="BW2516">
        <v>0</v>
      </c>
      <c r="BX2516">
        <v>0</v>
      </c>
      <c r="BY2516" t="s">
        <v>135</v>
      </c>
      <c r="BZ2516">
        <v>0</v>
      </c>
      <c r="CA2516">
        <v>0</v>
      </c>
      <c r="CB2516" t="s">
        <v>135</v>
      </c>
      <c r="CH2516" s="2"/>
      <c r="CJ2516" s="2"/>
      <c r="CL2516" s="2"/>
      <c r="CN2516" s="2"/>
      <c r="CQ2516" s="2"/>
      <c r="CT2516" s="2"/>
      <c r="CW2516" s="2"/>
    </row>
    <row r="2517" spans="1:101" x14ac:dyDescent="0.25">
      <c r="A2517" s="1" t="s">
        <v>163</v>
      </c>
      <c r="B2517" s="75" t="s">
        <v>164</v>
      </c>
      <c r="C2517">
        <v>0</v>
      </c>
      <c r="D2517">
        <v>0</v>
      </c>
      <c r="E2517">
        <v>0</v>
      </c>
      <c r="F2517">
        <v>604324.56000000006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3.91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7490</v>
      </c>
      <c r="AW2517">
        <v>3350</v>
      </c>
      <c r="AX2517">
        <v>1219</v>
      </c>
      <c r="AY2517">
        <v>12059</v>
      </c>
      <c r="AZ2517">
        <v>4202</v>
      </c>
      <c r="BA2517">
        <v>7438</v>
      </c>
      <c r="BB2517">
        <v>1432</v>
      </c>
      <c r="BC2517">
        <v>13072</v>
      </c>
      <c r="BD2517">
        <v>9486</v>
      </c>
      <c r="BE2517">
        <v>9222</v>
      </c>
      <c r="BF2517">
        <v>1768</v>
      </c>
      <c r="BG2517">
        <v>20476</v>
      </c>
      <c r="BH2517">
        <v>0</v>
      </c>
      <c r="BI2517">
        <v>0</v>
      </c>
      <c r="BJ2517">
        <v>0</v>
      </c>
      <c r="BK2517">
        <v>0</v>
      </c>
      <c r="BL2517" s="2">
        <v>24.82</v>
      </c>
      <c r="BM2517" s="2">
        <v>42005.095138888886</v>
      </c>
      <c r="BN2517" s="2">
        <v>5.4</v>
      </c>
      <c r="BO2517" s="2">
        <v>42005.092361111114</v>
      </c>
      <c r="BP2517" s="2">
        <v>6.92</v>
      </c>
      <c r="BQ2517" s="2">
        <v>42005.092361111114</v>
      </c>
      <c r="BR2517" s="2">
        <v>11.07</v>
      </c>
      <c r="BS2517" s="2">
        <v>42005.092361111114</v>
      </c>
      <c r="BT2517">
        <v>0</v>
      </c>
      <c r="BU2517">
        <v>0</v>
      </c>
      <c r="BV2517" t="s">
        <v>135</v>
      </c>
      <c r="BW2517">
        <v>0</v>
      </c>
      <c r="BX2517">
        <v>0</v>
      </c>
      <c r="BY2517" t="s">
        <v>135</v>
      </c>
      <c r="BZ2517">
        <v>0</v>
      </c>
      <c r="CA2517">
        <v>0</v>
      </c>
      <c r="CB2517" t="s">
        <v>135</v>
      </c>
      <c r="CH2517" s="2"/>
      <c r="CJ2517" s="2"/>
      <c r="CL2517" s="2"/>
      <c r="CN2517" s="2"/>
      <c r="CQ2517" s="2"/>
      <c r="CT2517" s="2"/>
      <c r="CW2517" s="2"/>
    </row>
    <row r="2518" spans="1:101" x14ac:dyDescent="0.25">
      <c r="A2518" s="1" t="s">
        <v>163</v>
      </c>
      <c r="B2518" s="75" t="s">
        <v>164</v>
      </c>
      <c r="C2518">
        <v>0</v>
      </c>
      <c r="D2518">
        <v>0</v>
      </c>
      <c r="E2518">
        <v>0</v>
      </c>
      <c r="F2518">
        <v>604324.56000000006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3.91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7490</v>
      </c>
      <c r="AW2518">
        <v>3350</v>
      </c>
      <c r="AX2518">
        <v>1219</v>
      </c>
      <c r="AY2518">
        <v>12059</v>
      </c>
      <c r="AZ2518">
        <v>4202</v>
      </c>
      <c r="BA2518">
        <v>7438</v>
      </c>
      <c r="BB2518">
        <v>1432</v>
      </c>
      <c r="BC2518">
        <v>13072</v>
      </c>
      <c r="BD2518">
        <v>9486</v>
      </c>
      <c r="BE2518">
        <v>9222</v>
      </c>
      <c r="BF2518">
        <v>1768</v>
      </c>
      <c r="BG2518">
        <v>20476</v>
      </c>
      <c r="BH2518">
        <v>0</v>
      </c>
      <c r="BI2518">
        <v>0</v>
      </c>
      <c r="BJ2518">
        <v>0</v>
      </c>
      <c r="BK2518">
        <v>0</v>
      </c>
      <c r="BL2518" s="2">
        <v>24.82</v>
      </c>
      <c r="BM2518" s="2">
        <v>42005.095138888886</v>
      </c>
      <c r="BN2518" s="2">
        <v>5.4</v>
      </c>
      <c r="BO2518" s="2">
        <v>42005.092361111114</v>
      </c>
      <c r="BP2518" s="2">
        <v>6.92</v>
      </c>
      <c r="BQ2518" s="2">
        <v>42005.092361111114</v>
      </c>
      <c r="BR2518" s="2">
        <v>11.07</v>
      </c>
      <c r="BS2518" s="2">
        <v>42005.092361111114</v>
      </c>
      <c r="BT2518">
        <v>0</v>
      </c>
      <c r="BU2518">
        <v>0</v>
      </c>
      <c r="BV2518" t="s">
        <v>135</v>
      </c>
      <c r="BW2518">
        <v>0</v>
      </c>
      <c r="BX2518">
        <v>0</v>
      </c>
      <c r="BY2518" t="s">
        <v>135</v>
      </c>
      <c r="BZ2518">
        <v>0</v>
      </c>
      <c r="CA2518">
        <v>0</v>
      </c>
      <c r="CB2518" t="s">
        <v>135</v>
      </c>
      <c r="CH2518" s="2"/>
      <c r="CJ2518" s="2"/>
      <c r="CL2518" s="2"/>
      <c r="CN2518" s="2"/>
      <c r="CQ2518" s="2"/>
      <c r="CT2518" s="2"/>
      <c r="CW2518" s="2"/>
    </row>
    <row r="2519" spans="1:101" x14ac:dyDescent="0.25">
      <c r="A2519" s="1" t="s">
        <v>163</v>
      </c>
      <c r="B2519" s="75" t="s">
        <v>164</v>
      </c>
      <c r="C2519">
        <v>0</v>
      </c>
      <c r="D2519">
        <v>0</v>
      </c>
      <c r="E2519">
        <v>0</v>
      </c>
      <c r="F2519">
        <v>604324.56000000006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3.91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7490</v>
      </c>
      <c r="AW2519">
        <v>3350</v>
      </c>
      <c r="AX2519">
        <v>1219</v>
      </c>
      <c r="AY2519">
        <v>12059</v>
      </c>
      <c r="AZ2519">
        <v>4202</v>
      </c>
      <c r="BA2519">
        <v>7438</v>
      </c>
      <c r="BB2519">
        <v>1432</v>
      </c>
      <c r="BC2519">
        <v>13072</v>
      </c>
      <c r="BD2519">
        <v>9486</v>
      </c>
      <c r="BE2519">
        <v>9222</v>
      </c>
      <c r="BF2519">
        <v>1768</v>
      </c>
      <c r="BG2519">
        <v>20476</v>
      </c>
      <c r="BH2519">
        <v>0</v>
      </c>
      <c r="BI2519">
        <v>0</v>
      </c>
      <c r="BJ2519">
        <v>0</v>
      </c>
      <c r="BK2519">
        <v>0</v>
      </c>
      <c r="BL2519" s="2">
        <v>24.82</v>
      </c>
      <c r="BM2519" s="2">
        <v>42005.095138888886</v>
      </c>
      <c r="BN2519" s="2">
        <v>5.4</v>
      </c>
      <c r="BO2519" s="2">
        <v>42005.092361111114</v>
      </c>
      <c r="BP2519" s="2">
        <v>6.92</v>
      </c>
      <c r="BQ2519" s="2">
        <v>42005.092361111114</v>
      </c>
      <c r="BR2519" s="2">
        <v>11.07</v>
      </c>
      <c r="BS2519" s="2">
        <v>42005.092361111114</v>
      </c>
      <c r="BT2519">
        <v>0</v>
      </c>
      <c r="BU2519">
        <v>0</v>
      </c>
      <c r="BV2519" t="s">
        <v>135</v>
      </c>
      <c r="BW2519">
        <v>0</v>
      </c>
      <c r="BX2519">
        <v>0</v>
      </c>
      <c r="BY2519" t="s">
        <v>135</v>
      </c>
      <c r="BZ2519">
        <v>0</v>
      </c>
      <c r="CA2519">
        <v>0</v>
      </c>
      <c r="CB2519" t="s">
        <v>135</v>
      </c>
      <c r="CH2519" s="2"/>
      <c r="CJ2519" s="2"/>
      <c r="CL2519" s="2"/>
      <c r="CN2519" s="2"/>
      <c r="CQ2519" s="2"/>
      <c r="CT2519" s="2"/>
      <c r="CW2519" s="2"/>
    </row>
    <row r="2520" spans="1:101" x14ac:dyDescent="0.25">
      <c r="A2520" s="1" t="s">
        <v>163</v>
      </c>
      <c r="B2520" s="75" t="s">
        <v>164</v>
      </c>
      <c r="C2520">
        <v>0</v>
      </c>
      <c r="D2520">
        <v>0</v>
      </c>
      <c r="E2520">
        <v>0</v>
      </c>
      <c r="F2520">
        <v>604324.56000000006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3.91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7490</v>
      </c>
      <c r="AW2520">
        <v>3350</v>
      </c>
      <c r="AX2520">
        <v>1219</v>
      </c>
      <c r="AY2520">
        <v>12059</v>
      </c>
      <c r="AZ2520">
        <v>4202</v>
      </c>
      <c r="BA2520">
        <v>7438</v>
      </c>
      <c r="BB2520">
        <v>1432</v>
      </c>
      <c r="BC2520">
        <v>13072</v>
      </c>
      <c r="BD2520">
        <v>9486</v>
      </c>
      <c r="BE2520">
        <v>9222</v>
      </c>
      <c r="BF2520">
        <v>1768</v>
      </c>
      <c r="BG2520">
        <v>20476</v>
      </c>
      <c r="BH2520">
        <v>0</v>
      </c>
      <c r="BI2520">
        <v>0</v>
      </c>
      <c r="BJ2520">
        <v>0</v>
      </c>
      <c r="BK2520">
        <v>0</v>
      </c>
      <c r="BL2520" s="2">
        <v>24.82</v>
      </c>
      <c r="BM2520" s="2">
        <v>42005.095138888886</v>
      </c>
      <c r="BN2520" s="2">
        <v>5.4</v>
      </c>
      <c r="BO2520" s="2">
        <v>42005.092361111114</v>
      </c>
      <c r="BP2520" s="2">
        <v>6.92</v>
      </c>
      <c r="BQ2520" s="2">
        <v>42005.092361111114</v>
      </c>
      <c r="BR2520" s="2">
        <v>11.07</v>
      </c>
      <c r="BS2520" s="2">
        <v>42005.092361111114</v>
      </c>
      <c r="BT2520">
        <v>0</v>
      </c>
      <c r="BU2520">
        <v>0</v>
      </c>
      <c r="BV2520" t="s">
        <v>135</v>
      </c>
      <c r="BW2520">
        <v>0</v>
      </c>
      <c r="BX2520">
        <v>0</v>
      </c>
      <c r="BY2520" t="s">
        <v>135</v>
      </c>
      <c r="BZ2520">
        <v>0</v>
      </c>
      <c r="CA2520">
        <v>0</v>
      </c>
      <c r="CB2520" t="s">
        <v>135</v>
      </c>
      <c r="CH2520" s="2"/>
      <c r="CJ2520" s="2"/>
      <c r="CL2520" s="2"/>
      <c r="CN2520" s="2"/>
      <c r="CQ2520" s="2"/>
      <c r="CT2520" s="2"/>
      <c r="CW2520" s="2"/>
    </row>
    <row r="2521" spans="1:101" x14ac:dyDescent="0.25">
      <c r="A2521" s="1" t="s">
        <v>163</v>
      </c>
      <c r="B2521" s="75" t="s">
        <v>164</v>
      </c>
      <c r="C2521">
        <v>0</v>
      </c>
      <c r="D2521">
        <v>0</v>
      </c>
      <c r="E2521">
        <v>0</v>
      </c>
      <c r="F2521">
        <v>604324.56000000006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3.91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7490</v>
      </c>
      <c r="AW2521">
        <v>3350</v>
      </c>
      <c r="AX2521">
        <v>1219</v>
      </c>
      <c r="AY2521">
        <v>12059</v>
      </c>
      <c r="AZ2521">
        <v>4202</v>
      </c>
      <c r="BA2521">
        <v>7438</v>
      </c>
      <c r="BB2521">
        <v>1432</v>
      </c>
      <c r="BC2521">
        <v>13072</v>
      </c>
      <c r="BD2521">
        <v>9486</v>
      </c>
      <c r="BE2521">
        <v>9222</v>
      </c>
      <c r="BF2521">
        <v>1768</v>
      </c>
      <c r="BG2521">
        <v>20476</v>
      </c>
      <c r="BH2521">
        <v>0</v>
      </c>
      <c r="BI2521">
        <v>0</v>
      </c>
      <c r="BJ2521">
        <v>0</v>
      </c>
      <c r="BK2521">
        <v>0</v>
      </c>
      <c r="BL2521" s="2">
        <v>24.82</v>
      </c>
      <c r="BM2521" s="2">
        <v>42005.095138888886</v>
      </c>
      <c r="BN2521" s="2">
        <v>5.4</v>
      </c>
      <c r="BO2521" s="2">
        <v>42005.092361111114</v>
      </c>
      <c r="BP2521" s="2">
        <v>6.92</v>
      </c>
      <c r="BQ2521" s="2">
        <v>42005.092361111114</v>
      </c>
      <c r="BR2521" s="2">
        <v>11.07</v>
      </c>
      <c r="BS2521" s="2">
        <v>42005.092361111114</v>
      </c>
      <c r="BT2521">
        <v>0</v>
      </c>
      <c r="BU2521">
        <v>0</v>
      </c>
      <c r="BV2521" t="s">
        <v>135</v>
      </c>
      <c r="BW2521">
        <v>0</v>
      </c>
      <c r="BX2521">
        <v>0</v>
      </c>
      <c r="BY2521" t="s">
        <v>135</v>
      </c>
      <c r="BZ2521">
        <v>0</v>
      </c>
      <c r="CA2521">
        <v>0</v>
      </c>
      <c r="CB2521" t="s">
        <v>135</v>
      </c>
      <c r="CH2521" s="2"/>
      <c r="CJ2521" s="2"/>
      <c r="CL2521" s="2"/>
      <c r="CN2521" s="2"/>
      <c r="CQ2521" s="2"/>
      <c r="CT2521" s="2"/>
      <c r="CW2521" s="2"/>
    </row>
    <row r="2522" spans="1:101" x14ac:dyDescent="0.25">
      <c r="A2522" s="1" t="s">
        <v>163</v>
      </c>
      <c r="B2522" s="75" t="s">
        <v>164</v>
      </c>
      <c r="C2522">
        <v>0</v>
      </c>
      <c r="D2522">
        <v>0</v>
      </c>
      <c r="E2522">
        <v>0</v>
      </c>
      <c r="F2522">
        <v>604324.56000000006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3.91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7490</v>
      </c>
      <c r="AW2522">
        <v>3350</v>
      </c>
      <c r="AX2522">
        <v>1219</v>
      </c>
      <c r="AY2522">
        <v>12059</v>
      </c>
      <c r="AZ2522">
        <v>4202</v>
      </c>
      <c r="BA2522">
        <v>7438</v>
      </c>
      <c r="BB2522">
        <v>1432</v>
      </c>
      <c r="BC2522">
        <v>13072</v>
      </c>
      <c r="BD2522">
        <v>9486</v>
      </c>
      <c r="BE2522">
        <v>9222</v>
      </c>
      <c r="BF2522">
        <v>1768</v>
      </c>
      <c r="BG2522">
        <v>20476</v>
      </c>
      <c r="BH2522">
        <v>0</v>
      </c>
      <c r="BI2522">
        <v>0</v>
      </c>
      <c r="BJ2522">
        <v>0</v>
      </c>
      <c r="BK2522">
        <v>0</v>
      </c>
      <c r="BL2522" s="2">
        <v>24.82</v>
      </c>
      <c r="BM2522" s="2">
        <v>42005.095138888886</v>
      </c>
      <c r="BN2522" s="2">
        <v>5.4</v>
      </c>
      <c r="BO2522" s="2">
        <v>42005.092361111114</v>
      </c>
      <c r="BP2522" s="2">
        <v>6.92</v>
      </c>
      <c r="BQ2522" s="2">
        <v>42005.092361111114</v>
      </c>
      <c r="BR2522" s="2">
        <v>11.07</v>
      </c>
      <c r="BS2522" s="2">
        <v>42005.092361111114</v>
      </c>
      <c r="BT2522">
        <v>0</v>
      </c>
      <c r="BU2522">
        <v>0</v>
      </c>
      <c r="BV2522" t="s">
        <v>135</v>
      </c>
      <c r="BW2522">
        <v>0</v>
      </c>
      <c r="BX2522">
        <v>0</v>
      </c>
      <c r="BY2522" t="s">
        <v>135</v>
      </c>
      <c r="BZ2522">
        <v>0</v>
      </c>
      <c r="CA2522">
        <v>0</v>
      </c>
      <c r="CB2522" t="s">
        <v>135</v>
      </c>
      <c r="CH2522" s="2"/>
      <c r="CJ2522" s="2"/>
      <c r="CL2522" s="2"/>
      <c r="CN2522" s="2"/>
      <c r="CQ2522" s="2"/>
      <c r="CT2522" s="2"/>
      <c r="CW2522" s="2"/>
    </row>
    <row r="2523" spans="1:101" x14ac:dyDescent="0.25">
      <c r="A2523" s="1" t="s">
        <v>163</v>
      </c>
      <c r="B2523" s="75" t="s">
        <v>164</v>
      </c>
      <c r="C2523">
        <v>0</v>
      </c>
      <c r="D2523">
        <v>0</v>
      </c>
      <c r="E2523">
        <v>0</v>
      </c>
      <c r="F2523">
        <v>604324.56000000006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3.91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7490</v>
      </c>
      <c r="AW2523">
        <v>3350</v>
      </c>
      <c r="AX2523">
        <v>1219</v>
      </c>
      <c r="AY2523">
        <v>12059</v>
      </c>
      <c r="AZ2523">
        <v>4202</v>
      </c>
      <c r="BA2523">
        <v>7438</v>
      </c>
      <c r="BB2523">
        <v>1432</v>
      </c>
      <c r="BC2523">
        <v>13072</v>
      </c>
      <c r="BD2523">
        <v>9486</v>
      </c>
      <c r="BE2523">
        <v>9222</v>
      </c>
      <c r="BF2523">
        <v>1768</v>
      </c>
      <c r="BG2523">
        <v>20476</v>
      </c>
      <c r="BH2523">
        <v>0</v>
      </c>
      <c r="BI2523">
        <v>0</v>
      </c>
      <c r="BJ2523">
        <v>0</v>
      </c>
      <c r="BK2523">
        <v>0</v>
      </c>
      <c r="BL2523" s="2">
        <v>24.82</v>
      </c>
      <c r="BM2523" s="2">
        <v>42005.095138888886</v>
      </c>
      <c r="BN2523" s="2">
        <v>5.4</v>
      </c>
      <c r="BO2523" s="2">
        <v>42005.092361111114</v>
      </c>
      <c r="BP2523" s="2">
        <v>6.92</v>
      </c>
      <c r="BQ2523" s="2">
        <v>42005.092361111114</v>
      </c>
      <c r="BR2523" s="2">
        <v>11.07</v>
      </c>
      <c r="BS2523" s="2">
        <v>42005.092361111114</v>
      </c>
      <c r="BT2523">
        <v>0</v>
      </c>
      <c r="BU2523">
        <v>0</v>
      </c>
      <c r="BV2523" t="s">
        <v>135</v>
      </c>
      <c r="BW2523">
        <v>0</v>
      </c>
      <c r="BX2523">
        <v>0</v>
      </c>
      <c r="BY2523" t="s">
        <v>135</v>
      </c>
      <c r="BZ2523">
        <v>0</v>
      </c>
      <c r="CA2523">
        <v>0</v>
      </c>
      <c r="CB2523" t="s">
        <v>135</v>
      </c>
      <c r="CH2523" s="2"/>
      <c r="CJ2523" s="2"/>
      <c r="CL2523" s="2"/>
      <c r="CN2523" s="2"/>
      <c r="CQ2523" s="2"/>
      <c r="CT2523" s="2"/>
      <c r="CW2523" s="2"/>
    </row>
    <row r="2524" spans="1:101" x14ac:dyDescent="0.25">
      <c r="A2524" s="1" t="s">
        <v>163</v>
      </c>
      <c r="B2524" s="75" t="s">
        <v>164</v>
      </c>
      <c r="C2524">
        <v>0</v>
      </c>
      <c r="D2524">
        <v>0</v>
      </c>
      <c r="E2524">
        <v>0</v>
      </c>
      <c r="F2524">
        <v>604324.56000000006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3.91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7490</v>
      </c>
      <c r="AW2524">
        <v>3350</v>
      </c>
      <c r="AX2524">
        <v>1219</v>
      </c>
      <c r="AY2524">
        <v>12059</v>
      </c>
      <c r="AZ2524">
        <v>4202</v>
      </c>
      <c r="BA2524">
        <v>7438</v>
      </c>
      <c r="BB2524">
        <v>1432</v>
      </c>
      <c r="BC2524">
        <v>13072</v>
      </c>
      <c r="BD2524">
        <v>9486</v>
      </c>
      <c r="BE2524">
        <v>9222</v>
      </c>
      <c r="BF2524">
        <v>1768</v>
      </c>
      <c r="BG2524">
        <v>20476</v>
      </c>
      <c r="BH2524">
        <v>0</v>
      </c>
      <c r="BI2524">
        <v>0</v>
      </c>
      <c r="BJ2524">
        <v>0</v>
      </c>
      <c r="BK2524">
        <v>0</v>
      </c>
      <c r="BL2524" s="2">
        <v>24.82</v>
      </c>
      <c r="BM2524" s="2">
        <v>42005.095138888886</v>
      </c>
      <c r="BN2524" s="2">
        <v>5.4</v>
      </c>
      <c r="BO2524" s="2">
        <v>42005.092361111114</v>
      </c>
      <c r="BP2524" s="2">
        <v>6.92</v>
      </c>
      <c r="BQ2524" s="2">
        <v>42005.092361111114</v>
      </c>
      <c r="BR2524" s="2">
        <v>11.07</v>
      </c>
      <c r="BS2524" s="2">
        <v>42005.092361111114</v>
      </c>
      <c r="BT2524">
        <v>0</v>
      </c>
      <c r="BU2524">
        <v>0</v>
      </c>
      <c r="BV2524" t="s">
        <v>135</v>
      </c>
      <c r="BW2524">
        <v>0</v>
      </c>
      <c r="BX2524">
        <v>0</v>
      </c>
      <c r="BY2524" t="s">
        <v>135</v>
      </c>
      <c r="BZ2524">
        <v>0</v>
      </c>
      <c r="CA2524">
        <v>0</v>
      </c>
      <c r="CB2524" t="s">
        <v>135</v>
      </c>
      <c r="CH2524" s="2"/>
      <c r="CJ2524" s="2"/>
      <c r="CL2524" s="2"/>
      <c r="CN2524" s="2"/>
      <c r="CQ2524" s="2"/>
      <c r="CT2524" s="2"/>
      <c r="CW2524" s="2"/>
    </row>
    <row r="2525" spans="1:101" x14ac:dyDescent="0.25">
      <c r="A2525" s="1" t="s">
        <v>163</v>
      </c>
      <c r="B2525" s="75" t="s">
        <v>164</v>
      </c>
      <c r="C2525">
        <v>0</v>
      </c>
      <c r="D2525">
        <v>0</v>
      </c>
      <c r="E2525">
        <v>0</v>
      </c>
      <c r="F2525">
        <v>604324.56000000006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3.91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7490</v>
      </c>
      <c r="AW2525">
        <v>3350</v>
      </c>
      <c r="AX2525">
        <v>1219</v>
      </c>
      <c r="AY2525">
        <v>12059</v>
      </c>
      <c r="AZ2525">
        <v>4202</v>
      </c>
      <c r="BA2525">
        <v>7438</v>
      </c>
      <c r="BB2525">
        <v>1432</v>
      </c>
      <c r="BC2525">
        <v>13072</v>
      </c>
      <c r="BD2525">
        <v>9486</v>
      </c>
      <c r="BE2525">
        <v>9222</v>
      </c>
      <c r="BF2525">
        <v>1768</v>
      </c>
      <c r="BG2525">
        <v>20476</v>
      </c>
      <c r="BH2525">
        <v>0</v>
      </c>
      <c r="BI2525">
        <v>0</v>
      </c>
      <c r="BJ2525">
        <v>0</v>
      </c>
      <c r="BK2525">
        <v>0</v>
      </c>
      <c r="BL2525" s="2">
        <v>24.82</v>
      </c>
      <c r="BM2525" s="2">
        <v>42005.095138888886</v>
      </c>
      <c r="BN2525" s="2">
        <v>5.4</v>
      </c>
      <c r="BO2525" s="2">
        <v>42005.092361111114</v>
      </c>
      <c r="BP2525" s="2">
        <v>6.92</v>
      </c>
      <c r="BQ2525" s="2">
        <v>42005.092361111114</v>
      </c>
      <c r="BR2525" s="2">
        <v>11.07</v>
      </c>
      <c r="BS2525" s="2">
        <v>42005.092361111114</v>
      </c>
      <c r="BT2525">
        <v>0</v>
      </c>
      <c r="BU2525">
        <v>0</v>
      </c>
      <c r="BV2525" t="s">
        <v>135</v>
      </c>
      <c r="BW2525">
        <v>0</v>
      </c>
      <c r="BX2525">
        <v>0</v>
      </c>
      <c r="BY2525" t="s">
        <v>135</v>
      </c>
      <c r="BZ2525">
        <v>0</v>
      </c>
      <c r="CA2525">
        <v>0</v>
      </c>
      <c r="CB2525" t="s">
        <v>135</v>
      </c>
      <c r="CH2525" s="2"/>
      <c r="CJ2525" s="2"/>
      <c r="CL2525" s="2"/>
      <c r="CN2525" s="2"/>
      <c r="CQ2525" s="2"/>
      <c r="CT2525" s="2"/>
      <c r="CW2525" s="2"/>
    </row>
    <row r="2526" spans="1:101" x14ac:dyDescent="0.25">
      <c r="A2526" s="1" t="s">
        <v>163</v>
      </c>
      <c r="B2526" s="75" t="s">
        <v>164</v>
      </c>
      <c r="C2526">
        <v>0</v>
      </c>
      <c r="D2526">
        <v>0</v>
      </c>
      <c r="E2526">
        <v>0</v>
      </c>
      <c r="F2526">
        <v>604324.56000000006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3.91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7490</v>
      </c>
      <c r="AW2526">
        <v>3350</v>
      </c>
      <c r="AX2526">
        <v>1219</v>
      </c>
      <c r="AY2526">
        <v>12059</v>
      </c>
      <c r="AZ2526">
        <v>4202</v>
      </c>
      <c r="BA2526">
        <v>7438</v>
      </c>
      <c r="BB2526">
        <v>1432</v>
      </c>
      <c r="BC2526">
        <v>13072</v>
      </c>
      <c r="BD2526">
        <v>9486</v>
      </c>
      <c r="BE2526">
        <v>9222</v>
      </c>
      <c r="BF2526">
        <v>1768</v>
      </c>
      <c r="BG2526">
        <v>20476</v>
      </c>
      <c r="BH2526">
        <v>0</v>
      </c>
      <c r="BI2526">
        <v>0</v>
      </c>
      <c r="BJ2526">
        <v>0</v>
      </c>
      <c r="BK2526">
        <v>0</v>
      </c>
      <c r="BL2526" s="2">
        <v>24.82</v>
      </c>
      <c r="BM2526" s="2">
        <v>42005.095138888886</v>
      </c>
      <c r="BN2526" s="2">
        <v>5.4</v>
      </c>
      <c r="BO2526" s="2">
        <v>42005.092361111114</v>
      </c>
      <c r="BP2526" s="2">
        <v>6.92</v>
      </c>
      <c r="BQ2526" s="2">
        <v>42005.092361111114</v>
      </c>
      <c r="BR2526" s="2">
        <v>11.07</v>
      </c>
      <c r="BS2526" s="2">
        <v>42005.092361111114</v>
      </c>
      <c r="BT2526">
        <v>0</v>
      </c>
      <c r="BU2526">
        <v>0</v>
      </c>
      <c r="BV2526" t="s">
        <v>135</v>
      </c>
      <c r="BW2526">
        <v>0</v>
      </c>
      <c r="BX2526">
        <v>0</v>
      </c>
      <c r="BY2526" t="s">
        <v>135</v>
      </c>
      <c r="BZ2526">
        <v>0</v>
      </c>
      <c r="CA2526">
        <v>0</v>
      </c>
      <c r="CB2526" t="s">
        <v>135</v>
      </c>
      <c r="CH2526" s="2"/>
      <c r="CJ2526" s="2"/>
      <c r="CL2526" s="2"/>
      <c r="CN2526" s="2"/>
      <c r="CQ2526" s="2"/>
      <c r="CT2526" s="2"/>
      <c r="CW2526" s="2"/>
    </row>
    <row r="2527" spans="1:101" x14ac:dyDescent="0.25">
      <c r="A2527" s="1" t="s">
        <v>163</v>
      </c>
      <c r="B2527" s="75" t="s">
        <v>164</v>
      </c>
      <c r="C2527">
        <v>0</v>
      </c>
      <c r="D2527">
        <v>0</v>
      </c>
      <c r="E2527">
        <v>0</v>
      </c>
      <c r="F2527">
        <v>604324.56000000006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3.91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7490</v>
      </c>
      <c r="AW2527">
        <v>3350</v>
      </c>
      <c r="AX2527">
        <v>1219</v>
      </c>
      <c r="AY2527">
        <v>12059</v>
      </c>
      <c r="AZ2527">
        <v>4202</v>
      </c>
      <c r="BA2527">
        <v>7438</v>
      </c>
      <c r="BB2527">
        <v>1432</v>
      </c>
      <c r="BC2527">
        <v>13072</v>
      </c>
      <c r="BD2527">
        <v>9486</v>
      </c>
      <c r="BE2527">
        <v>9222</v>
      </c>
      <c r="BF2527">
        <v>1768</v>
      </c>
      <c r="BG2527">
        <v>20476</v>
      </c>
      <c r="BH2527">
        <v>0</v>
      </c>
      <c r="BI2527">
        <v>0</v>
      </c>
      <c r="BJ2527">
        <v>0</v>
      </c>
      <c r="BK2527">
        <v>0</v>
      </c>
      <c r="BL2527" s="2">
        <v>24.82</v>
      </c>
      <c r="BM2527" s="2">
        <v>42005.095138888886</v>
      </c>
      <c r="BN2527" s="2">
        <v>5.4</v>
      </c>
      <c r="BO2527" s="2">
        <v>42005.092361111114</v>
      </c>
      <c r="BP2527" s="2">
        <v>6.92</v>
      </c>
      <c r="BQ2527" s="2">
        <v>42005.092361111114</v>
      </c>
      <c r="BR2527" s="2">
        <v>11.07</v>
      </c>
      <c r="BS2527" s="2">
        <v>42005.092361111114</v>
      </c>
      <c r="BT2527">
        <v>0</v>
      </c>
      <c r="BU2527">
        <v>0</v>
      </c>
      <c r="BV2527" t="s">
        <v>135</v>
      </c>
      <c r="BW2527">
        <v>0</v>
      </c>
      <c r="BX2527">
        <v>0</v>
      </c>
      <c r="BY2527" t="s">
        <v>135</v>
      </c>
      <c r="BZ2527">
        <v>0</v>
      </c>
      <c r="CA2527">
        <v>0</v>
      </c>
      <c r="CB2527" t="s">
        <v>135</v>
      </c>
      <c r="CH2527" s="2"/>
      <c r="CJ2527" s="2"/>
      <c r="CL2527" s="2"/>
      <c r="CN2527" s="2"/>
      <c r="CQ2527" s="2"/>
      <c r="CT2527" s="2"/>
      <c r="CW2527" s="2"/>
    </row>
    <row r="2528" spans="1:101" x14ac:dyDescent="0.25">
      <c r="A2528" s="1" t="s">
        <v>163</v>
      </c>
      <c r="B2528" s="75" t="s">
        <v>164</v>
      </c>
      <c r="C2528">
        <v>0</v>
      </c>
      <c r="D2528">
        <v>0</v>
      </c>
      <c r="E2528">
        <v>0</v>
      </c>
      <c r="F2528">
        <v>604324.56000000006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3.91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7490</v>
      </c>
      <c r="AW2528">
        <v>3350</v>
      </c>
      <c r="AX2528">
        <v>1219</v>
      </c>
      <c r="AY2528">
        <v>12059</v>
      </c>
      <c r="AZ2528">
        <v>4202</v>
      </c>
      <c r="BA2528">
        <v>7438</v>
      </c>
      <c r="BB2528">
        <v>1432</v>
      </c>
      <c r="BC2528">
        <v>13072</v>
      </c>
      <c r="BD2528">
        <v>9486</v>
      </c>
      <c r="BE2528">
        <v>9222</v>
      </c>
      <c r="BF2528">
        <v>1768</v>
      </c>
      <c r="BG2528">
        <v>20476</v>
      </c>
      <c r="BH2528">
        <v>0</v>
      </c>
      <c r="BI2528">
        <v>0</v>
      </c>
      <c r="BJ2528">
        <v>0</v>
      </c>
      <c r="BK2528">
        <v>0</v>
      </c>
      <c r="BL2528" s="2">
        <v>24.82</v>
      </c>
      <c r="BM2528" s="2">
        <v>42005.095138888886</v>
      </c>
      <c r="BN2528" s="2">
        <v>5.4</v>
      </c>
      <c r="BO2528" s="2">
        <v>42005.092361111114</v>
      </c>
      <c r="BP2528" s="2">
        <v>6.92</v>
      </c>
      <c r="BQ2528" s="2">
        <v>42005.092361111114</v>
      </c>
      <c r="BR2528" s="2">
        <v>11.07</v>
      </c>
      <c r="BS2528" s="2">
        <v>42005.092361111114</v>
      </c>
      <c r="BT2528">
        <v>0</v>
      </c>
      <c r="BU2528">
        <v>0</v>
      </c>
      <c r="BV2528" t="s">
        <v>135</v>
      </c>
      <c r="BW2528">
        <v>0</v>
      </c>
      <c r="BX2528">
        <v>0</v>
      </c>
      <c r="BY2528" t="s">
        <v>135</v>
      </c>
      <c r="BZ2528">
        <v>0</v>
      </c>
      <c r="CA2528">
        <v>0</v>
      </c>
      <c r="CB2528" t="s">
        <v>135</v>
      </c>
      <c r="CH2528" s="2"/>
      <c r="CJ2528" s="2"/>
      <c r="CL2528" s="2"/>
      <c r="CN2528" s="2"/>
      <c r="CQ2528" s="2"/>
      <c r="CT2528" s="2"/>
      <c r="CW2528" s="2"/>
    </row>
    <row r="2529" spans="1:101" x14ac:dyDescent="0.25">
      <c r="A2529" s="1" t="s">
        <v>163</v>
      </c>
      <c r="B2529" s="75" t="s">
        <v>164</v>
      </c>
      <c r="C2529">
        <v>0</v>
      </c>
      <c r="D2529">
        <v>0</v>
      </c>
      <c r="E2529">
        <v>0</v>
      </c>
      <c r="F2529">
        <v>604324.56000000006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3.91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7490</v>
      </c>
      <c r="AW2529">
        <v>3350</v>
      </c>
      <c r="AX2529">
        <v>1219</v>
      </c>
      <c r="AY2529">
        <v>12059</v>
      </c>
      <c r="AZ2529">
        <v>4202</v>
      </c>
      <c r="BA2529">
        <v>7438</v>
      </c>
      <c r="BB2529">
        <v>1432</v>
      </c>
      <c r="BC2529">
        <v>13072</v>
      </c>
      <c r="BD2529">
        <v>9486</v>
      </c>
      <c r="BE2529">
        <v>9222</v>
      </c>
      <c r="BF2529">
        <v>1768</v>
      </c>
      <c r="BG2529">
        <v>20476</v>
      </c>
      <c r="BH2529">
        <v>0</v>
      </c>
      <c r="BI2529">
        <v>0</v>
      </c>
      <c r="BJ2529">
        <v>0</v>
      </c>
      <c r="BK2529">
        <v>0</v>
      </c>
      <c r="BL2529" s="2">
        <v>24.82</v>
      </c>
      <c r="BM2529" s="2">
        <v>42005.095138888886</v>
      </c>
      <c r="BN2529" s="2">
        <v>5.4</v>
      </c>
      <c r="BO2529" s="2">
        <v>42005.092361111114</v>
      </c>
      <c r="BP2529" s="2">
        <v>6.92</v>
      </c>
      <c r="BQ2529" s="2">
        <v>42005.092361111114</v>
      </c>
      <c r="BR2529" s="2">
        <v>11.07</v>
      </c>
      <c r="BS2529" s="2">
        <v>42005.092361111114</v>
      </c>
      <c r="BT2529">
        <v>0</v>
      </c>
      <c r="BU2529">
        <v>0</v>
      </c>
      <c r="BV2529" t="s">
        <v>135</v>
      </c>
      <c r="BW2529">
        <v>0</v>
      </c>
      <c r="BX2529">
        <v>0</v>
      </c>
      <c r="BY2529" t="s">
        <v>135</v>
      </c>
      <c r="BZ2529">
        <v>0</v>
      </c>
      <c r="CA2529">
        <v>0</v>
      </c>
      <c r="CB2529" t="s">
        <v>135</v>
      </c>
      <c r="CH2529" s="2"/>
      <c r="CJ2529" s="2"/>
      <c r="CL2529" s="2"/>
      <c r="CN2529" s="2"/>
      <c r="CQ2529" s="2"/>
      <c r="CT2529" s="2"/>
      <c r="CW2529" s="2"/>
    </row>
    <row r="2530" spans="1:101" x14ac:dyDescent="0.25">
      <c r="A2530" s="1" t="s">
        <v>163</v>
      </c>
      <c r="B2530" s="75" t="s">
        <v>164</v>
      </c>
      <c r="C2530">
        <v>0</v>
      </c>
      <c r="D2530">
        <v>0</v>
      </c>
      <c r="E2530">
        <v>0</v>
      </c>
      <c r="F2530">
        <v>604324.56000000006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3.91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7490</v>
      </c>
      <c r="AW2530">
        <v>3350</v>
      </c>
      <c r="AX2530">
        <v>1219</v>
      </c>
      <c r="AY2530">
        <v>12059</v>
      </c>
      <c r="AZ2530">
        <v>4202</v>
      </c>
      <c r="BA2530">
        <v>7438</v>
      </c>
      <c r="BB2530">
        <v>1432</v>
      </c>
      <c r="BC2530">
        <v>13072</v>
      </c>
      <c r="BD2530">
        <v>9486</v>
      </c>
      <c r="BE2530">
        <v>9222</v>
      </c>
      <c r="BF2530">
        <v>1768</v>
      </c>
      <c r="BG2530">
        <v>20476</v>
      </c>
      <c r="BH2530">
        <v>0</v>
      </c>
      <c r="BI2530">
        <v>0</v>
      </c>
      <c r="BJ2530">
        <v>0</v>
      </c>
      <c r="BK2530">
        <v>0</v>
      </c>
      <c r="BL2530" s="2">
        <v>24.82</v>
      </c>
      <c r="BM2530" s="2">
        <v>42005.095138888886</v>
      </c>
      <c r="BN2530" s="2">
        <v>5.4</v>
      </c>
      <c r="BO2530" s="2">
        <v>42005.092361111114</v>
      </c>
      <c r="BP2530" s="2">
        <v>6.92</v>
      </c>
      <c r="BQ2530" s="2">
        <v>42005.092361111114</v>
      </c>
      <c r="BR2530" s="2">
        <v>11.07</v>
      </c>
      <c r="BS2530" s="2">
        <v>42005.092361111114</v>
      </c>
      <c r="BT2530">
        <v>0</v>
      </c>
      <c r="BU2530">
        <v>0</v>
      </c>
      <c r="BV2530" t="s">
        <v>135</v>
      </c>
      <c r="BW2530">
        <v>0</v>
      </c>
      <c r="BX2530">
        <v>0</v>
      </c>
      <c r="BY2530" t="s">
        <v>135</v>
      </c>
      <c r="BZ2530">
        <v>0</v>
      </c>
      <c r="CA2530">
        <v>0</v>
      </c>
      <c r="CB2530" t="s">
        <v>135</v>
      </c>
      <c r="CH2530" s="2"/>
      <c r="CJ2530" s="2"/>
      <c r="CL2530" s="2"/>
      <c r="CN2530" s="2"/>
      <c r="CQ2530" s="2"/>
      <c r="CT2530" s="2"/>
      <c r="CW2530" s="2"/>
    </row>
    <row r="2531" spans="1:101" x14ac:dyDescent="0.25">
      <c r="A2531" s="1" t="s">
        <v>163</v>
      </c>
      <c r="B2531" s="75" t="s">
        <v>164</v>
      </c>
      <c r="C2531">
        <v>0</v>
      </c>
      <c r="D2531">
        <v>0</v>
      </c>
      <c r="E2531">
        <v>0</v>
      </c>
      <c r="F2531">
        <v>604324.56000000006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3.91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7490</v>
      </c>
      <c r="AW2531">
        <v>3350</v>
      </c>
      <c r="AX2531">
        <v>1219</v>
      </c>
      <c r="AY2531">
        <v>12059</v>
      </c>
      <c r="AZ2531">
        <v>4202</v>
      </c>
      <c r="BA2531">
        <v>7438</v>
      </c>
      <c r="BB2531">
        <v>1432</v>
      </c>
      <c r="BC2531">
        <v>13072</v>
      </c>
      <c r="BD2531">
        <v>9486</v>
      </c>
      <c r="BE2531">
        <v>9222</v>
      </c>
      <c r="BF2531">
        <v>1768</v>
      </c>
      <c r="BG2531">
        <v>20476</v>
      </c>
      <c r="BH2531">
        <v>0</v>
      </c>
      <c r="BI2531">
        <v>0</v>
      </c>
      <c r="BJ2531">
        <v>0</v>
      </c>
      <c r="BK2531">
        <v>0</v>
      </c>
      <c r="BL2531" s="2">
        <v>24.82</v>
      </c>
      <c r="BM2531" s="2">
        <v>42005.095138888886</v>
      </c>
      <c r="BN2531" s="2">
        <v>5.4</v>
      </c>
      <c r="BO2531" s="2">
        <v>42005.092361111114</v>
      </c>
      <c r="BP2531" s="2">
        <v>6.92</v>
      </c>
      <c r="BQ2531" s="2">
        <v>42005.092361111114</v>
      </c>
      <c r="BR2531" s="2">
        <v>11.07</v>
      </c>
      <c r="BS2531" s="2">
        <v>42005.092361111114</v>
      </c>
      <c r="BT2531">
        <v>0</v>
      </c>
      <c r="BU2531">
        <v>0</v>
      </c>
      <c r="BV2531" t="s">
        <v>135</v>
      </c>
      <c r="BW2531">
        <v>0</v>
      </c>
      <c r="BX2531">
        <v>0</v>
      </c>
      <c r="BY2531" t="s">
        <v>135</v>
      </c>
      <c r="BZ2531">
        <v>0</v>
      </c>
      <c r="CA2531">
        <v>0</v>
      </c>
      <c r="CB2531" t="s">
        <v>135</v>
      </c>
      <c r="CH2531" s="2"/>
      <c r="CJ2531" s="2"/>
      <c r="CL2531" s="2"/>
      <c r="CN2531" s="2"/>
      <c r="CQ2531" s="2"/>
      <c r="CT2531" s="2"/>
      <c r="CW2531" s="2"/>
    </row>
    <row r="2532" spans="1:101" x14ac:dyDescent="0.25">
      <c r="A2532" s="1" t="s">
        <v>163</v>
      </c>
      <c r="B2532" s="75" t="s">
        <v>164</v>
      </c>
      <c r="C2532">
        <v>0</v>
      </c>
      <c r="D2532">
        <v>0</v>
      </c>
      <c r="E2532">
        <v>0</v>
      </c>
      <c r="F2532">
        <v>604324.56000000006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3.91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7490</v>
      </c>
      <c r="AW2532">
        <v>3350</v>
      </c>
      <c r="AX2532">
        <v>1219</v>
      </c>
      <c r="AY2532">
        <v>12059</v>
      </c>
      <c r="AZ2532">
        <v>4202</v>
      </c>
      <c r="BA2532">
        <v>7438</v>
      </c>
      <c r="BB2532">
        <v>1432</v>
      </c>
      <c r="BC2532">
        <v>13072</v>
      </c>
      <c r="BD2532">
        <v>9486</v>
      </c>
      <c r="BE2532">
        <v>9222</v>
      </c>
      <c r="BF2532">
        <v>1768</v>
      </c>
      <c r="BG2532">
        <v>20476</v>
      </c>
      <c r="BH2532">
        <v>0</v>
      </c>
      <c r="BI2532">
        <v>0</v>
      </c>
      <c r="BJ2532">
        <v>0</v>
      </c>
      <c r="BK2532">
        <v>0</v>
      </c>
      <c r="BL2532" s="2">
        <v>24.82</v>
      </c>
      <c r="BM2532" s="2">
        <v>42005.095138888886</v>
      </c>
      <c r="BN2532" s="2">
        <v>5.4</v>
      </c>
      <c r="BO2532" s="2">
        <v>42005.092361111114</v>
      </c>
      <c r="BP2532" s="2">
        <v>6.92</v>
      </c>
      <c r="BQ2532" s="2">
        <v>42005.092361111114</v>
      </c>
      <c r="BR2532" s="2">
        <v>11.07</v>
      </c>
      <c r="BS2532" s="2">
        <v>42005.092361111114</v>
      </c>
      <c r="BT2532">
        <v>0</v>
      </c>
      <c r="BU2532">
        <v>0</v>
      </c>
      <c r="BV2532" t="s">
        <v>135</v>
      </c>
      <c r="BW2532">
        <v>0</v>
      </c>
      <c r="BX2532">
        <v>0</v>
      </c>
      <c r="BY2532" t="s">
        <v>135</v>
      </c>
      <c r="BZ2532">
        <v>0</v>
      </c>
      <c r="CA2532">
        <v>0</v>
      </c>
      <c r="CB2532" t="s">
        <v>135</v>
      </c>
      <c r="CH2532" s="2"/>
      <c r="CJ2532" s="2"/>
      <c r="CL2532" s="2"/>
      <c r="CN2532" s="2"/>
      <c r="CQ2532" s="2"/>
      <c r="CT2532" s="2"/>
      <c r="CW2532" s="2"/>
    </row>
    <row r="2533" spans="1:101" x14ac:dyDescent="0.25">
      <c r="A2533" s="1" t="s">
        <v>163</v>
      </c>
      <c r="B2533" s="75" t="s">
        <v>164</v>
      </c>
      <c r="C2533">
        <v>0</v>
      </c>
      <c r="D2533">
        <v>0</v>
      </c>
      <c r="E2533">
        <v>0</v>
      </c>
      <c r="F2533">
        <v>604324.56000000006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3.91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7490</v>
      </c>
      <c r="AW2533">
        <v>3350</v>
      </c>
      <c r="AX2533">
        <v>1219</v>
      </c>
      <c r="AY2533">
        <v>12059</v>
      </c>
      <c r="AZ2533">
        <v>4202</v>
      </c>
      <c r="BA2533">
        <v>7438</v>
      </c>
      <c r="BB2533">
        <v>1432</v>
      </c>
      <c r="BC2533">
        <v>13072</v>
      </c>
      <c r="BD2533">
        <v>9486</v>
      </c>
      <c r="BE2533">
        <v>9222</v>
      </c>
      <c r="BF2533">
        <v>1768</v>
      </c>
      <c r="BG2533">
        <v>20476</v>
      </c>
      <c r="BH2533">
        <v>0</v>
      </c>
      <c r="BI2533">
        <v>0</v>
      </c>
      <c r="BJ2533">
        <v>0</v>
      </c>
      <c r="BK2533">
        <v>0</v>
      </c>
      <c r="BL2533" s="2">
        <v>24.82</v>
      </c>
      <c r="BM2533" s="2">
        <v>42005.095138888886</v>
      </c>
      <c r="BN2533" s="2">
        <v>5.4</v>
      </c>
      <c r="BO2533" s="2">
        <v>42005.092361111114</v>
      </c>
      <c r="BP2533" s="2">
        <v>6.92</v>
      </c>
      <c r="BQ2533" s="2">
        <v>42005.092361111114</v>
      </c>
      <c r="BR2533" s="2">
        <v>11.07</v>
      </c>
      <c r="BS2533" s="2">
        <v>42005.092361111114</v>
      </c>
      <c r="BT2533">
        <v>0</v>
      </c>
      <c r="BU2533">
        <v>0</v>
      </c>
      <c r="BV2533" t="s">
        <v>135</v>
      </c>
      <c r="BW2533">
        <v>0</v>
      </c>
      <c r="BX2533">
        <v>0</v>
      </c>
      <c r="BY2533" t="s">
        <v>135</v>
      </c>
      <c r="BZ2533">
        <v>0</v>
      </c>
      <c r="CA2533">
        <v>0</v>
      </c>
      <c r="CB2533" t="s">
        <v>135</v>
      </c>
      <c r="CH2533" s="2"/>
      <c r="CJ2533" s="2"/>
      <c r="CL2533" s="2"/>
      <c r="CN2533" s="2"/>
      <c r="CQ2533" s="2"/>
      <c r="CT2533" s="2"/>
      <c r="CW2533" s="2"/>
    </row>
    <row r="2534" spans="1:101" x14ac:dyDescent="0.25">
      <c r="A2534" s="1" t="s">
        <v>163</v>
      </c>
      <c r="B2534" s="75" t="s">
        <v>164</v>
      </c>
      <c r="C2534">
        <v>0</v>
      </c>
      <c r="D2534">
        <v>0</v>
      </c>
      <c r="E2534">
        <v>0</v>
      </c>
      <c r="F2534">
        <v>604324.56000000006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3.91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7490</v>
      </c>
      <c r="AW2534">
        <v>3350</v>
      </c>
      <c r="AX2534">
        <v>1219</v>
      </c>
      <c r="AY2534">
        <v>12059</v>
      </c>
      <c r="AZ2534">
        <v>4202</v>
      </c>
      <c r="BA2534">
        <v>7438</v>
      </c>
      <c r="BB2534">
        <v>1432</v>
      </c>
      <c r="BC2534">
        <v>13072</v>
      </c>
      <c r="BD2534">
        <v>9486</v>
      </c>
      <c r="BE2534">
        <v>9222</v>
      </c>
      <c r="BF2534">
        <v>1768</v>
      </c>
      <c r="BG2534">
        <v>20476</v>
      </c>
      <c r="BH2534">
        <v>0</v>
      </c>
      <c r="BI2534">
        <v>0</v>
      </c>
      <c r="BJ2534">
        <v>0</v>
      </c>
      <c r="BK2534">
        <v>0</v>
      </c>
      <c r="BL2534" s="2">
        <v>24.82</v>
      </c>
      <c r="BM2534" s="2">
        <v>42005.095138888886</v>
      </c>
      <c r="BN2534" s="2">
        <v>5.4</v>
      </c>
      <c r="BO2534" s="2">
        <v>42005.092361111114</v>
      </c>
      <c r="BP2534" s="2">
        <v>6.92</v>
      </c>
      <c r="BQ2534" s="2">
        <v>42005.092361111114</v>
      </c>
      <c r="BR2534" s="2">
        <v>11.07</v>
      </c>
      <c r="BS2534" s="2">
        <v>42005.092361111114</v>
      </c>
      <c r="BT2534">
        <v>0</v>
      </c>
      <c r="BU2534">
        <v>0</v>
      </c>
      <c r="BV2534" t="s">
        <v>135</v>
      </c>
      <c r="BW2534">
        <v>0</v>
      </c>
      <c r="BX2534">
        <v>0</v>
      </c>
      <c r="BY2534" t="s">
        <v>135</v>
      </c>
      <c r="BZ2534">
        <v>0</v>
      </c>
      <c r="CA2534">
        <v>0</v>
      </c>
      <c r="CB2534" t="s">
        <v>135</v>
      </c>
      <c r="CH2534" s="2"/>
      <c r="CJ2534" s="2"/>
      <c r="CL2534" s="2"/>
      <c r="CN2534" s="2"/>
      <c r="CQ2534" s="2"/>
      <c r="CT2534" s="2"/>
      <c r="CW2534" s="2"/>
    </row>
    <row r="2535" spans="1:101" x14ac:dyDescent="0.25">
      <c r="A2535" s="1" t="s">
        <v>163</v>
      </c>
      <c r="B2535" s="75" t="s">
        <v>164</v>
      </c>
      <c r="C2535">
        <v>0</v>
      </c>
      <c r="D2535">
        <v>0</v>
      </c>
      <c r="E2535">
        <v>0</v>
      </c>
      <c r="F2535">
        <v>604324.56000000006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3.91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7490</v>
      </c>
      <c r="AW2535">
        <v>3350</v>
      </c>
      <c r="AX2535">
        <v>1219</v>
      </c>
      <c r="AY2535">
        <v>12059</v>
      </c>
      <c r="AZ2535">
        <v>4202</v>
      </c>
      <c r="BA2535">
        <v>7438</v>
      </c>
      <c r="BB2535">
        <v>1432</v>
      </c>
      <c r="BC2535">
        <v>13072</v>
      </c>
      <c r="BD2535">
        <v>9486</v>
      </c>
      <c r="BE2535">
        <v>9222</v>
      </c>
      <c r="BF2535">
        <v>1768</v>
      </c>
      <c r="BG2535">
        <v>20476</v>
      </c>
      <c r="BH2535">
        <v>0</v>
      </c>
      <c r="BI2535">
        <v>0</v>
      </c>
      <c r="BJ2535">
        <v>0</v>
      </c>
      <c r="BK2535">
        <v>0</v>
      </c>
      <c r="BL2535" s="2">
        <v>24.82</v>
      </c>
      <c r="BM2535" s="2">
        <v>42005.095138888886</v>
      </c>
      <c r="BN2535" s="2">
        <v>5.4</v>
      </c>
      <c r="BO2535" s="2">
        <v>42005.092361111114</v>
      </c>
      <c r="BP2535" s="2">
        <v>6.92</v>
      </c>
      <c r="BQ2535" s="2">
        <v>42005.092361111114</v>
      </c>
      <c r="BR2535" s="2">
        <v>11.07</v>
      </c>
      <c r="BS2535" s="2">
        <v>42005.092361111114</v>
      </c>
      <c r="BT2535">
        <v>0</v>
      </c>
      <c r="BU2535">
        <v>0</v>
      </c>
      <c r="BV2535" t="s">
        <v>135</v>
      </c>
      <c r="BW2535">
        <v>0</v>
      </c>
      <c r="BX2535">
        <v>0</v>
      </c>
      <c r="BY2535" t="s">
        <v>135</v>
      </c>
      <c r="BZ2535">
        <v>0</v>
      </c>
      <c r="CA2535">
        <v>0</v>
      </c>
      <c r="CB2535" t="s">
        <v>135</v>
      </c>
      <c r="CH2535" s="2"/>
      <c r="CJ2535" s="2"/>
      <c r="CL2535" s="2"/>
      <c r="CN2535" s="2"/>
      <c r="CQ2535" s="2"/>
      <c r="CT2535" s="2"/>
      <c r="CW2535" s="2"/>
    </row>
    <row r="2536" spans="1:101" x14ac:dyDescent="0.25">
      <c r="A2536" s="1" t="s">
        <v>163</v>
      </c>
      <c r="B2536" s="75" t="s">
        <v>164</v>
      </c>
      <c r="C2536">
        <v>0</v>
      </c>
      <c r="D2536">
        <v>0</v>
      </c>
      <c r="E2536">
        <v>0</v>
      </c>
      <c r="F2536">
        <v>604324.56000000006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3.91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7490</v>
      </c>
      <c r="AW2536">
        <v>3350</v>
      </c>
      <c r="AX2536">
        <v>1219</v>
      </c>
      <c r="AY2536">
        <v>12059</v>
      </c>
      <c r="AZ2536">
        <v>4202</v>
      </c>
      <c r="BA2536">
        <v>7438</v>
      </c>
      <c r="BB2536">
        <v>1432</v>
      </c>
      <c r="BC2536">
        <v>13072</v>
      </c>
      <c r="BD2536">
        <v>9486</v>
      </c>
      <c r="BE2536">
        <v>9222</v>
      </c>
      <c r="BF2536">
        <v>1768</v>
      </c>
      <c r="BG2536">
        <v>20476</v>
      </c>
      <c r="BH2536">
        <v>0</v>
      </c>
      <c r="BI2536">
        <v>0</v>
      </c>
      <c r="BJ2536">
        <v>0</v>
      </c>
      <c r="BK2536">
        <v>0</v>
      </c>
      <c r="BL2536" s="2">
        <v>24.82</v>
      </c>
      <c r="BM2536" s="2">
        <v>42005.095138888886</v>
      </c>
      <c r="BN2536" s="2">
        <v>5.4</v>
      </c>
      <c r="BO2536" s="2">
        <v>42005.092361111114</v>
      </c>
      <c r="BP2536" s="2">
        <v>6.92</v>
      </c>
      <c r="BQ2536" s="2">
        <v>42005.092361111114</v>
      </c>
      <c r="BR2536" s="2">
        <v>11.07</v>
      </c>
      <c r="BS2536" s="2">
        <v>42005.092361111114</v>
      </c>
      <c r="BT2536">
        <v>0</v>
      </c>
      <c r="BU2536">
        <v>0</v>
      </c>
      <c r="BV2536" t="s">
        <v>135</v>
      </c>
      <c r="BW2536">
        <v>0</v>
      </c>
      <c r="BX2536">
        <v>0</v>
      </c>
      <c r="BY2536" t="s">
        <v>135</v>
      </c>
      <c r="BZ2536">
        <v>0</v>
      </c>
      <c r="CA2536">
        <v>0</v>
      </c>
      <c r="CB2536" t="s">
        <v>135</v>
      </c>
      <c r="CH2536" s="2"/>
      <c r="CJ2536" s="2"/>
      <c r="CL2536" s="2"/>
      <c r="CN2536" s="2"/>
      <c r="CQ2536" s="2"/>
      <c r="CT2536" s="2"/>
      <c r="CW2536" s="2"/>
    </row>
    <row r="2537" spans="1:101" x14ac:dyDescent="0.25">
      <c r="A2537" s="1" t="s">
        <v>163</v>
      </c>
      <c r="B2537" s="75" t="s">
        <v>164</v>
      </c>
      <c r="C2537">
        <v>0</v>
      </c>
      <c r="D2537">
        <v>0</v>
      </c>
      <c r="E2537">
        <v>0</v>
      </c>
      <c r="F2537">
        <v>604324.56000000006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3.91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7490</v>
      </c>
      <c r="AW2537">
        <v>3350</v>
      </c>
      <c r="AX2537">
        <v>1219</v>
      </c>
      <c r="AY2537">
        <v>12059</v>
      </c>
      <c r="AZ2537">
        <v>4202</v>
      </c>
      <c r="BA2537">
        <v>7438</v>
      </c>
      <c r="BB2537">
        <v>1432</v>
      </c>
      <c r="BC2537">
        <v>13072</v>
      </c>
      <c r="BD2537">
        <v>9486</v>
      </c>
      <c r="BE2537">
        <v>9222</v>
      </c>
      <c r="BF2537">
        <v>1768</v>
      </c>
      <c r="BG2537">
        <v>20476</v>
      </c>
      <c r="BH2537">
        <v>0</v>
      </c>
      <c r="BI2537">
        <v>0</v>
      </c>
      <c r="BJ2537">
        <v>0</v>
      </c>
      <c r="BK2537">
        <v>0</v>
      </c>
      <c r="BL2537" s="2">
        <v>24.82</v>
      </c>
      <c r="BM2537" s="2">
        <v>42005.095138888886</v>
      </c>
      <c r="BN2537" s="2">
        <v>5.4</v>
      </c>
      <c r="BO2537" s="2">
        <v>42005.092361111114</v>
      </c>
      <c r="BP2537" s="2">
        <v>6.92</v>
      </c>
      <c r="BQ2537" s="2">
        <v>42005.092361111114</v>
      </c>
      <c r="BR2537" s="2">
        <v>11.07</v>
      </c>
      <c r="BS2537" s="2">
        <v>42005.092361111114</v>
      </c>
      <c r="BT2537">
        <v>0</v>
      </c>
      <c r="BU2537">
        <v>0</v>
      </c>
      <c r="BV2537" t="s">
        <v>135</v>
      </c>
      <c r="BW2537">
        <v>0</v>
      </c>
      <c r="BX2537">
        <v>0</v>
      </c>
      <c r="BY2537" t="s">
        <v>135</v>
      </c>
      <c r="BZ2537">
        <v>0</v>
      </c>
      <c r="CA2537">
        <v>0</v>
      </c>
      <c r="CB2537" t="s">
        <v>135</v>
      </c>
      <c r="CH2537" s="2"/>
      <c r="CJ2537" s="2"/>
      <c r="CL2537" s="2"/>
      <c r="CN2537" s="2"/>
      <c r="CQ2537" s="2"/>
      <c r="CT2537" s="2"/>
      <c r="CW2537" s="2"/>
    </row>
    <row r="2538" spans="1:101" x14ac:dyDescent="0.25">
      <c r="A2538" s="1" t="s">
        <v>163</v>
      </c>
      <c r="B2538" s="75" t="s">
        <v>164</v>
      </c>
      <c r="C2538">
        <v>0</v>
      </c>
      <c r="D2538">
        <v>0</v>
      </c>
      <c r="E2538">
        <v>0</v>
      </c>
      <c r="F2538">
        <v>604324.56000000006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3.91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7490</v>
      </c>
      <c r="AW2538">
        <v>3350</v>
      </c>
      <c r="AX2538">
        <v>1219</v>
      </c>
      <c r="AY2538">
        <v>12059</v>
      </c>
      <c r="AZ2538">
        <v>4202</v>
      </c>
      <c r="BA2538">
        <v>7438</v>
      </c>
      <c r="BB2538">
        <v>1432</v>
      </c>
      <c r="BC2538">
        <v>13072</v>
      </c>
      <c r="BD2538">
        <v>9486</v>
      </c>
      <c r="BE2538">
        <v>9222</v>
      </c>
      <c r="BF2538">
        <v>1768</v>
      </c>
      <c r="BG2538">
        <v>20476</v>
      </c>
      <c r="BH2538">
        <v>0</v>
      </c>
      <c r="BI2538">
        <v>0</v>
      </c>
      <c r="BJ2538">
        <v>0</v>
      </c>
      <c r="BK2538">
        <v>0</v>
      </c>
      <c r="BL2538" s="2">
        <v>24.82</v>
      </c>
      <c r="BM2538" s="2">
        <v>42005.095138888886</v>
      </c>
      <c r="BN2538" s="2">
        <v>5.4</v>
      </c>
      <c r="BO2538" s="2">
        <v>42005.092361111114</v>
      </c>
      <c r="BP2538" s="2">
        <v>6.92</v>
      </c>
      <c r="BQ2538" s="2">
        <v>42005.092361111114</v>
      </c>
      <c r="BR2538" s="2">
        <v>11.07</v>
      </c>
      <c r="BS2538" s="2">
        <v>42005.092361111114</v>
      </c>
      <c r="BT2538">
        <v>0</v>
      </c>
      <c r="BU2538">
        <v>0</v>
      </c>
      <c r="BV2538" t="s">
        <v>135</v>
      </c>
      <c r="BW2538">
        <v>0</v>
      </c>
      <c r="BX2538">
        <v>0</v>
      </c>
      <c r="BY2538" t="s">
        <v>135</v>
      </c>
      <c r="BZ2538">
        <v>0</v>
      </c>
      <c r="CA2538">
        <v>0</v>
      </c>
      <c r="CB2538" t="s">
        <v>135</v>
      </c>
      <c r="CH2538" s="2"/>
      <c r="CJ2538" s="2"/>
      <c r="CL2538" s="2"/>
      <c r="CN2538" s="2"/>
      <c r="CQ2538" s="2"/>
      <c r="CT2538" s="2"/>
      <c r="CW2538" s="2"/>
    </row>
    <row r="2539" spans="1:101" x14ac:dyDescent="0.25">
      <c r="A2539" s="1" t="s">
        <v>163</v>
      </c>
      <c r="B2539" s="75" t="s">
        <v>164</v>
      </c>
      <c r="C2539">
        <v>0</v>
      </c>
      <c r="D2539">
        <v>0</v>
      </c>
      <c r="E2539">
        <v>0</v>
      </c>
      <c r="F2539">
        <v>604324.56000000006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3.91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7490</v>
      </c>
      <c r="AW2539">
        <v>3350</v>
      </c>
      <c r="AX2539">
        <v>1219</v>
      </c>
      <c r="AY2539">
        <v>12059</v>
      </c>
      <c r="AZ2539">
        <v>4202</v>
      </c>
      <c r="BA2539">
        <v>7438</v>
      </c>
      <c r="BB2539">
        <v>1432</v>
      </c>
      <c r="BC2539">
        <v>13072</v>
      </c>
      <c r="BD2539">
        <v>9486</v>
      </c>
      <c r="BE2539">
        <v>9222</v>
      </c>
      <c r="BF2539">
        <v>1768</v>
      </c>
      <c r="BG2539">
        <v>20476</v>
      </c>
      <c r="BH2539">
        <v>0</v>
      </c>
      <c r="BI2539">
        <v>0</v>
      </c>
      <c r="BJ2539">
        <v>0</v>
      </c>
      <c r="BK2539">
        <v>0</v>
      </c>
      <c r="BL2539" s="2">
        <v>24.82</v>
      </c>
      <c r="BM2539" s="2">
        <v>42005.095138888886</v>
      </c>
      <c r="BN2539" s="2">
        <v>5.4</v>
      </c>
      <c r="BO2539" s="2">
        <v>42005.092361111114</v>
      </c>
      <c r="BP2539" s="2">
        <v>6.92</v>
      </c>
      <c r="BQ2539" s="2">
        <v>42005.092361111114</v>
      </c>
      <c r="BR2539" s="2">
        <v>11.07</v>
      </c>
      <c r="BS2539" s="2">
        <v>42005.092361111114</v>
      </c>
      <c r="BT2539">
        <v>0</v>
      </c>
      <c r="BU2539">
        <v>0</v>
      </c>
      <c r="BV2539" t="s">
        <v>135</v>
      </c>
      <c r="BW2539">
        <v>0</v>
      </c>
      <c r="BX2539">
        <v>0</v>
      </c>
      <c r="BY2539" t="s">
        <v>135</v>
      </c>
      <c r="BZ2539">
        <v>0</v>
      </c>
      <c r="CA2539">
        <v>0</v>
      </c>
      <c r="CB2539" t="s">
        <v>135</v>
      </c>
      <c r="CH2539" s="2"/>
      <c r="CJ2539" s="2"/>
      <c r="CL2539" s="2"/>
      <c r="CN2539" s="2"/>
      <c r="CQ2539" s="2"/>
      <c r="CT2539" s="2"/>
      <c r="CW2539" s="2"/>
    </row>
    <row r="2540" spans="1:101" x14ac:dyDescent="0.25">
      <c r="A2540" s="1" t="s">
        <v>163</v>
      </c>
      <c r="B2540" s="75" t="s">
        <v>164</v>
      </c>
      <c r="C2540">
        <v>0</v>
      </c>
      <c r="D2540">
        <v>0</v>
      </c>
      <c r="E2540">
        <v>0</v>
      </c>
      <c r="F2540">
        <v>604324.56000000006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3.91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7490</v>
      </c>
      <c r="AW2540">
        <v>3350</v>
      </c>
      <c r="AX2540">
        <v>1219</v>
      </c>
      <c r="AY2540">
        <v>12059</v>
      </c>
      <c r="AZ2540">
        <v>4202</v>
      </c>
      <c r="BA2540">
        <v>7438</v>
      </c>
      <c r="BB2540">
        <v>1432</v>
      </c>
      <c r="BC2540">
        <v>13072</v>
      </c>
      <c r="BD2540">
        <v>9486</v>
      </c>
      <c r="BE2540">
        <v>9222</v>
      </c>
      <c r="BF2540">
        <v>1768</v>
      </c>
      <c r="BG2540">
        <v>20476</v>
      </c>
      <c r="BH2540">
        <v>0</v>
      </c>
      <c r="BI2540">
        <v>0</v>
      </c>
      <c r="BJ2540">
        <v>0</v>
      </c>
      <c r="BK2540">
        <v>0</v>
      </c>
      <c r="BL2540" s="2">
        <v>24.82</v>
      </c>
      <c r="BM2540" s="2">
        <v>42005.095138888886</v>
      </c>
      <c r="BN2540" s="2">
        <v>5.4</v>
      </c>
      <c r="BO2540" s="2">
        <v>42005.092361111114</v>
      </c>
      <c r="BP2540" s="2">
        <v>6.92</v>
      </c>
      <c r="BQ2540" s="2">
        <v>42005.092361111114</v>
      </c>
      <c r="BR2540" s="2">
        <v>11.07</v>
      </c>
      <c r="BS2540" s="2">
        <v>42005.092361111114</v>
      </c>
      <c r="BT2540">
        <v>0</v>
      </c>
      <c r="BU2540">
        <v>0</v>
      </c>
      <c r="BV2540" t="s">
        <v>135</v>
      </c>
      <c r="BW2540">
        <v>0</v>
      </c>
      <c r="BX2540">
        <v>0</v>
      </c>
      <c r="BY2540" t="s">
        <v>135</v>
      </c>
      <c r="BZ2540">
        <v>0</v>
      </c>
      <c r="CA2540">
        <v>0</v>
      </c>
      <c r="CB2540" t="s">
        <v>135</v>
      </c>
      <c r="CH2540" s="2"/>
      <c r="CJ2540" s="2"/>
      <c r="CL2540" s="2"/>
      <c r="CN2540" s="2"/>
      <c r="CQ2540" s="2"/>
      <c r="CT2540" s="2"/>
      <c r="CW2540" s="2"/>
    </row>
    <row r="2541" spans="1:101" x14ac:dyDescent="0.25">
      <c r="A2541" s="1" t="s">
        <v>163</v>
      </c>
      <c r="B2541" s="75" t="s">
        <v>164</v>
      </c>
      <c r="C2541">
        <v>0</v>
      </c>
      <c r="D2541">
        <v>0</v>
      </c>
      <c r="E2541">
        <v>0</v>
      </c>
      <c r="F2541">
        <v>604324.56000000006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3.91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7490</v>
      </c>
      <c r="AW2541">
        <v>3350</v>
      </c>
      <c r="AX2541">
        <v>1219</v>
      </c>
      <c r="AY2541">
        <v>12059</v>
      </c>
      <c r="AZ2541">
        <v>4202</v>
      </c>
      <c r="BA2541">
        <v>7438</v>
      </c>
      <c r="BB2541">
        <v>1432</v>
      </c>
      <c r="BC2541">
        <v>13072</v>
      </c>
      <c r="BD2541">
        <v>9486</v>
      </c>
      <c r="BE2541">
        <v>9222</v>
      </c>
      <c r="BF2541">
        <v>1768</v>
      </c>
      <c r="BG2541">
        <v>20476</v>
      </c>
      <c r="BH2541">
        <v>0</v>
      </c>
      <c r="BI2541">
        <v>0</v>
      </c>
      <c r="BJ2541">
        <v>0</v>
      </c>
      <c r="BK2541">
        <v>0</v>
      </c>
      <c r="BL2541" s="2">
        <v>24.82</v>
      </c>
      <c r="BM2541" s="2">
        <v>42005.095138888886</v>
      </c>
      <c r="BN2541" s="2">
        <v>5.4</v>
      </c>
      <c r="BO2541" s="2">
        <v>42005.092361111114</v>
      </c>
      <c r="BP2541" s="2">
        <v>6.92</v>
      </c>
      <c r="BQ2541" s="2">
        <v>42005.092361111114</v>
      </c>
      <c r="BR2541" s="2">
        <v>11.07</v>
      </c>
      <c r="BS2541" s="2">
        <v>42005.092361111114</v>
      </c>
      <c r="BT2541">
        <v>0</v>
      </c>
      <c r="BU2541">
        <v>0</v>
      </c>
      <c r="BV2541" t="s">
        <v>135</v>
      </c>
      <c r="BW2541">
        <v>0</v>
      </c>
      <c r="BX2541">
        <v>0</v>
      </c>
      <c r="BY2541" t="s">
        <v>135</v>
      </c>
      <c r="BZ2541">
        <v>0</v>
      </c>
      <c r="CA2541">
        <v>0</v>
      </c>
      <c r="CB2541" t="s">
        <v>135</v>
      </c>
      <c r="CH2541" s="2"/>
      <c r="CJ2541" s="2"/>
      <c r="CL2541" s="2"/>
      <c r="CN2541" s="2"/>
      <c r="CQ2541" s="2"/>
      <c r="CT2541" s="2"/>
      <c r="CW2541" s="2"/>
    </row>
    <row r="2542" spans="1:101" x14ac:dyDescent="0.25">
      <c r="A2542" s="1" t="s">
        <v>163</v>
      </c>
      <c r="B2542" s="75" t="s">
        <v>164</v>
      </c>
      <c r="C2542">
        <v>0</v>
      </c>
      <c r="D2542">
        <v>0</v>
      </c>
      <c r="E2542">
        <v>0</v>
      </c>
      <c r="F2542">
        <v>604324.56000000006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3.91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7490</v>
      </c>
      <c r="AW2542">
        <v>3350</v>
      </c>
      <c r="AX2542">
        <v>1219</v>
      </c>
      <c r="AY2542">
        <v>12059</v>
      </c>
      <c r="AZ2542">
        <v>4202</v>
      </c>
      <c r="BA2542">
        <v>7438</v>
      </c>
      <c r="BB2542">
        <v>1432</v>
      </c>
      <c r="BC2542">
        <v>13072</v>
      </c>
      <c r="BD2542">
        <v>9486</v>
      </c>
      <c r="BE2542">
        <v>9222</v>
      </c>
      <c r="BF2542">
        <v>1768</v>
      </c>
      <c r="BG2542">
        <v>20476</v>
      </c>
      <c r="BH2542">
        <v>0</v>
      </c>
      <c r="BI2542">
        <v>0</v>
      </c>
      <c r="BJ2542">
        <v>0</v>
      </c>
      <c r="BK2542">
        <v>0</v>
      </c>
      <c r="BL2542" s="2">
        <v>24.82</v>
      </c>
      <c r="BM2542" s="2">
        <v>42005.095138888886</v>
      </c>
      <c r="BN2542" s="2">
        <v>5.4</v>
      </c>
      <c r="BO2542" s="2">
        <v>42005.092361111114</v>
      </c>
      <c r="BP2542" s="2">
        <v>6.92</v>
      </c>
      <c r="BQ2542" s="2">
        <v>42005.092361111114</v>
      </c>
      <c r="BR2542" s="2">
        <v>11.07</v>
      </c>
      <c r="BS2542" s="2">
        <v>42005.092361111114</v>
      </c>
      <c r="BT2542">
        <v>0</v>
      </c>
      <c r="BU2542">
        <v>0</v>
      </c>
      <c r="BV2542" t="s">
        <v>135</v>
      </c>
      <c r="BW2542">
        <v>0</v>
      </c>
      <c r="BX2542">
        <v>0</v>
      </c>
      <c r="BY2542" t="s">
        <v>135</v>
      </c>
      <c r="BZ2542">
        <v>0</v>
      </c>
      <c r="CA2542">
        <v>0</v>
      </c>
      <c r="CB2542" t="s">
        <v>135</v>
      </c>
      <c r="CH2542" s="2"/>
      <c r="CJ2542" s="2"/>
      <c r="CL2542" s="2"/>
      <c r="CN2542" s="2"/>
      <c r="CQ2542" s="2"/>
      <c r="CT2542" s="2"/>
      <c r="CW2542" s="2"/>
    </row>
    <row r="2543" spans="1:101" x14ac:dyDescent="0.25">
      <c r="A2543" s="1" t="s">
        <v>163</v>
      </c>
      <c r="B2543" s="75" t="s">
        <v>164</v>
      </c>
      <c r="C2543">
        <v>0</v>
      </c>
      <c r="D2543">
        <v>0</v>
      </c>
      <c r="E2543">
        <v>0</v>
      </c>
      <c r="F2543">
        <v>604324.56000000006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3.91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7490</v>
      </c>
      <c r="AW2543">
        <v>3350</v>
      </c>
      <c r="AX2543">
        <v>1219</v>
      </c>
      <c r="AY2543">
        <v>12059</v>
      </c>
      <c r="AZ2543">
        <v>4202</v>
      </c>
      <c r="BA2543">
        <v>7438</v>
      </c>
      <c r="BB2543">
        <v>1432</v>
      </c>
      <c r="BC2543">
        <v>13072</v>
      </c>
      <c r="BD2543">
        <v>9486</v>
      </c>
      <c r="BE2543">
        <v>9222</v>
      </c>
      <c r="BF2543">
        <v>1768</v>
      </c>
      <c r="BG2543">
        <v>20476</v>
      </c>
      <c r="BH2543">
        <v>0</v>
      </c>
      <c r="BI2543">
        <v>0</v>
      </c>
      <c r="BJ2543">
        <v>0</v>
      </c>
      <c r="BK2543">
        <v>0</v>
      </c>
      <c r="BL2543" s="2">
        <v>24.82</v>
      </c>
      <c r="BM2543" s="2">
        <v>42005.095138888886</v>
      </c>
      <c r="BN2543" s="2">
        <v>5.4</v>
      </c>
      <c r="BO2543" s="2">
        <v>42005.092361111114</v>
      </c>
      <c r="BP2543" s="2">
        <v>6.92</v>
      </c>
      <c r="BQ2543" s="2">
        <v>42005.092361111114</v>
      </c>
      <c r="BR2543" s="2">
        <v>11.07</v>
      </c>
      <c r="BS2543" s="2">
        <v>42005.092361111114</v>
      </c>
      <c r="BT2543">
        <v>0</v>
      </c>
      <c r="BU2543">
        <v>0</v>
      </c>
      <c r="BV2543" t="s">
        <v>135</v>
      </c>
      <c r="BW2543">
        <v>0</v>
      </c>
      <c r="BX2543">
        <v>0</v>
      </c>
      <c r="BY2543" t="s">
        <v>135</v>
      </c>
      <c r="BZ2543">
        <v>0</v>
      </c>
      <c r="CA2543">
        <v>0</v>
      </c>
      <c r="CB2543" t="s">
        <v>135</v>
      </c>
      <c r="CH2543" s="2"/>
      <c r="CJ2543" s="2"/>
      <c r="CL2543" s="2"/>
      <c r="CN2543" s="2"/>
      <c r="CQ2543" s="2"/>
      <c r="CT2543" s="2"/>
      <c r="CW2543" s="2"/>
    </row>
    <row r="2544" spans="1:101" x14ac:dyDescent="0.25">
      <c r="A2544" s="1" t="s">
        <v>163</v>
      </c>
      <c r="B2544" s="75" t="s">
        <v>164</v>
      </c>
      <c r="C2544">
        <v>0</v>
      </c>
      <c r="D2544">
        <v>0</v>
      </c>
      <c r="E2544">
        <v>0</v>
      </c>
      <c r="F2544">
        <v>604324.56000000006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3.91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7490</v>
      </c>
      <c r="AW2544">
        <v>3350</v>
      </c>
      <c r="AX2544">
        <v>1219</v>
      </c>
      <c r="AY2544">
        <v>12059</v>
      </c>
      <c r="AZ2544">
        <v>4202</v>
      </c>
      <c r="BA2544">
        <v>7438</v>
      </c>
      <c r="BB2544">
        <v>1432</v>
      </c>
      <c r="BC2544">
        <v>13072</v>
      </c>
      <c r="BD2544">
        <v>9486</v>
      </c>
      <c r="BE2544">
        <v>9222</v>
      </c>
      <c r="BF2544">
        <v>1768</v>
      </c>
      <c r="BG2544">
        <v>20476</v>
      </c>
      <c r="BH2544">
        <v>0</v>
      </c>
      <c r="BI2544">
        <v>0</v>
      </c>
      <c r="BJ2544">
        <v>0</v>
      </c>
      <c r="BK2544">
        <v>0</v>
      </c>
      <c r="BL2544" s="2">
        <v>24.82</v>
      </c>
      <c r="BM2544" s="2">
        <v>42005.095138888886</v>
      </c>
      <c r="BN2544" s="2">
        <v>5.4</v>
      </c>
      <c r="BO2544" s="2">
        <v>42005.092361111114</v>
      </c>
      <c r="BP2544" s="2">
        <v>6.92</v>
      </c>
      <c r="BQ2544" s="2">
        <v>42005.092361111114</v>
      </c>
      <c r="BR2544" s="2">
        <v>11.07</v>
      </c>
      <c r="BS2544" s="2">
        <v>42005.092361111114</v>
      </c>
      <c r="BT2544">
        <v>0</v>
      </c>
      <c r="BU2544">
        <v>0</v>
      </c>
      <c r="BV2544" t="s">
        <v>135</v>
      </c>
      <c r="BW2544">
        <v>0</v>
      </c>
      <c r="BX2544">
        <v>0</v>
      </c>
      <c r="BY2544" t="s">
        <v>135</v>
      </c>
      <c r="BZ2544">
        <v>0</v>
      </c>
      <c r="CA2544">
        <v>0</v>
      </c>
      <c r="CB2544" t="s">
        <v>135</v>
      </c>
      <c r="CH2544" s="2"/>
      <c r="CJ2544" s="2"/>
      <c r="CL2544" s="2"/>
      <c r="CN2544" s="2"/>
      <c r="CQ2544" s="2"/>
      <c r="CT2544" s="2"/>
      <c r="CW2544" s="2"/>
    </row>
    <row r="2545" spans="1:101" x14ac:dyDescent="0.25">
      <c r="A2545" s="1" t="s">
        <v>163</v>
      </c>
      <c r="B2545" s="75" t="s">
        <v>164</v>
      </c>
      <c r="C2545">
        <v>0</v>
      </c>
      <c r="D2545">
        <v>0</v>
      </c>
      <c r="E2545">
        <v>0</v>
      </c>
      <c r="F2545">
        <v>604324.56000000006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3.91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7490</v>
      </c>
      <c r="AW2545">
        <v>3350</v>
      </c>
      <c r="AX2545">
        <v>1219</v>
      </c>
      <c r="AY2545">
        <v>12059</v>
      </c>
      <c r="AZ2545">
        <v>4202</v>
      </c>
      <c r="BA2545">
        <v>7438</v>
      </c>
      <c r="BB2545">
        <v>1432</v>
      </c>
      <c r="BC2545">
        <v>13072</v>
      </c>
      <c r="BD2545">
        <v>9486</v>
      </c>
      <c r="BE2545">
        <v>9222</v>
      </c>
      <c r="BF2545">
        <v>1768</v>
      </c>
      <c r="BG2545">
        <v>20476</v>
      </c>
      <c r="BH2545">
        <v>0</v>
      </c>
      <c r="BI2545">
        <v>0</v>
      </c>
      <c r="BJ2545">
        <v>0</v>
      </c>
      <c r="BK2545">
        <v>0</v>
      </c>
      <c r="BL2545" s="2">
        <v>24.82</v>
      </c>
      <c r="BM2545" s="2">
        <v>42005.095138888886</v>
      </c>
      <c r="BN2545" s="2">
        <v>5.4</v>
      </c>
      <c r="BO2545" s="2">
        <v>42005.092361111114</v>
      </c>
      <c r="BP2545" s="2">
        <v>6.92</v>
      </c>
      <c r="BQ2545" s="2">
        <v>42005.092361111114</v>
      </c>
      <c r="BR2545" s="2">
        <v>11.07</v>
      </c>
      <c r="BS2545" s="2">
        <v>42005.092361111114</v>
      </c>
      <c r="BT2545">
        <v>0</v>
      </c>
      <c r="BU2545">
        <v>0</v>
      </c>
      <c r="BV2545" t="s">
        <v>135</v>
      </c>
      <c r="BW2545">
        <v>0</v>
      </c>
      <c r="BX2545">
        <v>0</v>
      </c>
      <c r="BY2545" t="s">
        <v>135</v>
      </c>
      <c r="BZ2545">
        <v>0</v>
      </c>
      <c r="CA2545">
        <v>0</v>
      </c>
      <c r="CB2545" t="s">
        <v>135</v>
      </c>
      <c r="CH2545" s="2"/>
      <c r="CJ2545" s="2"/>
      <c r="CL2545" s="2"/>
      <c r="CN2545" s="2"/>
      <c r="CQ2545" s="2"/>
      <c r="CT2545" s="2"/>
      <c r="CW2545" s="2"/>
    </row>
    <row r="2546" spans="1:101" x14ac:dyDescent="0.25">
      <c r="A2546" s="1" t="s">
        <v>163</v>
      </c>
      <c r="B2546" s="75" t="s">
        <v>164</v>
      </c>
      <c r="C2546">
        <v>0</v>
      </c>
      <c r="D2546">
        <v>0</v>
      </c>
      <c r="E2546">
        <v>0</v>
      </c>
      <c r="F2546">
        <v>604324.56000000006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3.91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7490</v>
      </c>
      <c r="AW2546">
        <v>3350</v>
      </c>
      <c r="AX2546">
        <v>1219</v>
      </c>
      <c r="AY2546">
        <v>12059</v>
      </c>
      <c r="AZ2546">
        <v>4202</v>
      </c>
      <c r="BA2546">
        <v>7438</v>
      </c>
      <c r="BB2546">
        <v>1432</v>
      </c>
      <c r="BC2546">
        <v>13072</v>
      </c>
      <c r="BD2546">
        <v>9486</v>
      </c>
      <c r="BE2546">
        <v>9222</v>
      </c>
      <c r="BF2546">
        <v>1768</v>
      </c>
      <c r="BG2546">
        <v>20476</v>
      </c>
      <c r="BH2546">
        <v>0</v>
      </c>
      <c r="BI2546">
        <v>0</v>
      </c>
      <c r="BJ2546">
        <v>0</v>
      </c>
      <c r="BK2546">
        <v>0</v>
      </c>
      <c r="BL2546" s="2">
        <v>24.82</v>
      </c>
      <c r="BM2546" s="2">
        <v>42005.095138888886</v>
      </c>
      <c r="BN2546" s="2">
        <v>5.4</v>
      </c>
      <c r="BO2546" s="2">
        <v>42005.092361111114</v>
      </c>
      <c r="BP2546" s="2">
        <v>6.92</v>
      </c>
      <c r="BQ2546" s="2">
        <v>42005.092361111114</v>
      </c>
      <c r="BR2546" s="2">
        <v>11.07</v>
      </c>
      <c r="BS2546" s="2">
        <v>42005.092361111114</v>
      </c>
      <c r="BT2546">
        <v>0</v>
      </c>
      <c r="BU2546">
        <v>0</v>
      </c>
      <c r="BV2546" t="s">
        <v>135</v>
      </c>
      <c r="BW2546">
        <v>0</v>
      </c>
      <c r="BX2546">
        <v>0</v>
      </c>
      <c r="BY2546" t="s">
        <v>135</v>
      </c>
      <c r="BZ2546">
        <v>0</v>
      </c>
      <c r="CA2546">
        <v>0</v>
      </c>
      <c r="CB2546" t="s">
        <v>135</v>
      </c>
      <c r="CH2546" s="2"/>
      <c r="CJ2546" s="2"/>
      <c r="CL2546" s="2"/>
      <c r="CN2546" s="2"/>
      <c r="CQ2546" s="2"/>
      <c r="CT2546" s="2"/>
      <c r="CW2546" s="2"/>
    </row>
    <row r="2547" spans="1:101" x14ac:dyDescent="0.25">
      <c r="A2547" s="1" t="s">
        <v>163</v>
      </c>
      <c r="B2547" s="75" t="s">
        <v>164</v>
      </c>
      <c r="C2547">
        <v>0</v>
      </c>
      <c r="D2547">
        <v>0</v>
      </c>
      <c r="E2547">
        <v>0</v>
      </c>
      <c r="F2547">
        <v>604324.56000000006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3.91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7490</v>
      </c>
      <c r="AW2547">
        <v>3350</v>
      </c>
      <c r="AX2547">
        <v>1219</v>
      </c>
      <c r="AY2547">
        <v>12059</v>
      </c>
      <c r="AZ2547">
        <v>4202</v>
      </c>
      <c r="BA2547">
        <v>7438</v>
      </c>
      <c r="BB2547">
        <v>1432</v>
      </c>
      <c r="BC2547">
        <v>13072</v>
      </c>
      <c r="BD2547">
        <v>9486</v>
      </c>
      <c r="BE2547">
        <v>9222</v>
      </c>
      <c r="BF2547">
        <v>1768</v>
      </c>
      <c r="BG2547">
        <v>20476</v>
      </c>
      <c r="BH2547">
        <v>0</v>
      </c>
      <c r="BI2547">
        <v>0</v>
      </c>
      <c r="BJ2547">
        <v>0</v>
      </c>
      <c r="BK2547">
        <v>0</v>
      </c>
      <c r="BL2547" s="2">
        <v>24.82</v>
      </c>
      <c r="BM2547" s="2">
        <v>42005.095138888886</v>
      </c>
      <c r="BN2547" s="2">
        <v>5.4</v>
      </c>
      <c r="BO2547" s="2">
        <v>42005.092361111114</v>
      </c>
      <c r="BP2547" s="2">
        <v>6.92</v>
      </c>
      <c r="BQ2547" s="2">
        <v>42005.092361111114</v>
      </c>
      <c r="BR2547" s="2">
        <v>11.07</v>
      </c>
      <c r="BS2547" s="2">
        <v>42005.092361111114</v>
      </c>
      <c r="BT2547">
        <v>0</v>
      </c>
      <c r="BU2547">
        <v>0</v>
      </c>
      <c r="BV2547" t="s">
        <v>135</v>
      </c>
      <c r="BW2547">
        <v>0</v>
      </c>
      <c r="BX2547">
        <v>0</v>
      </c>
      <c r="BY2547" t="s">
        <v>135</v>
      </c>
      <c r="BZ2547">
        <v>0</v>
      </c>
      <c r="CA2547">
        <v>0</v>
      </c>
      <c r="CB2547" t="s">
        <v>135</v>
      </c>
      <c r="CH2547" s="2"/>
      <c r="CJ2547" s="2"/>
      <c r="CL2547" s="2"/>
      <c r="CN2547" s="2"/>
      <c r="CQ2547" s="2"/>
      <c r="CT2547" s="2"/>
      <c r="CW2547" s="2"/>
    </row>
    <row r="2548" spans="1:101" x14ac:dyDescent="0.25">
      <c r="A2548" s="1" t="s">
        <v>163</v>
      </c>
      <c r="B2548" s="75" t="s">
        <v>164</v>
      </c>
      <c r="C2548">
        <v>0</v>
      </c>
      <c r="D2548">
        <v>0</v>
      </c>
      <c r="E2548">
        <v>0</v>
      </c>
      <c r="F2548">
        <v>604324.56000000006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3.91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7490</v>
      </c>
      <c r="AW2548">
        <v>3350</v>
      </c>
      <c r="AX2548">
        <v>1219</v>
      </c>
      <c r="AY2548">
        <v>12059</v>
      </c>
      <c r="AZ2548">
        <v>4202</v>
      </c>
      <c r="BA2548">
        <v>7438</v>
      </c>
      <c r="BB2548">
        <v>1432</v>
      </c>
      <c r="BC2548">
        <v>13072</v>
      </c>
      <c r="BD2548">
        <v>9486</v>
      </c>
      <c r="BE2548">
        <v>9222</v>
      </c>
      <c r="BF2548">
        <v>1768</v>
      </c>
      <c r="BG2548">
        <v>20476</v>
      </c>
      <c r="BH2548">
        <v>0</v>
      </c>
      <c r="BI2548">
        <v>0</v>
      </c>
      <c r="BJ2548">
        <v>0</v>
      </c>
      <c r="BK2548">
        <v>0</v>
      </c>
      <c r="BL2548" s="2">
        <v>24.82</v>
      </c>
      <c r="BM2548" s="2">
        <v>42005.095138888886</v>
      </c>
      <c r="BN2548" s="2">
        <v>5.4</v>
      </c>
      <c r="BO2548" s="2">
        <v>42005.092361111114</v>
      </c>
      <c r="BP2548" s="2">
        <v>6.92</v>
      </c>
      <c r="BQ2548" s="2">
        <v>42005.092361111114</v>
      </c>
      <c r="BR2548" s="2">
        <v>11.07</v>
      </c>
      <c r="BS2548" s="2">
        <v>42005.092361111114</v>
      </c>
      <c r="BT2548">
        <v>0</v>
      </c>
      <c r="BU2548">
        <v>0</v>
      </c>
      <c r="BV2548" t="s">
        <v>135</v>
      </c>
      <c r="BW2548">
        <v>0</v>
      </c>
      <c r="BX2548">
        <v>0</v>
      </c>
      <c r="BY2548" t="s">
        <v>135</v>
      </c>
      <c r="BZ2548">
        <v>0</v>
      </c>
      <c r="CA2548">
        <v>0</v>
      </c>
      <c r="CB2548" t="s">
        <v>135</v>
      </c>
      <c r="CH2548" s="2"/>
      <c r="CJ2548" s="2"/>
      <c r="CL2548" s="2"/>
      <c r="CN2548" s="2"/>
      <c r="CQ2548" s="2"/>
      <c r="CT2548" s="2"/>
      <c r="CW2548" s="2"/>
    </row>
    <row r="2549" spans="1:101" x14ac:dyDescent="0.25">
      <c r="A2549" s="1" t="s">
        <v>163</v>
      </c>
      <c r="B2549" s="75" t="s">
        <v>164</v>
      </c>
      <c r="C2549">
        <v>0</v>
      </c>
      <c r="D2549">
        <v>0</v>
      </c>
      <c r="E2549">
        <v>0</v>
      </c>
      <c r="F2549">
        <v>604324.56000000006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3.91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7490</v>
      </c>
      <c r="AW2549">
        <v>3350</v>
      </c>
      <c r="AX2549">
        <v>1219</v>
      </c>
      <c r="AY2549">
        <v>12059</v>
      </c>
      <c r="AZ2549">
        <v>4202</v>
      </c>
      <c r="BA2549">
        <v>7438</v>
      </c>
      <c r="BB2549">
        <v>1432</v>
      </c>
      <c r="BC2549">
        <v>13072</v>
      </c>
      <c r="BD2549">
        <v>9486</v>
      </c>
      <c r="BE2549">
        <v>9222</v>
      </c>
      <c r="BF2549">
        <v>1768</v>
      </c>
      <c r="BG2549">
        <v>20476</v>
      </c>
      <c r="BH2549">
        <v>0</v>
      </c>
      <c r="BI2549">
        <v>0</v>
      </c>
      <c r="BJ2549">
        <v>0</v>
      </c>
      <c r="BK2549">
        <v>0</v>
      </c>
      <c r="BL2549" s="2">
        <v>24.82</v>
      </c>
      <c r="BM2549" s="2">
        <v>42005.095138888886</v>
      </c>
      <c r="BN2549" s="2">
        <v>5.4</v>
      </c>
      <c r="BO2549" s="2">
        <v>42005.092361111114</v>
      </c>
      <c r="BP2549" s="2">
        <v>6.92</v>
      </c>
      <c r="BQ2549" s="2">
        <v>42005.092361111114</v>
      </c>
      <c r="BR2549" s="2">
        <v>11.07</v>
      </c>
      <c r="BS2549" s="2">
        <v>42005.092361111114</v>
      </c>
      <c r="BT2549">
        <v>0</v>
      </c>
      <c r="BU2549">
        <v>0</v>
      </c>
      <c r="BV2549" t="s">
        <v>135</v>
      </c>
      <c r="BW2549">
        <v>0</v>
      </c>
      <c r="BX2549">
        <v>0</v>
      </c>
      <c r="BY2549" t="s">
        <v>135</v>
      </c>
      <c r="BZ2549">
        <v>0</v>
      </c>
      <c r="CA2549">
        <v>0</v>
      </c>
      <c r="CB2549" t="s">
        <v>135</v>
      </c>
      <c r="CH2549" s="2"/>
      <c r="CJ2549" s="2"/>
      <c r="CL2549" s="2"/>
      <c r="CN2549" s="2"/>
      <c r="CQ2549" s="2"/>
      <c r="CT2549" s="2"/>
      <c r="CW2549" s="2"/>
    </row>
    <row r="2550" spans="1:101" x14ac:dyDescent="0.25">
      <c r="A2550" s="1" t="s">
        <v>163</v>
      </c>
      <c r="B2550" s="75" t="s">
        <v>164</v>
      </c>
      <c r="C2550">
        <v>0</v>
      </c>
      <c r="D2550">
        <v>0</v>
      </c>
      <c r="E2550">
        <v>0</v>
      </c>
      <c r="F2550">
        <v>604324.56000000006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3.91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7490</v>
      </c>
      <c r="AW2550">
        <v>3350</v>
      </c>
      <c r="AX2550">
        <v>1219</v>
      </c>
      <c r="AY2550">
        <v>12059</v>
      </c>
      <c r="AZ2550">
        <v>4202</v>
      </c>
      <c r="BA2550">
        <v>7438</v>
      </c>
      <c r="BB2550">
        <v>1432</v>
      </c>
      <c r="BC2550">
        <v>13072</v>
      </c>
      <c r="BD2550">
        <v>9486</v>
      </c>
      <c r="BE2550">
        <v>9222</v>
      </c>
      <c r="BF2550">
        <v>1768</v>
      </c>
      <c r="BG2550">
        <v>20476</v>
      </c>
      <c r="BH2550">
        <v>0</v>
      </c>
      <c r="BI2550">
        <v>0</v>
      </c>
      <c r="BJ2550">
        <v>0</v>
      </c>
      <c r="BK2550">
        <v>0</v>
      </c>
      <c r="BL2550" s="2">
        <v>24.82</v>
      </c>
      <c r="BM2550" s="2">
        <v>42005.095138888886</v>
      </c>
      <c r="BN2550" s="2">
        <v>5.4</v>
      </c>
      <c r="BO2550" s="2">
        <v>42005.092361111114</v>
      </c>
      <c r="BP2550" s="2">
        <v>6.92</v>
      </c>
      <c r="BQ2550" s="2">
        <v>42005.092361111114</v>
      </c>
      <c r="BR2550" s="2">
        <v>11.07</v>
      </c>
      <c r="BS2550" s="2">
        <v>42005.092361111114</v>
      </c>
      <c r="BT2550">
        <v>0</v>
      </c>
      <c r="BU2550">
        <v>0</v>
      </c>
      <c r="BV2550" t="s">
        <v>135</v>
      </c>
      <c r="BW2550">
        <v>0</v>
      </c>
      <c r="BX2550">
        <v>0</v>
      </c>
      <c r="BY2550" t="s">
        <v>135</v>
      </c>
      <c r="BZ2550">
        <v>0</v>
      </c>
      <c r="CA2550">
        <v>0</v>
      </c>
      <c r="CB2550" t="s">
        <v>135</v>
      </c>
      <c r="CH2550" s="2"/>
      <c r="CJ2550" s="2"/>
      <c r="CL2550" s="2"/>
      <c r="CN2550" s="2"/>
      <c r="CQ2550" s="2"/>
      <c r="CT2550" s="2"/>
      <c r="CW2550" s="2"/>
    </row>
    <row r="2551" spans="1:101" x14ac:dyDescent="0.25">
      <c r="A2551" s="1" t="s">
        <v>163</v>
      </c>
      <c r="B2551" s="75" t="s">
        <v>164</v>
      </c>
      <c r="C2551">
        <v>0</v>
      </c>
      <c r="D2551">
        <v>0</v>
      </c>
      <c r="E2551">
        <v>0</v>
      </c>
      <c r="F2551">
        <v>604324.56000000006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3.91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7490</v>
      </c>
      <c r="AW2551">
        <v>3350</v>
      </c>
      <c r="AX2551">
        <v>1219</v>
      </c>
      <c r="AY2551">
        <v>12059</v>
      </c>
      <c r="AZ2551">
        <v>4202</v>
      </c>
      <c r="BA2551">
        <v>7438</v>
      </c>
      <c r="BB2551">
        <v>1432</v>
      </c>
      <c r="BC2551">
        <v>13072</v>
      </c>
      <c r="BD2551">
        <v>9486</v>
      </c>
      <c r="BE2551">
        <v>9222</v>
      </c>
      <c r="BF2551">
        <v>1768</v>
      </c>
      <c r="BG2551">
        <v>20476</v>
      </c>
      <c r="BH2551">
        <v>0</v>
      </c>
      <c r="BI2551">
        <v>0</v>
      </c>
      <c r="BJ2551">
        <v>0</v>
      </c>
      <c r="BK2551">
        <v>0</v>
      </c>
      <c r="BL2551" s="2">
        <v>24.82</v>
      </c>
      <c r="BM2551" s="2">
        <v>42005.095138888886</v>
      </c>
      <c r="BN2551" s="2">
        <v>5.4</v>
      </c>
      <c r="BO2551" s="2">
        <v>42005.092361111114</v>
      </c>
      <c r="BP2551" s="2">
        <v>6.92</v>
      </c>
      <c r="BQ2551" s="2">
        <v>42005.092361111114</v>
      </c>
      <c r="BR2551" s="2">
        <v>11.07</v>
      </c>
      <c r="BS2551" s="2">
        <v>42005.092361111114</v>
      </c>
      <c r="BT2551">
        <v>0</v>
      </c>
      <c r="BU2551">
        <v>0</v>
      </c>
      <c r="BV2551" t="s">
        <v>135</v>
      </c>
      <c r="BW2551">
        <v>0</v>
      </c>
      <c r="BX2551">
        <v>0</v>
      </c>
      <c r="BY2551" t="s">
        <v>135</v>
      </c>
      <c r="BZ2551">
        <v>0</v>
      </c>
      <c r="CA2551">
        <v>0</v>
      </c>
      <c r="CB2551" t="s">
        <v>135</v>
      </c>
      <c r="CH2551" s="2"/>
      <c r="CJ2551" s="2"/>
      <c r="CL2551" s="2"/>
      <c r="CN2551" s="2"/>
      <c r="CQ2551" s="2"/>
      <c r="CT2551" s="2"/>
      <c r="CW2551" s="2"/>
    </row>
    <row r="2552" spans="1:101" x14ac:dyDescent="0.25">
      <c r="A2552" s="1" t="s">
        <v>163</v>
      </c>
      <c r="B2552" s="75" t="s">
        <v>164</v>
      </c>
      <c r="C2552">
        <v>0</v>
      </c>
      <c r="D2552">
        <v>0</v>
      </c>
      <c r="E2552">
        <v>0</v>
      </c>
      <c r="F2552">
        <v>604324.56000000006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3.91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7490</v>
      </c>
      <c r="AW2552">
        <v>3350</v>
      </c>
      <c r="AX2552">
        <v>1219</v>
      </c>
      <c r="AY2552">
        <v>12059</v>
      </c>
      <c r="AZ2552">
        <v>4202</v>
      </c>
      <c r="BA2552">
        <v>7438</v>
      </c>
      <c r="BB2552">
        <v>1432</v>
      </c>
      <c r="BC2552">
        <v>13072</v>
      </c>
      <c r="BD2552">
        <v>9486</v>
      </c>
      <c r="BE2552">
        <v>9222</v>
      </c>
      <c r="BF2552">
        <v>1768</v>
      </c>
      <c r="BG2552">
        <v>20476</v>
      </c>
      <c r="BH2552">
        <v>0</v>
      </c>
      <c r="BI2552">
        <v>0</v>
      </c>
      <c r="BJ2552">
        <v>0</v>
      </c>
      <c r="BK2552">
        <v>0</v>
      </c>
      <c r="BL2552" s="2">
        <v>24.82</v>
      </c>
      <c r="BM2552" s="2">
        <v>42005.095138888886</v>
      </c>
      <c r="BN2552" s="2">
        <v>5.4</v>
      </c>
      <c r="BO2552" s="2">
        <v>42005.092361111114</v>
      </c>
      <c r="BP2552" s="2">
        <v>6.92</v>
      </c>
      <c r="BQ2552" s="2">
        <v>42005.092361111114</v>
      </c>
      <c r="BR2552" s="2">
        <v>11.07</v>
      </c>
      <c r="BS2552" s="2">
        <v>42005.092361111114</v>
      </c>
      <c r="BT2552">
        <v>0</v>
      </c>
      <c r="BU2552">
        <v>0</v>
      </c>
      <c r="BV2552" t="s">
        <v>135</v>
      </c>
      <c r="BW2552">
        <v>0</v>
      </c>
      <c r="BX2552">
        <v>0</v>
      </c>
      <c r="BY2552" t="s">
        <v>135</v>
      </c>
      <c r="BZ2552">
        <v>0</v>
      </c>
      <c r="CA2552">
        <v>0</v>
      </c>
      <c r="CB2552" t="s">
        <v>135</v>
      </c>
      <c r="CH2552" s="2"/>
      <c r="CJ2552" s="2"/>
      <c r="CL2552" s="2"/>
      <c r="CN2552" s="2"/>
      <c r="CQ2552" s="2"/>
      <c r="CT2552" s="2"/>
      <c r="CW2552" s="2"/>
    </row>
    <row r="2553" spans="1:101" x14ac:dyDescent="0.25">
      <c r="A2553" s="1" t="s">
        <v>163</v>
      </c>
      <c r="B2553" s="75" t="s">
        <v>164</v>
      </c>
      <c r="C2553">
        <v>0</v>
      </c>
      <c r="D2553">
        <v>0</v>
      </c>
      <c r="E2553">
        <v>0</v>
      </c>
      <c r="F2553">
        <v>604324.56000000006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3.91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7490</v>
      </c>
      <c r="AW2553">
        <v>3350</v>
      </c>
      <c r="AX2553">
        <v>1219</v>
      </c>
      <c r="AY2553">
        <v>12059</v>
      </c>
      <c r="AZ2553">
        <v>4202</v>
      </c>
      <c r="BA2553">
        <v>7438</v>
      </c>
      <c r="BB2553">
        <v>1432</v>
      </c>
      <c r="BC2553">
        <v>13072</v>
      </c>
      <c r="BD2553">
        <v>9486</v>
      </c>
      <c r="BE2553">
        <v>9222</v>
      </c>
      <c r="BF2553">
        <v>1768</v>
      </c>
      <c r="BG2553">
        <v>20476</v>
      </c>
      <c r="BH2553">
        <v>0</v>
      </c>
      <c r="BI2553">
        <v>0</v>
      </c>
      <c r="BJ2553">
        <v>0</v>
      </c>
      <c r="BK2553">
        <v>0</v>
      </c>
      <c r="BL2553" s="2">
        <v>24.82</v>
      </c>
      <c r="BM2553" s="2">
        <v>42005.095138888886</v>
      </c>
      <c r="BN2553" s="2">
        <v>5.4</v>
      </c>
      <c r="BO2553" s="2">
        <v>42005.092361111114</v>
      </c>
      <c r="BP2553" s="2">
        <v>6.92</v>
      </c>
      <c r="BQ2553" s="2">
        <v>42005.092361111114</v>
      </c>
      <c r="BR2553" s="2">
        <v>11.07</v>
      </c>
      <c r="BS2553" s="2">
        <v>42005.092361111114</v>
      </c>
      <c r="BT2553">
        <v>0</v>
      </c>
      <c r="BU2553">
        <v>0</v>
      </c>
      <c r="BV2553" t="s">
        <v>135</v>
      </c>
      <c r="BW2553">
        <v>0</v>
      </c>
      <c r="BX2553">
        <v>0</v>
      </c>
      <c r="BY2553" t="s">
        <v>135</v>
      </c>
      <c r="BZ2553">
        <v>0</v>
      </c>
      <c r="CA2553">
        <v>0</v>
      </c>
      <c r="CB2553" t="s">
        <v>135</v>
      </c>
      <c r="CH2553" s="2"/>
      <c r="CJ2553" s="2"/>
      <c r="CL2553" s="2"/>
      <c r="CN2553" s="2"/>
      <c r="CQ2553" s="2"/>
      <c r="CT2553" s="2"/>
      <c r="CW2553" s="2"/>
    </row>
    <row r="2554" spans="1:101" x14ac:dyDescent="0.25">
      <c r="A2554" s="1" t="s">
        <v>163</v>
      </c>
      <c r="B2554" s="75" t="s">
        <v>164</v>
      </c>
      <c r="C2554">
        <v>0</v>
      </c>
      <c r="D2554">
        <v>0</v>
      </c>
      <c r="E2554">
        <v>0</v>
      </c>
      <c r="F2554">
        <v>604324.56000000006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3.91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7490</v>
      </c>
      <c r="AW2554">
        <v>3350</v>
      </c>
      <c r="AX2554">
        <v>1219</v>
      </c>
      <c r="AY2554">
        <v>12059</v>
      </c>
      <c r="AZ2554">
        <v>4202</v>
      </c>
      <c r="BA2554">
        <v>7438</v>
      </c>
      <c r="BB2554">
        <v>1432</v>
      </c>
      <c r="BC2554">
        <v>13072</v>
      </c>
      <c r="BD2554">
        <v>9486</v>
      </c>
      <c r="BE2554">
        <v>9222</v>
      </c>
      <c r="BF2554">
        <v>1768</v>
      </c>
      <c r="BG2554">
        <v>20476</v>
      </c>
      <c r="BH2554">
        <v>0</v>
      </c>
      <c r="BI2554">
        <v>0</v>
      </c>
      <c r="BJ2554">
        <v>0</v>
      </c>
      <c r="BK2554">
        <v>0</v>
      </c>
      <c r="BL2554" s="2">
        <v>24.82</v>
      </c>
      <c r="BM2554" s="2">
        <v>42005.095138888886</v>
      </c>
      <c r="BN2554" s="2">
        <v>5.4</v>
      </c>
      <c r="BO2554" s="2">
        <v>42005.092361111114</v>
      </c>
      <c r="BP2554" s="2">
        <v>6.92</v>
      </c>
      <c r="BQ2554" s="2">
        <v>42005.092361111114</v>
      </c>
      <c r="BR2554" s="2">
        <v>11.07</v>
      </c>
      <c r="BS2554" s="2">
        <v>42005.092361111114</v>
      </c>
      <c r="BT2554">
        <v>0</v>
      </c>
      <c r="BU2554">
        <v>0</v>
      </c>
      <c r="BV2554" t="s">
        <v>135</v>
      </c>
      <c r="BW2554">
        <v>0</v>
      </c>
      <c r="BX2554">
        <v>0</v>
      </c>
      <c r="BY2554" t="s">
        <v>135</v>
      </c>
      <c r="BZ2554">
        <v>0</v>
      </c>
      <c r="CA2554">
        <v>0</v>
      </c>
      <c r="CB2554" t="s">
        <v>135</v>
      </c>
      <c r="CH2554" s="2"/>
      <c r="CJ2554" s="2"/>
      <c r="CL2554" s="2"/>
      <c r="CN2554" s="2"/>
      <c r="CQ2554" s="2"/>
      <c r="CT2554" s="2"/>
      <c r="CW2554" s="2"/>
    </row>
    <row r="2555" spans="1:101" x14ac:dyDescent="0.25">
      <c r="A2555" s="1" t="s">
        <v>163</v>
      </c>
      <c r="B2555" s="75" t="s">
        <v>164</v>
      </c>
      <c r="C2555">
        <v>0</v>
      </c>
      <c r="D2555">
        <v>0</v>
      </c>
      <c r="E2555">
        <v>0</v>
      </c>
      <c r="F2555">
        <v>604324.56000000006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3.91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7490</v>
      </c>
      <c r="AW2555">
        <v>3350</v>
      </c>
      <c r="AX2555">
        <v>1219</v>
      </c>
      <c r="AY2555">
        <v>12059</v>
      </c>
      <c r="AZ2555">
        <v>4202</v>
      </c>
      <c r="BA2555">
        <v>7438</v>
      </c>
      <c r="BB2555">
        <v>1432</v>
      </c>
      <c r="BC2555">
        <v>13072</v>
      </c>
      <c r="BD2555">
        <v>9486</v>
      </c>
      <c r="BE2555">
        <v>9222</v>
      </c>
      <c r="BF2555">
        <v>1768</v>
      </c>
      <c r="BG2555">
        <v>20476</v>
      </c>
      <c r="BH2555">
        <v>0</v>
      </c>
      <c r="BI2555">
        <v>0</v>
      </c>
      <c r="BJ2555">
        <v>0</v>
      </c>
      <c r="BK2555">
        <v>0</v>
      </c>
      <c r="BL2555" s="2">
        <v>24.82</v>
      </c>
      <c r="BM2555" s="2">
        <v>42005.095138888886</v>
      </c>
      <c r="BN2555" s="2">
        <v>5.4</v>
      </c>
      <c r="BO2555" s="2">
        <v>42005.092361111114</v>
      </c>
      <c r="BP2555" s="2">
        <v>6.92</v>
      </c>
      <c r="BQ2555" s="2">
        <v>42005.092361111114</v>
      </c>
      <c r="BR2555" s="2">
        <v>11.07</v>
      </c>
      <c r="BS2555" s="2">
        <v>42005.092361111114</v>
      </c>
      <c r="BT2555">
        <v>0</v>
      </c>
      <c r="BU2555">
        <v>0</v>
      </c>
      <c r="BV2555" t="s">
        <v>135</v>
      </c>
      <c r="BW2555">
        <v>0</v>
      </c>
      <c r="BX2555">
        <v>0</v>
      </c>
      <c r="BY2555" t="s">
        <v>135</v>
      </c>
      <c r="BZ2555">
        <v>0</v>
      </c>
      <c r="CA2555">
        <v>0</v>
      </c>
      <c r="CB2555" t="s">
        <v>135</v>
      </c>
      <c r="CH2555" s="2"/>
      <c r="CJ2555" s="2"/>
      <c r="CL2555" s="2"/>
      <c r="CN2555" s="2"/>
      <c r="CQ2555" s="2"/>
      <c r="CT2555" s="2"/>
      <c r="CW2555" s="2"/>
    </row>
    <row r="2556" spans="1:101" x14ac:dyDescent="0.25">
      <c r="A2556" s="1" t="s">
        <v>163</v>
      </c>
      <c r="B2556" s="75" t="s">
        <v>164</v>
      </c>
      <c r="C2556">
        <v>0</v>
      </c>
      <c r="D2556">
        <v>0</v>
      </c>
      <c r="E2556">
        <v>0</v>
      </c>
      <c r="F2556">
        <v>604324.56000000006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3.91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7490</v>
      </c>
      <c r="AW2556">
        <v>3350</v>
      </c>
      <c r="AX2556">
        <v>1219</v>
      </c>
      <c r="AY2556">
        <v>12059</v>
      </c>
      <c r="AZ2556">
        <v>4202</v>
      </c>
      <c r="BA2556">
        <v>7438</v>
      </c>
      <c r="BB2556">
        <v>1432</v>
      </c>
      <c r="BC2556">
        <v>13072</v>
      </c>
      <c r="BD2556">
        <v>9486</v>
      </c>
      <c r="BE2556">
        <v>9222</v>
      </c>
      <c r="BF2556">
        <v>1768</v>
      </c>
      <c r="BG2556">
        <v>20476</v>
      </c>
      <c r="BH2556">
        <v>0</v>
      </c>
      <c r="BI2556">
        <v>0</v>
      </c>
      <c r="BJ2556">
        <v>0</v>
      </c>
      <c r="BK2556">
        <v>0</v>
      </c>
      <c r="BL2556" s="2">
        <v>24.82</v>
      </c>
      <c r="BM2556" s="2">
        <v>42005.095138888886</v>
      </c>
      <c r="BN2556" s="2">
        <v>5.4</v>
      </c>
      <c r="BO2556" s="2">
        <v>42005.092361111114</v>
      </c>
      <c r="BP2556" s="2">
        <v>6.92</v>
      </c>
      <c r="BQ2556" s="2">
        <v>42005.092361111114</v>
      </c>
      <c r="BR2556" s="2">
        <v>11.07</v>
      </c>
      <c r="BS2556" s="2">
        <v>42005.092361111114</v>
      </c>
      <c r="BT2556">
        <v>0</v>
      </c>
      <c r="BU2556">
        <v>0</v>
      </c>
      <c r="BV2556" t="s">
        <v>135</v>
      </c>
      <c r="BW2556">
        <v>0</v>
      </c>
      <c r="BX2556">
        <v>0</v>
      </c>
      <c r="BY2556" t="s">
        <v>135</v>
      </c>
      <c r="BZ2556">
        <v>0</v>
      </c>
      <c r="CA2556">
        <v>0</v>
      </c>
      <c r="CB2556" t="s">
        <v>135</v>
      </c>
      <c r="CH2556" s="2"/>
      <c r="CJ2556" s="2"/>
      <c r="CL2556" s="2"/>
      <c r="CN2556" s="2"/>
      <c r="CQ2556" s="2"/>
      <c r="CT2556" s="2"/>
      <c r="CW2556" s="2"/>
    </row>
    <row r="2557" spans="1:101" x14ac:dyDescent="0.25">
      <c r="A2557" s="1" t="s">
        <v>163</v>
      </c>
      <c r="B2557" s="75" t="s">
        <v>164</v>
      </c>
      <c r="C2557">
        <v>0</v>
      </c>
      <c r="D2557">
        <v>0</v>
      </c>
      <c r="E2557">
        <v>0</v>
      </c>
      <c r="F2557">
        <v>604324.56000000006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3.91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7490</v>
      </c>
      <c r="AW2557">
        <v>3350</v>
      </c>
      <c r="AX2557">
        <v>1219</v>
      </c>
      <c r="AY2557">
        <v>12059</v>
      </c>
      <c r="AZ2557">
        <v>4202</v>
      </c>
      <c r="BA2557">
        <v>7438</v>
      </c>
      <c r="BB2557">
        <v>1432</v>
      </c>
      <c r="BC2557">
        <v>13072</v>
      </c>
      <c r="BD2557">
        <v>9486</v>
      </c>
      <c r="BE2557">
        <v>9222</v>
      </c>
      <c r="BF2557">
        <v>1768</v>
      </c>
      <c r="BG2557">
        <v>20476</v>
      </c>
      <c r="BH2557">
        <v>0</v>
      </c>
      <c r="BI2557">
        <v>0</v>
      </c>
      <c r="BJ2557">
        <v>0</v>
      </c>
      <c r="BK2557">
        <v>0</v>
      </c>
      <c r="BL2557" s="2">
        <v>24.82</v>
      </c>
      <c r="BM2557" s="2">
        <v>42005.095138888886</v>
      </c>
      <c r="BN2557" s="2">
        <v>5.4</v>
      </c>
      <c r="BO2557" s="2">
        <v>42005.092361111114</v>
      </c>
      <c r="BP2557" s="2">
        <v>6.92</v>
      </c>
      <c r="BQ2557" s="2">
        <v>42005.092361111114</v>
      </c>
      <c r="BR2557" s="2">
        <v>11.07</v>
      </c>
      <c r="BS2557" s="2">
        <v>42005.092361111114</v>
      </c>
      <c r="BT2557">
        <v>0</v>
      </c>
      <c r="BU2557">
        <v>0</v>
      </c>
      <c r="BV2557" t="s">
        <v>135</v>
      </c>
      <c r="BW2557">
        <v>0</v>
      </c>
      <c r="BX2557">
        <v>0</v>
      </c>
      <c r="BY2557" t="s">
        <v>135</v>
      </c>
      <c r="BZ2557">
        <v>0</v>
      </c>
      <c r="CA2557">
        <v>0</v>
      </c>
      <c r="CB2557" t="s">
        <v>135</v>
      </c>
      <c r="CH2557" s="2"/>
      <c r="CJ2557" s="2"/>
      <c r="CL2557" s="2"/>
      <c r="CN2557" s="2"/>
      <c r="CQ2557" s="2"/>
      <c r="CT2557" s="2"/>
      <c r="CW2557" s="2"/>
    </row>
    <row r="2558" spans="1:101" x14ac:dyDescent="0.25">
      <c r="A2558" s="1" t="s">
        <v>163</v>
      </c>
      <c r="B2558" s="75" t="s">
        <v>164</v>
      </c>
      <c r="C2558">
        <v>0</v>
      </c>
      <c r="D2558">
        <v>0</v>
      </c>
      <c r="E2558">
        <v>0</v>
      </c>
      <c r="F2558">
        <v>604324.56000000006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3.91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7490</v>
      </c>
      <c r="AW2558">
        <v>3350</v>
      </c>
      <c r="AX2558">
        <v>1219</v>
      </c>
      <c r="AY2558">
        <v>12059</v>
      </c>
      <c r="AZ2558">
        <v>4202</v>
      </c>
      <c r="BA2558">
        <v>7438</v>
      </c>
      <c r="BB2558">
        <v>1432</v>
      </c>
      <c r="BC2558">
        <v>13072</v>
      </c>
      <c r="BD2558">
        <v>9486</v>
      </c>
      <c r="BE2558">
        <v>9222</v>
      </c>
      <c r="BF2558">
        <v>1768</v>
      </c>
      <c r="BG2558">
        <v>20476</v>
      </c>
      <c r="BH2558">
        <v>0</v>
      </c>
      <c r="BI2558">
        <v>0</v>
      </c>
      <c r="BJ2558">
        <v>0</v>
      </c>
      <c r="BK2558">
        <v>0</v>
      </c>
      <c r="BL2558" s="2">
        <v>24.82</v>
      </c>
      <c r="BM2558" s="2">
        <v>42005.095138888886</v>
      </c>
      <c r="BN2558" s="2">
        <v>5.4</v>
      </c>
      <c r="BO2558" s="2">
        <v>42005.092361111114</v>
      </c>
      <c r="BP2558" s="2">
        <v>6.92</v>
      </c>
      <c r="BQ2558" s="2">
        <v>42005.092361111114</v>
      </c>
      <c r="BR2558" s="2">
        <v>11.07</v>
      </c>
      <c r="BS2558" s="2">
        <v>42005.092361111114</v>
      </c>
      <c r="BT2558">
        <v>0</v>
      </c>
      <c r="BU2558">
        <v>0</v>
      </c>
      <c r="BV2558" t="s">
        <v>135</v>
      </c>
      <c r="BW2558">
        <v>0</v>
      </c>
      <c r="BX2558">
        <v>0</v>
      </c>
      <c r="BY2558" t="s">
        <v>135</v>
      </c>
      <c r="BZ2558">
        <v>0</v>
      </c>
      <c r="CA2558">
        <v>0</v>
      </c>
      <c r="CB2558" t="s">
        <v>135</v>
      </c>
      <c r="CH2558" s="2"/>
      <c r="CJ2558" s="2"/>
      <c r="CL2558" s="2"/>
      <c r="CN2558" s="2"/>
      <c r="CQ2558" s="2"/>
      <c r="CT2558" s="2"/>
      <c r="CW2558" s="2"/>
    </row>
    <row r="2559" spans="1:101" x14ac:dyDescent="0.25">
      <c r="A2559" s="1" t="s">
        <v>163</v>
      </c>
      <c r="B2559" s="75" t="s">
        <v>164</v>
      </c>
      <c r="C2559">
        <v>0</v>
      </c>
      <c r="D2559">
        <v>0</v>
      </c>
      <c r="E2559">
        <v>0</v>
      </c>
      <c r="F2559">
        <v>604324.56000000006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3.91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7490</v>
      </c>
      <c r="AW2559">
        <v>3350</v>
      </c>
      <c r="AX2559">
        <v>1219</v>
      </c>
      <c r="AY2559">
        <v>12059</v>
      </c>
      <c r="AZ2559">
        <v>4202</v>
      </c>
      <c r="BA2559">
        <v>7438</v>
      </c>
      <c r="BB2559">
        <v>1432</v>
      </c>
      <c r="BC2559">
        <v>13072</v>
      </c>
      <c r="BD2559">
        <v>9486</v>
      </c>
      <c r="BE2559">
        <v>9222</v>
      </c>
      <c r="BF2559">
        <v>1768</v>
      </c>
      <c r="BG2559">
        <v>20476</v>
      </c>
      <c r="BH2559">
        <v>0</v>
      </c>
      <c r="BI2559">
        <v>0</v>
      </c>
      <c r="BJ2559">
        <v>0</v>
      </c>
      <c r="BK2559">
        <v>0</v>
      </c>
      <c r="BL2559" s="2">
        <v>24.82</v>
      </c>
      <c r="BM2559" s="2">
        <v>42005.095138888886</v>
      </c>
      <c r="BN2559" s="2">
        <v>5.4</v>
      </c>
      <c r="BO2559" s="2">
        <v>42005.092361111114</v>
      </c>
      <c r="BP2559" s="2">
        <v>6.92</v>
      </c>
      <c r="BQ2559" s="2">
        <v>42005.092361111114</v>
      </c>
      <c r="BR2559" s="2">
        <v>11.07</v>
      </c>
      <c r="BS2559" s="2">
        <v>42005.092361111114</v>
      </c>
      <c r="BT2559">
        <v>0</v>
      </c>
      <c r="BU2559">
        <v>0</v>
      </c>
      <c r="BV2559" t="s">
        <v>135</v>
      </c>
      <c r="BW2559">
        <v>0</v>
      </c>
      <c r="BX2559">
        <v>0</v>
      </c>
      <c r="BY2559" t="s">
        <v>135</v>
      </c>
      <c r="BZ2559">
        <v>0</v>
      </c>
      <c r="CA2559">
        <v>0</v>
      </c>
      <c r="CB2559" t="s">
        <v>135</v>
      </c>
      <c r="CH2559" s="2"/>
      <c r="CJ2559" s="2"/>
      <c r="CL2559" s="2"/>
      <c r="CN2559" s="2"/>
      <c r="CQ2559" s="2"/>
      <c r="CT2559" s="2"/>
      <c r="CW2559" s="2"/>
    </row>
    <row r="2560" spans="1:101" x14ac:dyDescent="0.25">
      <c r="A2560" s="1" t="s">
        <v>163</v>
      </c>
      <c r="B2560" s="75" t="s">
        <v>164</v>
      </c>
      <c r="C2560">
        <v>0</v>
      </c>
      <c r="D2560">
        <v>0</v>
      </c>
      <c r="E2560">
        <v>0</v>
      </c>
      <c r="F2560">
        <v>604324.56000000006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3.91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7490</v>
      </c>
      <c r="AW2560">
        <v>3350</v>
      </c>
      <c r="AX2560">
        <v>1219</v>
      </c>
      <c r="AY2560">
        <v>12059</v>
      </c>
      <c r="AZ2560">
        <v>4202</v>
      </c>
      <c r="BA2560">
        <v>7438</v>
      </c>
      <c r="BB2560">
        <v>1432</v>
      </c>
      <c r="BC2560">
        <v>13072</v>
      </c>
      <c r="BD2560">
        <v>9486</v>
      </c>
      <c r="BE2560">
        <v>9222</v>
      </c>
      <c r="BF2560">
        <v>1768</v>
      </c>
      <c r="BG2560">
        <v>20476</v>
      </c>
      <c r="BH2560">
        <v>0</v>
      </c>
      <c r="BI2560">
        <v>0</v>
      </c>
      <c r="BJ2560">
        <v>0</v>
      </c>
      <c r="BK2560">
        <v>0</v>
      </c>
      <c r="BL2560" s="2">
        <v>24.82</v>
      </c>
      <c r="BM2560" s="2">
        <v>42005.095138888886</v>
      </c>
      <c r="BN2560" s="2">
        <v>5.4</v>
      </c>
      <c r="BO2560" s="2">
        <v>42005.092361111114</v>
      </c>
      <c r="BP2560" s="2">
        <v>6.92</v>
      </c>
      <c r="BQ2560" s="2">
        <v>42005.092361111114</v>
      </c>
      <c r="BR2560" s="2">
        <v>11.07</v>
      </c>
      <c r="BS2560" s="2">
        <v>42005.092361111114</v>
      </c>
      <c r="BT2560">
        <v>0</v>
      </c>
      <c r="BU2560">
        <v>0</v>
      </c>
      <c r="BV2560" t="s">
        <v>135</v>
      </c>
      <c r="BW2560">
        <v>0</v>
      </c>
      <c r="BX2560">
        <v>0</v>
      </c>
      <c r="BY2560" t="s">
        <v>135</v>
      </c>
      <c r="BZ2560">
        <v>0</v>
      </c>
      <c r="CA2560">
        <v>0</v>
      </c>
      <c r="CB2560" t="s">
        <v>135</v>
      </c>
      <c r="CH2560" s="2"/>
      <c r="CJ2560" s="2"/>
      <c r="CL2560" s="2"/>
      <c r="CN2560" s="2"/>
      <c r="CQ2560" s="2"/>
      <c r="CT2560" s="2"/>
      <c r="CW2560" s="2"/>
    </row>
    <row r="2561" spans="1:101" x14ac:dyDescent="0.25">
      <c r="A2561" s="1" t="s">
        <v>163</v>
      </c>
      <c r="B2561" s="75" t="s">
        <v>164</v>
      </c>
      <c r="C2561">
        <v>0</v>
      </c>
      <c r="D2561">
        <v>0</v>
      </c>
      <c r="E2561">
        <v>0</v>
      </c>
      <c r="F2561">
        <v>604324.56000000006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3.91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7490</v>
      </c>
      <c r="AW2561">
        <v>3350</v>
      </c>
      <c r="AX2561">
        <v>1219</v>
      </c>
      <c r="AY2561">
        <v>12059</v>
      </c>
      <c r="AZ2561">
        <v>4202</v>
      </c>
      <c r="BA2561">
        <v>7438</v>
      </c>
      <c r="BB2561">
        <v>1432</v>
      </c>
      <c r="BC2561">
        <v>13072</v>
      </c>
      <c r="BD2561">
        <v>9486</v>
      </c>
      <c r="BE2561">
        <v>9222</v>
      </c>
      <c r="BF2561">
        <v>1768</v>
      </c>
      <c r="BG2561">
        <v>20476</v>
      </c>
      <c r="BH2561">
        <v>0</v>
      </c>
      <c r="BI2561">
        <v>0</v>
      </c>
      <c r="BJ2561">
        <v>0</v>
      </c>
      <c r="BK2561">
        <v>0</v>
      </c>
      <c r="BL2561" s="2">
        <v>24.82</v>
      </c>
      <c r="BM2561" s="2">
        <v>42005.095138888886</v>
      </c>
      <c r="BN2561" s="2">
        <v>5.4</v>
      </c>
      <c r="BO2561" s="2">
        <v>42005.092361111114</v>
      </c>
      <c r="BP2561" s="2">
        <v>6.92</v>
      </c>
      <c r="BQ2561" s="2">
        <v>42005.092361111114</v>
      </c>
      <c r="BR2561" s="2">
        <v>11.07</v>
      </c>
      <c r="BS2561" s="2">
        <v>42005.092361111114</v>
      </c>
      <c r="BT2561">
        <v>0</v>
      </c>
      <c r="BU2561">
        <v>0</v>
      </c>
      <c r="BV2561" t="s">
        <v>135</v>
      </c>
      <c r="BW2561">
        <v>0</v>
      </c>
      <c r="BX2561">
        <v>0</v>
      </c>
      <c r="BY2561" t="s">
        <v>135</v>
      </c>
      <c r="BZ2561">
        <v>0</v>
      </c>
      <c r="CA2561">
        <v>0</v>
      </c>
      <c r="CB2561" t="s">
        <v>135</v>
      </c>
      <c r="CH2561" s="2"/>
      <c r="CJ2561" s="2"/>
      <c r="CL2561" s="2"/>
      <c r="CN2561" s="2"/>
      <c r="CQ2561" s="2"/>
      <c r="CT2561" s="2"/>
      <c r="CW2561" s="2"/>
    </row>
    <row r="2562" spans="1:101" x14ac:dyDescent="0.25">
      <c r="A2562" s="1" t="s">
        <v>163</v>
      </c>
      <c r="B2562" s="75" t="s">
        <v>164</v>
      </c>
      <c r="C2562">
        <v>0</v>
      </c>
      <c r="D2562">
        <v>0</v>
      </c>
      <c r="E2562">
        <v>0</v>
      </c>
      <c r="F2562">
        <v>604324.56000000006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3.91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7490</v>
      </c>
      <c r="AW2562">
        <v>3350</v>
      </c>
      <c r="AX2562">
        <v>1219</v>
      </c>
      <c r="AY2562">
        <v>12059</v>
      </c>
      <c r="AZ2562">
        <v>4202</v>
      </c>
      <c r="BA2562">
        <v>7438</v>
      </c>
      <c r="BB2562">
        <v>1432</v>
      </c>
      <c r="BC2562">
        <v>13072</v>
      </c>
      <c r="BD2562">
        <v>9486</v>
      </c>
      <c r="BE2562">
        <v>9222</v>
      </c>
      <c r="BF2562">
        <v>1768</v>
      </c>
      <c r="BG2562">
        <v>20476</v>
      </c>
      <c r="BH2562">
        <v>0</v>
      </c>
      <c r="BI2562">
        <v>0</v>
      </c>
      <c r="BJ2562">
        <v>0</v>
      </c>
      <c r="BK2562">
        <v>0</v>
      </c>
      <c r="BL2562" s="2">
        <v>24.82</v>
      </c>
      <c r="BM2562" s="2">
        <v>42005.095138888886</v>
      </c>
      <c r="BN2562" s="2">
        <v>5.4</v>
      </c>
      <c r="BO2562" s="2">
        <v>42005.092361111114</v>
      </c>
      <c r="BP2562" s="2">
        <v>6.92</v>
      </c>
      <c r="BQ2562" s="2">
        <v>42005.092361111114</v>
      </c>
      <c r="BR2562" s="2">
        <v>11.07</v>
      </c>
      <c r="BS2562" s="2">
        <v>42005.092361111114</v>
      </c>
      <c r="BT2562">
        <v>0</v>
      </c>
      <c r="BU2562">
        <v>0</v>
      </c>
      <c r="BV2562" t="s">
        <v>135</v>
      </c>
      <c r="BW2562">
        <v>0</v>
      </c>
      <c r="BX2562">
        <v>0</v>
      </c>
      <c r="BY2562" t="s">
        <v>135</v>
      </c>
      <c r="BZ2562">
        <v>0</v>
      </c>
      <c r="CA2562">
        <v>0</v>
      </c>
      <c r="CB2562" t="s">
        <v>135</v>
      </c>
      <c r="CH2562" s="2"/>
      <c r="CJ2562" s="2"/>
      <c r="CL2562" s="2"/>
      <c r="CN2562" s="2"/>
      <c r="CQ2562" s="2"/>
      <c r="CT2562" s="2"/>
      <c r="CW2562" s="2"/>
    </row>
    <row r="2563" spans="1:101" x14ac:dyDescent="0.25">
      <c r="A2563" s="1" t="s">
        <v>163</v>
      </c>
      <c r="B2563" s="75" t="s">
        <v>164</v>
      </c>
      <c r="C2563">
        <v>0</v>
      </c>
      <c r="D2563">
        <v>0</v>
      </c>
      <c r="E2563">
        <v>0</v>
      </c>
      <c r="F2563">
        <v>604324.56000000006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3.91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7490</v>
      </c>
      <c r="AW2563">
        <v>3350</v>
      </c>
      <c r="AX2563">
        <v>1219</v>
      </c>
      <c r="AY2563">
        <v>12059</v>
      </c>
      <c r="AZ2563">
        <v>4202</v>
      </c>
      <c r="BA2563">
        <v>7438</v>
      </c>
      <c r="BB2563">
        <v>1432</v>
      </c>
      <c r="BC2563">
        <v>13072</v>
      </c>
      <c r="BD2563">
        <v>9486</v>
      </c>
      <c r="BE2563">
        <v>9222</v>
      </c>
      <c r="BF2563">
        <v>1768</v>
      </c>
      <c r="BG2563">
        <v>20476</v>
      </c>
      <c r="BH2563">
        <v>0</v>
      </c>
      <c r="BI2563">
        <v>0</v>
      </c>
      <c r="BJ2563">
        <v>0</v>
      </c>
      <c r="BK2563">
        <v>0</v>
      </c>
      <c r="BL2563" s="2">
        <v>24.82</v>
      </c>
      <c r="BM2563" s="2">
        <v>42005.095138888886</v>
      </c>
      <c r="BN2563" s="2">
        <v>5.4</v>
      </c>
      <c r="BO2563" s="2">
        <v>42005.092361111114</v>
      </c>
      <c r="BP2563" s="2">
        <v>6.92</v>
      </c>
      <c r="BQ2563" s="2">
        <v>42005.092361111114</v>
      </c>
      <c r="BR2563" s="2">
        <v>11.07</v>
      </c>
      <c r="BS2563" s="2">
        <v>42005.092361111114</v>
      </c>
      <c r="BT2563">
        <v>0</v>
      </c>
      <c r="BU2563">
        <v>0</v>
      </c>
      <c r="BV2563" t="s">
        <v>135</v>
      </c>
      <c r="BW2563">
        <v>0</v>
      </c>
      <c r="BX2563">
        <v>0</v>
      </c>
      <c r="BY2563" t="s">
        <v>135</v>
      </c>
      <c r="BZ2563">
        <v>0</v>
      </c>
      <c r="CA2563">
        <v>0</v>
      </c>
      <c r="CB2563" t="s">
        <v>135</v>
      </c>
      <c r="CH2563" s="2"/>
      <c r="CJ2563" s="2"/>
      <c r="CL2563" s="2"/>
      <c r="CN2563" s="2"/>
      <c r="CQ2563" s="2"/>
      <c r="CT2563" s="2"/>
      <c r="CW2563" s="2"/>
    </row>
    <row r="2564" spans="1:101" x14ac:dyDescent="0.25">
      <c r="A2564" s="1" t="s">
        <v>163</v>
      </c>
      <c r="B2564" s="75" t="s">
        <v>164</v>
      </c>
      <c r="C2564">
        <v>0</v>
      </c>
      <c r="D2564">
        <v>0</v>
      </c>
      <c r="E2564">
        <v>0</v>
      </c>
      <c r="F2564">
        <v>604324.56000000006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3.91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7490</v>
      </c>
      <c r="AW2564">
        <v>3350</v>
      </c>
      <c r="AX2564">
        <v>1219</v>
      </c>
      <c r="AY2564">
        <v>12059</v>
      </c>
      <c r="AZ2564">
        <v>4202</v>
      </c>
      <c r="BA2564">
        <v>7438</v>
      </c>
      <c r="BB2564">
        <v>1432</v>
      </c>
      <c r="BC2564">
        <v>13072</v>
      </c>
      <c r="BD2564">
        <v>9486</v>
      </c>
      <c r="BE2564">
        <v>9222</v>
      </c>
      <c r="BF2564">
        <v>1768</v>
      </c>
      <c r="BG2564">
        <v>20476</v>
      </c>
      <c r="BH2564">
        <v>0</v>
      </c>
      <c r="BI2564">
        <v>0</v>
      </c>
      <c r="BJ2564">
        <v>0</v>
      </c>
      <c r="BK2564">
        <v>0</v>
      </c>
      <c r="BL2564" s="2">
        <v>24.82</v>
      </c>
      <c r="BM2564" s="2">
        <v>42005.095138888886</v>
      </c>
      <c r="BN2564" s="2">
        <v>5.4</v>
      </c>
      <c r="BO2564" s="2">
        <v>42005.092361111114</v>
      </c>
      <c r="BP2564" s="2">
        <v>6.92</v>
      </c>
      <c r="BQ2564" s="2">
        <v>42005.092361111114</v>
      </c>
      <c r="BR2564" s="2">
        <v>11.07</v>
      </c>
      <c r="BS2564" s="2">
        <v>42005.092361111114</v>
      </c>
      <c r="BT2564">
        <v>0</v>
      </c>
      <c r="BU2564">
        <v>0</v>
      </c>
      <c r="BV2564" t="s">
        <v>135</v>
      </c>
      <c r="BW2564">
        <v>0</v>
      </c>
      <c r="BX2564">
        <v>0</v>
      </c>
      <c r="BY2564" t="s">
        <v>135</v>
      </c>
      <c r="BZ2564">
        <v>0</v>
      </c>
      <c r="CA2564">
        <v>0</v>
      </c>
      <c r="CB2564" t="s">
        <v>135</v>
      </c>
      <c r="CH2564" s="2"/>
      <c r="CJ2564" s="2"/>
      <c r="CL2564" s="2"/>
      <c r="CN2564" s="2"/>
      <c r="CQ2564" s="2"/>
      <c r="CT2564" s="2"/>
      <c r="CW2564" s="2"/>
    </row>
    <row r="2565" spans="1:101" x14ac:dyDescent="0.25">
      <c r="A2565" s="1" t="s">
        <v>163</v>
      </c>
      <c r="B2565" s="75" t="s">
        <v>164</v>
      </c>
      <c r="C2565">
        <v>0</v>
      </c>
      <c r="D2565">
        <v>0</v>
      </c>
      <c r="E2565">
        <v>0</v>
      </c>
      <c r="F2565">
        <v>604324.56000000006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3.91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7490</v>
      </c>
      <c r="AW2565">
        <v>3350</v>
      </c>
      <c r="AX2565">
        <v>1219</v>
      </c>
      <c r="AY2565">
        <v>12059</v>
      </c>
      <c r="AZ2565">
        <v>4202</v>
      </c>
      <c r="BA2565">
        <v>7438</v>
      </c>
      <c r="BB2565">
        <v>1432</v>
      </c>
      <c r="BC2565">
        <v>13072</v>
      </c>
      <c r="BD2565">
        <v>9486</v>
      </c>
      <c r="BE2565">
        <v>9222</v>
      </c>
      <c r="BF2565">
        <v>1768</v>
      </c>
      <c r="BG2565">
        <v>20476</v>
      </c>
      <c r="BH2565">
        <v>0</v>
      </c>
      <c r="BI2565">
        <v>0</v>
      </c>
      <c r="BJ2565">
        <v>0</v>
      </c>
      <c r="BK2565">
        <v>0</v>
      </c>
      <c r="BL2565" s="2">
        <v>24.82</v>
      </c>
      <c r="BM2565" s="2">
        <v>42005.095138888886</v>
      </c>
      <c r="BN2565" s="2">
        <v>5.4</v>
      </c>
      <c r="BO2565" s="2">
        <v>42005.092361111114</v>
      </c>
      <c r="BP2565" s="2">
        <v>6.92</v>
      </c>
      <c r="BQ2565" s="2">
        <v>42005.092361111114</v>
      </c>
      <c r="BR2565" s="2">
        <v>11.07</v>
      </c>
      <c r="BS2565" s="2">
        <v>42005.092361111114</v>
      </c>
      <c r="BT2565">
        <v>0</v>
      </c>
      <c r="BU2565">
        <v>0</v>
      </c>
      <c r="BV2565" t="s">
        <v>135</v>
      </c>
      <c r="BW2565">
        <v>0</v>
      </c>
      <c r="BX2565">
        <v>0</v>
      </c>
      <c r="BY2565" t="s">
        <v>135</v>
      </c>
      <c r="BZ2565">
        <v>0</v>
      </c>
      <c r="CA2565">
        <v>0</v>
      </c>
      <c r="CB2565" t="s">
        <v>135</v>
      </c>
      <c r="CH2565" s="2"/>
      <c r="CJ2565" s="2"/>
      <c r="CL2565" s="2"/>
      <c r="CN2565" s="2"/>
      <c r="CQ2565" s="2"/>
      <c r="CT2565" s="2"/>
      <c r="CW2565" s="2"/>
    </row>
    <row r="2566" spans="1:101" x14ac:dyDescent="0.25">
      <c r="A2566" s="1" t="s">
        <v>163</v>
      </c>
      <c r="B2566" s="75" t="s">
        <v>164</v>
      </c>
      <c r="C2566">
        <v>0</v>
      </c>
      <c r="D2566">
        <v>0</v>
      </c>
      <c r="E2566">
        <v>0</v>
      </c>
      <c r="F2566">
        <v>604324.56000000006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3.91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7490</v>
      </c>
      <c r="AW2566">
        <v>3350</v>
      </c>
      <c r="AX2566">
        <v>1219</v>
      </c>
      <c r="AY2566">
        <v>12059</v>
      </c>
      <c r="AZ2566">
        <v>4202</v>
      </c>
      <c r="BA2566">
        <v>7438</v>
      </c>
      <c r="BB2566">
        <v>1432</v>
      </c>
      <c r="BC2566">
        <v>13072</v>
      </c>
      <c r="BD2566">
        <v>9486</v>
      </c>
      <c r="BE2566">
        <v>9222</v>
      </c>
      <c r="BF2566">
        <v>1768</v>
      </c>
      <c r="BG2566">
        <v>20476</v>
      </c>
      <c r="BH2566">
        <v>0</v>
      </c>
      <c r="BI2566">
        <v>0</v>
      </c>
      <c r="BJ2566">
        <v>0</v>
      </c>
      <c r="BK2566">
        <v>0</v>
      </c>
      <c r="BL2566" s="2">
        <v>24.82</v>
      </c>
      <c r="BM2566" s="2">
        <v>42005.095138888886</v>
      </c>
      <c r="BN2566" s="2">
        <v>5.4</v>
      </c>
      <c r="BO2566" s="2">
        <v>42005.092361111114</v>
      </c>
      <c r="BP2566" s="2">
        <v>6.92</v>
      </c>
      <c r="BQ2566" s="2">
        <v>42005.092361111114</v>
      </c>
      <c r="BR2566" s="2">
        <v>11.07</v>
      </c>
      <c r="BS2566" s="2">
        <v>42005.092361111114</v>
      </c>
      <c r="BT2566">
        <v>0</v>
      </c>
      <c r="BU2566">
        <v>0</v>
      </c>
      <c r="BV2566" t="s">
        <v>135</v>
      </c>
      <c r="BW2566">
        <v>0</v>
      </c>
      <c r="BX2566">
        <v>0</v>
      </c>
      <c r="BY2566" t="s">
        <v>135</v>
      </c>
      <c r="BZ2566">
        <v>0</v>
      </c>
      <c r="CA2566">
        <v>0</v>
      </c>
      <c r="CB2566" t="s">
        <v>135</v>
      </c>
      <c r="CH2566" s="2"/>
      <c r="CJ2566" s="2"/>
      <c r="CL2566" s="2"/>
      <c r="CN2566" s="2"/>
      <c r="CQ2566" s="2"/>
      <c r="CT2566" s="2"/>
      <c r="CW2566" s="2"/>
    </row>
    <row r="2567" spans="1:101" x14ac:dyDescent="0.25">
      <c r="A2567" s="1" t="s">
        <v>163</v>
      </c>
      <c r="B2567" s="75" t="s">
        <v>164</v>
      </c>
      <c r="C2567">
        <v>0</v>
      </c>
      <c r="D2567">
        <v>0</v>
      </c>
      <c r="E2567">
        <v>0</v>
      </c>
      <c r="F2567">
        <v>604324.56000000006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3.91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7490</v>
      </c>
      <c r="AW2567">
        <v>3350</v>
      </c>
      <c r="AX2567">
        <v>1219</v>
      </c>
      <c r="AY2567">
        <v>12059</v>
      </c>
      <c r="AZ2567">
        <v>4202</v>
      </c>
      <c r="BA2567">
        <v>7438</v>
      </c>
      <c r="BB2567">
        <v>1432</v>
      </c>
      <c r="BC2567">
        <v>13072</v>
      </c>
      <c r="BD2567">
        <v>9486</v>
      </c>
      <c r="BE2567">
        <v>9222</v>
      </c>
      <c r="BF2567">
        <v>1768</v>
      </c>
      <c r="BG2567">
        <v>20476</v>
      </c>
      <c r="BH2567">
        <v>0</v>
      </c>
      <c r="BI2567">
        <v>0</v>
      </c>
      <c r="BJ2567">
        <v>0</v>
      </c>
      <c r="BK2567">
        <v>0</v>
      </c>
      <c r="BL2567" s="2">
        <v>24.82</v>
      </c>
      <c r="BM2567" s="2">
        <v>42005.095138888886</v>
      </c>
      <c r="BN2567" s="2">
        <v>5.4</v>
      </c>
      <c r="BO2567" s="2">
        <v>42005.092361111114</v>
      </c>
      <c r="BP2567" s="2">
        <v>6.92</v>
      </c>
      <c r="BQ2567" s="2">
        <v>42005.092361111114</v>
      </c>
      <c r="BR2567" s="2">
        <v>11.07</v>
      </c>
      <c r="BS2567" s="2">
        <v>42005.092361111114</v>
      </c>
      <c r="BT2567">
        <v>0</v>
      </c>
      <c r="BU2567">
        <v>0</v>
      </c>
      <c r="BV2567" t="s">
        <v>135</v>
      </c>
      <c r="BW2567">
        <v>0</v>
      </c>
      <c r="BX2567">
        <v>0</v>
      </c>
      <c r="BY2567" t="s">
        <v>135</v>
      </c>
      <c r="BZ2567">
        <v>0</v>
      </c>
      <c r="CA2567">
        <v>0</v>
      </c>
      <c r="CB2567" t="s">
        <v>135</v>
      </c>
      <c r="CH2567" s="2"/>
      <c r="CJ2567" s="2"/>
      <c r="CL2567" s="2"/>
      <c r="CN2567" s="2"/>
      <c r="CQ2567" s="2"/>
      <c r="CT2567" s="2"/>
      <c r="CW2567" s="2"/>
    </row>
    <row r="2568" spans="1:101" x14ac:dyDescent="0.25">
      <c r="A2568" s="1" t="s">
        <v>163</v>
      </c>
      <c r="B2568" s="75" t="s">
        <v>164</v>
      </c>
      <c r="C2568">
        <v>0</v>
      </c>
      <c r="D2568">
        <v>0</v>
      </c>
      <c r="E2568">
        <v>0</v>
      </c>
      <c r="F2568">
        <v>604324.56000000006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3.91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7490</v>
      </c>
      <c r="AW2568">
        <v>3350</v>
      </c>
      <c r="AX2568">
        <v>1219</v>
      </c>
      <c r="AY2568">
        <v>12059</v>
      </c>
      <c r="AZ2568">
        <v>4202</v>
      </c>
      <c r="BA2568">
        <v>7438</v>
      </c>
      <c r="BB2568">
        <v>1432</v>
      </c>
      <c r="BC2568">
        <v>13072</v>
      </c>
      <c r="BD2568">
        <v>9486</v>
      </c>
      <c r="BE2568">
        <v>9222</v>
      </c>
      <c r="BF2568">
        <v>1768</v>
      </c>
      <c r="BG2568">
        <v>20476</v>
      </c>
      <c r="BH2568">
        <v>0</v>
      </c>
      <c r="BI2568">
        <v>0</v>
      </c>
      <c r="BJ2568">
        <v>0</v>
      </c>
      <c r="BK2568">
        <v>0</v>
      </c>
      <c r="BL2568" s="2">
        <v>24.82</v>
      </c>
      <c r="BM2568" s="2">
        <v>42005.095138888886</v>
      </c>
      <c r="BN2568" s="2">
        <v>5.4</v>
      </c>
      <c r="BO2568" s="2">
        <v>42005.092361111114</v>
      </c>
      <c r="BP2568" s="2">
        <v>6.92</v>
      </c>
      <c r="BQ2568" s="2">
        <v>42005.092361111114</v>
      </c>
      <c r="BR2568" s="2">
        <v>11.07</v>
      </c>
      <c r="BS2568" s="2">
        <v>42005.092361111114</v>
      </c>
      <c r="BT2568">
        <v>0</v>
      </c>
      <c r="BU2568">
        <v>0</v>
      </c>
      <c r="BV2568" t="s">
        <v>135</v>
      </c>
      <c r="BW2568">
        <v>0</v>
      </c>
      <c r="BX2568">
        <v>0</v>
      </c>
      <c r="BY2568" t="s">
        <v>135</v>
      </c>
      <c r="BZ2568">
        <v>0</v>
      </c>
      <c r="CA2568">
        <v>0</v>
      </c>
      <c r="CB2568" t="s">
        <v>135</v>
      </c>
      <c r="CH2568" s="2"/>
      <c r="CJ2568" s="2"/>
      <c r="CL2568" s="2"/>
      <c r="CN2568" s="2"/>
      <c r="CQ2568" s="2"/>
      <c r="CT2568" s="2"/>
      <c r="CW2568" s="2"/>
    </row>
    <row r="2569" spans="1:101" x14ac:dyDescent="0.25">
      <c r="A2569" s="1" t="s">
        <v>163</v>
      </c>
      <c r="B2569" s="75" t="s">
        <v>164</v>
      </c>
      <c r="C2569">
        <v>0</v>
      </c>
      <c r="D2569">
        <v>0</v>
      </c>
      <c r="E2569">
        <v>0</v>
      </c>
      <c r="F2569">
        <v>604324.56000000006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3.91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7490</v>
      </c>
      <c r="AW2569">
        <v>3350</v>
      </c>
      <c r="AX2569">
        <v>1219</v>
      </c>
      <c r="AY2569">
        <v>12059</v>
      </c>
      <c r="AZ2569">
        <v>4202</v>
      </c>
      <c r="BA2569">
        <v>7438</v>
      </c>
      <c r="BB2569">
        <v>1432</v>
      </c>
      <c r="BC2569">
        <v>13072</v>
      </c>
      <c r="BD2569">
        <v>9486</v>
      </c>
      <c r="BE2569">
        <v>9222</v>
      </c>
      <c r="BF2569">
        <v>1768</v>
      </c>
      <c r="BG2569">
        <v>20476</v>
      </c>
      <c r="BH2569">
        <v>0</v>
      </c>
      <c r="BI2569">
        <v>0</v>
      </c>
      <c r="BJ2569">
        <v>0</v>
      </c>
      <c r="BK2569">
        <v>0</v>
      </c>
      <c r="BL2569" s="2">
        <v>24.82</v>
      </c>
      <c r="BM2569" s="2">
        <v>42005.095138888886</v>
      </c>
      <c r="BN2569" s="2">
        <v>5.4</v>
      </c>
      <c r="BO2569" s="2">
        <v>42005.092361111114</v>
      </c>
      <c r="BP2569" s="2">
        <v>6.92</v>
      </c>
      <c r="BQ2569" s="2">
        <v>42005.092361111114</v>
      </c>
      <c r="BR2569" s="2">
        <v>11.07</v>
      </c>
      <c r="BS2569" s="2">
        <v>42005.092361111114</v>
      </c>
      <c r="BT2569">
        <v>0</v>
      </c>
      <c r="BU2569">
        <v>0</v>
      </c>
      <c r="BV2569" t="s">
        <v>135</v>
      </c>
      <c r="BW2569">
        <v>0</v>
      </c>
      <c r="BX2569">
        <v>0</v>
      </c>
      <c r="BY2569" t="s">
        <v>135</v>
      </c>
      <c r="BZ2569">
        <v>0</v>
      </c>
      <c r="CA2569">
        <v>0</v>
      </c>
      <c r="CB2569" t="s">
        <v>135</v>
      </c>
      <c r="CH2569" s="2"/>
      <c r="CJ2569" s="2"/>
      <c r="CL2569" s="2"/>
      <c r="CN2569" s="2"/>
      <c r="CQ2569" s="2"/>
      <c r="CT2569" s="2"/>
      <c r="CW2569" s="2"/>
    </row>
    <row r="2570" spans="1:101" x14ac:dyDescent="0.25">
      <c r="A2570" s="1" t="s">
        <v>163</v>
      </c>
      <c r="B2570" s="75" t="s">
        <v>164</v>
      </c>
      <c r="C2570">
        <v>0</v>
      </c>
      <c r="D2570">
        <v>0</v>
      </c>
      <c r="E2570">
        <v>0</v>
      </c>
      <c r="F2570">
        <v>604324.56000000006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3.91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7490</v>
      </c>
      <c r="AW2570">
        <v>3350</v>
      </c>
      <c r="AX2570">
        <v>1219</v>
      </c>
      <c r="AY2570">
        <v>12059</v>
      </c>
      <c r="AZ2570">
        <v>4202</v>
      </c>
      <c r="BA2570">
        <v>7438</v>
      </c>
      <c r="BB2570">
        <v>1432</v>
      </c>
      <c r="BC2570">
        <v>13072</v>
      </c>
      <c r="BD2570">
        <v>9486</v>
      </c>
      <c r="BE2570">
        <v>9222</v>
      </c>
      <c r="BF2570">
        <v>1768</v>
      </c>
      <c r="BG2570">
        <v>20476</v>
      </c>
      <c r="BH2570">
        <v>0</v>
      </c>
      <c r="BI2570">
        <v>0</v>
      </c>
      <c r="BJ2570">
        <v>0</v>
      </c>
      <c r="BK2570">
        <v>0</v>
      </c>
      <c r="BL2570" s="2">
        <v>24.82</v>
      </c>
      <c r="BM2570" s="2">
        <v>42005.095138888886</v>
      </c>
      <c r="BN2570" s="2">
        <v>5.4</v>
      </c>
      <c r="BO2570" s="2">
        <v>42005.092361111114</v>
      </c>
      <c r="BP2570" s="2">
        <v>6.92</v>
      </c>
      <c r="BQ2570" s="2">
        <v>42005.092361111114</v>
      </c>
      <c r="BR2570" s="2">
        <v>11.07</v>
      </c>
      <c r="BS2570" s="2">
        <v>42005.092361111114</v>
      </c>
      <c r="BT2570">
        <v>0</v>
      </c>
      <c r="BU2570">
        <v>0</v>
      </c>
      <c r="BV2570" t="s">
        <v>135</v>
      </c>
      <c r="BW2570">
        <v>0</v>
      </c>
      <c r="BX2570">
        <v>0</v>
      </c>
      <c r="BY2570" t="s">
        <v>135</v>
      </c>
      <c r="BZ2570">
        <v>0</v>
      </c>
      <c r="CA2570">
        <v>0</v>
      </c>
      <c r="CB2570" t="s">
        <v>135</v>
      </c>
      <c r="CH2570" s="2"/>
      <c r="CJ2570" s="2"/>
      <c r="CL2570" s="2"/>
      <c r="CN2570" s="2"/>
      <c r="CQ2570" s="2"/>
      <c r="CT2570" s="2"/>
      <c r="CW2570" s="2"/>
    </row>
    <row r="2571" spans="1:101" x14ac:dyDescent="0.25">
      <c r="A2571" s="1" t="s">
        <v>163</v>
      </c>
      <c r="B2571" s="75" t="s">
        <v>164</v>
      </c>
      <c r="C2571">
        <v>0</v>
      </c>
      <c r="D2571">
        <v>0</v>
      </c>
      <c r="E2571">
        <v>0</v>
      </c>
      <c r="F2571">
        <v>604324.56000000006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3.91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7490</v>
      </c>
      <c r="AW2571">
        <v>3350</v>
      </c>
      <c r="AX2571">
        <v>1219</v>
      </c>
      <c r="AY2571">
        <v>12059</v>
      </c>
      <c r="AZ2571">
        <v>4202</v>
      </c>
      <c r="BA2571">
        <v>7438</v>
      </c>
      <c r="BB2571">
        <v>1432</v>
      </c>
      <c r="BC2571">
        <v>13072</v>
      </c>
      <c r="BD2571">
        <v>9486</v>
      </c>
      <c r="BE2571">
        <v>9222</v>
      </c>
      <c r="BF2571">
        <v>1768</v>
      </c>
      <c r="BG2571">
        <v>20476</v>
      </c>
      <c r="BH2571">
        <v>0</v>
      </c>
      <c r="BI2571">
        <v>0</v>
      </c>
      <c r="BJ2571">
        <v>0</v>
      </c>
      <c r="BK2571">
        <v>0</v>
      </c>
      <c r="BL2571" s="2">
        <v>24.82</v>
      </c>
      <c r="BM2571" s="2">
        <v>42005.095138888886</v>
      </c>
      <c r="BN2571" s="2">
        <v>5.4</v>
      </c>
      <c r="BO2571" s="2">
        <v>42005.092361111114</v>
      </c>
      <c r="BP2571" s="2">
        <v>6.92</v>
      </c>
      <c r="BQ2571" s="2">
        <v>42005.092361111114</v>
      </c>
      <c r="BR2571" s="2">
        <v>11.07</v>
      </c>
      <c r="BS2571" s="2">
        <v>42005.092361111114</v>
      </c>
      <c r="BT2571">
        <v>0</v>
      </c>
      <c r="BU2571">
        <v>0</v>
      </c>
      <c r="BV2571" t="s">
        <v>135</v>
      </c>
      <c r="BW2571">
        <v>0</v>
      </c>
      <c r="BX2571">
        <v>0</v>
      </c>
      <c r="BY2571" t="s">
        <v>135</v>
      </c>
      <c r="BZ2571">
        <v>0</v>
      </c>
      <c r="CA2571">
        <v>0</v>
      </c>
      <c r="CB2571" t="s">
        <v>135</v>
      </c>
      <c r="CH2571" s="2"/>
      <c r="CJ2571" s="2"/>
      <c r="CL2571" s="2"/>
      <c r="CN2571" s="2"/>
      <c r="CQ2571" s="2"/>
      <c r="CT2571" s="2"/>
      <c r="CW2571" s="2"/>
    </row>
    <row r="2572" spans="1:101" x14ac:dyDescent="0.25">
      <c r="A2572" s="1" t="s">
        <v>163</v>
      </c>
      <c r="B2572" s="75" t="s">
        <v>164</v>
      </c>
      <c r="C2572">
        <v>0</v>
      </c>
      <c r="D2572">
        <v>0</v>
      </c>
      <c r="E2572">
        <v>0</v>
      </c>
      <c r="F2572">
        <v>604324.56000000006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3.91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7490</v>
      </c>
      <c r="AW2572">
        <v>3350</v>
      </c>
      <c r="AX2572">
        <v>1219</v>
      </c>
      <c r="AY2572">
        <v>12059</v>
      </c>
      <c r="AZ2572">
        <v>4202</v>
      </c>
      <c r="BA2572">
        <v>7438</v>
      </c>
      <c r="BB2572">
        <v>1432</v>
      </c>
      <c r="BC2572">
        <v>13072</v>
      </c>
      <c r="BD2572">
        <v>9486</v>
      </c>
      <c r="BE2572">
        <v>9222</v>
      </c>
      <c r="BF2572">
        <v>1768</v>
      </c>
      <c r="BG2572">
        <v>20476</v>
      </c>
      <c r="BH2572">
        <v>0</v>
      </c>
      <c r="BI2572">
        <v>0</v>
      </c>
      <c r="BJ2572">
        <v>0</v>
      </c>
      <c r="BK2572">
        <v>0</v>
      </c>
      <c r="BL2572" s="2">
        <v>24.82</v>
      </c>
      <c r="BM2572" s="2">
        <v>42005.095138888886</v>
      </c>
      <c r="BN2572" s="2">
        <v>5.4</v>
      </c>
      <c r="BO2572" s="2">
        <v>42005.092361111114</v>
      </c>
      <c r="BP2572" s="2">
        <v>6.92</v>
      </c>
      <c r="BQ2572" s="2">
        <v>42005.092361111114</v>
      </c>
      <c r="BR2572" s="2">
        <v>11.07</v>
      </c>
      <c r="BS2572" s="2">
        <v>42005.092361111114</v>
      </c>
      <c r="BT2572">
        <v>0</v>
      </c>
      <c r="BU2572">
        <v>0</v>
      </c>
      <c r="BV2572" t="s">
        <v>135</v>
      </c>
      <c r="BW2572">
        <v>0</v>
      </c>
      <c r="BX2572">
        <v>0</v>
      </c>
      <c r="BY2572" t="s">
        <v>135</v>
      </c>
      <c r="BZ2572">
        <v>0</v>
      </c>
      <c r="CA2572">
        <v>0</v>
      </c>
      <c r="CB2572" t="s">
        <v>135</v>
      </c>
      <c r="CH2572" s="2"/>
      <c r="CJ2572" s="2"/>
      <c r="CL2572" s="2"/>
      <c r="CN2572" s="2"/>
      <c r="CQ2572" s="2"/>
      <c r="CT2572" s="2"/>
      <c r="CW2572" s="2"/>
    </row>
    <row r="2573" spans="1:101" x14ac:dyDescent="0.25">
      <c r="A2573" s="1" t="s">
        <v>163</v>
      </c>
      <c r="B2573" s="75" t="s">
        <v>164</v>
      </c>
      <c r="C2573">
        <v>0</v>
      </c>
      <c r="D2573">
        <v>0</v>
      </c>
      <c r="E2573">
        <v>0</v>
      </c>
      <c r="F2573">
        <v>604324.56000000006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3.91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7490</v>
      </c>
      <c r="AW2573">
        <v>3350</v>
      </c>
      <c r="AX2573">
        <v>1219</v>
      </c>
      <c r="AY2573">
        <v>12059</v>
      </c>
      <c r="AZ2573">
        <v>4202</v>
      </c>
      <c r="BA2573">
        <v>7438</v>
      </c>
      <c r="BB2573">
        <v>1432</v>
      </c>
      <c r="BC2573">
        <v>13072</v>
      </c>
      <c r="BD2573">
        <v>9486</v>
      </c>
      <c r="BE2573">
        <v>9222</v>
      </c>
      <c r="BF2573">
        <v>1768</v>
      </c>
      <c r="BG2573">
        <v>20476</v>
      </c>
      <c r="BH2573">
        <v>0</v>
      </c>
      <c r="BI2573">
        <v>0</v>
      </c>
      <c r="BJ2573">
        <v>0</v>
      </c>
      <c r="BK2573">
        <v>0</v>
      </c>
      <c r="BL2573" s="2">
        <v>24.82</v>
      </c>
      <c r="BM2573" s="2">
        <v>42005.095138888886</v>
      </c>
      <c r="BN2573" s="2">
        <v>5.4</v>
      </c>
      <c r="BO2573" s="2">
        <v>42005.092361111114</v>
      </c>
      <c r="BP2573" s="2">
        <v>6.92</v>
      </c>
      <c r="BQ2573" s="2">
        <v>42005.092361111114</v>
      </c>
      <c r="BR2573" s="2">
        <v>11.07</v>
      </c>
      <c r="BS2573" s="2">
        <v>42005.092361111114</v>
      </c>
      <c r="BT2573">
        <v>0</v>
      </c>
      <c r="BU2573">
        <v>0</v>
      </c>
      <c r="BV2573" t="s">
        <v>135</v>
      </c>
      <c r="BW2573">
        <v>0</v>
      </c>
      <c r="BX2573">
        <v>0</v>
      </c>
      <c r="BY2573" t="s">
        <v>135</v>
      </c>
      <c r="BZ2573">
        <v>0</v>
      </c>
      <c r="CA2573">
        <v>0</v>
      </c>
      <c r="CB2573" t="s">
        <v>135</v>
      </c>
      <c r="CH2573" s="2"/>
      <c r="CJ2573" s="2"/>
      <c r="CL2573" s="2"/>
      <c r="CN2573" s="2"/>
      <c r="CQ2573" s="2"/>
      <c r="CT2573" s="2"/>
      <c r="CW2573" s="2"/>
    </row>
    <row r="2574" spans="1:101" x14ac:dyDescent="0.25">
      <c r="A2574" s="1" t="s">
        <v>163</v>
      </c>
      <c r="B2574" s="75" t="s">
        <v>164</v>
      </c>
      <c r="C2574">
        <v>0</v>
      </c>
      <c r="D2574">
        <v>0</v>
      </c>
      <c r="E2574">
        <v>0</v>
      </c>
      <c r="F2574">
        <v>604324.56000000006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3.91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7490</v>
      </c>
      <c r="AW2574">
        <v>3350</v>
      </c>
      <c r="AX2574">
        <v>1219</v>
      </c>
      <c r="AY2574">
        <v>12059</v>
      </c>
      <c r="AZ2574">
        <v>4202</v>
      </c>
      <c r="BA2574">
        <v>7438</v>
      </c>
      <c r="BB2574">
        <v>1432</v>
      </c>
      <c r="BC2574">
        <v>13072</v>
      </c>
      <c r="BD2574">
        <v>9486</v>
      </c>
      <c r="BE2574">
        <v>9222</v>
      </c>
      <c r="BF2574">
        <v>1768</v>
      </c>
      <c r="BG2574">
        <v>20476</v>
      </c>
      <c r="BH2574">
        <v>0</v>
      </c>
      <c r="BI2574">
        <v>0</v>
      </c>
      <c r="BJ2574">
        <v>0</v>
      </c>
      <c r="BK2574">
        <v>0</v>
      </c>
      <c r="BL2574" s="2">
        <v>24.82</v>
      </c>
      <c r="BM2574" s="2">
        <v>42005.095138888886</v>
      </c>
      <c r="BN2574" s="2">
        <v>5.4</v>
      </c>
      <c r="BO2574" s="2">
        <v>42005.092361111114</v>
      </c>
      <c r="BP2574" s="2">
        <v>6.92</v>
      </c>
      <c r="BQ2574" s="2">
        <v>42005.092361111114</v>
      </c>
      <c r="BR2574" s="2">
        <v>11.07</v>
      </c>
      <c r="BS2574" s="2">
        <v>42005.092361111114</v>
      </c>
      <c r="BT2574">
        <v>0</v>
      </c>
      <c r="BU2574">
        <v>0</v>
      </c>
      <c r="BV2574" t="s">
        <v>135</v>
      </c>
      <c r="BW2574">
        <v>0</v>
      </c>
      <c r="BX2574">
        <v>0</v>
      </c>
      <c r="BY2574" t="s">
        <v>135</v>
      </c>
      <c r="BZ2574">
        <v>0</v>
      </c>
      <c r="CA2574">
        <v>0</v>
      </c>
      <c r="CB2574" t="s">
        <v>135</v>
      </c>
      <c r="CH2574" s="2"/>
      <c r="CJ2574" s="2"/>
      <c r="CL2574" s="2"/>
      <c r="CN2574" s="2"/>
      <c r="CQ2574" s="2"/>
      <c r="CT2574" s="2"/>
      <c r="CW2574" s="2"/>
    </row>
    <row r="2575" spans="1:101" x14ac:dyDescent="0.25">
      <c r="A2575" s="1" t="s">
        <v>163</v>
      </c>
      <c r="B2575" s="75" t="s">
        <v>164</v>
      </c>
      <c r="C2575">
        <v>0</v>
      </c>
      <c r="D2575">
        <v>0</v>
      </c>
      <c r="E2575">
        <v>0</v>
      </c>
      <c r="F2575">
        <v>604324.56000000006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3.91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7490</v>
      </c>
      <c r="AW2575">
        <v>3350</v>
      </c>
      <c r="AX2575">
        <v>1219</v>
      </c>
      <c r="AY2575">
        <v>12059</v>
      </c>
      <c r="AZ2575">
        <v>4202</v>
      </c>
      <c r="BA2575">
        <v>7438</v>
      </c>
      <c r="BB2575">
        <v>1432</v>
      </c>
      <c r="BC2575">
        <v>13072</v>
      </c>
      <c r="BD2575">
        <v>9486</v>
      </c>
      <c r="BE2575">
        <v>9222</v>
      </c>
      <c r="BF2575">
        <v>1768</v>
      </c>
      <c r="BG2575">
        <v>20476</v>
      </c>
      <c r="BH2575">
        <v>0</v>
      </c>
      <c r="BI2575">
        <v>0</v>
      </c>
      <c r="BJ2575">
        <v>0</v>
      </c>
      <c r="BK2575">
        <v>0</v>
      </c>
      <c r="BL2575" s="2">
        <v>24.82</v>
      </c>
      <c r="BM2575" s="2">
        <v>42005.095138888886</v>
      </c>
      <c r="BN2575" s="2">
        <v>5.4</v>
      </c>
      <c r="BO2575" s="2">
        <v>42005.092361111114</v>
      </c>
      <c r="BP2575" s="2">
        <v>6.92</v>
      </c>
      <c r="BQ2575" s="2">
        <v>42005.092361111114</v>
      </c>
      <c r="BR2575" s="2">
        <v>11.07</v>
      </c>
      <c r="BS2575" s="2">
        <v>42005.092361111114</v>
      </c>
      <c r="BT2575">
        <v>0</v>
      </c>
      <c r="BU2575">
        <v>0</v>
      </c>
      <c r="BV2575" t="s">
        <v>135</v>
      </c>
      <c r="BW2575">
        <v>0</v>
      </c>
      <c r="BX2575">
        <v>0</v>
      </c>
      <c r="BY2575" t="s">
        <v>135</v>
      </c>
      <c r="BZ2575">
        <v>0</v>
      </c>
      <c r="CA2575">
        <v>0</v>
      </c>
      <c r="CB2575" t="s">
        <v>135</v>
      </c>
      <c r="CH2575" s="2"/>
      <c r="CJ2575" s="2"/>
      <c r="CL2575" s="2"/>
      <c r="CN2575" s="2"/>
      <c r="CQ2575" s="2"/>
      <c r="CT2575" s="2"/>
      <c r="CW2575" s="2"/>
    </row>
    <row r="2576" spans="1:101" x14ac:dyDescent="0.25">
      <c r="A2576" s="1" t="s">
        <v>163</v>
      </c>
      <c r="B2576" s="75" t="s">
        <v>164</v>
      </c>
      <c r="C2576">
        <v>0</v>
      </c>
      <c r="D2576">
        <v>0</v>
      </c>
      <c r="E2576">
        <v>0</v>
      </c>
      <c r="F2576">
        <v>604324.56000000006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3.91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7490</v>
      </c>
      <c r="AW2576">
        <v>3350</v>
      </c>
      <c r="AX2576">
        <v>1219</v>
      </c>
      <c r="AY2576">
        <v>12059</v>
      </c>
      <c r="AZ2576">
        <v>4202</v>
      </c>
      <c r="BA2576">
        <v>7438</v>
      </c>
      <c r="BB2576">
        <v>1432</v>
      </c>
      <c r="BC2576">
        <v>13072</v>
      </c>
      <c r="BD2576">
        <v>9486</v>
      </c>
      <c r="BE2576">
        <v>9222</v>
      </c>
      <c r="BF2576">
        <v>1768</v>
      </c>
      <c r="BG2576">
        <v>20476</v>
      </c>
      <c r="BH2576">
        <v>0</v>
      </c>
      <c r="BI2576">
        <v>0</v>
      </c>
      <c r="BJ2576">
        <v>0</v>
      </c>
      <c r="BK2576">
        <v>0</v>
      </c>
      <c r="BL2576" s="2">
        <v>24.82</v>
      </c>
      <c r="BM2576" s="2">
        <v>42005.095138888886</v>
      </c>
      <c r="BN2576" s="2">
        <v>5.4</v>
      </c>
      <c r="BO2576" s="2">
        <v>42005.092361111114</v>
      </c>
      <c r="BP2576" s="2">
        <v>6.92</v>
      </c>
      <c r="BQ2576" s="2">
        <v>42005.092361111114</v>
      </c>
      <c r="BR2576" s="2">
        <v>11.07</v>
      </c>
      <c r="BS2576" s="2">
        <v>42005.092361111114</v>
      </c>
      <c r="BT2576">
        <v>0</v>
      </c>
      <c r="BU2576">
        <v>0</v>
      </c>
      <c r="BV2576" t="s">
        <v>135</v>
      </c>
      <c r="BW2576">
        <v>0</v>
      </c>
      <c r="BX2576">
        <v>0</v>
      </c>
      <c r="BY2576" t="s">
        <v>135</v>
      </c>
      <c r="BZ2576">
        <v>0</v>
      </c>
      <c r="CA2576">
        <v>0</v>
      </c>
      <c r="CB2576" t="s">
        <v>135</v>
      </c>
      <c r="CH2576" s="2"/>
      <c r="CJ2576" s="2"/>
      <c r="CL2576" s="2"/>
      <c r="CN2576" s="2"/>
      <c r="CQ2576" s="2"/>
      <c r="CT2576" s="2"/>
      <c r="CW2576" s="2"/>
    </row>
    <row r="2577" spans="1:101" x14ac:dyDescent="0.25">
      <c r="A2577" s="1" t="s">
        <v>163</v>
      </c>
      <c r="B2577" s="75" t="s">
        <v>164</v>
      </c>
      <c r="C2577">
        <v>0</v>
      </c>
      <c r="D2577">
        <v>0</v>
      </c>
      <c r="E2577">
        <v>0</v>
      </c>
      <c r="F2577">
        <v>604324.56000000006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3.91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7490</v>
      </c>
      <c r="AW2577">
        <v>3350</v>
      </c>
      <c r="AX2577">
        <v>1219</v>
      </c>
      <c r="AY2577">
        <v>12059</v>
      </c>
      <c r="AZ2577">
        <v>4202</v>
      </c>
      <c r="BA2577">
        <v>7438</v>
      </c>
      <c r="BB2577">
        <v>1432</v>
      </c>
      <c r="BC2577">
        <v>13072</v>
      </c>
      <c r="BD2577">
        <v>9486</v>
      </c>
      <c r="BE2577">
        <v>9222</v>
      </c>
      <c r="BF2577">
        <v>1768</v>
      </c>
      <c r="BG2577">
        <v>20476</v>
      </c>
      <c r="BH2577">
        <v>0</v>
      </c>
      <c r="BI2577">
        <v>0</v>
      </c>
      <c r="BJ2577">
        <v>0</v>
      </c>
      <c r="BK2577">
        <v>0</v>
      </c>
      <c r="BL2577" s="2">
        <v>24.82</v>
      </c>
      <c r="BM2577" s="2">
        <v>42005.095138888886</v>
      </c>
      <c r="BN2577" s="2">
        <v>5.4</v>
      </c>
      <c r="BO2577" s="2">
        <v>42005.092361111114</v>
      </c>
      <c r="BP2577" s="2">
        <v>6.92</v>
      </c>
      <c r="BQ2577" s="2">
        <v>42005.092361111114</v>
      </c>
      <c r="BR2577" s="2">
        <v>11.07</v>
      </c>
      <c r="BS2577" s="2">
        <v>42005.092361111114</v>
      </c>
      <c r="BT2577">
        <v>0</v>
      </c>
      <c r="BU2577">
        <v>0</v>
      </c>
      <c r="BV2577" t="s">
        <v>135</v>
      </c>
      <c r="BW2577">
        <v>0</v>
      </c>
      <c r="BX2577">
        <v>0</v>
      </c>
      <c r="BY2577" t="s">
        <v>135</v>
      </c>
      <c r="BZ2577">
        <v>0</v>
      </c>
      <c r="CA2577">
        <v>0</v>
      </c>
      <c r="CB2577" t="s">
        <v>135</v>
      </c>
      <c r="CH2577" s="2"/>
      <c r="CJ2577" s="2"/>
      <c r="CL2577" s="2"/>
      <c r="CN2577" s="2"/>
      <c r="CQ2577" s="2"/>
      <c r="CT2577" s="2"/>
      <c r="CW2577" s="2"/>
    </row>
    <row r="2578" spans="1:101" x14ac:dyDescent="0.25">
      <c r="A2578" s="1" t="s">
        <v>163</v>
      </c>
      <c r="B2578" s="75" t="s">
        <v>164</v>
      </c>
      <c r="C2578">
        <v>0</v>
      </c>
      <c r="D2578">
        <v>0</v>
      </c>
      <c r="E2578">
        <v>0</v>
      </c>
      <c r="F2578">
        <v>604324.56000000006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3.91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7490</v>
      </c>
      <c r="AW2578">
        <v>3350</v>
      </c>
      <c r="AX2578">
        <v>1219</v>
      </c>
      <c r="AY2578">
        <v>12059</v>
      </c>
      <c r="AZ2578">
        <v>4202</v>
      </c>
      <c r="BA2578">
        <v>7438</v>
      </c>
      <c r="BB2578">
        <v>1432</v>
      </c>
      <c r="BC2578">
        <v>13072</v>
      </c>
      <c r="BD2578">
        <v>9486</v>
      </c>
      <c r="BE2578">
        <v>9222</v>
      </c>
      <c r="BF2578">
        <v>1768</v>
      </c>
      <c r="BG2578">
        <v>20476</v>
      </c>
      <c r="BH2578">
        <v>0</v>
      </c>
      <c r="BI2578">
        <v>0</v>
      </c>
      <c r="BJ2578">
        <v>0</v>
      </c>
      <c r="BK2578">
        <v>0</v>
      </c>
      <c r="BL2578" s="2">
        <v>24.82</v>
      </c>
      <c r="BM2578" s="2">
        <v>42005.095138888886</v>
      </c>
      <c r="BN2578" s="2">
        <v>5.4</v>
      </c>
      <c r="BO2578" s="2">
        <v>42005.092361111114</v>
      </c>
      <c r="BP2578" s="2">
        <v>6.92</v>
      </c>
      <c r="BQ2578" s="2">
        <v>42005.092361111114</v>
      </c>
      <c r="BR2578" s="2">
        <v>11.07</v>
      </c>
      <c r="BS2578" s="2">
        <v>42005.092361111114</v>
      </c>
      <c r="BT2578">
        <v>0</v>
      </c>
      <c r="BU2578">
        <v>0</v>
      </c>
      <c r="BV2578" t="s">
        <v>135</v>
      </c>
      <c r="BW2578">
        <v>0</v>
      </c>
      <c r="BX2578">
        <v>0</v>
      </c>
      <c r="BY2578" t="s">
        <v>135</v>
      </c>
      <c r="BZ2578">
        <v>0</v>
      </c>
      <c r="CA2578">
        <v>0</v>
      </c>
      <c r="CB2578" t="s">
        <v>135</v>
      </c>
      <c r="CH2578" s="2"/>
      <c r="CJ2578" s="2"/>
      <c r="CL2578" s="2"/>
      <c r="CN2578" s="2"/>
      <c r="CQ2578" s="2"/>
      <c r="CT2578" s="2"/>
      <c r="CW2578" s="2"/>
    </row>
    <row r="2579" spans="1:101" x14ac:dyDescent="0.25">
      <c r="A2579" s="1" t="s">
        <v>163</v>
      </c>
      <c r="B2579" s="75" t="s">
        <v>164</v>
      </c>
      <c r="C2579">
        <v>0</v>
      </c>
      <c r="D2579">
        <v>0</v>
      </c>
      <c r="E2579">
        <v>0</v>
      </c>
      <c r="F2579">
        <v>604324.56000000006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3.91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7490</v>
      </c>
      <c r="AW2579">
        <v>3350</v>
      </c>
      <c r="AX2579">
        <v>1219</v>
      </c>
      <c r="AY2579">
        <v>12059</v>
      </c>
      <c r="AZ2579">
        <v>4202</v>
      </c>
      <c r="BA2579">
        <v>7438</v>
      </c>
      <c r="BB2579">
        <v>1432</v>
      </c>
      <c r="BC2579">
        <v>13072</v>
      </c>
      <c r="BD2579">
        <v>9486</v>
      </c>
      <c r="BE2579">
        <v>9222</v>
      </c>
      <c r="BF2579">
        <v>1768</v>
      </c>
      <c r="BG2579">
        <v>20476</v>
      </c>
      <c r="BH2579">
        <v>0</v>
      </c>
      <c r="BI2579">
        <v>0</v>
      </c>
      <c r="BJ2579">
        <v>0</v>
      </c>
      <c r="BK2579">
        <v>0</v>
      </c>
      <c r="BL2579" s="2">
        <v>24.82</v>
      </c>
      <c r="BM2579" s="2">
        <v>42005.095138888886</v>
      </c>
      <c r="BN2579" s="2">
        <v>5.4</v>
      </c>
      <c r="BO2579" s="2">
        <v>42005.092361111114</v>
      </c>
      <c r="BP2579" s="2">
        <v>6.92</v>
      </c>
      <c r="BQ2579" s="2">
        <v>42005.092361111114</v>
      </c>
      <c r="BR2579" s="2">
        <v>11.07</v>
      </c>
      <c r="BS2579" s="2">
        <v>42005.092361111114</v>
      </c>
      <c r="BT2579">
        <v>0</v>
      </c>
      <c r="BU2579">
        <v>0</v>
      </c>
      <c r="BV2579" t="s">
        <v>135</v>
      </c>
      <c r="BW2579">
        <v>0</v>
      </c>
      <c r="BX2579">
        <v>0</v>
      </c>
      <c r="BY2579" t="s">
        <v>135</v>
      </c>
      <c r="BZ2579">
        <v>0</v>
      </c>
      <c r="CA2579">
        <v>0</v>
      </c>
      <c r="CB2579" t="s">
        <v>135</v>
      </c>
      <c r="CH2579" s="2"/>
      <c r="CJ2579" s="2"/>
      <c r="CL2579" s="2"/>
      <c r="CN2579" s="2"/>
      <c r="CQ2579" s="2"/>
      <c r="CT2579" s="2"/>
      <c r="CW2579" s="2"/>
    </row>
    <row r="2580" spans="1:101" x14ac:dyDescent="0.25">
      <c r="A2580" s="1" t="s">
        <v>163</v>
      </c>
      <c r="B2580" s="75" t="s">
        <v>164</v>
      </c>
      <c r="C2580">
        <v>0</v>
      </c>
      <c r="D2580">
        <v>0</v>
      </c>
      <c r="E2580">
        <v>0</v>
      </c>
      <c r="F2580">
        <v>604324.56000000006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3.91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7490</v>
      </c>
      <c r="AW2580">
        <v>3350</v>
      </c>
      <c r="AX2580">
        <v>1219</v>
      </c>
      <c r="AY2580">
        <v>12059</v>
      </c>
      <c r="AZ2580">
        <v>4202</v>
      </c>
      <c r="BA2580">
        <v>7438</v>
      </c>
      <c r="BB2580">
        <v>1432</v>
      </c>
      <c r="BC2580">
        <v>13072</v>
      </c>
      <c r="BD2580">
        <v>9486</v>
      </c>
      <c r="BE2580">
        <v>9222</v>
      </c>
      <c r="BF2580">
        <v>1768</v>
      </c>
      <c r="BG2580">
        <v>20476</v>
      </c>
      <c r="BH2580">
        <v>0</v>
      </c>
      <c r="BI2580">
        <v>0</v>
      </c>
      <c r="BJ2580">
        <v>0</v>
      </c>
      <c r="BK2580">
        <v>0</v>
      </c>
      <c r="BL2580" s="2">
        <v>24.82</v>
      </c>
      <c r="BM2580" s="2">
        <v>42005.095138888886</v>
      </c>
      <c r="BN2580" s="2">
        <v>5.4</v>
      </c>
      <c r="BO2580" s="2">
        <v>42005.092361111114</v>
      </c>
      <c r="BP2580" s="2">
        <v>6.92</v>
      </c>
      <c r="BQ2580" s="2">
        <v>42005.092361111114</v>
      </c>
      <c r="BR2580" s="2">
        <v>11.07</v>
      </c>
      <c r="BS2580" s="2">
        <v>42005.092361111114</v>
      </c>
      <c r="BT2580">
        <v>0</v>
      </c>
      <c r="BU2580">
        <v>0</v>
      </c>
      <c r="BV2580" t="s">
        <v>135</v>
      </c>
      <c r="BW2580">
        <v>0</v>
      </c>
      <c r="BX2580">
        <v>0</v>
      </c>
      <c r="BY2580" t="s">
        <v>135</v>
      </c>
      <c r="BZ2580">
        <v>0</v>
      </c>
      <c r="CA2580">
        <v>0</v>
      </c>
      <c r="CB2580" t="s">
        <v>135</v>
      </c>
      <c r="CH2580" s="2"/>
      <c r="CJ2580" s="2"/>
      <c r="CL2580" s="2"/>
      <c r="CN2580" s="2"/>
      <c r="CQ2580" s="2"/>
      <c r="CT2580" s="2"/>
      <c r="CW2580" s="2"/>
    </row>
    <row r="2581" spans="1:101" x14ac:dyDescent="0.25">
      <c r="A2581" s="1" t="s">
        <v>163</v>
      </c>
      <c r="B2581" s="75" t="s">
        <v>164</v>
      </c>
      <c r="C2581">
        <v>0</v>
      </c>
      <c r="D2581">
        <v>0</v>
      </c>
      <c r="E2581">
        <v>0</v>
      </c>
      <c r="F2581">
        <v>604324.56000000006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3.91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7490</v>
      </c>
      <c r="AW2581">
        <v>3350</v>
      </c>
      <c r="AX2581">
        <v>1219</v>
      </c>
      <c r="AY2581">
        <v>12059</v>
      </c>
      <c r="AZ2581">
        <v>4202</v>
      </c>
      <c r="BA2581">
        <v>7438</v>
      </c>
      <c r="BB2581">
        <v>1432</v>
      </c>
      <c r="BC2581">
        <v>13072</v>
      </c>
      <c r="BD2581">
        <v>9486</v>
      </c>
      <c r="BE2581">
        <v>9222</v>
      </c>
      <c r="BF2581">
        <v>1768</v>
      </c>
      <c r="BG2581">
        <v>20476</v>
      </c>
      <c r="BH2581">
        <v>0</v>
      </c>
      <c r="BI2581">
        <v>0</v>
      </c>
      <c r="BJ2581">
        <v>0</v>
      </c>
      <c r="BK2581">
        <v>0</v>
      </c>
      <c r="BL2581" s="2">
        <v>24.82</v>
      </c>
      <c r="BM2581" s="2">
        <v>42005.095138888886</v>
      </c>
      <c r="BN2581" s="2">
        <v>5.4</v>
      </c>
      <c r="BO2581" s="2">
        <v>42005.092361111114</v>
      </c>
      <c r="BP2581" s="2">
        <v>6.92</v>
      </c>
      <c r="BQ2581" s="2">
        <v>42005.092361111114</v>
      </c>
      <c r="BR2581" s="2">
        <v>11.07</v>
      </c>
      <c r="BS2581" s="2">
        <v>42005.092361111114</v>
      </c>
      <c r="BT2581">
        <v>0</v>
      </c>
      <c r="BU2581">
        <v>0</v>
      </c>
      <c r="BV2581" t="s">
        <v>135</v>
      </c>
      <c r="BW2581">
        <v>0</v>
      </c>
      <c r="BX2581">
        <v>0</v>
      </c>
      <c r="BY2581" t="s">
        <v>135</v>
      </c>
      <c r="BZ2581">
        <v>0</v>
      </c>
      <c r="CA2581">
        <v>0</v>
      </c>
      <c r="CB2581" t="s">
        <v>135</v>
      </c>
      <c r="CH2581" s="2"/>
      <c r="CJ2581" s="2"/>
      <c r="CL2581" s="2"/>
      <c r="CN2581" s="2"/>
      <c r="CQ2581" s="2"/>
      <c r="CT2581" s="2"/>
      <c r="CW2581" s="2"/>
    </row>
    <row r="2582" spans="1:101" x14ac:dyDescent="0.25">
      <c r="A2582" s="1" t="s">
        <v>163</v>
      </c>
      <c r="B2582" s="75" t="s">
        <v>164</v>
      </c>
      <c r="C2582">
        <v>0</v>
      </c>
      <c r="D2582">
        <v>0</v>
      </c>
      <c r="E2582">
        <v>0</v>
      </c>
      <c r="F2582">
        <v>604324.56000000006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3.91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7490</v>
      </c>
      <c r="AW2582">
        <v>3350</v>
      </c>
      <c r="AX2582">
        <v>1219</v>
      </c>
      <c r="AY2582">
        <v>12059</v>
      </c>
      <c r="AZ2582">
        <v>4202</v>
      </c>
      <c r="BA2582">
        <v>7438</v>
      </c>
      <c r="BB2582">
        <v>1432</v>
      </c>
      <c r="BC2582">
        <v>13072</v>
      </c>
      <c r="BD2582">
        <v>9486</v>
      </c>
      <c r="BE2582">
        <v>9222</v>
      </c>
      <c r="BF2582">
        <v>1768</v>
      </c>
      <c r="BG2582">
        <v>20476</v>
      </c>
      <c r="BH2582">
        <v>0</v>
      </c>
      <c r="BI2582">
        <v>0</v>
      </c>
      <c r="BJ2582">
        <v>0</v>
      </c>
      <c r="BK2582">
        <v>0</v>
      </c>
      <c r="BL2582" s="2">
        <v>24.82</v>
      </c>
      <c r="BM2582" s="2">
        <v>42005.095138888886</v>
      </c>
      <c r="BN2582" s="2">
        <v>5.4</v>
      </c>
      <c r="BO2582" s="2">
        <v>42005.092361111114</v>
      </c>
      <c r="BP2582" s="2">
        <v>6.92</v>
      </c>
      <c r="BQ2582" s="2">
        <v>42005.092361111114</v>
      </c>
      <c r="BR2582" s="2">
        <v>11.07</v>
      </c>
      <c r="BS2582" s="2">
        <v>42005.092361111114</v>
      </c>
      <c r="BT2582">
        <v>0</v>
      </c>
      <c r="BU2582">
        <v>0</v>
      </c>
      <c r="BV2582" t="s">
        <v>135</v>
      </c>
      <c r="BW2582">
        <v>0</v>
      </c>
      <c r="BX2582">
        <v>0</v>
      </c>
      <c r="BY2582" t="s">
        <v>135</v>
      </c>
      <c r="BZ2582">
        <v>0</v>
      </c>
      <c r="CA2582">
        <v>0</v>
      </c>
      <c r="CB2582" t="s">
        <v>135</v>
      </c>
      <c r="CH2582" s="2"/>
      <c r="CJ2582" s="2"/>
      <c r="CL2582" s="2"/>
      <c r="CN2582" s="2"/>
      <c r="CQ2582" s="2"/>
      <c r="CT2582" s="2"/>
      <c r="CW2582" s="2"/>
    </row>
    <row r="2583" spans="1:101" x14ac:dyDescent="0.25">
      <c r="A2583" s="1" t="s">
        <v>163</v>
      </c>
      <c r="B2583" s="75" t="s">
        <v>164</v>
      </c>
      <c r="C2583">
        <v>0</v>
      </c>
      <c r="D2583">
        <v>0</v>
      </c>
      <c r="E2583">
        <v>0</v>
      </c>
      <c r="F2583">
        <v>604324.56000000006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3.91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7490</v>
      </c>
      <c r="AW2583">
        <v>3350</v>
      </c>
      <c r="AX2583">
        <v>1219</v>
      </c>
      <c r="AY2583">
        <v>12059</v>
      </c>
      <c r="AZ2583">
        <v>4202</v>
      </c>
      <c r="BA2583">
        <v>7438</v>
      </c>
      <c r="BB2583">
        <v>1432</v>
      </c>
      <c r="BC2583">
        <v>13072</v>
      </c>
      <c r="BD2583">
        <v>9486</v>
      </c>
      <c r="BE2583">
        <v>9222</v>
      </c>
      <c r="BF2583">
        <v>1768</v>
      </c>
      <c r="BG2583">
        <v>20476</v>
      </c>
      <c r="BH2583">
        <v>0</v>
      </c>
      <c r="BI2583">
        <v>0</v>
      </c>
      <c r="BJ2583">
        <v>0</v>
      </c>
      <c r="BK2583">
        <v>0</v>
      </c>
      <c r="BL2583" s="2">
        <v>24.82</v>
      </c>
      <c r="BM2583" s="2">
        <v>42005.095138888886</v>
      </c>
      <c r="BN2583" s="2">
        <v>5.4</v>
      </c>
      <c r="BO2583" s="2">
        <v>42005.092361111114</v>
      </c>
      <c r="BP2583" s="2">
        <v>6.92</v>
      </c>
      <c r="BQ2583" s="2">
        <v>42005.092361111114</v>
      </c>
      <c r="BR2583" s="2">
        <v>11.07</v>
      </c>
      <c r="BS2583" s="2">
        <v>42005.092361111114</v>
      </c>
      <c r="BT2583">
        <v>0</v>
      </c>
      <c r="BU2583">
        <v>0</v>
      </c>
      <c r="BV2583" t="s">
        <v>135</v>
      </c>
      <c r="BW2583">
        <v>0</v>
      </c>
      <c r="BX2583">
        <v>0</v>
      </c>
      <c r="BY2583" t="s">
        <v>135</v>
      </c>
      <c r="BZ2583">
        <v>0</v>
      </c>
      <c r="CA2583">
        <v>0</v>
      </c>
      <c r="CB2583" t="s">
        <v>135</v>
      </c>
      <c r="CH2583" s="2"/>
      <c r="CJ2583" s="2"/>
      <c r="CL2583" s="2"/>
      <c r="CN2583" s="2"/>
      <c r="CQ2583" s="2"/>
      <c r="CT2583" s="2"/>
      <c r="CW2583" s="2"/>
    </row>
    <row r="2584" spans="1:101" x14ac:dyDescent="0.25">
      <c r="A2584" s="1" t="s">
        <v>163</v>
      </c>
      <c r="B2584" s="75" t="s">
        <v>164</v>
      </c>
      <c r="C2584">
        <v>0</v>
      </c>
      <c r="D2584">
        <v>0</v>
      </c>
      <c r="E2584">
        <v>0</v>
      </c>
      <c r="F2584">
        <v>604324.56000000006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3.91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7490</v>
      </c>
      <c r="AW2584">
        <v>3350</v>
      </c>
      <c r="AX2584">
        <v>1219</v>
      </c>
      <c r="AY2584">
        <v>12059</v>
      </c>
      <c r="AZ2584">
        <v>4202</v>
      </c>
      <c r="BA2584">
        <v>7438</v>
      </c>
      <c r="BB2584">
        <v>1432</v>
      </c>
      <c r="BC2584">
        <v>13072</v>
      </c>
      <c r="BD2584">
        <v>9486</v>
      </c>
      <c r="BE2584">
        <v>9222</v>
      </c>
      <c r="BF2584">
        <v>1768</v>
      </c>
      <c r="BG2584">
        <v>20476</v>
      </c>
      <c r="BH2584">
        <v>0</v>
      </c>
      <c r="BI2584">
        <v>0</v>
      </c>
      <c r="BJ2584">
        <v>0</v>
      </c>
      <c r="BK2584">
        <v>0</v>
      </c>
      <c r="BL2584" s="2">
        <v>24.82</v>
      </c>
      <c r="BM2584" s="2">
        <v>42005.095138888886</v>
      </c>
      <c r="BN2584" s="2">
        <v>5.4</v>
      </c>
      <c r="BO2584" s="2">
        <v>42005.092361111114</v>
      </c>
      <c r="BP2584" s="2">
        <v>6.92</v>
      </c>
      <c r="BQ2584" s="2">
        <v>42005.092361111114</v>
      </c>
      <c r="BR2584" s="2">
        <v>11.07</v>
      </c>
      <c r="BS2584" s="2">
        <v>42005.092361111114</v>
      </c>
      <c r="BT2584">
        <v>0</v>
      </c>
      <c r="BU2584">
        <v>0</v>
      </c>
      <c r="BV2584" t="s">
        <v>135</v>
      </c>
      <c r="BW2584">
        <v>0</v>
      </c>
      <c r="BX2584">
        <v>0</v>
      </c>
      <c r="BY2584" t="s">
        <v>135</v>
      </c>
      <c r="BZ2584">
        <v>0</v>
      </c>
      <c r="CA2584">
        <v>0</v>
      </c>
      <c r="CB2584" t="s">
        <v>135</v>
      </c>
      <c r="CH2584" s="2"/>
      <c r="CJ2584" s="2"/>
      <c r="CL2584" s="2"/>
      <c r="CN2584" s="2"/>
      <c r="CQ2584" s="2"/>
      <c r="CT2584" s="2"/>
      <c r="CW2584" s="2"/>
    </row>
    <row r="2585" spans="1:101" x14ac:dyDescent="0.25">
      <c r="A2585" s="1" t="s">
        <v>163</v>
      </c>
      <c r="B2585" s="75" t="s">
        <v>164</v>
      </c>
      <c r="C2585">
        <v>0</v>
      </c>
      <c r="D2585">
        <v>0</v>
      </c>
      <c r="E2585">
        <v>0</v>
      </c>
      <c r="F2585">
        <v>604324.56000000006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3.91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7490</v>
      </c>
      <c r="AW2585">
        <v>3350</v>
      </c>
      <c r="AX2585">
        <v>1219</v>
      </c>
      <c r="AY2585">
        <v>12059</v>
      </c>
      <c r="AZ2585">
        <v>4202</v>
      </c>
      <c r="BA2585">
        <v>7438</v>
      </c>
      <c r="BB2585">
        <v>1432</v>
      </c>
      <c r="BC2585">
        <v>13072</v>
      </c>
      <c r="BD2585">
        <v>9486</v>
      </c>
      <c r="BE2585">
        <v>9222</v>
      </c>
      <c r="BF2585">
        <v>1768</v>
      </c>
      <c r="BG2585">
        <v>20476</v>
      </c>
      <c r="BH2585">
        <v>0</v>
      </c>
      <c r="BI2585">
        <v>0</v>
      </c>
      <c r="BJ2585">
        <v>0</v>
      </c>
      <c r="BK2585">
        <v>0</v>
      </c>
      <c r="BL2585" s="2">
        <v>24.82</v>
      </c>
      <c r="BM2585" s="2">
        <v>42005.095138888886</v>
      </c>
      <c r="BN2585" s="2">
        <v>5.4</v>
      </c>
      <c r="BO2585" s="2">
        <v>42005.092361111114</v>
      </c>
      <c r="BP2585" s="2">
        <v>6.92</v>
      </c>
      <c r="BQ2585" s="2">
        <v>42005.092361111114</v>
      </c>
      <c r="BR2585" s="2">
        <v>11.07</v>
      </c>
      <c r="BS2585" s="2">
        <v>42005.092361111114</v>
      </c>
      <c r="BT2585">
        <v>0</v>
      </c>
      <c r="BU2585">
        <v>0</v>
      </c>
      <c r="BV2585" t="s">
        <v>135</v>
      </c>
      <c r="BW2585">
        <v>0</v>
      </c>
      <c r="BX2585">
        <v>0</v>
      </c>
      <c r="BY2585" t="s">
        <v>135</v>
      </c>
      <c r="BZ2585">
        <v>0</v>
      </c>
      <c r="CA2585">
        <v>0</v>
      </c>
      <c r="CB2585" t="s">
        <v>135</v>
      </c>
      <c r="CH2585" s="2"/>
      <c r="CJ2585" s="2"/>
      <c r="CL2585" s="2"/>
      <c r="CN2585" s="2"/>
      <c r="CQ2585" s="2"/>
      <c r="CT2585" s="2"/>
      <c r="CW2585" s="2"/>
    </row>
    <row r="2586" spans="1:101" x14ac:dyDescent="0.25">
      <c r="A2586" s="1" t="s">
        <v>163</v>
      </c>
      <c r="B2586" s="75" t="s">
        <v>164</v>
      </c>
      <c r="C2586">
        <v>0</v>
      </c>
      <c r="D2586">
        <v>0</v>
      </c>
      <c r="E2586">
        <v>0</v>
      </c>
      <c r="F2586">
        <v>604324.56000000006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3.91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7490</v>
      </c>
      <c r="AW2586">
        <v>3350</v>
      </c>
      <c r="AX2586">
        <v>1219</v>
      </c>
      <c r="AY2586">
        <v>12059</v>
      </c>
      <c r="AZ2586">
        <v>4202</v>
      </c>
      <c r="BA2586">
        <v>7438</v>
      </c>
      <c r="BB2586">
        <v>1432</v>
      </c>
      <c r="BC2586">
        <v>13072</v>
      </c>
      <c r="BD2586">
        <v>9486</v>
      </c>
      <c r="BE2586">
        <v>9222</v>
      </c>
      <c r="BF2586">
        <v>1768</v>
      </c>
      <c r="BG2586">
        <v>20476</v>
      </c>
      <c r="BH2586">
        <v>0</v>
      </c>
      <c r="BI2586">
        <v>0</v>
      </c>
      <c r="BJ2586">
        <v>0</v>
      </c>
      <c r="BK2586">
        <v>0</v>
      </c>
      <c r="BL2586" s="2">
        <v>24.82</v>
      </c>
      <c r="BM2586" s="2">
        <v>42005.095138888886</v>
      </c>
      <c r="BN2586" s="2">
        <v>5.4</v>
      </c>
      <c r="BO2586" s="2">
        <v>42005.092361111114</v>
      </c>
      <c r="BP2586" s="2">
        <v>6.92</v>
      </c>
      <c r="BQ2586" s="2">
        <v>42005.092361111114</v>
      </c>
      <c r="BR2586" s="2">
        <v>11.07</v>
      </c>
      <c r="BS2586" s="2">
        <v>42005.092361111114</v>
      </c>
      <c r="BT2586">
        <v>0</v>
      </c>
      <c r="BU2586">
        <v>0</v>
      </c>
      <c r="BV2586" t="s">
        <v>135</v>
      </c>
      <c r="BW2586">
        <v>0</v>
      </c>
      <c r="BX2586">
        <v>0</v>
      </c>
      <c r="BY2586" t="s">
        <v>135</v>
      </c>
      <c r="BZ2586">
        <v>0</v>
      </c>
      <c r="CA2586">
        <v>0</v>
      </c>
      <c r="CB2586" t="s">
        <v>135</v>
      </c>
      <c r="CH2586" s="2"/>
      <c r="CJ2586" s="2"/>
      <c r="CL2586" s="2"/>
      <c r="CN2586" s="2"/>
      <c r="CQ2586" s="2"/>
      <c r="CT2586" s="2"/>
      <c r="CW2586" s="2"/>
    </row>
    <row r="2587" spans="1:101" x14ac:dyDescent="0.25">
      <c r="A2587" s="1" t="s">
        <v>163</v>
      </c>
      <c r="B2587" s="75" t="s">
        <v>164</v>
      </c>
      <c r="C2587">
        <v>0</v>
      </c>
      <c r="D2587">
        <v>0</v>
      </c>
      <c r="E2587">
        <v>0</v>
      </c>
      <c r="F2587">
        <v>604324.56000000006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3.91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7490</v>
      </c>
      <c r="AW2587">
        <v>3350</v>
      </c>
      <c r="AX2587">
        <v>1219</v>
      </c>
      <c r="AY2587">
        <v>12059</v>
      </c>
      <c r="AZ2587">
        <v>4202</v>
      </c>
      <c r="BA2587">
        <v>7438</v>
      </c>
      <c r="BB2587">
        <v>1432</v>
      </c>
      <c r="BC2587">
        <v>13072</v>
      </c>
      <c r="BD2587">
        <v>9486</v>
      </c>
      <c r="BE2587">
        <v>9222</v>
      </c>
      <c r="BF2587">
        <v>1768</v>
      </c>
      <c r="BG2587">
        <v>20476</v>
      </c>
      <c r="BH2587">
        <v>0</v>
      </c>
      <c r="BI2587">
        <v>0</v>
      </c>
      <c r="BJ2587">
        <v>0</v>
      </c>
      <c r="BK2587">
        <v>0</v>
      </c>
      <c r="BL2587" s="2">
        <v>24.82</v>
      </c>
      <c r="BM2587" s="2">
        <v>42005.095138888886</v>
      </c>
      <c r="BN2587" s="2">
        <v>5.4</v>
      </c>
      <c r="BO2587" s="2">
        <v>42005.092361111114</v>
      </c>
      <c r="BP2587" s="2">
        <v>6.92</v>
      </c>
      <c r="BQ2587" s="2">
        <v>42005.092361111114</v>
      </c>
      <c r="BR2587" s="2">
        <v>11.07</v>
      </c>
      <c r="BS2587" s="2">
        <v>42005.092361111114</v>
      </c>
      <c r="BT2587">
        <v>0</v>
      </c>
      <c r="BU2587">
        <v>0</v>
      </c>
      <c r="BV2587" t="s">
        <v>135</v>
      </c>
      <c r="BW2587">
        <v>0</v>
      </c>
      <c r="BX2587">
        <v>0</v>
      </c>
      <c r="BY2587" t="s">
        <v>135</v>
      </c>
      <c r="BZ2587">
        <v>0</v>
      </c>
      <c r="CA2587">
        <v>0</v>
      </c>
      <c r="CB2587" t="s">
        <v>135</v>
      </c>
      <c r="CH2587" s="2"/>
      <c r="CJ2587" s="2"/>
      <c r="CL2587" s="2"/>
      <c r="CN2587" s="2"/>
      <c r="CQ2587" s="2"/>
      <c r="CT2587" s="2"/>
      <c r="CW2587" s="2"/>
    </row>
    <row r="2588" spans="1:101" x14ac:dyDescent="0.25">
      <c r="A2588" s="1" t="s">
        <v>163</v>
      </c>
      <c r="B2588" s="75" t="s">
        <v>164</v>
      </c>
      <c r="C2588">
        <v>0</v>
      </c>
      <c r="D2588">
        <v>0</v>
      </c>
      <c r="E2588">
        <v>0</v>
      </c>
      <c r="F2588">
        <v>604324.56000000006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3.91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7490</v>
      </c>
      <c r="AW2588">
        <v>3350</v>
      </c>
      <c r="AX2588">
        <v>1219</v>
      </c>
      <c r="AY2588">
        <v>12059</v>
      </c>
      <c r="AZ2588">
        <v>4202</v>
      </c>
      <c r="BA2588">
        <v>7438</v>
      </c>
      <c r="BB2588">
        <v>1432</v>
      </c>
      <c r="BC2588">
        <v>13072</v>
      </c>
      <c r="BD2588">
        <v>9486</v>
      </c>
      <c r="BE2588">
        <v>9222</v>
      </c>
      <c r="BF2588">
        <v>1768</v>
      </c>
      <c r="BG2588">
        <v>20476</v>
      </c>
      <c r="BH2588">
        <v>0</v>
      </c>
      <c r="BI2588">
        <v>0</v>
      </c>
      <c r="BJ2588">
        <v>0</v>
      </c>
      <c r="BK2588">
        <v>0</v>
      </c>
      <c r="BL2588" s="2">
        <v>24.82</v>
      </c>
      <c r="BM2588" s="2">
        <v>42005.095138888886</v>
      </c>
      <c r="BN2588" s="2">
        <v>5.4</v>
      </c>
      <c r="BO2588" s="2">
        <v>42005.092361111114</v>
      </c>
      <c r="BP2588" s="2">
        <v>6.92</v>
      </c>
      <c r="BQ2588" s="2">
        <v>42005.092361111114</v>
      </c>
      <c r="BR2588" s="2">
        <v>11.07</v>
      </c>
      <c r="BS2588" s="2">
        <v>42005.092361111114</v>
      </c>
      <c r="BT2588">
        <v>0</v>
      </c>
      <c r="BU2588">
        <v>0</v>
      </c>
      <c r="BV2588" t="s">
        <v>135</v>
      </c>
      <c r="BW2588">
        <v>0</v>
      </c>
      <c r="BX2588">
        <v>0</v>
      </c>
      <c r="BY2588" t="s">
        <v>135</v>
      </c>
      <c r="BZ2588">
        <v>0</v>
      </c>
      <c r="CA2588">
        <v>0</v>
      </c>
      <c r="CB2588" t="s">
        <v>135</v>
      </c>
      <c r="CH2588" s="2"/>
      <c r="CJ2588" s="2"/>
      <c r="CL2588" s="2"/>
      <c r="CN2588" s="2"/>
      <c r="CQ2588" s="2"/>
      <c r="CT2588" s="2"/>
      <c r="CW2588" s="2"/>
    </row>
    <row r="2589" spans="1:101" x14ac:dyDescent="0.25">
      <c r="A2589" s="1" t="s">
        <v>163</v>
      </c>
      <c r="B2589" s="75" t="s">
        <v>164</v>
      </c>
      <c r="C2589">
        <v>0</v>
      </c>
      <c r="D2589">
        <v>0</v>
      </c>
      <c r="E2589">
        <v>0</v>
      </c>
      <c r="F2589">
        <v>604324.56000000006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3.91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7490</v>
      </c>
      <c r="AW2589">
        <v>3350</v>
      </c>
      <c r="AX2589">
        <v>1219</v>
      </c>
      <c r="AY2589">
        <v>12059</v>
      </c>
      <c r="AZ2589">
        <v>4202</v>
      </c>
      <c r="BA2589">
        <v>7438</v>
      </c>
      <c r="BB2589">
        <v>1432</v>
      </c>
      <c r="BC2589">
        <v>13072</v>
      </c>
      <c r="BD2589">
        <v>9486</v>
      </c>
      <c r="BE2589">
        <v>9222</v>
      </c>
      <c r="BF2589">
        <v>1768</v>
      </c>
      <c r="BG2589">
        <v>20476</v>
      </c>
      <c r="BH2589">
        <v>0</v>
      </c>
      <c r="BI2589">
        <v>0</v>
      </c>
      <c r="BJ2589">
        <v>0</v>
      </c>
      <c r="BK2589">
        <v>0</v>
      </c>
      <c r="BL2589" s="2">
        <v>24.82</v>
      </c>
      <c r="BM2589" s="2">
        <v>42005.095138888886</v>
      </c>
      <c r="BN2589" s="2">
        <v>5.4</v>
      </c>
      <c r="BO2589" s="2">
        <v>42005.092361111114</v>
      </c>
      <c r="BP2589" s="2">
        <v>6.92</v>
      </c>
      <c r="BQ2589" s="2">
        <v>42005.092361111114</v>
      </c>
      <c r="BR2589" s="2">
        <v>11.07</v>
      </c>
      <c r="BS2589" s="2">
        <v>42005.092361111114</v>
      </c>
      <c r="BT2589">
        <v>0</v>
      </c>
      <c r="BU2589">
        <v>0</v>
      </c>
      <c r="BV2589" t="s">
        <v>135</v>
      </c>
      <c r="BW2589">
        <v>0</v>
      </c>
      <c r="BX2589">
        <v>0</v>
      </c>
      <c r="BY2589" t="s">
        <v>135</v>
      </c>
      <c r="BZ2589">
        <v>0</v>
      </c>
      <c r="CA2589">
        <v>0</v>
      </c>
      <c r="CB2589" t="s">
        <v>135</v>
      </c>
      <c r="CH2589" s="2"/>
      <c r="CJ2589" s="2"/>
      <c r="CL2589" s="2"/>
      <c r="CN2589" s="2"/>
      <c r="CQ2589" s="2"/>
      <c r="CT2589" s="2"/>
      <c r="CW2589" s="2"/>
    </row>
    <row r="2590" spans="1:101" x14ac:dyDescent="0.25">
      <c r="A2590" s="1" t="s">
        <v>163</v>
      </c>
      <c r="B2590" s="75" t="s">
        <v>164</v>
      </c>
      <c r="C2590">
        <v>0</v>
      </c>
      <c r="D2590">
        <v>0</v>
      </c>
      <c r="E2590">
        <v>0</v>
      </c>
      <c r="F2590">
        <v>604324.56000000006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3.91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7490</v>
      </c>
      <c r="AW2590">
        <v>3350</v>
      </c>
      <c r="AX2590">
        <v>1219</v>
      </c>
      <c r="AY2590">
        <v>12059</v>
      </c>
      <c r="AZ2590">
        <v>4202</v>
      </c>
      <c r="BA2590">
        <v>7438</v>
      </c>
      <c r="BB2590">
        <v>1432</v>
      </c>
      <c r="BC2590">
        <v>13072</v>
      </c>
      <c r="BD2590">
        <v>9486</v>
      </c>
      <c r="BE2590">
        <v>9222</v>
      </c>
      <c r="BF2590">
        <v>1768</v>
      </c>
      <c r="BG2590">
        <v>20476</v>
      </c>
      <c r="BH2590">
        <v>0</v>
      </c>
      <c r="BI2590">
        <v>0</v>
      </c>
      <c r="BJ2590">
        <v>0</v>
      </c>
      <c r="BK2590">
        <v>0</v>
      </c>
      <c r="BL2590" s="2">
        <v>24.82</v>
      </c>
      <c r="BM2590" s="2">
        <v>42005.095138888886</v>
      </c>
      <c r="BN2590" s="2">
        <v>5.4</v>
      </c>
      <c r="BO2590" s="2">
        <v>42005.092361111114</v>
      </c>
      <c r="BP2590" s="2">
        <v>6.92</v>
      </c>
      <c r="BQ2590" s="2">
        <v>42005.092361111114</v>
      </c>
      <c r="BR2590" s="2">
        <v>11.07</v>
      </c>
      <c r="BS2590" s="2">
        <v>42005.092361111114</v>
      </c>
      <c r="BT2590">
        <v>0</v>
      </c>
      <c r="BU2590">
        <v>0</v>
      </c>
      <c r="BV2590" t="s">
        <v>135</v>
      </c>
      <c r="BW2590">
        <v>0</v>
      </c>
      <c r="BX2590">
        <v>0</v>
      </c>
      <c r="BY2590" t="s">
        <v>135</v>
      </c>
      <c r="BZ2590">
        <v>0</v>
      </c>
      <c r="CA2590">
        <v>0</v>
      </c>
      <c r="CB2590" t="s">
        <v>135</v>
      </c>
      <c r="CH2590" s="2"/>
      <c r="CJ2590" s="2"/>
      <c r="CL2590" s="2"/>
      <c r="CN2590" s="2"/>
      <c r="CQ2590" s="2"/>
      <c r="CT2590" s="2"/>
      <c r="CW2590" s="2"/>
    </row>
    <row r="2591" spans="1:101" x14ac:dyDescent="0.25">
      <c r="A2591" s="1" t="s">
        <v>163</v>
      </c>
      <c r="B2591" s="75" t="s">
        <v>164</v>
      </c>
      <c r="C2591">
        <v>0</v>
      </c>
      <c r="D2591">
        <v>0</v>
      </c>
      <c r="E2591">
        <v>0</v>
      </c>
      <c r="F2591">
        <v>604324.56000000006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3.91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7490</v>
      </c>
      <c r="AW2591">
        <v>3350</v>
      </c>
      <c r="AX2591">
        <v>1219</v>
      </c>
      <c r="AY2591">
        <v>12059</v>
      </c>
      <c r="AZ2591">
        <v>4202</v>
      </c>
      <c r="BA2591">
        <v>7438</v>
      </c>
      <c r="BB2591">
        <v>1432</v>
      </c>
      <c r="BC2591">
        <v>13072</v>
      </c>
      <c r="BD2591">
        <v>9486</v>
      </c>
      <c r="BE2591">
        <v>9222</v>
      </c>
      <c r="BF2591">
        <v>1768</v>
      </c>
      <c r="BG2591">
        <v>20476</v>
      </c>
      <c r="BH2591">
        <v>0</v>
      </c>
      <c r="BI2591">
        <v>0</v>
      </c>
      <c r="BJ2591">
        <v>0</v>
      </c>
      <c r="BK2591">
        <v>0</v>
      </c>
      <c r="BL2591" s="2">
        <v>24.82</v>
      </c>
      <c r="BM2591" s="2">
        <v>42005.095138888886</v>
      </c>
      <c r="BN2591" s="2">
        <v>5.4</v>
      </c>
      <c r="BO2591" s="2">
        <v>42005.092361111114</v>
      </c>
      <c r="BP2591" s="2">
        <v>6.92</v>
      </c>
      <c r="BQ2591" s="2">
        <v>42005.092361111114</v>
      </c>
      <c r="BR2591" s="2">
        <v>11.07</v>
      </c>
      <c r="BS2591" s="2">
        <v>42005.092361111114</v>
      </c>
      <c r="BT2591">
        <v>0</v>
      </c>
      <c r="BU2591">
        <v>0</v>
      </c>
      <c r="BV2591" t="s">
        <v>135</v>
      </c>
      <c r="BW2591">
        <v>0</v>
      </c>
      <c r="BX2591">
        <v>0</v>
      </c>
      <c r="BY2591" t="s">
        <v>135</v>
      </c>
      <c r="BZ2591">
        <v>0</v>
      </c>
      <c r="CA2591">
        <v>0</v>
      </c>
      <c r="CB2591" t="s">
        <v>135</v>
      </c>
      <c r="CH2591" s="2"/>
      <c r="CJ2591" s="2"/>
      <c r="CL2591" s="2"/>
      <c r="CN2591" s="2"/>
      <c r="CQ2591" s="2"/>
      <c r="CT2591" s="2"/>
      <c r="CW2591" s="2"/>
    </row>
    <row r="2592" spans="1:101" x14ac:dyDescent="0.25">
      <c r="A2592" s="1" t="s">
        <v>163</v>
      </c>
      <c r="B2592" s="75" t="s">
        <v>164</v>
      </c>
      <c r="C2592">
        <v>0</v>
      </c>
      <c r="D2592">
        <v>0</v>
      </c>
      <c r="E2592">
        <v>0</v>
      </c>
      <c r="F2592">
        <v>604324.56000000006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3.91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7490</v>
      </c>
      <c r="AW2592">
        <v>3350</v>
      </c>
      <c r="AX2592">
        <v>1219</v>
      </c>
      <c r="AY2592">
        <v>12059</v>
      </c>
      <c r="AZ2592">
        <v>4202</v>
      </c>
      <c r="BA2592">
        <v>7438</v>
      </c>
      <c r="BB2592">
        <v>1432</v>
      </c>
      <c r="BC2592">
        <v>13072</v>
      </c>
      <c r="BD2592">
        <v>9486</v>
      </c>
      <c r="BE2592">
        <v>9222</v>
      </c>
      <c r="BF2592">
        <v>1768</v>
      </c>
      <c r="BG2592">
        <v>20476</v>
      </c>
      <c r="BH2592">
        <v>0</v>
      </c>
      <c r="BI2592">
        <v>0</v>
      </c>
      <c r="BJ2592">
        <v>0</v>
      </c>
      <c r="BK2592">
        <v>0</v>
      </c>
      <c r="BL2592" s="2">
        <v>24.82</v>
      </c>
      <c r="BM2592" s="2">
        <v>42005.095138888886</v>
      </c>
      <c r="BN2592" s="2">
        <v>5.4</v>
      </c>
      <c r="BO2592" s="2">
        <v>42005.092361111114</v>
      </c>
      <c r="BP2592" s="2">
        <v>6.92</v>
      </c>
      <c r="BQ2592" s="2">
        <v>42005.092361111114</v>
      </c>
      <c r="BR2592" s="2">
        <v>11.07</v>
      </c>
      <c r="BS2592" s="2">
        <v>42005.092361111114</v>
      </c>
      <c r="BT2592">
        <v>0</v>
      </c>
      <c r="BU2592">
        <v>0</v>
      </c>
      <c r="BV2592" t="s">
        <v>135</v>
      </c>
      <c r="BW2592">
        <v>0</v>
      </c>
      <c r="BX2592">
        <v>0</v>
      </c>
      <c r="BY2592" t="s">
        <v>135</v>
      </c>
      <c r="BZ2592">
        <v>0</v>
      </c>
      <c r="CA2592">
        <v>0</v>
      </c>
      <c r="CB2592" t="s">
        <v>135</v>
      </c>
      <c r="CH2592" s="2"/>
      <c r="CJ2592" s="2"/>
      <c r="CL2592" s="2"/>
      <c r="CN2592" s="2"/>
      <c r="CQ2592" s="2"/>
      <c r="CT2592" s="2"/>
      <c r="CW2592" s="2"/>
    </row>
    <row r="2593" spans="1:101" x14ac:dyDescent="0.25">
      <c r="A2593" s="1" t="s">
        <v>163</v>
      </c>
      <c r="B2593" s="75" t="s">
        <v>164</v>
      </c>
      <c r="C2593">
        <v>0</v>
      </c>
      <c r="D2593">
        <v>0</v>
      </c>
      <c r="E2593">
        <v>0</v>
      </c>
      <c r="F2593">
        <v>604324.56000000006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3.91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7490</v>
      </c>
      <c r="AW2593">
        <v>3350</v>
      </c>
      <c r="AX2593">
        <v>1219</v>
      </c>
      <c r="AY2593">
        <v>12059</v>
      </c>
      <c r="AZ2593">
        <v>4202</v>
      </c>
      <c r="BA2593">
        <v>7438</v>
      </c>
      <c r="BB2593">
        <v>1432</v>
      </c>
      <c r="BC2593">
        <v>13072</v>
      </c>
      <c r="BD2593">
        <v>9486</v>
      </c>
      <c r="BE2593">
        <v>9222</v>
      </c>
      <c r="BF2593">
        <v>1768</v>
      </c>
      <c r="BG2593">
        <v>20476</v>
      </c>
      <c r="BH2593">
        <v>0</v>
      </c>
      <c r="BI2593">
        <v>0</v>
      </c>
      <c r="BJ2593">
        <v>0</v>
      </c>
      <c r="BK2593">
        <v>0</v>
      </c>
      <c r="BL2593" s="2">
        <v>24.82</v>
      </c>
      <c r="BM2593" s="2">
        <v>42005.095138888886</v>
      </c>
      <c r="BN2593" s="2">
        <v>5.4</v>
      </c>
      <c r="BO2593" s="2">
        <v>42005.092361111114</v>
      </c>
      <c r="BP2593" s="2">
        <v>6.92</v>
      </c>
      <c r="BQ2593" s="2">
        <v>42005.092361111114</v>
      </c>
      <c r="BR2593" s="2">
        <v>11.07</v>
      </c>
      <c r="BS2593" s="2">
        <v>42005.092361111114</v>
      </c>
      <c r="BT2593">
        <v>0</v>
      </c>
      <c r="BU2593">
        <v>0</v>
      </c>
      <c r="BV2593" t="s">
        <v>135</v>
      </c>
      <c r="BW2593">
        <v>0</v>
      </c>
      <c r="BX2593">
        <v>0</v>
      </c>
      <c r="BY2593" t="s">
        <v>135</v>
      </c>
      <c r="BZ2593">
        <v>0</v>
      </c>
      <c r="CA2593">
        <v>0</v>
      </c>
      <c r="CB2593" t="s">
        <v>135</v>
      </c>
      <c r="CH2593" s="2"/>
      <c r="CJ2593" s="2"/>
      <c r="CL2593" s="2"/>
      <c r="CN2593" s="2"/>
      <c r="CQ2593" s="2"/>
      <c r="CT2593" s="2"/>
      <c r="CW2593" s="2"/>
    </row>
    <row r="2594" spans="1:101" x14ac:dyDescent="0.25">
      <c r="A2594" s="1" t="s">
        <v>163</v>
      </c>
      <c r="B2594" s="75" t="s">
        <v>164</v>
      </c>
      <c r="C2594">
        <v>0</v>
      </c>
      <c r="D2594">
        <v>0</v>
      </c>
      <c r="E2594">
        <v>0</v>
      </c>
      <c r="F2594">
        <v>604324.56000000006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3.91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7490</v>
      </c>
      <c r="AW2594">
        <v>3350</v>
      </c>
      <c r="AX2594">
        <v>1219</v>
      </c>
      <c r="AY2594">
        <v>12059</v>
      </c>
      <c r="AZ2594">
        <v>4202</v>
      </c>
      <c r="BA2594">
        <v>7438</v>
      </c>
      <c r="BB2594">
        <v>1432</v>
      </c>
      <c r="BC2594">
        <v>13072</v>
      </c>
      <c r="BD2594">
        <v>9486</v>
      </c>
      <c r="BE2594">
        <v>9222</v>
      </c>
      <c r="BF2594">
        <v>1768</v>
      </c>
      <c r="BG2594">
        <v>20476</v>
      </c>
      <c r="BH2594">
        <v>0</v>
      </c>
      <c r="BI2594">
        <v>0</v>
      </c>
      <c r="BJ2594">
        <v>0</v>
      </c>
      <c r="BK2594">
        <v>0</v>
      </c>
      <c r="BL2594" s="2">
        <v>24.82</v>
      </c>
      <c r="BM2594" s="2">
        <v>42005.095138888886</v>
      </c>
      <c r="BN2594" s="2">
        <v>5.4</v>
      </c>
      <c r="BO2594" s="2">
        <v>42005.092361111114</v>
      </c>
      <c r="BP2594" s="2">
        <v>6.92</v>
      </c>
      <c r="BQ2594" s="2">
        <v>42005.092361111114</v>
      </c>
      <c r="BR2594" s="2">
        <v>11.07</v>
      </c>
      <c r="BS2594" s="2">
        <v>42005.092361111114</v>
      </c>
      <c r="BT2594">
        <v>0</v>
      </c>
      <c r="BU2594">
        <v>0</v>
      </c>
      <c r="BV2594" t="s">
        <v>135</v>
      </c>
      <c r="BW2594">
        <v>0</v>
      </c>
      <c r="BX2594">
        <v>0</v>
      </c>
      <c r="BY2594" t="s">
        <v>135</v>
      </c>
      <c r="BZ2594">
        <v>0</v>
      </c>
      <c r="CA2594">
        <v>0</v>
      </c>
      <c r="CB2594" t="s">
        <v>135</v>
      </c>
      <c r="CH2594" s="2"/>
      <c r="CJ2594" s="2"/>
      <c r="CL2594" s="2"/>
      <c r="CN2594" s="2"/>
      <c r="CQ2594" s="2"/>
      <c r="CT2594" s="2"/>
      <c r="CW2594" s="2"/>
    </row>
    <row r="2595" spans="1:101" x14ac:dyDescent="0.25">
      <c r="A2595" s="1" t="s">
        <v>163</v>
      </c>
      <c r="B2595" s="75" t="s">
        <v>164</v>
      </c>
      <c r="C2595">
        <v>0</v>
      </c>
      <c r="D2595">
        <v>0</v>
      </c>
      <c r="E2595">
        <v>0</v>
      </c>
      <c r="F2595">
        <v>604324.56000000006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3.91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7490</v>
      </c>
      <c r="AW2595">
        <v>3350</v>
      </c>
      <c r="AX2595">
        <v>1219</v>
      </c>
      <c r="AY2595">
        <v>12059</v>
      </c>
      <c r="AZ2595">
        <v>4202</v>
      </c>
      <c r="BA2595">
        <v>7438</v>
      </c>
      <c r="BB2595">
        <v>1432</v>
      </c>
      <c r="BC2595">
        <v>13072</v>
      </c>
      <c r="BD2595">
        <v>9486</v>
      </c>
      <c r="BE2595">
        <v>9222</v>
      </c>
      <c r="BF2595">
        <v>1768</v>
      </c>
      <c r="BG2595">
        <v>20476</v>
      </c>
      <c r="BH2595">
        <v>0</v>
      </c>
      <c r="BI2595">
        <v>0</v>
      </c>
      <c r="BJ2595">
        <v>0</v>
      </c>
      <c r="BK2595">
        <v>0</v>
      </c>
      <c r="BL2595" s="2">
        <v>24.82</v>
      </c>
      <c r="BM2595" s="2">
        <v>42005.095138888886</v>
      </c>
      <c r="BN2595" s="2">
        <v>5.4</v>
      </c>
      <c r="BO2595" s="2">
        <v>42005.092361111114</v>
      </c>
      <c r="BP2595" s="2">
        <v>6.92</v>
      </c>
      <c r="BQ2595" s="2">
        <v>42005.092361111114</v>
      </c>
      <c r="BR2595" s="2">
        <v>11.07</v>
      </c>
      <c r="BS2595" s="2">
        <v>42005.092361111114</v>
      </c>
      <c r="BT2595">
        <v>0</v>
      </c>
      <c r="BU2595">
        <v>0</v>
      </c>
      <c r="BV2595" t="s">
        <v>135</v>
      </c>
      <c r="BW2595">
        <v>0</v>
      </c>
      <c r="BX2595">
        <v>0</v>
      </c>
      <c r="BY2595" t="s">
        <v>135</v>
      </c>
      <c r="BZ2595">
        <v>0</v>
      </c>
      <c r="CA2595">
        <v>0</v>
      </c>
      <c r="CB2595" t="s">
        <v>135</v>
      </c>
      <c r="CH2595" s="2"/>
      <c r="CJ2595" s="2"/>
      <c r="CL2595" s="2"/>
      <c r="CN2595" s="2"/>
      <c r="CQ2595" s="2"/>
      <c r="CT2595" s="2"/>
      <c r="CW2595" s="2"/>
    </row>
    <row r="2596" spans="1:101" x14ac:dyDescent="0.25">
      <c r="A2596" s="1" t="s">
        <v>163</v>
      </c>
      <c r="B2596" s="75" t="s">
        <v>164</v>
      </c>
      <c r="C2596">
        <v>0</v>
      </c>
      <c r="D2596">
        <v>0</v>
      </c>
      <c r="E2596">
        <v>0</v>
      </c>
      <c r="F2596">
        <v>604324.56000000006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3.91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7490</v>
      </c>
      <c r="AW2596">
        <v>3350</v>
      </c>
      <c r="AX2596">
        <v>1219</v>
      </c>
      <c r="AY2596">
        <v>12059</v>
      </c>
      <c r="AZ2596">
        <v>4202</v>
      </c>
      <c r="BA2596">
        <v>7438</v>
      </c>
      <c r="BB2596">
        <v>1432</v>
      </c>
      <c r="BC2596">
        <v>13072</v>
      </c>
      <c r="BD2596">
        <v>9486</v>
      </c>
      <c r="BE2596">
        <v>9222</v>
      </c>
      <c r="BF2596">
        <v>1768</v>
      </c>
      <c r="BG2596">
        <v>20476</v>
      </c>
      <c r="BH2596">
        <v>0</v>
      </c>
      <c r="BI2596">
        <v>0</v>
      </c>
      <c r="BJ2596">
        <v>0</v>
      </c>
      <c r="BK2596">
        <v>0</v>
      </c>
      <c r="BL2596" s="2">
        <v>24.82</v>
      </c>
      <c r="BM2596" s="2">
        <v>42005.095138888886</v>
      </c>
      <c r="BN2596" s="2">
        <v>5.4</v>
      </c>
      <c r="BO2596" s="2">
        <v>42005.092361111114</v>
      </c>
      <c r="BP2596" s="2">
        <v>6.92</v>
      </c>
      <c r="BQ2596" s="2">
        <v>42005.092361111114</v>
      </c>
      <c r="BR2596" s="2">
        <v>11.07</v>
      </c>
      <c r="BS2596" s="2">
        <v>42005.092361111114</v>
      </c>
      <c r="BT2596">
        <v>0</v>
      </c>
      <c r="BU2596">
        <v>0</v>
      </c>
      <c r="BV2596" t="s">
        <v>135</v>
      </c>
      <c r="BW2596">
        <v>0</v>
      </c>
      <c r="BX2596">
        <v>0</v>
      </c>
      <c r="BY2596" t="s">
        <v>135</v>
      </c>
      <c r="BZ2596">
        <v>0</v>
      </c>
      <c r="CA2596">
        <v>0</v>
      </c>
      <c r="CB2596" t="s">
        <v>135</v>
      </c>
      <c r="CH2596" s="2"/>
      <c r="CJ2596" s="2"/>
      <c r="CL2596" s="2"/>
      <c r="CN2596" s="2"/>
      <c r="CQ2596" s="2"/>
      <c r="CT2596" s="2"/>
      <c r="CW2596" s="2"/>
    </row>
    <row r="2597" spans="1:101" x14ac:dyDescent="0.25">
      <c r="A2597" s="1" t="s">
        <v>163</v>
      </c>
      <c r="B2597" s="75" t="s">
        <v>164</v>
      </c>
      <c r="C2597">
        <v>0</v>
      </c>
      <c r="D2597">
        <v>0</v>
      </c>
      <c r="E2597">
        <v>0</v>
      </c>
      <c r="F2597">
        <v>604324.56000000006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3.91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7490</v>
      </c>
      <c r="AW2597">
        <v>3350</v>
      </c>
      <c r="AX2597">
        <v>1219</v>
      </c>
      <c r="AY2597">
        <v>12059</v>
      </c>
      <c r="AZ2597">
        <v>4202</v>
      </c>
      <c r="BA2597">
        <v>7438</v>
      </c>
      <c r="BB2597">
        <v>1432</v>
      </c>
      <c r="BC2597">
        <v>13072</v>
      </c>
      <c r="BD2597">
        <v>9486</v>
      </c>
      <c r="BE2597">
        <v>9222</v>
      </c>
      <c r="BF2597">
        <v>1768</v>
      </c>
      <c r="BG2597">
        <v>20476</v>
      </c>
      <c r="BH2597">
        <v>0</v>
      </c>
      <c r="BI2597">
        <v>0</v>
      </c>
      <c r="BJ2597">
        <v>0</v>
      </c>
      <c r="BK2597">
        <v>0</v>
      </c>
      <c r="BL2597" s="2">
        <v>24.82</v>
      </c>
      <c r="BM2597" s="2">
        <v>42005.095138888886</v>
      </c>
      <c r="BN2597" s="2">
        <v>5.4</v>
      </c>
      <c r="BO2597" s="2">
        <v>42005.092361111114</v>
      </c>
      <c r="BP2597" s="2">
        <v>6.92</v>
      </c>
      <c r="BQ2597" s="2">
        <v>42005.092361111114</v>
      </c>
      <c r="BR2597" s="2">
        <v>11.07</v>
      </c>
      <c r="BS2597" s="2">
        <v>42005.092361111114</v>
      </c>
      <c r="BT2597">
        <v>0</v>
      </c>
      <c r="BU2597">
        <v>0</v>
      </c>
      <c r="BV2597" t="s">
        <v>135</v>
      </c>
      <c r="BW2597">
        <v>0</v>
      </c>
      <c r="BX2597">
        <v>0</v>
      </c>
      <c r="BY2597" t="s">
        <v>135</v>
      </c>
      <c r="BZ2597">
        <v>0</v>
      </c>
      <c r="CA2597">
        <v>0</v>
      </c>
      <c r="CB2597" t="s">
        <v>135</v>
      </c>
      <c r="CH2597" s="2"/>
      <c r="CJ2597" s="2"/>
      <c r="CL2597" s="2"/>
      <c r="CN2597" s="2"/>
      <c r="CQ2597" s="2"/>
      <c r="CT2597" s="2"/>
      <c r="CW2597" s="2"/>
    </row>
    <row r="2598" spans="1:101" x14ac:dyDescent="0.25">
      <c r="A2598" s="1" t="s">
        <v>163</v>
      </c>
      <c r="B2598" s="75" t="s">
        <v>164</v>
      </c>
      <c r="C2598">
        <v>0</v>
      </c>
      <c r="D2598">
        <v>0</v>
      </c>
      <c r="E2598">
        <v>0</v>
      </c>
      <c r="F2598">
        <v>604324.56000000006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3.91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7490</v>
      </c>
      <c r="AW2598">
        <v>3350</v>
      </c>
      <c r="AX2598">
        <v>1219</v>
      </c>
      <c r="AY2598">
        <v>12059</v>
      </c>
      <c r="AZ2598">
        <v>4202</v>
      </c>
      <c r="BA2598">
        <v>7438</v>
      </c>
      <c r="BB2598">
        <v>1432</v>
      </c>
      <c r="BC2598">
        <v>13072</v>
      </c>
      <c r="BD2598">
        <v>9486</v>
      </c>
      <c r="BE2598">
        <v>9222</v>
      </c>
      <c r="BF2598">
        <v>1768</v>
      </c>
      <c r="BG2598">
        <v>20476</v>
      </c>
      <c r="BH2598">
        <v>0</v>
      </c>
      <c r="BI2598">
        <v>0</v>
      </c>
      <c r="BJ2598">
        <v>0</v>
      </c>
      <c r="BK2598">
        <v>0</v>
      </c>
      <c r="BL2598" s="2">
        <v>24.82</v>
      </c>
      <c r="BM2598" s="2">
        <v>42005.095138888886</v>
      </c>
      <c r="BN2598" s="2">
        <v>5.4</v>
      </c>
      <c r="BO2598" s="2">
        <v>42005.092361111114</v>
      </c>
      <c r="BP2598" s="2">
        <v>6.92</v>
      </c>
      <c r="BQ2598" s="2">
        <v>42005.092361111114</v>
      </c>
      <c r="BR2598" s="2">
        <v>11.07</v>
      </c>
      <c r="BS2598" s="2">
        <v>42005.092361111114</v>
      </c>
      <c r="BT2598">
        <v>0</v>
      </c>
      <c r="BU2598">
        <v>0</v>
      </c>
      <c r="BV2598" t="s">
        <v>135</v>
      </c>
      <c r="BW2598">
        <v>0</v>
      </c>
      <c r="BX2598">
        <v>0</v>
      </c>
      <c r="BY2598" t="s">
        <v>135</v>
      </c>
      <c r="BZ2598">
        <v>0</v>
      </c>
      <c r="CA2598">
        <v>0</v>
      </c>
      <c r="CB2598" t="s">
        <v>135</v>
      </c>
      <c r="CH2598" s="2"/>
      <c r="CJ2598" s="2"/>
      <c r="CL2598" s="2"/>
      <c r="CN2598" s="2"/>
      <c r="CQ2598" s="2"/>
      <c r="CT2598" s="2"/>
      <c r="CW2598" s="2"/>
    </row>
    <row r="2599" spans="1:101" x14ac:dyDescent="0.25">
      <c r="A2599" s="1" t="s">
        <v>163</v>
      </c>
      <c r="B2599" s="75" t="s">
        <v>164</v>
      </c>
      <c r="C2599">
        <v>0</v>
      </c>
      <c r="D2599">
        <v>0</v>
      </c>
      <c r="E2599">
        <v>0</v>
      </c>
      <c r="F2599">
        <v>604324.56000000006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3.91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7490</v>
      </c>
      <c r="AW2599">
        <v>3350</v>
      </c>
      <c r="AX2599">
        <v>1219</v>
      </c>
      <c r="AY2599">
        <v>12059</v>
      </c>
      <c r="AZ2599">
        <v>4202</v>
      </c>
      <c r="BA2599">
        <v>7438</v>
      </c>
      <c r="BB2599">
        <v>1432</v>
      </c>
      <c r="BC2599">
        <v>13072</v>
      </c>
      <c r="BD2599">
        <v>9486</v>
      </c>
      <c r="BE2599">
        <v>9222</v>
      </c>
      <c r="BF2599">
        <v>1768</v>
      </c>
      <c r="BG2599">
        <v>20476</v>
      </c>
      <c r="BH2599">
        <v>0</v>
      </c>
      <c r="BI2599">
        <v>0</v>
      </c>
      <c r="BJ2599">
        <v>0</v>
      </c>
      <c r="BK2599">
        <v>0</v>
      </c>
      <c r="BL2599" s="2">
        <v>24.82</v>
      </c>
      <c r="BM2599" s="2">
        <v>42005.095138888886</v>
      </c>
      <c r="BN2599" s="2">
        <v>5.4</v>
      </c>
      <c r="BO2599" s="2">
        <v>42005.092361111114</v>
      </c>
      <c r="BP2599" s="2">
        <v>6.92</v>
      </c>
      <c r="BQ2599" s="2">
        <v>42005.092361111114</v>
      </c>
      <c r="BR2599" s="2">
        <v>11.07</v>
      </c>
      <c r="BS2599" s="2">
        <v>42005.092361111114</v>
      </c>
      <c r="BT2599">
        <v>0</v>
      </c>
      <c r="BU2599">
        <v>0</v>
      </c>
      <c r="BV2599" t="s">
        <v>135</v>
      </c>
      <c r="BW2599">
        <v>0</v>
      </c>
      <c r="BX2599">
        <v>0</v>
      </c>
      <c r="BY2599" t="s">
        <v>135</v>
      </c>
      <c r="BZ2599">
        <v>0</v>
      </c>
      <c r="CA2599">
        <v>0</v>
      </c>
      <c r="CB2599" t="s">
        <v>135</v>
      </c>
      <c r="CH2599" s="2"/>
      <c r="CJ2599" s="2"/>
      <c r="CL2599" s="2"/>
      <c r="CN2599" s="2"/>
      <c r="CQ2599" s="2"/>
      <c r="CT2599" s="2"/>
      <c r="CW2599" s="2"/>
    </row>
    <row r="2600" spans="1:101" x14ac:dyDescent="0.25">
      <c r="A2600" s="1" t="s">
        <v>163</v>
      </c>
      <c r="B2600" s="75" t="s">
        <v>164</v>
      </c>
      <c r="C2600">
        <v>0</v>
      </c>
      <c r="D2600">
        <v>0</v>
      </c>
      <c r="E2600">
        <v>0</v>
      </c>
      <c r="F2600">
        <v>604324.56000000006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3.91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7490</v>
      </c>
      <c r="AW2600">
        <v>3350</v>
      </c>
      <c r="AX2600">
        <v>1219</v>
      </c>
      <c r="AY2600">
        <v>12059</v>
      </c>
      <c r="AZ2600">
        <v>4202</v>
      </c>
      <c r="BA2600">
        <v>7438</v>
      </c>
      <c r="BB2600">
        <v>1432</v>
      </c>
      <c r="BC2600">
        <v>13072</v>
      </c>
      <c r="BD2600">
        <v>9486</v>
      </c>
      <c r="BE2600">
        <v>9222</v>
      </c>
      <c r="BF2600">
        <v>1768</v>
      </c>
      <c r="BG2600">
        <v>20476</v>
      </c>
      <c r="BH2600">
        <v>0</v>
      </c>
      <c r="BI2600">
        <v>0</v>
      </c>
      <c r="BJ2600">
        <v>0</v>
      </c>
      <c r="BK2600">
        <v>0</v>
      </c>
      <c r="BL2600" s="2">
        <v>24.82</v>
      </c>
      <c r="BM2600" s="2">
        <v>42005.095138888886</v>
      </c>
      <c r="BN2600" s="2">
        <v>5.4</v>
      </c>
      <c r="BO2600" s="2">
        <v>42005.092361111114</v>
      </c>
      <c r="BP2600" s="2">
        <v>6.92</v>
      </c>
      <c r="BQ2600" s="2">
        <v>42005.092361111114</v>
      </c>
      <c r="BR2600" s="2">
        <v>11.07</v>
      </c>
      <c r="BS2600" s="2">
        <v>42005.092361111114</v>
      </c>
      <c r="BT2600">
        <v>0</v>
      </c>
      <c r="BU2600">
        <v>0</v>
      </c>
      <c r="BV2600" t="s">
        <v>135</v>
      </c>
      <c r="BW2600">
        <v>0</v>
      </c>
      <c r="BX2600">
        <v>0</v>
      </c>
      <c r="BY2600" t="s">
        <v>135</v>
      </c>
      <c r="BZ2600">
        <v>0</v>
      </c>
      <c r="CA2600">
        <v>0</v>
      </c>
      <c r="CB2600" t="s">
        <v>135</v>
      </c>
      <c r="CH2600" s="2"/>
      <c r="CJ2600" s="2"/>
      <c r="CL2600" s="2"/>
      <c r="CN2600" s="2"/>
      <c r="CQ2600" s="2"/>
      <c r="CT2600" s="2"/>
      <c r="CW2600" s="2"/>
    </row>
    <row r="2601" spans="1:101" x14ac:dyDescent="0.25">
      <c r="A2601" s="1" t="s">
        <v>163</v>
      </c>
      <c r="B2601" s="75" t="s">
        <v>164</v>
      </c>
      <c r="C2601">
        <v>0</v>
      </c>
      <c r="D2601">
        <v>0</v>
      </c>
      <c r="E2601">
        <v>0</v>
      </c>
      <c r="F2601">
        <v>604324.56000000006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3.91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7490</v>
      </c>
      <c r="AW2601">
        <v>3350</v>
      </c>
      <c r="AX2601">
        <v>1219</v>
      </c>
      <c r="AY2601">
        <v>12059</v>
      </c>
      <c r="AZ2601">
        <v>4202</v>
      </c>
      <c r="BA2601">
        <v>7438</v>
      </c>
      <c r="BB2601">
        <v>1432</v>
      </c>
      <c r="BC2601">
        <v>13072</v>
      </c>
      <c r="BD2601">
        <v>9486</v>
      </c>
      <c r="BE2601">
        <v>9222</v>
      </c>
      <c r="BF2601">
        <v>1768</v>
      </c>
      <c r="BG2601">
        <v>20476</v>
      </c>
      <c r="BH2601">
        <v>0</v>
      </c>
      <c r="BI2601">
        <v>0</v>
      </c>
      <c r="BJ2601">
        <v>0</v>
      </c>
      <c r="BK2601">
        <v>0</v>
      </c>
      <c r="BL2601" s="2">
        <v>24.82</v>
      </c>
      <c r="BM2601" s="2">
        <v>42005.095138888886</v>
      </c>
      <c r="BN2601" s="2">
        <v>5.4</v>
      </c>
      <c r="BO2601" s="2">
        <v>42005.092361111114</v>
      </c>
      <c r="BP2601" s="2">
        <v>6.92</v>
      </c>
      <c r="BQ2601" s="2">
        <v>42005.092361111114</v>
      </c>
      <c r="BR2601" s="2">
        <v>11.07</v>
      </c>
      <c r="BS2601" s="2">
        <v>42005.092361111114</v>
      </c>
      <c r="BT2601">
        <v>0</v>
      </c>
      <c r="BU2601">
        <v>0</v>
      </c>
      <c r="BV2601" t="s">
        <v>135</v>
      </c>
      <c r="BW2601">
        <v>0</v>
      </c>
      <c r="BX2601">
        <v>0</v>
      </c>
      <c r="BY2601" t="s">
        <v>135</v>
      </c>
      <c r="BZ2601">
        <v>0</v>
      </c>
      <c r="CA2601">
        <v>0</v>
      </c>
      <c r="CB2601" t="s">
        <v>135</v>
      </c>
      <c r="CH2601" s="2"/>
      <c r="CJ2601" s="2"/>
      <c r="CL2601" s="2"/>
      <c r="CN2601" s="2"/>
      <c r="CQ2601" s="2"/>
      <c r="CT2601" s="2"/>
      <c r="CW2601" s="2"/>
    </row>
    <row r="2602" spans="1:101" x14ac:dyDescent="0.25">
      <c r="A2602" s="1" t="s">
        <v>163</v>
      </c>
      <c r="B2602" s="75" t="s">
        <v>164</v>
      </c>
      <c r="C2602">
        <v>0</v>
      </c>
      <c r="D2602">
        <v>0</v>
      </c>
      <c r="E2602">
        <v>0</v>
      </c>
      <c r="F2602">
        <v>604324.56000000006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3.91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7490</v>
      </c>
      <c r="AW2602">
        <v>3350</v>
      </c>
      <c r="AX2602">
        <v>1219</v>
      </c>
      <c r="AY2602">
        <v>12059</v>
      </c>
      <c r="AZ2602">
        <v>4202</v>
      </c>
      <c r="BA2602">
        <v>7438</v>
      </c>
      <c r="BB2602">
        <v>1432</v>
      </c>
      <c r="BC2602">
        <v>13072</v>
      </c>
      <c r="BD2602">
        <v>9486</v>
      </c>
      <c r="BE2602">
        <v>9222</v>
      </c>
      <c r="BF2602">
        <v>1768</v>
      </c>
      <c r="BG2602">
        <v>20476</v>
      </c>
      <c r="BH2602">
        <v>0</v>
      </c>
      <c r="BI2602">
        <v>0</v>
      </c>
      <c r="BJ2602">
        <v>0</v>
      </c>
      <c r="BK2602">
        <v>0</v>
      </c>
      <c r="BL2602" s="2">
        <v>24.82</v>
      </c>
      <c r="BM2602" s="2">
        <v>42005.095138888886</v>
      </c>
      <c r="BN2602" s="2">
        <v>5.4</v>
      </c>
      <c r="BO2602" s="2">
        <v>42005.092361111114</v>
      </c>
      <c r="BP2602" s="2">
        <v>6.92</v>
      </c>
      <c r="BQ2602" s="2">
        <v>42005.092361111114</v>
      </c>
      <c r="BR2602" s="2">
        <v>11.07</v>
      </c>
      <c r="BS2602" s="2">
        <v>42005.092361111114</v>
      </c>
      <c r="BT2602">
        <v>0</v>
      </c>
      <c r="BU2602">
        <v>0</v>
      </c>
      <c r="BV2602" t="s">
        <v>135</v>
      </c>
      <c r="BW2602">
        <v>0</v>
      </c>
      <c r="BX2602">
        <v>0</v>
      </c>
      <c r="BY2602" t="s">
        <v>135</v>
      </c>
      <c r="BZ2602">
        <v>0</v>
      </c>
      <c r="CA2602">
        <v>0</v>
      </c>
      <c r="CB2602" t="s">
        <v>135</v>
      </c>
      <c r="CH2602" s="2"/>
      <c r="CJ2602" s="2"/>
      <c r="CL2602" s="2"/>
      <c r="CN2602" s="2"/>
      <c r="CQ2602" s="2"/>
      <c r="CT2602" s="2"/>
      <c r="CW2602" s="2"/>
    </row>
    <row r="2603" spans="1:101" x14ac:dyDescent="0.25">
      <c r="A2603" s="1" t="s">
        <v>163</v>
      </c>
      <c r="B2603" s="75" t="s">
        <v>164</v>
      </c>
      <c r="C2603">
        <v>0</v>
      </c>
      <c r="D2603">
        <v>0</v>
      </c>
      <c r="E2603">
        <v>0</v>
      </c>
      <c r="F2603">
        <v>604324.56000000006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3.91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7490</v>
      </c>
      <c r="AW2603">
        <v>3350</v>
      </c>
      <c r="AX2603">
        <v>1219</v>
      </c>
      <c r="AY2603">
        <v>12059</v>
      </c>
      <c r="AZ2603">
        <v>4202</v>
      </c>
      <c r="BA2603">
        <v>7438</v>
      </c>
      <c r="BB2603">
        <v>1432</v>
      </c>
      <c r="BC2603">
        <v>13072</v>
      </c>
      <c r="BD2603">
        <v>9486</v>
      </c>
      <c r="BE2603">
        <v>9222</v>
      </c>
      <c r="BF2603">
        <v>1768</v>
      </c>
      <c r="BG2603">
        <v>20476</v>
      </c>
      <c r="BH2603">
        <v>0</v>
      </c>
      <c r="BI2603">
        <v>0</v>
      </c>
      <c r="BJ2603">
        <v>0</v>
      </c>
      <c r="BK2603">
        <v>0</v>
      </c>
      <c r="BL2603" s="2">
        <v>24.82</v>
      </c>
      <c r="BM2603" s="2">
        <v>42005.095138888886</v>
      </c>
      <c r="BN2603" s="2">
        <v>5.4</v>
      </c>
      <c r="BO2603" s="2">
        <v>42005.092361111114</v>
      </c>
      <c r="BP2603" s="2">
        <v>6.92</v>
      </c>
      <c r="BQ2603" s="2">
        <v>42005.092361111114</v>
      </c>
      <c r="BR2603" s="2">
        <v>11.07</v>
      </c>
      <c r="BS2603" s="2">
        <v>42005.092361111114</v>
      </c>
      <c r="BT2603">
        <v>0</v>
      </c>
      <c r="BU2603">
        <v>0</v>
      </c>
      <c r="BV2603" t="s">
        <v>135</v>
      </c>
      <c r="BW2603">
        <v>0</v>
      </c>
      <c r="BX2603">
        <v>0</v>
      </c>
      <c r="BY2603" t="s">
        <v>135</v>
      </c>
      <c r="BZ2603">
        <v>0</v>
      </c>
      <c r="CA2603">
        <v>0</v>
      </c>
      <c r="CB2603" t="s">
        <v>135</v>
      </c>
      <c r="CH2603" s="2"/>
      <c r="CJ2603" s="2"/>
      <c r="CL2603" s="2"/>
      <c r="CN2603" s="2"/>
      <c r="CQ2603" s="2"/>
      <c r="CT2603" s="2"/>
      <c r="CW2603" s="2"/>
    </row>
    <row r="2604" spans="1:101" x14ac:dyDescent="0.25">
      <c r="A2604" s="1" t="s">
        <v>163</v>
      </c>
      <c r="B2604" s="75" t="s">
        <v>164</v>
      </c>
      <c r="C2604">
        <v>0</v>
      </c>
      <c r="D2604">
        <v>0</v>
      </c>
      <c r="E2604">
        <v>0</v>
      </c>
      <c r="F2604">
        <v>604324.56000000006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3.91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7490</v>
      </c>
      <c r="AW2604">
        <v>3350</v>
      </c>
      <c r="AX2604">
        <v>1219</v>
      </c>
      <c r="AY2604">
        <v>12059</v>
      </c>
      <c r="AZ2604">
        <v>4202</v>
      </c>
      <c r="BA2604">
        <v>7438</v>
      </c>
      <c r="BB2604">
        <v>1432</v>
      </c>
      <c r="BC2604">
        <v>13072</v>
      </c>
      <c r="BD2604">
        <v>9486</v>
      </c>
      <c r="BE2604">
        <v>9222</v>
      </c>
      <c r="BF2604">
        <v>1768</v>
      </c>
      <c r="BG2604">
        <v>20476</v>
      </c>
      <c r="BH2604">
        <v>0</v>
      </c>
      <c r="BI2604">
        <v>0</v>
      </c>
      <c r="BJ2604">
        <v>0</v>
      </c>
      <c r="BK2604">
        <v>0</v>
      </c>
      <c r="BL2604" s="2">
        <v>24.82</v>
      </c>
      <c r="BM2604" s="2">
        <v>42005.095138888886</v>
      </c>
      <c r="BN2604" s="2">
        <v>5.4</v>
      </c>
      <c r="BO2604" s="2">
        <v>42005.092361111114</v>
      </c>
      <c r="BP2604" s="2">
        <v>6.92</v>
      </c>
      <c r="BQ2604" s="2">
        <v>42005.092361111114</v>
      </c>
      <c r="BR2604" s="2">
        <v>11.07</v>
      </c>
      <c r="BS2604" s="2">
        <v>42005.092361111114</v>
      </c>
      <c r="BT2604">
        <v>0</v>
      </c>
      <c r="BU2604">
        <v>0</v>
      </c>
      <c r="BV2604" t="s">
        <v>135</v>
      </c>
      <c r="BW2604">
        <v>0</v>
      </c>
      <c r="BX2604">
        <v>0</v>
      </c>
      <c r="BY2604" t="s">
        <v>135</v>
      </c>
      <c r="BZ2604">
        <v>0</v>
      </c>
      <c r="CA2604">
        <v>0</v>
      </c>
      <c r="CB2604" t="s">
        <v>135</v>
      </c>
      <c r="CH2604" s="2"/>
      <c r="CJ2604" s="2"/>
      <c r="CL2604" s="2"/>
      <c r="CN2604" s="2"/>
      <c r="CQ2604" s="2"/>
      <c r="CT2604" s="2"/>
      <c r="CW2604" s="2"/>
    </row>
    <row r="2605" spans="1:101" x14ac:dyDescent="0.25">
      <c r="A2605" s="1" t="s">
        <v>163</v>
      </c>
      <c r="B2605" s="75" t="s">
        <v>164</v>
      </c>
      <c r="C2605">
        <v>0</v>
      </c>
      <c r="D2605">
        <v>0</v>
      </c>
      <c r="E2605">
        <v>0</v>
      </c>
      <c r="F2605">
        <v>604324.56000000006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3.91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7490</v>
      </c>
      <c r="AW2605">
        <v>3350</v>
      </c>
      <c r="AX2605">
        <v>1219</v>
      </c>
      <c r="AY2605">
        <v>12059</v>
      </c>
      <c r="AZ2605">
        <v>4202</v>
      </c>
      <c r="BA2605">
        <v>7438</v>
      </c>
      <c r="BB2605">
        <v>1432</v>
      </c>
      <c r="BC2605">
        <v>13072</v>
      </c>
      <c r="BD2605">
        <v>9486</v>
      </c>
      <c r="BE2605">
        <v>9222</v>
      </c>
      <c r="BF2605">
        <v>1768</v>
      </c>
      <c r="BG2605">
        <v>20476</v>
      </c>
      <c r="BH2605">
        <v>0</v>
      </c>
      <c r="BI2605">
        <v>0</v>
      </c>
      <c r="BJ2605">
        <v>0</v>
      </c>
      <c r="BK2605">
        <v>0</v>
      </c>
      <c r="BL2605" s="2">
        <v>24.82</v>
      </c>
      <c r="BM2605" s="2">
        <v>42005.095138888886</v>
      </c>
      <c r="BN2605" s="2">
        <v>5.4</v>
      </c>
      <c r="BO2605" s="2">
        <v>42005.092361111114</v>
      </c>
      <c r="BP2605" s="2">
        <v>6.92</v>
      </c>
      <c r="BQ2605" s="2">
        <v>42005.092361111114</v>
      </c>
      <c r="BR2605" s="2">
        <v>11.07</v>
      </c>
      <c r="BS2605" s="2">
        <v>42005.092361111114</v>
      </c>
      <c r="BT2605">
        <v>0</v>
      </c>
      <c r="BU2605">
        <v>0</v>
      </c>
      <c r="BV2605" t="s">
        <v>135</v>
      </c>
      <c r="BW2605">
        <v>0</v>
      </c>
      <c r="BX2605">
        <v>0</v>
      </c>
      <c r="BY2605" t="s">
        <v>135</v>
      </c>
      <c r="BZ2605">
        <v>0</v>
      </c>
      <c r="CA2605">
        <v>0</v>
      </c>
      <c r="CB2605" t="s">
        <v>135</v>
      </c>
      <c r="CH2605" s="2"/>
      <c r="CJ2605" s="2"/>
      <c r="CL2605" s="2"/>
      <c r="CN2605" s="2"/>
      <c r="CQ2605" s="2"/>
      <c r="CT2605" s="2"/>
      <c r="CW2605" s="2"/>
    </row>
    <row r="2606" spans="1:101" x14ac:dyDescent="0.25">
      <c r="A2606" s="1" t="s">
        <v>163</v>
      </c>
      <c r="B2606" s="75" t="s">
        <v>164</v>
      </c>
      <c r="C2606">
        <v>0</v>
      </c>
      <c r="D2606">
        <v>0</v>
      </c>
      <c r="E2606">
        <v>0</v>
      </c>
      <c r="F2606">
        <v>604324.56000000006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3.91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7490</v>
      </c>
      <c r="AW2606">
        <v>3350</v>
      </c>
      <c r="AX2606">
        <v>1219</v>
      </c>
      <c r="AY2606">
        <v>12059</v>
      </c>
      <c r="AZ2606">
        <v>4202</v>
      </c>
      <c r="BA2606">
        <v>7438</v>
      </c>
      <c r="BB2606">
        <v>1432</v>
      </c>
      <c r="BC2606">
        <v>13072</v>
      </c>
      <c r="BD2606">
        <v>9486</v>
      </c>
      <c r="BE2606">
        <v>9222</v>
      </c>
      <c r="BF2606">
        <v>1768</v>
      </c>
      <c r="BG2606">
        <v>20476</v>
      </c>
      <c r="BH2606">
        <v>0</v>
      </c>
      <c r="BI2606">
        <v>0</v>
      </c>
      <c r="BJ2606">
        <v>0</v>
      </c>
      <c r="BK2606">
        <v>0</v>
      </c>
      <c r="BL2606" s="2">
        <v>24.82</v>
      </c>
      <c r="BM2606" s="2">
        <v>42005.095138888886</v>
      </c>
      <c r="BN2606" s="2">
        <v>5.4</v>
      </c>
      <c r="BO2606" s="2">
        <v>42005.092361111114</v>
      </c>
      <c r="BP2606" s="2">
        <v>6.92</v>
      </c>
      <c r="BQ2606" s="2">
        <v>42005.092361111114</v>
      </c>
      <c r="BR2606" s="2">
        <v>11.07</v>
      </c>
      <c r="BS2606" s="2">
        <v>42005.092361111114</v>
      </c>
      <c r="BT2606">
        <v>0</v>
      </c>
      <c r="BU2606">
        <v>0</v>
      </c>
      <c r="BV2606" t="s">
        <v>135</v>
      </c>
      <c r="BW2606">
        <v>0</v>
      </c>
      <c r="BX2606">
        <v>0</v>
      </c>
      <c r="BY2606" t="s">
        <v>135</v>
      </c>
      <c r="BZ2606">
        <v>0</v>
      </c>
      <c r="CA2606">
        <v>0</v>
      </c>
      <c r="CB2606" t="s">
        <v>135</v>
      </c>
      <c r="CH2606" s="2"/>
      <c r="CJ2606" s="2"/>
      <c r="CL2606" s="2"/>
      <c r="CN2606" s="2"/>
      <c r="CQ2606" s="2"/>
      <c r="CT2606" s="2"/>
      <c r="CW2606" s="2"/>
    </row>
    <row r="2607" spans="1:101" x14ac:dyDescent="0.25">
      <c r="A2607" s="1" t="s">
        <v>163</v>
      </c>
      <c r="B2607" s="75" t="s">
        <v>164</v>
      </c>
      <c r="C2607">
        <v>0</v>
      </c>
      <c r="D2607">
        <v>0</v>
      </c>
      <c r="E2607">
        <v>0</v>
      </c>
      <c r="F2607">
        <v>604324.56000000006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3.91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7490</v>
      </c>
      <c r="AW2607">
        <v>3350</v>
      </c>
      <c r="AX2607">
        <v>1219</v>
      </c>
      <c r="AY2607">
        <v>12059</v>
      </c>
      <c r="AZ2607">
        <v>4202</v>
      </c>
      <c r="BA2607">
        <v>7438</v>
      </c>
      <c r="BB2607">
        <v>1432</v>
      </c>
      <c r="BC2607">
        <v>13072</v>
      </c>
      <c r="BD2607">
        <v>9486</v>
      </c>
      <c r="BE2607">
        <v>9222</v>
      </c>
      <c r="BF2607">
        <v>1768</v>
      </c>
      <c r="BG2607">
        <v>20476</v>
      </c>
      <c r="BH2607">
        <v>0</v>
      </c>
      <c r="BI2607">
        <v>0</v>
      </c>
      <c r="BJ2607">
        <v>0</v>
      </c>
      <c r="BK2607">
        <v>0</v>
      </c>
      <c r="BL2607" s="2">
        <v>24.82</v>
      </c>
      <c r="BM2607" s="2">
        <v>42005.095138888886</v>
      </c>
      <c r="BN2607" s="2">
        <v>5.4</v>
      </c>
      <c r="BO2607" s="2">
        <v>42005.092361111114</v>
      </c>
      <c r="BP2607" s="2">
        <v>6.92</v>
      </c>
      <c r="BQ2607" s="2">
        <v>42005.092361111114</v>
      </c>
      <c r="BR2607" s="2">
        <v>11.07</v>
      </c>
      <c r="BS2607" s="2">
        <v>42005.092361111114</v>
      </c>
      <c r="BT2607">
        <v>0</v>
      </c>
      <c r="BU2607">
        <v>0</v>
      </c>
      <c r="BV2607" t="s">
        <v>135</v>
      </c>
      <c r="BW2607">
        <v>0</v>
      </c>
      <c r="BX2607">
        <v>0</v>
      </c>
      <c r="BY2607" t="s">
        <v>135</v>
      </c>
      <c r="BZ2607">
        <v>0</v>
      </c>
      <c r="CA2607">
        <v>0</v>
      </c>
      <c r="CB2607" t="s">
        <v>135</v>
      </c>
      <c r="CH2607" s="2"/>
      <c r="CJ2607" s="2"/>
      <c r="CL2607" s="2"/>
      <c r="CN2607" s="2"/>
      <c r="CQ2607" s="2"/>
      <c r="CT2607" s="2"/>
      <c r="CW2607" s="2"/>
    </row>
    <row r="2608" spans="1:101" x14ac:dyDescent="0.25">
      <c r="A2608" s="1" t="s">
        <v>163</v>
      </c>
      <c r="B2608" s="75" t="s">
        <v>164</v>
      </c>
      <c r="C2608">
        <v>0</v>
      </c>
      <c r="D2608">
        <v>0</v>
      </c>
      <c r="E2608">
        <v>0</v>
      </c>
      <c r="F2608">
        <v>604324.56000000006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3.91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7490</v>
      </c>
      <c r="AW2608">
        <v>3350</v>
      </c>
      <c r="AX2608">
        <v>1219</v>
      </c>
      <c r="AY2608">
        <v>12059</v>
      </c>
      <c r="AZ2608">
        <v>4202</v>
      </c>
      <c r="BA2608">
        <v>7438</v>
      </c>
      <c r="BB2608">
        <v>1432</v>
      </c>
      <c r="BC2608">
        <v>13072</v>
      </c>
      <c r="BD2608">
        <v>9486</v>
      </c>
      <c r="BE2608">
        <v>9222</v>
      </c>
      <c r="BF2608">
        <v>1768</v>
      </c>
      <c r="BG2608">
        <v>20476</v>
      </c>
      <c r="BH2608">
        <v>0</v>
      </c>
      <c r="BI2608">
        <v>0</v>
      </c>
      <c r="BJ2608">
        <v>0</v>
      </c>
      <c r="BK2608">
        <v>0</v>
      </c>
      <c r="BL2608" s="2">
        <v>24.82</v>
      </c>
      <c r="BM2608" s="2">
        <v>42005.095138888886</v>
      </c>
      <c r="BN2608" s="2">
        <v>5.4</v>
      </c>
      <c r="BO2608" s="2">
        <v>42005.092361111114</v>
      </c>
      <c r="BP2608" s="2">
        <v>6.92</v>
      </c>
      <c r="BQ2608" s="2">
        <v>42005.092361111114</v>
      </c>
      <c r="BR2608" s="2">
        <v>11.07</v>
      </c>
      <c r="BS2608" s="2">
        <v>42005.092361111114</v>
      </c>
      <c r="BT2608">
        <v>0</v>
      </c>
      <c r="BU2608">
        <v>0</v>
      </c>
      <c r="BV2608" t="s">
        <v>135</v>
      </c>
      <c r="BW2608">
        <v>0</v>
      </c>
      <c r="BX2608">
        <v>0</v>
      </c>
      <c r="BY2608" t="s">
        <v>135</v>
      </c>
      <c r="BZ2608">
        <v>0</v>
      </c>
      <c r="CA2608">
        <v>0</v>
      </c>
      <c r="CB2608" t="s">
        <v>135</v>
      </c>
      <c r="CH2608" s="2"/>
      <c r="CJ2608" s="2"/>
      <c r="CL2608" s="2"/>
      <c r="CN2608" s="2"/>
      <c r="CQ2608" s="2"/>
      <c r="CT2608" s="2"/>
      <c r="CW2608" s="2"/>
    </row>
    <row r="2609" spans="1:101" x14ac:dyDescent="0.25">
      <c r="A2609" s="1" t="s">
        <v>163</v>
      </c>
      <c r="B2609" s="75" t="s">
        <v>164</v>
      </c>
      <c r="C2609">
        <v>0</v>
      </c>
      <c r="D2609">
        <v>0</v>
      </c>
      <c r="E2609">
        <v>0</v>
      </c>
      <c r="F2609">
        <v>604324.56000000006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3.91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7490</v>
      </c>
      <c r="AW2609">
        <v>3350</v>
      </c>
      <c r="AX2609">
        <v>1219</v>
      </c>
      <c r="AY2609">
        <v>12059</v>
      </c>
      <c r="AZ2609">
        <v>4202</v>
      </c>
      <c r="BA2609">
        <v>7438</v>
      </c>
      <c r="BB2609">
        <v>1432</v>
      </c>
      <c r="BC2609">
        <v>13072</v>
      </c>
      <c r="BD2609">
        <v>9486</v>
      </c>
      <c r="BE2609">
        <v>9222</v>
      </c>
      <c r="BF2609">
        <v>1768</v>
      </c>
      <c r="BG2609">
        <v>20476</v>
      </c>
      <c r="BH2609">
        <v>0</v>
      </c>
      <c r="BI2609">
        <v>0</v>
      </c>
      <c r="BJ2609">
        <v>0</v>
      </c>
      <c r="BK2609">
        <v>0</v>
      </c>
      <c r="BL2609" s="2">
        <v>24.82</v>
      </c>
      <c r="BM2609" s="2">
        <v>42005.095138888886</v>
      </c>
      <c r="BN2609" s="2">
        <v>5.4</v>
      </c>
      <c r="BO2609" s="2">
        <v>42005.092361111114</v>
      </c>
      <c r="BP2609" s="2">
        <v>6.92</v>
      </c>
      <c r="BQ2609" s="2">
        <v>42005.092361111114</v>
      </c>
      <c r="BR2609" s="2">
        <v>11.07</v>
      </c>
      <c r="BS2609" s="2">
        <v>42005.092361111114</v>
      </c>
      <c r="BT2609">
        <v>0</v>
      </c>
      <c r="BU2609">
        <v>0</v>
      </c>
      <c r="BV2609" t="s">
        <v>135</v>
      </c>
      <c r="BW2609">
        <v>0</v>
      </c>
      <c r="BX2609">
        <v>0</v>
      </c>
      <c r="BY2609" t="s">
        <v>135</v>
      </c>
      <c r="BZ2609">
        <v>0</v>
      </c>
      <c r="CA2609">
        <v>0</v>
      </c>
      <c r="CB2609" t="s">
        <v>135</v>
      </c>
      <c r="CH2609" s="2"/>
      <c r="CJ2609" s="2"/>
      <c r="CL2609" s="2"/>
      <c r="CN2609" s="2"/>
      <c r="CQ2609" s="2"/>
      <c r="CT2609" s="2"/>
      <c r="CW2609" s="2"/>
    </row>
    <row r="2610" spans="1:101" x14ac:dyDescent="0.25">
      <c r="A2610" s="1" t="s">
        <v>163</v>
      </c>
      <c r="B2610" s="75" t="s">
        <v>164</v>
      </c>
      <c r="C2610">
        <v>0</v>
      </c>
      <c r="D2610">
        <v>0</v>
      </c>
      <c r="E2610">
        <v>0</v>
      </c>
      <c r="F2610">
        <v>604324.56000000006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3.91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7490</v>
      </c>
      <c r="AW2610">
        <v>3350</v>
      </c>
      <c r="AX2610">
        <v>1219</v>
      </c>
      <c r="AY2610">
        <v>12059</v>
      </c>
      <c r="AZ2610">
        <v>4202</v>
      </c>
      <c r="BA2610">
        <v>7438</v>
      </c>
      <c r="BB2610">
        <v>1432</v>
      </c>
      <c r="BC2610">
        <v>13072</v>
      </c>
      <c r="BD2610">
        <v>9486</v>
      </c>
      <c r="BE2610">
        <v>9222</v>
      </c>
      <c r="BF2610">
        <v>1768</v>
      </c>
      <c r="BG2610">
        <v>20476</v>
      </c>
      <c r="BH2610">
        <v>0</v>
      </c>
      <c r="BI2610">
        <v>0</v>
      </c>
      <c r="BJ2610">
        <v>0</v>
      </c>
      <c r="BK2610">
        <v>0</v>
      </c>
      <c r="BL2610" s="2">
        <v>24.82</v>
      </c>
      <c r="BM2610" s="2">
        <v>42005.095138888886</v>
      </c>
      <c r="BN2610" s="2">
        <v>5.4</v>
      </c>
      <c r="BO2610" s="2">
        <v>42005.092361111114</v>
      </c>
      <c r="BP2610" s="2">
        <v>6.92</v>
      </c>
      <c r="BQ2610" s="2">
        <v>42005.092361111114</v>
      </c>
      <c r="BR2610" s="2">
        <v>11.07</v>
      </c>
      <c r="BS2610" s="2">
        <v>42005.092361111114</v>
      </c>
      <c r="BT2610">
        <v>0</v>
      </c>
      <c r="BU2610">
        <v>0</v>
      </c>
      <c r="BV2610" t="s">
        <v>135</v>
      </c>
      <c r="BW2610">
        <v>0</v>
      </c>
      <c r="BX2610">
        <v>0</v>
      </c>
      <c r="BY2610" t="s">
        <v>135</v>
      </c>
      <c r="BZ2610">
        <v>0</v>
      </c>
      <c r="CA2610">
        <v>0</v>
      </c>
      <c r="CB2610" t="s">
        <v>135</v>
      </c>
      <c r="CH2610" s="2"/>
      <c r="CJ2610" s="2"/>
      <c r="CL2610" s="2"/>
      <c r="CN2610" s="2"/>
      <c r="CQ2610" s="2"/>
      <c r="CT2610" s="2"/>
      <c r="CW2610" s="2"/>
    </row>
    <row r="2611" spans="1:101" x14ac:dyDescent="0.25">
      <c r="A2611" s="1" t="s">
        <v>163</v>
      </c>
      <c r="B2611" s="75" t="s">
        <v>164</v>
      </c>
      <c r="C2611">
        <v>0</v>
      </c>
      <c r="D2611">
        <v>0</v>
      </c>
      <c r="E2611">
        <v>0</v>
      </c>
      <c r="F2611">
        <v>604324.56000000006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3.91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7490</v>
      </c>
      <c r="AW2611">
        <v>3350</v>
      </c>
      <c r="AX2611">
        <v>1219</v>
      </c>
      <c r="AY2611">
        <v>12059</v>
      </c>
      <c r="AZ2611">
        <v>4202</v>
      </c>
      <c r="BA2611">
        <v>7438</v>
      </c>
      <c r="BB2611">
        <v>1432</v>
      </c>
      <c r="BC2611">
        <v>13072</v>
      </c>
      <c r="BD2611">
        <v>9486</v>
      </c>
      <c r="BE2611">
        <v>9222</v>
      </c>
      <c r="BF2611">
        <v>1768</v>
      </c>
      <c r="BG2611">
        <v>20476</v>
      </c>
      <c r="BH2611">
        <v>0</v>
      </c>
      <c r="BI2611">
        <v>0</v>
      </c>
      <c r="BJ2611">
        <v>0</v>
      </c>
      <c r="BK2611">
        <v>0</v>
      </c>
      <c r="BL2611" s="2">
        <v>24.82</v>
      </c>
      <c r="BM2611" s="2">
        <v>42005.095138888886</v>
      </c>
      <c r="BN2611" s="2">
        <v>5.4</v>
      </c>
      <c r="BO2611" s="2">
        <v>42005.092361111114</v>
      </c>
      <c r="BP2611" s="2">
        <v>6.92</v>
      </c>
      <c r="BQ2611" s="2">
        <v>42005.092361111114</v>
      </c>
      <c r="BR2611" s="2">
        <v>11.07</v>
      </c>
      <c r="BS2611" s="2">
        <v>42005.092361111114</v>
      </c>
      <c r="BT2611">
        <v>0</v>
      </c>
      <c r="BU2611">
        <v>0</v>
      </c>
      <c r="BV2611" t="s">
        <v>135</v>
      </c>
      <c r="BW2611">
        <v>0</v>
      </c>
      <c r="BX2611">
        <v>0</v>
      </c>
      <c r="BY2611" t="s">
        <v>135</v>
      </c>
      <c r="BZ2611">
        <v>0</v>
      </c>
      <c r="CA2611">
        <v>0</v>
      </c>
      <c r="CB2611" t="s">
        <v>135</v>
      </c>
      <c r="CH2611" s="2"/>
      <c r="CJ2611" s="2"/>
      <c r="CL2611" s="2"/>
      <c r="CN2611" s="2"/>
      <c r="CQ2611" s="2"/>
      <c r="CT2611" s="2"/>
      <c r="CW2611" s="2"/>
    </row>
    <row r="2612" spans="1:101" x14ac:dyDescent="0.25">
      <c r="A2612" s="1" t="s">
        <v>163</v>
      </c>
      <c r="B2612" s="75" t="s">
        <v>164</v>
      </c>
      <c r="C2612">
        <v>0</v>
      </c>
      <c r="D2612">
        <v>0</v>
      </c>
      <c r="E2612">
        <v>0</v>
      </c>
      <c r="F2612">
        <v>604324.56000000006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3.91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7490</v>
      </c>
      <c r="AW2612">
        <v>3350</v>
      </c>
      <c r="AX2612">
        <v>1219</v>
      </c>
      <c r="AY2612">
        <v>12059</v>
      </c>
      <c r="AZ2612">
        <v>4202</v>
      </c>
      <c r="BA2612">
        <v>7438</v>
      </c>
      <c r="BB2612">
        <v>1432</v>
      </c>
      <c r="BC2612">
        <v>13072</v>
      </c>
      <c r="BD2612">
        <v>9486</v>
      </c>
      <c r="BE2612">
        <v>9222</v>
      </c>
      <c r="BF2612">
        <v>1768</v>
      </c>
      <c r="BG2612">
        <v>20476</v>
      </c>
      <c r="BH2612">
        <v>0</v>
      </c>
      <c r="BI2612">
        <v>0</v>
      </c>
      <c r="BJ2612">
        <v>0</v>
      </c>
      <c r="BK2612">
        <v>0</v>
      </c>
      <c r="BL2612" s="2">
        <v>24.82</v>
      </c>
      <c r="BM2612" s="2">
        <v>42005.095138888886</v>
      </c>
      <c r="BN2612" s="2">
        <v>5.4</v>
      </c>
      <c r="BO2612" s="2">
        <v>42005.092361111114</v>
      </c>
      <c r="BP2612" s="2">
        <v>6.92</v>
      </c>
      <c r="BQ2612" s="2">
        <v>42005.092361111114</v>
      </c>
      <c r="BR2612" s="2">
        <v>11.07</v>
      </c>
      <c r="BS2612" s="2">
        <v>42005.092361111114</v>
      </c>
      <c r="BT2612">
        <v>0</v>
      </c>
      <c r="BU2612">
        <v>0</v>
      </c>
      <c r="BV2612" t="s">
        <v>135</v>
      </c>
      <c r="BW2612">
        <v>0</v>
      </c>
      <c r="BX2612">
        <v>0</v>
      </c>
      <c r="BY2612" t="s">
        <v>135</v>
      </c>
      <c r="BZ2612">
        <v>0</v>
      </c>
      <c r="CA2612">
        <v>0</v>
      </c>
      <c r="CB2612" t="s">
        <v>135</v>
      </c>
      <c r="CH2612" s="2"/>
      <c r="CJ2612" s="2"/>
      <c r="CL2612" s="2"/>
      <c r="CN2612" s="2"/>
      <c r="CQ2612" s="2"/>
      <c r="CT2612" s="2"/>
      <c r="CW2612" s="2"/>
    </row>
    <row r="2613" spans="1:101" x14ac:dyDescent="0.25">
      <c r="A2613" s="1" t="s">
        <v>163</v>
      </c>
      <c r="B2613" s="75" t="s">
        <v>164</v>
      </c>
      <c r="C2613">
        <v>0</v>
      </c>
      <c r="D2613">
        <v>0</v>
      </c>
      <c r="E2613">
        <v>0</v>
      </c>
      <c r="F2613">
        <v>604324.56000000006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3.91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7490</v>
      </c>
      <c r="AW2613">
        <v>3350</v>
      </c>
      <c r="AX2613">
        <v>1219</v>
      </c>
      <c r="AY2613">
        <v>12059</v>
      </c>
      <c r="AZ2613">
        <v>4202</v>
      </c>
      <c r="BA2613">
        <v>7438</v>
      </c>
      <c r="BB2613">
        <v>1432</v>
      </c>
      <c r="BC2613">
        <v>13072</v>
      </c>
      <c r="BD2613">
        <v>9486</v>
      </c>
      <c r="BE2613">
        <v>9222</v>
      </c>
      <c r="BF2613">
        <v>1768</v>
      </c>
      <c r="BG2613">
        <v>20476</v>
      </c>
      <c r="BH2613">
        <v>0</v>
      </c>
      <c r="BI2613">
        <v>0</v>
      </c>
      <c r="BJ2613">
        <v>0</v>
      </c>
      <c r="BK2613">
        <v>0</v>
      </c>
      <c r="BL2613" s="2">
        <v>24.82</v>
      </c>
      <c r="BM2613" s="2">
        <v>42005.095138888886</v>
      </c>
      <c r="BN2613" s="2">
        <v>5.4</v>
      </c>
      <c r="BO2613" s="2">
        <v>42005.092361111114</v>
      </c>
      <c r="BP2613" s="2">
        <v>6.92</v>
      </c>
      <c r="BQ2613" s="2">
        <v>42005.092361111114</v>
      </c>
      <c r="BR2613" s="2">
        <v>11.07</v>
      </c>
      <c r="BS2613" s="2">
        <v>42005.092361111114</v>
      </c>
      <c r="BT2613">
        <v>0</v>
      </c>
      <c r="BU2613">
        <v>0</v>
      </c>
      <c r="BV2613" t="s">
        <v>135</v>
      </c>
      <c r="BW2613">
        <v>0</v>
      </c>
      <c r="BX2613">
        <v>0</v>
      </c>
      <c r="BY2613" t="s">
        <v>135</v>
      </c>
      <c r="BZ2613">
        <v>0</v>
      </c>
      <c r="CA2613">
        <v>0</v>
      </c>
      <c r="CB2613" t="s">
        <v>135</v>
      </c>
      <c r="CH2613" s="2"/>
      <c r="CJ2613" s="2"/>
      <c r="CL2613" s="2"/>
      <c r="CN2613" s="2"/>
      <c r="CQ2613" s="2"/>
      <c r="CT2613" s="2"/>
      <c r="CW2613" s="2"/>
    </row>
    <row r="2614" spans="1:101" x14ac:dyDescent="0.25">
      <c r="A2614" s="1" t="s">
        <v>163</v>
      </c>
      <c r="B2614" s="75" t="s">
        <v>164</v>
      </c>
      <c r="C2614">
        <v>0</v>
      </c>
      <c r="D2614">
        <v>0</v>
      </c>
      <c r="E2614">
        <v>0</v>
      </c>
      <c r="F2614">
        <v>604324.56000000006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3.91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7490</v>
      </c>
      <c r="AW2614">
        <v>3350</v>
      </c>
      <c r="AX2614">
        <v>1219</v>
      </c>
      <c r="AY2614">
        <v>12059</v>
      </c>
      <c r="AZ2614">
        <v>4202</v>
      </c>
      <c r="BA2614">
        <v>7438</v>
      </c>
      <c r="BB2614">
        <v>1432</v>
      </c>
      <c r="BC2614">
        <v>13072</v>
      </c>
      <c r="BD2614">
        <v>9486</v>
      </c>
      <c r="BE2614">
        <v>9222</v>
      </c>
      <c r="BF2614">
        <v>1768</v>
      </c>
      <c r="BG2614">
        <v>20476</v>
      </c>
      <c r="BH2614">
        <v>0</v>
      </c>
      <c r="BI2614">
        <v>0</v>
      </c>
      <c r="BJ2614">
        <v>0</v>
      </c>
      <c r="BK2614">
        <v>0</v>
      </c>
      <c r="BL2614" s="2">
        <v>24.82</v>
      </c>
      <c r="BM2614" s="2">
        <v>42005.095138888886</v>
      </c>
      <c r="BN2614" s="2">
        <v>5.4</v>
      </c>
      <c r="BO2614" s="2">
        <v>42005.092361111114</v>
      </c>
      <c r="BP2614" s="2">
        <v>6.92</v>
      </c>
      <c r="BQ2614" s="2">
        <v>42005.092361111114</v>
      </c>
      <c r="BR2614" s="2">
        <v>11.07</v>
      </c>
      <c r="BS2614" s="2">
        <v>42005.092361111114</v>
      </c>
      <c r="BT2614">
        <v>0</v>
      </c>
      <c r="BU2614">
        <v>0</v>
      </c>
      <c r="BV2614" t="s">
        <v>135</v>
      </c>
      <c r="BW2614">
        <v>0</v>
      </c>
      <c r="BX2614">
        <v>0</v>
      </c>
      <c r="BY2614" t="s">
        <v>135</v>
      </c>
      <c r="BZ2614">
        <v>0</v>
      </c>
      <c r="CA2614">
        <v>0</v>
      </c>
      <c r="CB2614" t="s">
        <v>135</v>
      </c>
      <c r="CH2614" s="2"/>
      <c r="CJ2614" s="2"/>
      <c r="CL2614" s="2"/>
      <c r="CN2614" s="2"/>
      <c r="CQ2614" s="2"/>
      <c r="CT2614" s="2"/>
      <c r="CW2614" s="2"/>
    </row>
    <row r="2615" spans="1:101" x14ac:dyDescent="0.25">
      <c r="A2615" s="1" t="s">
        <v>163</v>
      </c>
      <c r="B2615" s="75" t="s">
        <v>164</v>
      </c>
      <c r="C2615">
        <v>0</v>
      </c>
      <c r="D2615">
        <v>0</v>
      </c>
      <c r="E2615">
        <v>0</v>
      </c>
      <c r="F2615">
        <v>604324.56000000006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3.91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7490</v>
      </c>
      <c r="AW2615">
        <v>3350</v>
      </c>
      <c r="AX2615">
        <v>1219</v>
      </c>
      <c r="AY2615">
        <v>12059</v>
      </c>
      <c r="AZ2615">
        <v>4202</v>
      </c>
      <c r="BA2615">
        <v>7438</v>
      </c>
      <c r="BB2615">
        <v>1432</v>
      </c>
      <c r="BC2615">
        <v>13072</v>
      </c>
      <c r="BD2615">
        <v>9486</v>
      </c>
      <c r="BE2615">
        <v>9222</v>
      </c>
      <c r="BF2615">
        <v>1768</v>
      </c>
      <c r="BG2615">
        <v>20476</v>
      </c>
      <c r="BH2615">
        <v>0</v>
      </c>
      <c r="BI2615">
        <v>0</v>
      </c>
      <c r="BJ2615">
        <v>0</v>
      </c>
      <c r="BK2615">
        <v>0</v>
      </c>
      <c r="BL2615" s="2">
        <v>24.82</v>
      </c>
      <c r="BM2615" s="2">
        <v>42005.095138888886</v>
      </c>
      <c r="BN2615" s="2">
        <v>5.4</v>
      </c>
      <c r="BO2615" s="2">
        <v>42005.092361111114</v>
      </c>
      <c r="BP2615" s="2">
        <v>6.92</v>
      </c>
      <c r="BQ2615" s="2">
        <v>42005.092361111114</v>
      </c>
      <c r="BR2615" s="2">
        <v>11.07</v>
      </c>
      <c r="BS2615" s="2">
        <v>42005.092361111114</v>
      </c>
      <c r="BT2615">
        <v>0</v>
      </c>
      <c r="BU2615">
        <v>0</v>
      </c>
      <c r="BV2615" t="s">
        <v>135</v>
      </c>
      <c r="BW2615">
        <v>0</v>
      </c>
      <c r="BX2615">
        <v>0</v>
      </c>
      <c r="BY2615" t="s">
        <v>135</v>
      </c>
      <c r="BZ2615">
        <v>0</v>
      </c>
      <c r="CA2615">
        <v>0</v>
      </c>
      <c r="CB2615" t="s">
        <v>135</v>
      </c>
      <c r="CH2615" s="2"/>
      <c r="CJ2615" s="2"/>
      <c r="CL2615" s="2"/>
      <c r="CN2615" s="2"/>
      <c r="CQ2615" s="2"/>
      <c r="CT2615" s="2"/>
      <c r="CW2615" s="2"/>
    </row>
    <row r="2616" spans="1:101" x14ac:dyDescent="0.25">
      <c r="A2616" s="1" t="s">
        <v>163</v>
      </c>
      <c r="B2616" s="75" t="s">
        <v>164</v>
      </c>
      <c r="C2616">
        <v>0</v>
      </c>
      <c r="D2616">
        <v>0</v>
      </c>
      <c r="E2616">
        <v>0</v>
      </c>
      <c r="F2616">
        <v>604324.56000000006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3.91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7490</v>
      </c>
      <c r="AW2616">
        <v>3350</v>
      </c>
      <c r="AX2616">
        <v>1219</v>
      </c>
      <c r="AY2616">
        <v>12059</v>
      </c>
      <c r="AZ2616">
        <v>4202</v>
      </c>
      <c r="BA2616">
        <v>7438</v>
      </c>
      <c r="BB2616">
        <v>1432</v>
      </c>
      <c r="BC2616">
        <v>13072</v>
      </c>
      <c r="BD2616">
        <v>9486</v>
      </c>
      <c r="BE2616">
        <v>9222</v>
      </c>
      <c r="BF2616">
        <v>1768</v>
      </c>
      <c r="BG2616">
        <v>20476</v>
      </c>
      <c r="BH2616">
        <v>0</v>
      </c>
      <c r="BI2616">
        <v>0</v>
      </c>
      <c r="BJ2616">
        <v>0</v>
      </c>
      <c r="BK2616">
        <v>0</v>
      </c>
      <c r="BL2616" s="2">
        <v>24.82</v>
      </c>
      <c r="BM2616" s="2">
        <v>42005.095138888886</v>
      </c>
      <c r="BN2616" s="2">
        <v>5.4</v>
      </c>
      <c r="BO2616" s="2">
        <v>42005.092361111114</v>
      </c>
      <c r="BP2616" s="2">
        <v>6.92</v>
      </c>
      <c r="BQ2616" s="2">
        <v>42005.092361111114</v>
      </c>
      <c r="BR2616" s="2">
        <v>11.07</v>
      </c>
      <c r="BS2616" s="2">
        <v>42005.092361111114</v>
      </c>
      <c r="BT2616">
        <v>0</v>
      </c>
      <c r="BU2616">
        <v>0</v>
      </c>
      <c r="BV2616" t="s">
        <v>135</v>
      </c>
      <c r="BW2616">
        <v>0</v>
      </c>
      <c r="BX2616">
        <v>0</v>
      </c>
      <c r="BY2616" t="s">
        <v>135</v>
      </c>
      <c r="BZ2616">
        <v>0</v>
      </c>
      <c r="CA2616">
        <v>0</v>
      </c>
      <c r="CB2616" t="s">
        <v>135</v>
      </c>
      <c r="CH2616" s="2"/>
      <c r="CJ2616" s="2"/>
      <c r="CL2616" s="2"/>
      <c r="CN2616" s="2"/>
      <c r="CQ2616" s="2"/>
      <c r="CT2616" s="2"/>
      <c r="CW2616" s="2"/>
    </row>
    <row r="2617" spans="1:101" x14ac:dyDescent="0.25">
      <c r="A2617" s="1" t="s">
        <v>163</v>
      </c>
      <c r="B2617" s="75" t="s">
        <v>164</v>
      </c>
      <c r="C2617">
        <v>0</v>
      </c>
      <c r="D2617">
        <v>0</v>
      </c>
      <c r="E2617">
        <v>0</v>
      </c>
      <c r="F2617">
        <v>604324.56000000006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3.91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7490</v>
      </c>
      <c r="AW2617">
        <v>3350</v>
      </c>
      <c r="AX2617">
        <v>1219</v>
      </c>
      <c r="AY2617">
        <v>12059</v>
      </c>
      <c r="AZ2617">
        <v>4202</v>
      </c>
      <c r="BA2617">
        <v>7438</v>
      </c>
      <c r="BB2617">
        <v>1432</v>
      </c>
      <c r="BC2617">
        <v>13072</v>
      </c>
      <c r="BD2617">
        <v>9486</v>
      </c>
      <c r="BE2617">
        <v>9222</v>
      </c>
      <c r="BF2617">
        <v>1768</v>
      </c>
      <c r="BG2617">
        <v>20476</v>
      </c>
      <c r="BH2617">
        <v>0</v>
      </c>
      <c r="BI2617">
        <v>0</v>
      </c>
      <c r="BJ2617">
        <v>0</v>
      </c>
      <c r="BK2617">
        <v>0</v>
      </c>
      <c r="BL2617" s="2">
        <v>24.82</v>
      </c>
      <c r="BM2617" s="2">
        <v>42005.095138888886</v>
      </c>
      <c r="BN2617" s="2">
        <v>5.4</v>
      </c>
      <c r="BO2617" s="2">
        <v>42005.092361111114</v>
      </c>
      <c r="BP2617" s="2">
        <v>6.92</v>
      </c>
      <c r="BQ2617" s="2">
        <v>42005.092361111114</v>
      </c>
      <c r="BR2617" s="2">
        <v>11.07</v>
      </c>
      <c r="BS2617" s="2">
        <v>42005.092361111114</v>
      </c>
      <c r="BT2617">
        <v>0</v>
      </c>
      <c r="BU2617">
        <v>0</v>
      </c>
      <c r="BV2617" t="s">
        <v>135</v>
      </c>
      <c r="BW2617">
        <v>0</v>
      </c>
      <c r="BX2617">
        <v>0</v>
      </c>
      <c r="BY2617" t="s">
        <v>135</v>
      </c>
      <c r="BZ2617">
        <v>0</v>
      </c>
      <c r="CA2617">
        <v>0</v>
      </c>
      <c r="CB2617" t="s">
        <v>135</v>
      </c>
      <c r="CH2617" s="2"/>
      <c r="CJ2617" s="2"/>
      <c r="CL2617" s="2"/>
      <c r="CN2617" s="2"/>
      <c r="CQ2617" s="2"/>
      <c r="CT2617" s="2"/>
      <c r="CW2617" s="2"/>
    </row>
    <row r="2618" spans="1:101" x14ac:dyDescent="0.25">
      <c r="A2618" s="1" t="s">
        <v>163</v>
      </c>
      <c r="B2618" s="75" t="s">
        <v>164</v>
      </c>
      <c r="C2618">
        <v>0</v>
      </c>
      <c r="D2618">
        <v>0</v>
      </c>
      <c r="E2618">
        <v>0</v>
      </c>
      <c r="F2618">
        <v>604324.56000000006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3.91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7490</v>
      </c>
      <c r="AW2618">
        <v>3350</v>
      </c>
      <c r="AX2618">
        <v>1219</v>
      </c>
      <c r="AY2618">
        <v>12059</v>
      </c>
      <c r="AZ2618">
        <v>4202</v>
      </c>
      <c r="BA2618">
        <v>7438</v>
      </c>
      <c r="BB2618">
        <v>1432</v>
      </c>
      <c r="BC2618">
        <v>13072</v>
      </c>
      <c r="BD2618">
        <v>9486</v>
      </c>
      <c r="BE2618">
        <v>9222</v>
      </c>
      <c r="BF2618">
        <v>1768</v>
      </c>
      <c r="BG2618">
        <v>20476</v>
      </c>
      <c r="BH2618">
        <v>0</v>
      </c>
      <c r="BI2618">
        <v>0</v>
      </c>
      <c r="BJ2618">
        <v>0</v>
      </c>
      <c r="BK2618">
        <v>0</v>
      </c>
      <c r="BL2618" s="2">
        <v>24.82</v>
      </c>
      <c r="BM2618" s="2">
        <v>42005.095138888886</v>
      </c>
      <c r="BN2618" s="2">
        <v>5.4</v>
      </c>
      <c r="BO2618" s="2">
        <v>42005.092361111114</v>
      </c>
      <c r="BP2618" s="2">
        <v>6.92</v>
      </c>
      <c r="BQ2618" s="2">
        <v>42005.092361111114</v>
      </c>
      <c r="BR2618" s="2">
        <v>11.07</v>
      </c>
      <c r="BS2618" s="2">
        <v>42005.092361111114</v>
      </c>
      <c r="BT2618">
        <v>0</v>
      </c>
      <c r="BU2618">
        <v>0</v>
      </c>
      <c r="BV2618" t="s">
        <v>135</v>
      </c>
      <c r="BW2618">
        <v>0</v>
      </c>
      <c r="BX2618">
        <v>0</v>
      </c>
      <c r="BY2618" t="s">
        <v>135</v>
      </c>
      <c r="BZ2618">
        <v>0</v>
      </c>
      <c r="CA2618">
        <v>0</v>
      </c>
      <c r="CB2618" t="s">
        <v>135</v>
      </c>
      <c r="CH2618" s="2"/>
      <c r="CJ2618" s="2"/>
      <c r="CL2618" s="2"/>
      <c r="CN2618" s="2"/>
      <c r="CQ2618" s="2"/>
      <c r="CT2618" s="2"/>
      <c r="CW2618" s="2"/>
    </row>
    <row r="2619" spans="1:101" x14ac:dyDescent="0.25">
      <c r="A2619" s="1" t="s">
        <v>163</v>
      </c>
      <c r="B2619" s="75" t="s">
        <v>164</v>
      </c>
      <c r="C2619">
        <v>0</v>
      </c>
      <c r="D2619">
        <v>0</v>
      </c>
      <c r="E2619">
        <v>0</v>
      </c>
      <c r="F2619">
        <v>604324.56000000006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3.91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7490</v>
      </c>
      <c r="AW2619">
        <v>3350</v>
      </c>
      <c r="AX2619">
        <v>1219</v>
      </c>
      <c r="AY2619">
        <v>12059</v>
      </c>
      <c r="AZ2619">
        <v>4202</v>
      </c>
      <c r="BA2619">
        <v>7438</v>
      </c>
      <c r="BB2619">
        <v>1432</v>
      </c>
      <c r="BC2619">
        <v>13072</v>
      </c>
      <c r="BD2619">
        <v>9486</v>
      </c>
      <c r="BE2619">
        <v>9222</v>
      </c>
      <c r="BF2619">
        <v>1768</v>
      </c>
      <c r="BG2619">
        <v>20476</v>
      </c>
      <c r="BH2619">
        <v>0</v>
      </c>
      <c r="BI2619">
        <v>0</v>
      </c>
      <c r="BJ2619">
        <v>0</v>
      </c>
      <c r="BK2619">
        <v>0</v>
      </c>
      <c r="BL2619" s="2">
        <v>24.82</v>
      </c>
      <c r="BM2619" s="2">
        <v>42005.095138888886</v>
      </c>
      <c r="BN2619" s="2">
        <v>5.4</v>
      </c>
      <c r="BO2619" s="2">
        <v>42005.092361111114</v>
      </c>
      <c r="BP2619" s="2">
        <v>6.92</v>
      </c>
      <c r="BQ2619" s="2">
        <v>42005.092361111114</v>
      </c>
      <c r="BR2619" s="2">
        <v>11.07</v>
      </c>
      <c r="BS2619" s="2">
        <v>42005.092361111114</v>
      </c>
      <c r="BT2619">
        <v>0</v>
      </c>
      <c r="BU2619">
        <v>0</v>
      </c>
      <c r="BV2619" t="s">
        <v>135</v>
      </c>
      <c r="BW2619">
        <v>0</v>
      </c>
      <c r="BX2619">
        <v>0</v>
      </c>
      <c r="BY2619" t="s">
        <v>135</v>
      </c>
      <c r="BZ2619">
        <v>0</v>
      </c>
      <c r="CA2619">
        <v>0</v>
      </c>
      <c r="CB2619" t="s">
        <v>135</v>
      </c>
      <c r="CH2619" s="2"/>
      <c r="CJ2619" s="2"/>
      <c r="CL2619" s="2"/>
      <c r="CN2619" s="2"/>
      <c r="CQ2619" s="2"/>
      <c r="CT2619" s="2"/>
      <c r="CW2619" s="2"/>
    </row>
    <row r="2620" spans="1:101" x14ac:dyDescent="0.25">
      <c r="A2620" s="1" t="s">
        <v>163</v>
      </c>
      <c r="B2620" s="75" t="s">
        <v>164</v>
      </c>
      <c r="C2620">
        <v>0</v>
      </c>
      <c r="D2620">
        <v>0</v>
      </c>
      <c r="E2620">
        <v>0</v>
      </c>
      <c r="F2620">
        <v>604324.56000000006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3.91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7490</v>
      </c>
      <c r="AW2620">
        <v>3350</v>
      </c>
      <c r="AX2620">
        <v>1219</v>
      </c>
      <c r="AY2620">
        <v>12059</v>
      </c>
      <c r="AZ2620">
        <v>4202</v>
      </c>
      <c r="BA2620">
        <v>7438</v>
      </c>
      <c r="BB2620">
        <v>1432</v>
      </c>
      <c r="BC2620">
        <v>13072</v>
      </c>
      <c r="BD2620">
        <v>9486</v>
      </c>
      <c r="BE2620">
        <v>9222</v>
      </c>
      <c r="BF2620">
        <v>1768</v>
      </c>
      <c r="BG2620">
        <v>20476</v>
      </c>
      <c r="BH2620">
        <v>0</v>
      </c>
      <c r="BI2620">
        <v>0</v>
      </c>
      <c r="BJ2620">
        <v>0</v>
      </c>
      <c r="BK2620">
        <v>0</v>
      </c>
      <c r="BL2620" s="2">
        <v>24.82</v>
      </c>
      <c r="BM2620" s="2">
        <v>42005.095138888886</v>
      </c>
      <c r="BN2620" s="2">
        <v>5.4</v>
      </c>
      <c r="BO2620" s="2">
        <v>42005.092361111114</v>
      </c>
      <c r="BP2620" s="2">
        <v>6.92</v>
      </c>
      <c r="BQ2620" s="2">
        <v>42005.092361111114</v>
      </c>
      <c r="BR2620" s="2">
        <v>11.07</v>
      </c>
      <c r="BS2620" s="2">
        <v>42005.092361111114</v>
      </c>
      <c r="BT2620">
        <v>0</v>
      </c>
      <c r="BU2620">
        <v>0</v>
      </c>
      <c r="BV2620" t="s">
        <v>135</v>
      </c>
      <c r="BW2620">
        <v>0</v>
      </c>
      <c r="BX2620">
        <v>0</v>
      </c>
      <c r="BY2620" t="s">
        <v>135</v>
      </c>
      <c r="BZ2620">
        <v>0</v>
      </c>
      <c r="CA2620">
        <v>0</v>
      </c>
      <c r="CB2620" t="s">
        <v>135</v>
      </c>
      <c r="CH2620" s="2"/>
      <c r="CJ2620" s="2"/>
      <c r="CL2620" s="2"/>
      <c r="CN2620" s="2"/>
      <c r="CQ2620" s="2"/>
      <c r="CT2620" s="2"/>
      <c r="CW2620" s="2"/>
    </row>
    <row r="2621" spans="1:101" x14ac:dyDescent="0.25">
      <c r="A2621" s="1" t="s">
        <v>163</v>
      </c>
      <c r="B2621" s="75" t="s">
        <v>164</v>
      </c>
      <c r="C2621">
        <v>0</v>
      </c>
      <c r="D2621">
        <v>0</v>
      </c>
      <c r="E2621">
        <v>0</v>
      </c>
      <c r="F2621">
        <v>604324.56000000006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3.91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7490</v>
      </c>
      <c r="AW2621">
        <v>3350</v>
      </c>
      <c r="AX2621">
        <v>1219</v>
      </c>
      <c r="AY2621">
        <v>12059</v>
      </c>
      <c r="AZ2621">
        <v>4202</v>
      </c>
      <c r="BA2621">
        <v>7438</v>
      </c>
      <c r="BB2621">
        <v>1432</v>
      </c>
      <c r="BC2621">
        <v>13072</v>
      </c>
      <c r="BD2621">
        <v>9486</v>
      </c>
      <c r="BE2621">
        <v>9222</v>
      </c>
      <c r="BF2621">
        <v>1768</v>
      </c>
      <c r="BG2621">
        <v>20476</v>
      </c>
      <c r="BH2621">
        <v>0</v>
      </c>
      <c r="BI2621">
        <v>0</v>
      </c>
      <c r="BJ2621">
        <v>0</v>
      </c>
      <c r="BK2621">
        <v>0</v>
      </c>
      <c r="BL2621" s="2">
        <v>24.82</v>
      </c>
      <c r="BM2621" s="2">
        <v>42005.095138888886</v>
      </c>
      <c r="BN2621" s="2">
        <v>5.4</v>
      </c>
      <c r="BO2621" s="2">
        <v>42005.092361111114</v>
      </c>
      <c r="BP2621" s="2">
        <v>6.92</v>
      </c>
      <c r="BQ2621" s="2">
        <v>42005.092361111114</v>
      </c>
      <c r="BR2621" s="2">
        <v>11.07</v>
      </c>
      <c r="BS2621" s="2">
        <v>42005.092361111114</v>
      </c>
      <c r="BT2621">
        <v>0</v>
      </c>
      <c r="BU2621">
        <v>0</v>
      </c>
      <c r="BV2621" t="s">
        <v>135</v>
      </c>
      <c r="BW2621">
        <v>0</v>
      </c>
      <c r="BX2621">
        <v>0</v>
      </c>
      <c r="BY2621" t="s">
        <v>135</v>
      </c>
      <c r="BZ2621">
        <v>0</v>
      </c>
      <c r="CA2621">
        <v>0</v>
      </c>
      <c r="CB2621" t="s">
        <v>135</v>
      </c>
      <c r="CH2621" s="2"/>
      <c r="CJ2621" s="2"/>
      <c r="CL2621" s="2"/>
      <c r="CN2621" s="2"/>
      <c r="CQ2621" s="2"/>
      <c r="CT2621" s="2"/>
      <c r="CW2621" s="2"/>
    </row>
    <row r="2622" spans="1:101" x14ac:dyDescent="0.25">
      <c r="A2622" s="1" t="s">
        <v>163</v>
      </c>
      <c r="B2622" s="75" t="s">
        <v>164</v>
      </c>
      <c r="C2622">
        <v>0</v>
      </c>
      <c r="D2622">
        <v>0</v>
      </c>
      <c r="E2622">
        <v>0</v>
      </c>
      <c r="F2622">
        <v>604324.56000000006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3.91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7490</v>
      </c>
      <c r="AW2622">
        <v>3350</v>
      </c>
      <c r="AX2622">
        <v>1219</v>
      </c>
      <c r="AY2622">
        <v>12059</v>
      </c>
      <c r="AZ2622">
        <v>4202</v>
      </c>
      <c r="BA2622">
        <v>7438</v>
      </c>
      <c r="BB2622">
        <v>1432</v>
      </c>
      <c r="BC2622">
        <v>13072</v>
      </c>
      <c r="BD2622">
        <v>9486</v>
      </c>
      <c r="BE2622">
        <v>9222</v>
      </c>
      <c r="BF2622">
        <v>1768</v>
      </c>
      <c r="BG2622">
        <v>20476</v>
      </c>
      <c r="BH2622">
        <v>0</v>
      </c>
      <c r="BI2622">
        <v>0</v>
      </c>
      <c r="BJ2622">
        <v>0</v>
      </c>
      <c r="BK2622">
        <v>0</v>
      </c>
      <c r="BL2622" s="2">
        <v>24.82</v>
      </c>
      <c r="BM2622" s="2">
        <v>42005.095138888886</v>
      </c>
      <c r="BN2622" s="2">
        <v>5.4</v>
      </c>
      <c r="BO2622" s="2">
        <v>42005.092361111114</v>
      </c>
      <c r="BP2622" s="2">
        <v>6.92</v>
      </c>
      <c r="BQ2622" s="2">
        <v>42005.092361111114</v>
      </c>
      <c r="BR2622" s="2">
        <v>11.07</v>
      </c>
      <c r="BS2622" s="2">
        <v>42005.092361111114</v>
      </c>
      <c r="BT2622">
        <v>0</v>
      </c>
      <c r="BU2622">
        <v>0</v>
      </c>
      <c r="BV2622" t="s">
        <v>135</v>
      </c>
      <c r="BW2622">
        <v>0</v>
      </c>
      <c r="BX2622">
        <v>0</v>
      </c>
      <c r="BY2622" t="s">
        <v>135</v>
      </c>
      <c r="BZ2622">
        <v>0</v>
      </c>
      <c r="CA2622">
        <v>0</v>
      </c>
      <c r="CB2622" t="s">
        <v>135</v>
      </c>
      <c r="CH2622" s="2"/>
      <c r="CJ2622" s="2"/>
      <c r="CL2622" s="2"/>
      <c r="CN2622" s="2"/>
      <c r="CQ2622" s="2"/>
      <c r="CT2622" s="2"/>
      <c r="CW2622" s="2"/>
    </row>
    <row r="2623" spans="1:101" x14ac:dyDescent="0.25">
      <c r="A2623" s="1" t="s">
        <v>163</v>
      </c>
      <c r="B2623" s="75" t="s">
        <v>164</v>
      </c>
      <c r="C2623">
        <v>0</v>
      </c>
      <c r="D2623">
        <v>0</v>
      </c>
      <c r="E2623">
        <v>0</v>
      </c>
      <c r="F2623">
        <v>604324.56000000006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3.91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7490</v>
      </c>
      <c r="AW2623">
        <v>3350</v>
      </c>
      <c r="AX2623">
        <v>1219</v>
      </c>
      <c r="AY2623">
        <v>12059</v>
      </c>
      <c r="AZ2623">
        <v>4202</v>
      </c>
      <c r="BA2623">
        <v>7438</v>
      </c>
      <c r="BB2623">
        <v>1432</v>
      </c>
      <c r="BC2623">
        <v>13072</v>
      </c>
      <c r="BD2623">
        <v>9486</v>
      </c>
      <c r="BE2623">
        <v>9222</v>
      </c>
      <c r="BF2623">
        <v>1768</v>
      </c>
      <c r="BG2623">
        <v>20476</v>
      </c>
      <c r="BH2623">
        <v>0</v>
      </c>
      <c r="BI2623">
        <v>0</v>
      </c>
      <c r="BJ2623">
        <v>0</v>
      </c>
      <c r="BK2623">
        <v>0</v>
      </c>
      <c r="BL2623" s="2">
        <v>24.82</v>
      </c>
      <c r="BM2623" s="2">
        <v>42005.095138888886</v>
      </c>
      <c r="BN2623" s="2">
        <v>5.4</v>
      </c>
      <c r="BO2623" s="2">
        <v>42005.092361111114</v>
      </c>
      <c r="BP2623" s="2">
        <v>6.92</v>
      </c>
      <c r="BQ2623" s="2">
        <v>42005.092361111114</v>
      </c>
      <c r="BR2623" s="2">
        <v>11.07</v>
      </c>
      <c r="BS2623" s="2">
        <v>42005.092361111114</v>
      </c>
      <c r="BT2623">
        <v>0</v>
      </c>
      <c r="BU2623">
        <v>0</v>
      </c>
      <c r="BV2623" t="s">
        <v>135</v>
      </c>
      <c r="BW2623">
        <v>0</v>
      </c>
      <c r="BX2623">
        <v>0</v>
      </c>
      <c r="BY2623" t="s">
        <v>135</v>
      </c>
      <c r="BZ2623">
        <v>0</v>
      </c>
      <c r="CA2623">
        <v>0</v>
      </c>
      <c r="CB2623" t="s">
        <v>135</v>
      </c>
      <c r="CH2623" s="2"/>
      <c r="CJ2623" s="2"/>
      <c r="CL2623" s="2"/>
      <c r="CN2623" s="2"/>
      <c r="CQ2623" s="2"/>
      <c r="CT2623" s="2"/>
      <c r="CW2623" s="2"/>
    </row>
    <row r="2624" spans="1:101" x14ac:dyDescent="0.25">
      <c r="A2624" s="1" t="s">
        <v>163</v>
      </c>
      <c r="B2624" s="75" t="s">
        <v>164</v>
      </c>
      <c r="C2624">
        <v>0</v>
      </c>
      <c r="D2624">
        <v>0</v>
      </c>
      <c r="E2624">
        <v>0</v>
      </c>
      <c r="F2624">
        <v>604324.56000000006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3.91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7490</v>
      </c>
      <c r="AW2624">
        <v>3350</v>
      </c>
      <c r="AX2624">
        <v>1219</v>
      </c>
      <c r="AY2624">
        <v>12059</v>
      </c>
      <c r="AZ2624">
        <v>4202</v>
      </c>
      <c r="BA2624">
        <v>7438</v>
      </c>
      <c r="BB2624">
        <v>1432</v>
      </c>
      <c r="BC2624">
        <v>13072</v>
      </c>
      <c r="BD2624">
        <v>9486</v>
      </c>
      <c r="BE2624">
        <v>9222</v>
      </c>
      <c r="BF2624">
        <v>1768</v>
      </c>
      <c r="BG2624">
        <v>20476</v>
      </c>
      <c r="BH2624">
        <v>0</v>
      </c>
      <c r="BI2624">
        <v>0</v>
      </c>
      <c r="BJ2624">
        <v>0</v>
      </c>
      <c r="BK2624">
        <v>0</v>
      </c>
      <c r="BL2624" s="2">
        <v>24.82</v>
      </c>
      <c r="BM2624" s="2">
        <v>42005.095138888886</v>
      </c>
      <c r="BN2624" s="2">
        <v>5.4</v>
      </c>
      <c r="BO2624" s="2">
        <v>42005.092361111114</v>
      </c>
      <c r="BP2624" s="2">
        <v>6.92</v>
      </c>
      <c r="BQ2624" s="2">
        <v>42005.092361111114</v>
      </c>
      <c r="BR2624" s="2">
        <v>11.07</v>
      </c>
      <c r="BS2624" s="2">
        <v>42005.092361111114</v>
      </c>
      <c r="BT2624">
        <v>0</v>
      </c>
      <c r="BU2624">
        <v>0</v>
      </c>
      <c r="BV2624" t="s">
        <v>135</v>
      </c>
      <c r="BW2624">
        <v>0</v>
      </c>
      <c r="BX2624">
        <v>0</v>
      </c>
      <c r="BY2624" t="s">
        <v>135</v>
      </c>
      <c r="BZ2624">
        <v>0</v>
      </c>
      <c r="CA2624">
        <v>0</v>
      </c>
      <c r="CB2624" t="s">
        <v>135</v>
      </c>
      <c r="CH2624" s="2"/>
      <c r="CJ2624" s="2"/>
      <c r="CL2624" s="2"/>
      <c r="CN2624" s="2"/>
      <c r="CQ2624" s="2"/>
      <c r="CT2624" s="2"/>
      <c r="CW2624" s="2"/>
    </row>
    <row r="2625" spans="1:101" x14ac:dyDescent="0.25">
      <c r="A2625" s="1" t="s">
        <v>163</v>
      </c>
      <c r="B2625" s="75" t="s">
        <v>164</v>
      </c>
      <c r="C2625">
        <v>0</v>
      </c>
      <c r="D2625">
        <v>0</v>
      </c>
      <c r="E2625">
        <v>0</v>
      </c>
      <c r="F2625">
        <v>604324.56000000006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3.91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7490</v>
      </c>
      <c r="AW2625">
        <v>3350</v>
      </c>
      <c r="AX2625">
        <v>1219</v>
      </c>
      <c r="AY2625">
        <v>12059</v>
      </c>
      <c r="AZ2625">
        <v>4202</v>
      </c>
      <c r="BA2625">
        <v>7438</v>
      </c>
      <c r="BB2625">
        <v>1432</v>
      </c>
      <c r="BC2625">
        <v>13072</v>
      </c>
      <c r="BD2625">
        <v>9486</v>
      </c>
      <c r="BE2625">
        <v>9222</v>
      </c>
      <c r="BF2625">
        <v>1768</v>
      </c>
      <c r="BG2625">
        <v>20476</v>
      </c>
      <c r="BH2625">
        <v>0</v>
      </c>
      <c r="BI2625">
        <v>0</v>
      </c>
      <c r="BJ2625">
        <v>0</v>
      </c>
      <c r="BK2625">
        <v>0</v>
      </c>
      <c r="BL2625" s="2">
        <v>24.82</v>
      </c>
      <c r="BM2625" s="2">
        <v>42005.095138888886</v>
      </c>
      <c r="BN2625" s="2">
        <v>5.4</v>
      </c>
      <c r="BO2625" s="2">
        <v>42005.092361111114</v>
      </c>
      <c r="BP2625" s="2">
        <v>6.92</v>
      </c>
      <c r="BQ2625" s="2">
        <v>42005.092361111114</v>
      </c>
      <c r="BR2625" s="2">
        <v>11.07</v>
      </c>
      <c r="BS2625" s="2">
        <v>42005.092361111114</v>
      </c>
      <c r="BT2625">
        <v>0</v>
      </c>
      <c r="BU2625">
        <v>0</v>
      </c>
      <c r="BV2625" t="s">
        <v>135</v>
      </c>
      <c r="BW2625">
        <v>0</v>
      </c>
      <c r="BX2625">
        <v>0</v>
      </c>
      <c r="BY2625" t="s">
        <v>135</v>
      </c>
      <c r="BZ2625">
        <v>0</v>
      </c>
      <c r="CA2625">
        <v>0</v>
      </c>
      <c r="CB2625" t="s">
        <v>135</v>
      </c>
      <c r="CH2625" s="2"/>
      <c r="CJ2625" s="2"/>
      <c r="CL2625" s="2"/>
      <c r="CN2625" s="2"/>
      <c r="CQ2625" s="2"/>
      <c r="CT2625" s="2"/>
      <c r="CW2625" s="2"/>
    </row>
    <row r="2626" spans="1:101" x14ac:dyDescent="0.25">
      <c r="A2626" s="1" t="s">
        <v>163</v>
      </c>
      <c r="B2626" s="75" t="s">
        <v>164</v>
      </c>
      <c r="C2626">
        <v>0</v>
      </c>
      <c r="D2626">
        <v>0</v>
      </c>
      <c r="E2626">
        <v>0</v>
      </c>
      <c r="F2626">
        <v>604324.56000000006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3.91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7490</v>
      </c>
      <c r="AW2626">
        <v>3350</v>
      </c>
      <c r="AX2626">
        <v>1219</v>
      </c>
      <c r="AY2626">
        <v>12059</v>
      </c>
      <c r="AZ2626">
        <v>4202</v>
      </c>
      <c r="BA2626">
        <v>7438</v>
      </c>
      <c r="BB2626">
        <v>1432</v>
      </c>
      <c r="BC2626">
        <v>13072</v>
      </c>
      <c r="BD2626">
        <v>9486</v>
      </c>
      <c r="BE2626">
        <v>9222</v>
      </c>
      <c r="BF2626">
        <v>1768</v>
      </c>
      <c r="BG2626">
        <v>20476</v>
      </c>
      <c r="BH2626">
        <v>0</v>
      </c>
      <c r="BI2626">
        <v>0</v>
      </c>
      <c r="BJ2626">
        <v>0</v>
      </c>
      <c r="BK2626">
        <v>0</v>
      </c>
      <c r="BL2626" s="2">
        <v>24.82</v>
      </c>
      <c r="BM2626" s="2">
        <v>42005.095138888886</v>
      </c>
      <c r="BN2626" s="2">
        <v>5.4</v>
      </c>
      <c r="BO2626" s="2">
        <v>42005.092361111114</v>
      </c>
      <c r="BP2626" s="2">
        <v>6.92</v>
      </c>
      <c r="BQ2626" s="2">
        <v>42005.092361111114</v>
      </c>
      <c r="BR2626" s="2">
        <v>11.07</v>
      </c>
      <c r="BS2626" s="2">
        <v>42005.092361111114</v>
      </c>
      <c r="BT2626">
        <v>0</v>
      </c>
      <c r="BU2626">
        <v>0</v>
      </c>
      <c r="BV2626" t="s">
        <v>135</v>
      </c>
      <c r="BW2626">
        <v>0</v>
      </c>
      <c r="BX2626">
        <v>0</v>
      </c>
      <c r="BY2626" t="s">
        <v>135</v>
      </c>
      <c r="BZ2626">
        <v>0</v>
      </c>
      <c r="CA2626">
        <v>0</v>
      </c>
      <c r="CB2626" t="s">
        <v>135</v>
      </c>
      <c r="CH2626" s="2"/>
      <c r="CJ2626" s="2"/>
      <c r="CL2626" s="2"/>
      <c r="CN2626" s="2"/>
      <c r="CQ2626" s="2"/>
      <c r="CT2626" s="2"/>
      <c r="CW2626" s="2"/>
    </row>
    <row r="2627" spans="1:101" x14ac:dyDescent="0.25">
      <c r="A2627" s="1" t="s">
        <v>163</v>
      </c>
      <c r="B2627" s="75" t="s">
        <v>164</v>
      </c>
      <c r="C2627">
        <v>0</v>
      </c>
      <c r="D2627">
        <v>0</v>
      </c>
      <c r="E2627">
        <v>0</v>
      </c>
      <c r="F2627">
        <v>604324.56000000006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3.91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7490</v>
      </c>
      <c r="AW2627">
        <v>3350</v>
      </c>
      <c r="AX2627">
        <v>1219</v>
      </c>
      <c r="AY2627">
        <v>12059</v>
      </c>
      <c r="AZ2627">
        <v>4202</v>
      </c>
      <c r="BA2627">
        <v>7438</v>
      </c>
      <c r="BB2627">
        <v>1432</v>
      </c>
      <c r="BC2627">
        <v>13072</v>
      </c>
      <c r="BD2627">
        <v>9486</v>
      </c>
      <c r="BE2627">
        <v>9222</v>
      </c>
      <c r="BF2627">
        <v>1768</v>
      </c>
      <c r="BG2627">
        <v>20476</v>
      </c>
      <c r="BH2627">
        <v>0</v>
      </c>
      <c r="BI2627">
        <v>0</v>
      </c>
      <c r="BJ2627">
        <v>0</v>
      </c>
      <c r="BK2627">
        <v>0</v>
      </c>
      <c r="BL2627" s="2">
        <v>24.82</v>
      </c>
      <c r="BM2627" s="2">
        <v>42005.095138888886</v>
      </c>
      <c r="BN2627" s="2">
        <v>5.4</v>
      </c>
      <c r="BO2627" s="2">
        <v>42005.092361111114</v>
      </c>
      <c r="BP2627" s="2">
        <v>6.92</v>
      </c>
      <c r="BQ2627" s="2">
        <v>42005.092361111114</v>
      </c>
      <c r="BR2627" s="2">
        <v>11.07</v>
      </c>
      <c r="BS2627" s="2">
        <v>42005.092361111114</v>
      </c>
      <c r="BT2627">
        <v>0</v>
      </c>
      <c r="BU2627">
        <v>0</v>
      </c>
      <c r="BV2627" t="s">
        <v>135</v>
      </c>
      <c r="BW2627">
        <v>0</v>
      </c>
      <c r="BX2627">
        <v>0</v>
      </c>
      <c r="BY2627" t="s">
        <v>135</v>
      </c>
      <c r="BZ2627">
        <v>0</v>
      </c>
      <c r="CA2627">
        <v>0</v>
      </c>
      <c r="CB2627" t="s">
        <v>135</v>
      </c>
      <c r="CH2627" s="2"/>
      <c r="CJ2627" s="2"/>
      <c r="CL2627" s="2"/>
      <c r="CN2627" s="2"/>
      <c r="CQ2627" s="2"/>
      <c r="CT2627" s="2"/>
      <c r="CW2627" s="2"/>
    </row>
    <row r="2628" spans="1:101" x14ac:dyDescent="0.25">
      <c r="A2628" s="1" t="s">
        <v>163</v>
      </c>
      <c r="B2628" s="75" t="s">
        <v>164</v>
      </c>
      <c r="C2628">
        <v>0</v>
      </c>
      <c r="D2628">
        <v>0</v>
      </c>
      <c r="E2628">
        <v>0</v>
      </c>
      <c r="F2628">
        <v>604324.56000000006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3.91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7490</v>
      </c>
      <c r="AW2628">
        <v>3350</v>
      </c>
      <c r="AX2628">
        <v>1219</v>
      </c>
      <c r="AY2628">
        <v>12059</v>
      </c>
      <c r="AZ2628">
        <v>4202</v>
      </c>
      <c r="BA2628">
        <v>7438</v>
      </c>
      <c r="BB2628">
        <v>1432</v>
      </c>
      <c r="BC2628">
        <v>13072</v>
      </c>
      <c r="BD2628">
        <v>9486</v>
      </c>
      <c r="BE2628">
        <v>9222</v>
      </c>
      <c r="BF2628">
        <v>1768</v>
      </c>
      <c r="BG2628">
        <v>20476</v>
      </c>
      <c r="BH2628">
        <v>0</v>
      </c>
      <c r="BI2628">
        <v>0</v>
      </c>
      <c r="BJ2628">
        <v>0</v>
      </c>
      <c r="BK2628">
        <v>0</v>
      </c>
      <c r="BL2628" s="2">
        <v>24.82</v>
      </c>
      <c r="BM2628" s="2">
        <v>42005.095138888886</v>
      </c>
      <c r="BN2628" s="2">
        <v>5.4</v>
      </c>
      <c r="BO2628" s="2">
        <v>42005.092361111114</v>
      </c>
      <c r="BP2628" s="2">
        <v>6.92</v>
      </c>
      <c r="BQ2628" s="2">
        <v>42005.092361111114</v>
      </c>
      <c r="BR2628" s="2">
        <v>11.07</v>
      </c>
      <c r="BS2628" s="2">
        <v>42005.092361111114</v>
      </c>
      <c r="BT2628">
        <v>0</v>
      </c>
      <c r="BU2628">
        <v>0</v>
      </c>
      <c r="BV2628" t="s">
        <v>135</v>
      </c>
      <c r="BW2628">
        <v>0</v>
      </c>
      <c r="BX2628">
        <v>0</v>
      </c>
      <c r="BY2628" t="s">
        <v>135</v>
      </c>
      <c r="BZ2628">
        <v>0</v>
      </c>
      <c r="CA2628">
        <v>0</v>
      </c>
      <c r="CB2628" t="s">
        <v>135</v>
      </c>
      <c r="CH2628" s="2"/>
      <c r="CJ2628" s="2"/>
      <c r="CL2628" s="2"/>
      <c r="CN2628" s="2"/>
      <c r="CQ2628" s="2"/>
      <c r="CT2628" s="2"/>
      <c r="CW2628" s="2"/>
    </row>
    <row r="2629" spans="1:101" x14ac:dyDescent="0.25">
      <c r="A2629" s="1" t="s">
        <v>163</v>
      </c>
      <c r="B2629" s="75" t="s">
        <v>164</v>
      </c>
      <c r="C2629">
        <v>0</v>
      </c>
      <c r="D2629">
        <v>0</v>
      </c>
      <c r="E2629">
        <v>0</v>
      </c>
      <c r="F2629">
        <v>604324.56000000006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3.91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7490</v>
      </c>
      <c r="AW2629">
        <v>3350</v>
      </c>
      <c r="AX2629">
        <v>1219</v>
      </c>
      <c r="AY2629">
        <v>12059</v>
      </c>
      <c r="AZ2629">
        <v>4202</v>
      </c>
      <c r="BA2629">
        <v>7438</v>
      </c>
      <c r="BB2629">
        <v>1432</v>
      </c>
      <c r="BC2629">
        <v>13072</v>
      </c>
      <c r="BD2629">
        <v>9486</v>
      </c>
      <c r="BE2629">
        <v>9222</v>
      </c>
      <c r="BF2629">
        <v>1768</v>
      </c>
      <c r="BG2629">
        <v>20476</v>
      </c>
      <c r="BH2629">
        <v>0</v>
      </c>
      <c r="BI2629">
        <v>0</v>
      </c>
      <c r="BJ2629">
        <v>0</v>
      </c>
      <c r="BK2629">
        <v>0</v>
      </c>
      <c r="BL2629" s="2">
        <v>24.82</v>
      </c>
      <c r="BM2629" s="2">
        <v>42005.095138888886</v>
      </c>
      <c r="BN2629" s="2">
        <v>5.4</v>
      </c>
      <c r="BO2629" s="2">
        <v>42005.092361111114</v>
      </c>
      <c r="BP2629" s="2">
        <v>6.92</v>
      </c>
      <c r="BQ2629" s="2">
        <v>42005.092361111114</v>
      </c>
      <c r="BR2629" s="2">
        <v>11.07</v>
      </c>
      <c r="BS2629" s="2">
        <v>42005.092361111114</v>
      </c>
      <c r="BT2629">
        <v>0</v>
      </c>
      <c r="BU2629">
        <v>0</v>
      </c>
      <c r="BV2629" t="s">
        <v>135</v>
      </c>
      <c r="BW2629">
        <v>0</v>
      </c>
      <c r="BX2629">
        <v>0</v>
      </c>
      <c r="BY2629" t="s">
        <v>135</v>
      </c>
      <c r="BZ2629">
        <v>0</v>
      </c>
      <c r="CA2629">
        <v>0</v>
      </c>
      <c r="CB2629" t="s">
        <v>135</v>
      </c>
      <c r="CH2629" s="2"/>
      <c r="CJ2629" s="2"/>
      <c r="CL2629" s="2"/>
      <c r="CN2629" s="2"/>
      <c r="CQ2629" s="2"/>
      <c r="CT2629" s="2"/>
      <c r="CW2629" s="2"/>
    </row>
    <row r="2630" spans="1:101" x14ac:dyDescent="0.25">
      <c r="A2630" s="1" t="s">
        <v>163</v>
      </c>
      <c r="B2630" s="75" t="s">
        <v>164</v>
      </c>
      <c r="C2630">
        <v>0</v>
      </c>
      <c r="D2630">
        <v>0</v>
      </c>
      <c r="E2630">
        <v>0</v>
      </c>
      <c r="F2630">
        <v>604324.56000000006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3.91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7490</v>
      </c>
      <c r="AW2630">
        <v>3350</v>
      </c>
      <c r="AX2630">
        <v>1219</v>
      </c>
      <c r="AY2630">
        <v>12059</v>
      </c>
      <c r="AZ2630">
        <v>4202</v>
      </c>
      <c r="BA2630">
        <v>7438</v>
      </c>
      <c r="BB2630">
        <v>1432</v>
      </c>
      <c r="BC2630">
        <v>13072</v>
      </c>
      <c r="BD2630">
        <v>9486</v>
      </c>
      <c r="BE2630">
        <v>9222</v>
      </c>
      <c r="BF2630">
        <v>1768</v>
      </c>
      <c r="BG2630">
        <v>20476</v>
      </c>
      <c r="BH2630">
        <v>0</v>
      </c>
      <c r="BI2630">
        <v>0</v>
      </c>
      <c r="BJ2630">
        <v>0</v>
      </c>
      <c r="BK2630">
        <v>0</v>
      </c>
      <c r="BL2630" s="2">
        <v>24.82</v>
      </c>
      <c r="BM2630" s="2">
        <v>42005.095138888886</v>
      </c>
      <c r="BN2630" s="2">
        <v>5.4</v>
      </c>
      <c r="BO2630" s="2">
        <v>42005.092361111114</v>
      </c>
      <c r="BP2630" s="2">
        <v>6.92</v>
      </c>
      <c r="BQ2630" s="2">
        <v>42005.092361111114</v>
      </c>
      <c r="BR2630" s="2">
        <v>11.07</v>
      </c>
      <c r="BS2630" s="2">
        <v>42005.092361111114</v>
      </c>
      <c r="BT2630">
        <v>0</v>
      </c>
      <c r="BU2630">
        <v>0</v>
      </c>
      <c r="BV2630" t="s">
        <v>135</v>
      </c>
      <c r="BW2630">
        <v>0</v>
      </c>
      <c r="BX2630">
        <v>0</v>
      </c>
      <c r="BY2630" t="s">
        <v>135</v>
      </c>
      <c r="BZ2630">
        <v>0</v>
      </c>
      <c r="CA2630">
        <v>0</v>
      </c>
      <c r="CB2630" t="s">
        <v>135</v>
      </c>
      <c r="CH2630" s="2"/>
      <c r="CJ2630" s="2"/>
      <c r="CL2630" s="2"/>
      <c r="CN2630" s="2"/>
      <c r="CQ2630" s="2"/>
      <c r="CT2630" s="2"/>
      <c r="CW2630" s="2"/>
    </row>
    <row r="2631" spans="1:101" x14ac:dyDescent="0.25">
      <c r="A2631" s="1" t="s">
        <v>163</v>
      </c>
      <c r="B2631" s="75" t="s">
        <v>164</v>
      </c>
      <c r="C2631">
        <v>0</v>
      </c>
      <c r="D2631">
        <v>0</v>
      </c>
      <c r="E2631">
        <v>0</v>
      </c>
      <c r="F2631">
        <v>604324.56000000006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3.91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7490</v>
      </c>
      <c r="AW2631">
        <v>3350</v>
      </c>
      <c r="AX2631">
        <v>1219</v>
      </c>
      <c r="AY2631">
        <v>12059</v>
      </c>
      <c r="AZ2631">
        <v>4202</v>
      </c>
      <c r="BA2631">
        <v>7438</v>
      </c>
      <c r="BB2631">
        <v>1432</v>
      </c>
      <c r="BC2631">
        <v>13072</v>
      </c>
      <c r="BD2631">
        <v>9486</v>
      </c>
      <c r="BE2631">
        <v>9222</v>
      </c>
      <c r="BF2631">
        <v>1768</v>
      </c>
      <c r="BG2631">
        <v>20476</v>
      </c>
      <c r="BH2631">
        <v>0</v>
      </c>
      <c r="BI2631">
        <v>0</v>
      </c>
      <c r="BJ2631">
        <v>0</v>
      </c>
      <c r="BK2631">
        <v>0</v>
      </c>
      <c r="BL2631" s="2">
        <v>24.82</v>
      </c>
      <c r="BM2631" s="2">
        <v>42005.095138888886</v>
      </c>
      <c r="BN2631" s="2">
        <v>5.4</v>
      </c>
      <c r="BO2631" s="2">
        <v>42005.092361111114</v>
      </c>
      <c r="BP2631" s="2">
        <v>6.92</v>
      </c>
      <c r="BQ2631" s="2">
        <v>42005.092361111114</v>
      </c>
      <c r="BR2631" s="2">
        <v>11.07</v>
      </c>
      <c r="BS2631" s="2">
        <v>42005.092361111114</v>
      </c>
      <c r="BT2631">
        <v>0</v>
      </c>
      <c r="BU2631">
        <v>0</v>
      </c>
      <c r="BV2631" t="s">
        <v>135</v>
      </c>
      <c r="BW2631">
        <v>0</v>
      </c>
      <c r="BX2631">
        <v>0</v>
      </c>
      <c r="BY2631" t="s">
        <v>135</v>
      </c>
      <c r="BZ2631">
        <v>0</v>
      </c>
      <c r="CA2631">
        <v>0</v>
      </c>
      <c r="CB2631" t="s">
        <v>135</v>
      </c>
      <c r="CH2631" s="2"/>
      <c r="CJ2631" s="2"/>
      <c r="CL2631" s="2"/>
      <c r="CN2631" s="2"/>
      <c r="CQ2631" s="2"/>
      <c r="CT2631" s="2"/>
      <c r="CW2631" s="2"/>
    </row>
    <row r="2632" spans="1:101" x14ac:dyDescent="0.25">
      <c r="A2632" s="1" t="s">
        <v>163</v>
      </c>
      <c r="B2632" s="75" t="s">
        <v>164</v>
      </c>
      <c r="C2632">
        <v>0</v>
      </c>
      <c r="D2632">
        <v>0</v>
      </c>
      <c r="E2632">
        <v>0</v>
      </c>
      <c r="F2632">
        <v>604324.56000000006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3.91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7490</v>
      </c>
      <c r="AW2632">
        <v>3350</v>
      </c>
      <c r="AX2632">
        <v>1219</v>
      </c>
      <c r="AY2632">
        <v>12059</v>
      </c>
      <c r="AZ2632">
        <v>4202</v>
      </c>
      <c r="BA2632">
        <v>7438</v>
      </c>
      <c r="BB2632">
        <v>1432</v>
      </c>
      <c r="BC2632">
        <v>13072</v>
      </c>
      <c r="BD2632">
        <v>9486</v>
      </c>
      <c r="BE2632">
        <v>9222</v>
      </c>
      <c r="BF2632">
        <v>1768</v>
      </c>
      <c r="BG2632">
        <v>20476</v>
      </c>
      <c r="BH2632">
        <v>0</v>
      </c>
      <c r="BI2632">
        <v>0</v>
      </c>
      <c r="BJ2632">
        <v>0</v>
      </c>
      <c r="BK2632">
        <v>0</v>
      </c>
      <c r="BL2632" s="2">
        <v>24.82</v>
      </c>
      <c r="BM2632" s="2">
        <v>42005.095138888886</v>
      </c>
      <c r="BN2632" s="2">
        <v>5.4</v>
      </c>
      <c r="BO2632" s="2">
        <v>42005.092361111114</v>
      </c>
      <c r="BP2632" s="2">
        <v>6.92</v>
      </c>
      <c r="BQ2632" s="2">
        <v>42005.092361111114</v>
      </c>
      <c r="BR2632" s="2">
        <v>11.07</v>
      </c>
      <c r="BS2632" s="2">
        <v>42005.092361111114</v>
      </c>
      <c r="BT2632">
        <v>0</v>
      </c>
      <c r="BU2632">
        <v>0</v>
      </c>
      <c r="BV2632" t="s">
        <v>135</v>
      </c>
      <c r="BW2632">
        <v>0</v>
      </c>
      <c r="BX2632">
        <v>0</v>
      </c>
      <c r="BY2632" t="s">
        <v>135</v>
      </c>
      <c r="BZ2632">
        <v>0</v>
      </c>
      <c r="CA2632">
        <v>0</v>
      </c>
      <c r="CB2632" t="s">
        <v>135</v>
      </c>
      <c r="CH2632" s="2"/>
      <c r="CJ2632" s="2"/>
      <c r="CL2632" s="2"/>
      <c r="CN2632" s="2"/>
      <c r="CQ2632" s="2"/>
      <c r="CT2632" s="2"/>
      <c r="CW2632" s="2"/>
    </row>
    <row r="2633" spans="1:101" x14ac:dyDescent="0.25">
      <c r="A2633" s="1" t="s">
        <v>163</v>
      </c>
      <c r="B2633" s="75" t="s">
        <v>164</v>
      </c>
      <c r="C2633">
        <v>0</v>
      </c>
      <c r="D2633">
        <v>0</v>
      </c>
      <c r="E2633">
        <v>0</v>
      </c>
      <c r="F2633">
        <v>604324.56000000006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3.91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7490</v>
      </c>
      <c r="AW2633">
        <v>3350</v>
      </c>
      <c r="AX2633">
        <v>1219</v>
      </c>
      <c r="AY2633">
        <v>12059</v>
      </c>
      <c r="AZ2633">
        <v>4202</v>
      </c>
      <c r="BA2633">
        <v>7438</v>
      </c>
      <c r="BB2633">
        <v>1432</v>
      </c>
      <c r="BC2633">
        <v>13072</v>
      </c>
      <c r="BD2633">
        <v>9486</v>
      </c>
      <c r="BE2633">
        <v>9222</v>
      </c>
      <c r="BF2633">
        <v>1768</v>
      </c>
      <c r="BG2633">
        <v>20476</v>
      </c>
      <c r="BH2633">
        <v>0</v>
      </c>
      <c r="BI2633">
        <v>0</v>
      </c>
      <c r="BJ2633">
        <v>0</v>
      </c>
      <c r="BK2633">
        <v>0</v>
      </c>
      <c r="BL2633" s="2">
        <v>24.82</v>
      </c>
      <c r="BM2633" s="2">
        <v>42005.095138888886</v>
      </c>
      <c r="BN2633" s="2">
        <v>5.4</v>
      </c>
      <c r="BO2633" s="2">
        <v>42005.092361111114</v>
      </c>
      <c r="BP2633" s="2">
        <v>6.92</v>
      </c>
      <c r="BQ2633" s="2">
        <v>42005.092361111114</v>
      </c>
      <c r="BR2633" s="2">
        <v>11.07</v>
      </c>
      <c r="BS2633" s="2">
        <v>42005.092361111114</v>
      </c>
      <c r="BT2633">
        <v>0</v>
      </c>
      <c r="BU2633">
        <v>0</v>
      </c>
      <c r="BV2633" t="s">
        <v>135</v>
      </c>
      <c r="BW2633">
        <v>0</v>
      </c>
      <c r="BX2633">
        <v>0</v>
      </c>
      <c r="BY2633" t="s">
        <v>135</v>
      </c>
      <c r="BZ2633">
        <v>0</v>
      </c>
      <c r="CA2633">
        <v>0</v>
      </c>
      <c r="CB2633" t="s">
        <v>135</v>
      </c>
      <c r="CH2633" s="2"/>
      <c r="CJ2633" s="2"/>
      <c r="CL2633" s="2"/>
      <c r="CN2633" s="2"/>
      <c r="CQ2633" s="2"/>
      <c r="CT2633" s="2"/>
      <c r="CW2633" s="2"/>
    </row>
    <row r="2634" spans="1:101" x14ac:dyDescent="0.25">
      <c r="A2634" s="1" t="s">
        <v>163</v>
      </c>
      <c r="B2634" s="75" t="s">
        <v>164</v>
      </c>
      <c r="C2634">
        <v>0</v>
      </c>
      <c r="D2634">
        <v>0</v>
      </c>
      <c r="E2634">
        <v>0</v>
      </c>
      <c r="F2634">
        <v>604324.56000000006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3.91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7490</v>
      </c>
      <c r="AW2634">
        <v>3350</v>
      </c>
      <c r="AX2634">
        <v>1219</v>
      </c>
      <c r="AY2634">
        <v>12059</v>
      </c>
      <c r="AZ2634">
        <v>4202</v>
      </c>
      <c r="BA2634">
        <v>7438</v>
      </c>
      <c r="BB2634">
        <v>1432</v>
      </c>
      <c r="BC2634">
        <v>13072</v>
      </c>
      <c r="BD2634">
        <v>9486</v>
      </c>
      <c r="BE2634">
        <v>9222</v>
      </c>
      <c r="BF2634">
        <v>1768</v>
      </c>
      <c r="BG2634">
        <v>20476</v>
      </c>
      <c r="BH2634">
        <v>0</v>
      </c>
      <c r="BI2634">
        <v>0</v>
      </c>
      <c r="BJ2634">
        <v>0</v>
      </c>
      <c r="BK2634">
        <v>0</v>
      </c>
      <c r="BL2634" s="2">
        <v>24.82</v>
      </c>
      <c r="BM2634" s="2">
        <v>42005.095138888886</v>
      </c>
      <c r="BN2634" s="2">
        <v>5.4</v>
      </c>
      <c r="BO2634" s="2">
        <v>42005.092361111114</v>
      </c>
      <c r="BP2634" s="2">
        <v>6.92</v>
      </c>
      <c r="BQ2634" s="2">
        <v>42005.092361111114</v>
      </c>
      <c r="BR2634" s="2">
        <v>11.07</v>
      </c>
      <c r="BS2634" s="2">
        <v>42005.092361111114</v>
      </c>
      <c r="BT2634">
        <v>0</v>
      </c>
      <c r="BU2634">
        <v>0</v>
      </c>
      <c r="BV2634" t="s">
        <v>135</v>
      </c>
      <c r="BW2634">
        <v>0</v>
      </c>
      <c r="BX2634">
        <v>0</v>
      </c>
      <c r="BY2634" t="s">
        <v>135</v>
      </c>
      <c r="BZ2634">
        <v>0</v>
      </c>
      <c r="CA2634">
        <v>0</v>
      </c>
      <c r="CB2634" t="s">
        <v>135</v>
      </c>
      <c r="CH2634" s="2"/>
      <c r="CJ2634" s="2"/>
      <c r="CL2634" s="2"/>
      <c r="CN2634" s="2"/>
      <c r="CQ2634" s="2"/>
      <c r="CT2634" s="2"/>
      <c r="CW2634" s="2"/>
    </row>
    <row r="2635" spans="1:101" x14ac:dyDescent="0.25">
      <c r="A2635" s="1" t="s">
        <v>163</v>
      </c>
      <c r="B2635" s="75" t="s">
        <v>164</v>
      </c>
      <c r="C2635">
        <v>0</v>
      </c>
      <c r="D2635">
        <v>0</v>
      </c>
      <c r="E2635">
        <v>0</v>
      </c>
      <c r="F2635">
        <v>604324.56000000006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3.91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7490</v>
      </c>
      <c r="AW2635">
        <v>3350</v>
      </c>
      <c r="AX2635">
        <v>1219</v>
      </c>
      <c r="AY2635">
        <v>12059</v>
      </c>
      <c r="AZ2635">
        <v>4202</v>
      </c>
      <c r="BA2635">
        <v>7438</v>
      </c>
      <c r="BB2635">
        <v>1432</v>
      </c>
      <c r="BC2635">
        <v>13072</v>
      </c>
      <c r="BD2635">
        <v>9486</v>
      </c>
      <c r="BE2635">
        <v>9222</v>
      </c>
      <c r="BF2635">
        <v>1768</v>
      </c>
      <c r="BG2635">
        <v>20476</v>
      </c>
      <c r="BH2635">
        <v>0</v>
      </c>
      <c r="BI2635">
        <v>0</v>
      </c>
      <c r="BJ2635">
        <v>0</v>
      </c>
      <c r="BK2635">
        <v>0</v>
      </c>
      <c r="BL2635" s="2">
        <v>24.82</v>
      </c>
      <c r="BM2635" s="2">
        <v>42005.095138888886</v>
      </c>
      <c r="BN2635" s="2">
        <v>5.4</v>
      </c>
      <c r="BO2635" s="2">
        <v>42005.092361111114</v>
      </c>
      <c r="BP2635" s="2">
        <v>6.92</v>
      </c>
      <c r="BQ2635" s="2">
        <v>42005.092361111114</v>
      </c>
      <c r="BR2635" s="2">
        <v>11.07</v>
      </c>
      <c r="BS2635" s="2">
        <v>42005.092361111114</v>
      </c>
      <c r="BT2635">
        <v>0</v>
      </c>
      <c r="BU2635">
        <v>0</v>
      </c>
      <c r="BV2635" t="s">
        <v>135</v>
      </c>
      <c r="BW2635">
        <v>0</v>
      </c>
      <c r="BX2635">
        <v>0</v>
      </c>
      <c r="BY2635" t="s">
        <v>135</v>
      </c>
      <c r="BZ2635">
        <v>0</v>
      </c>
      <c r="CA2635">
        <v>0</v>
      </c>
      <c r="CB2635" t="s">
        <v>135</v>
      </c>
      <c r="CH2635" s="2"/>
      <c r="CJ2635" s="2"/>
      <c r="CL2635" s="2"/>
      <c r="CN2635" s="2"/>
      <c r="CQ2635" s="2"/>
      <c r="CT2635" s="2"/>
      <c r="CW2635" s="2"/>
    </row>
    <row r="2636" spans="1:101" x14ac:dyDescent="0.25">
      <c r="A2636" s="1" t="s">
        <v>163</v>
      </c>
      <c r="B2636" s="75" t="s">
        <v>164</v>
      </c>
      <c r="C2636">
        <v>0</v>
      </c>
      <c r="D2636">
        <v>0</v>
      </c>
      <c r="E2636">
        <v>0</v>
      </c>
      <c r="F2636">
        <v>604324.56000000006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3.91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7490</v>
      </c>
      <c r="AW2636">
        <v>3350</v>
      </c>
      <c r="AX2636">
        <v>1219</v>
      </c>
      <c r="AY2636">
        <v>12059</v>
      </c>
      <c r="AZ2636">
        <v>4202</v>
      </c>
      <c r="BA2636">
        <v>7438</v>
      </c>
      <c r="BB2636">
        <v>1432</v>
      </c>
      <c r="BC2636">
        <v>13072</v>
      </c>
      <c r="BD2636">
        <v>9486</v>
      </c>
      <c r="BE2636">
        <v>9222</v>
      </c>
      <c r="BF2636">
        <v>1768</v>
      </c>
      <c r="BG2636">
        <v>20476</v>
      </c>
      <c r="BH2636">
        <v>0</v>
      </c>
      <c r="BI2636">
        <v>0</v>
      </c>
      <c r="BJ2636">
        <v>0</v>
      </c>
      <c r="BK2636">
        <v>0</v>
      </c>
      <c r="BL2636" s="2">
        <v>24.82</v>
      </c>
      <c r="BM2636" s="2">
        <v>42005.095138888886</v>
      </c>
      <c r="BN2636" s="2">
        <v>5.4</v>
      </c>
      <c r="BO2636" s="2">
        <v>42005.092361111114</v>
      </c>
      <c r="BP2636" s="2">
        <v>6.92</v>
      </c>
      <c r="BQ2636" s="2">
        <v>42005.092361111114</v>
      </c>
      <c r="BR2636" s="2">
        <v>11.07</v>
      </c>
      <c r="BS2636" s="2">
        <v>42005.092361111114</v>
      </c>
      <c r="BT2636">
        <v>0</v>
      </c>
      <c r="BU2636">
        <v>0</v>
      </c>
      <c r="BV2636" t="s">
        <v>135</v>
      </c>
      <c r="BW2636">
        <v>0</v>
      </c>
      <c r="BX2636">
        <v>0</v>
      </c>
      <c r="BY2636" t="s">
        <v>135</v>
      </c>
      <c r="BZ2636">
        <v>0</v>
      </c>
      <c r="CA2636">
        <v>0</v>
      </c>
      <c r="CB2636" t="s">
        <v>135</v>
      </c>
      <c r="CH2636" s="2"/>
      <c r="CJ2636" s="2"/>
      <c r="CL2636" s="2"/>
      <c r="CN2636" s="2"/>
      <c r="CQ2636" s="2"/>
      <c r="CT2636" s="2"/>
      <c r="CW2636" s="2"/>
    </row>
    <row r="2637" spans="1:101" x14ac:dyDescent="0.25">
      <c r="A2637" s="1" t="s">
        <v>163</v>
      </c>
      <c r="B2637" s="75" t="s">
        <v>164</v>
      </c>
      <c r="C2637">
        <v>0</v>
      </c>
      <c r="D2637">
        <v>0</v>
      </c>
      <c r="E2637">
        <v>0</v>
      </c>
      <c r="F2637">
        <v>604324.56000000006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3.91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7490</v>
      </c>
      <c r="AW2637">
        <v>3350</v>
      </c>
      <c r="AX2637">
        <v>1219</v>
      </c>
      <c r="AY2637">
        <v>12059</v>
      </c>
      <c r="AZ2637">
        <v>4202</v>
      </c>
      <c r="BA2637">
        <v>7438</v>
      </c>
      <c r="BB2637">
        <v>1432</v>
      </c>
      <c r="BC2637">
        <v>13072</v>
      </c>
      <c r="BD2637">
        <v>9486</v>
      </c>
      <c r="BE2637">
        <v>9222</v>
      </c>
      <c r="BF2637">
        <v>1768</v>
      </c>
      <c r="BG2637">
        <v>20476</v>
      </c>
      <c r="BH2637">
        <v>0</v>
      </c>
      <c r="BI2637">
        <v>0</v>
      </c>
      <c r="BJ2637">
        <v>0</v>
      </c>
      <c r="BK2637">
        <v>0</v>
      </c>
      <c r="BL2637" s="2">
        <v>24.82</v>
      </c>
      <c r="BM2637" s="2">
        <v>42005.095138888886</v>
      </c>
      <c r="BN2637" s="2">
        <v>5.4</v>
      </c>
      <c r="BO2637" s="2">
        <v>42005.092361111114</v>
      </c>
      <c r="BP2637" s="2">
        <v>6.92</v>
      </c>
      <c r="BQ2637" s="2">
        <v>42005.092361111114</v>
      </c>
      <c r="BR2637" s="2">
        <v>11.07</v>
      </c>
      <c r="BS2637" s="2">
        <v>42005.092361111114</v>
      </c>
      <c r="BT2637">
        <v>0</v>
      </c>
      <c r="BU2637">
        <v>0</v>
      </c>
      <c r="BV2637" t="s">
        <v>135</v>
      </c>
      <c r="BW2637">
        <v>0</v>
      </c>
      <c r="BX2637">
        <v>0</v>
      </c>
      <c r="BY2637" t="s">
        <v>135</v>
      </c>
      <c r="BZ2637">
        <v>0</v>
      </c>
      <c r="CA2637">
        <v>0</v>
      </c>
      <c r="CB2637" t="s">
        <v>135</v>
      </c>
      <c r="CH2637" s="2"/>
      <c r="CJ2637" s="2"/>
      <c r="CL2637" s="2"/>
      <c r="CN2637" s="2"/>
      <c r="CQ2637" s="2"/>
      <c r="CT2637" s="2"/>
      <c r="CW2637" s="2"/>
    </row>
    <row r="2638" spans="1:101" x14ac:dyDescent="0.25">
      <c r="A2638" s="1" t="s">
        <v>163</v>
      </c>
      <c r="B2638" s="75" t="s">
        <v>164</v>
      </c>
      <c r="C2638">
        <v>0</v>
      </c>
      <c r="D2638">
        <v>0</v>
      </c>
      <c r="E2638">
        <v>0</v>
      </c>
      <c r="F2638">
        <v>604324.56000000006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3.91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7490</v>
      </c>
      <c r="AW2638">
        <v>3350</v>
      </c>
      <c r="AX2638">
        <v>1219</v>
      </c>
      <c r="AY2638">
        <v>12059</v>
      </c>
      <c r="AZ2638">
        <v>4202</v>
      </c>
      <c r="BA2638">
        <v>7438</v>
      </c>
      <c r="BB2638">
        <v>1432</v>
      </c>
      <c r="BC2638">
        <v>13072</v>
      </c>
      <c r="BD2638">
        <v>9486</v>
      </c>
      <c r="BE2638">
        <v>9222</v>
      </c>
      <c r="BF2638">
        <v>1768</v>
      </c>
      <c r="BG2638">
        <v>20476</v>
      </c>
      <c r="BH2638">
        <v>0</v>
      </c>
      <c r="BI2638">
        <v>0</v>
      </c>
      <c r="BJ2638">
        <v>0</v>
      </c>
      <c r="BK2638">
        <v>0</v>
      </c>
      <c r="BL2638" s="2">
        <v>24.82</v>
      </c>
      <c r="BM2638" s="2">
        <v>42005.095138888886</v>
      </c>
      <c r="BN2638" s="2">
        <v>5.4</v>
      </c>
      <c r="BO2638" s="2">
        <v>42005.092361111114</v>
      </c>
      <c r="BP2638" s="2">
        <v>6.92</v>
      </c>
      <c r="BQ2638" s="2">
        <v>42005.092361111114</v>
      </c>
      <c r="BR2638" s="2">
        <v>11.07</v>
      </c>
      <c r="BS2638" s="2">
        <v>42005.092361111114</v>
      </c>
      <c r="BT2638">
        <v>0</v>
      </c>
      <c r="BU2638">
        <v>0</v>
      </c>
      <c r="BV2638" t="s">
        <v>135</v>
      </c>
      <c r="BW2638">
        <v>0</v>
      </c>
      <c r="BX2638">
        <v>0</v>
      </c>
      <c r="BY2638" t="s">
        <v>135</v>
      </c>
      <c r="BZ2638">
        <v>0</v>
      </c>
      <c r="CA2638">
        <v>0</v>
      </c>
      <c r="CB2638" t="s">
        <v>135</v>
      </c>
      <c r="CH2638" s="2"/>
      <c r="CJ2638" s="2"/>
      <c r="CL2638" s="2"/>
      <c r="CN2638" s="2"/>
      <c r="CQ2638" s="2"/>
      <c r="CT2638" s="2"/>
      <c r="CW2638" s="2"/>
    </row>
    <row r="2639" spans="1:101" x14ac:dyDescent="0.25">
      <c r="A2639" s="1" t="s">
        <v>163</v>
      </c>
      <c r="B2639" s="75" t="s">
        <v>164</v>
      </c>
      <c r="C2639">
        <v>0</v>
      </c>
      <c r="D2639">
        <v>0</v>
      </c>
      <c r="E2639">
        <v>0</v>
      </c>
      <c r="F2639">
        <v>604324.56000000006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3.91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7490</v>
      </c>
      <c r="AW2639">
        <v>3350</v>
      </c>
      <c r="AX2639">
        <v>1219</v>
      </c>
      <c r="AY2639">
        <v>12059</v>
      </c>
      <c r="AZ2639">
        <v>4202</v>
      </c>
      <c r="BA2639">
        <v>7438</v>
      </c>
      <c r="BB2639">
        <v>1432</v>
      </c>
      <c r="BC2639">
        <v>13072</v>
      </c>
      <c r="BD2639">
        <v>9486</v>
      </c>
      <c r="BE2639">
        <v>9222</v>
      </c>
      <c r="BF2639">
        <v>1768</v>
      </c>
      <c r="BG2639">
        <v>20476</v>
      </c>
      <c r="BH2639">
        <v>0</v>
      </c>
      <c r="BI2639">
        <v>0</v>
      </c>
      <c r="BJ2639">
        <v>0</v>
      </c>
      <c r="BK2639">
        <v>0</v>
      </c>
      <c r="BL2639" s="2">
        <v>24.82</v>
      </c>
      <c r="BM2639" s="2">
        <v>42005.095138888886</v>
      </c>
      <c r="BN2639" s="2">
        <v>5.4</v>
      </c>
      <c r="BO2639" s="2">
        <v>42005.092361111114</v>
      </c>
      <c r="BP2639" s="2">
        <v>6.92</v>
      </c>
      <c r="BQ2639" s="2">
        <v>42005.092361111114</v>
      </c>
      <c r="BR2639" s="2">
        <v>11.07</v>
      </c>
      <c r="BS2639" s="2">
        <v>42005.092361111114</v>
      </c>
      <c r="BT2639">
        <v>0</v>
      </c>
      <c r="BU2639">
        <v>0</v>
      </c>
      <c r="BV2639" t="s">
        <v>135</v>
      </c>
      <c r="BW2639">
        <v>0</v>
      </c>
      <c r="BX2639">
        <v>0</v>
      </c>
      <c r="BY2639" t="s">
        <v>135</v>
      </c>
      <c r="BZ2639">
        <v>0</v>
      </c>
      <c r="CA2639">
        <v>0</v>
      </c>
      <c r="CB2639" t="s">
        <v>135</v>
      </c>
      <c r="CH2639" s="2"/>
      <c r="CJ2639" s="2"/>
      <c r="CL2639" s="2"/>
      <c r="CN2639" s="2"/>
      <c r="CQ2639" s="2"/>
      <c r="CT2639" s="2"/>
      <c r="CW2639" s="2"/>
    </row>
    <row r="2640" spans="1:101" x14ac:dyDescent="0.25">
      <c r="A2640" s="1" t="s">
        <v>163</v>
      </c>
      <c r="B2640" s="75" t="s">
        <v>164</v>
      </c>
      <c r="C2640">
        <v>0</v>
      </c>
      <c r="D2640">
        <v>0</v>
      </c>
      <c r="E2640">
        <v>0</v>
      </c>
      <c r="F2640">
        <v>604324.56000000006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3.91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7490</v>
      </c>
      <c r="AW2640">
        <v>3350</v>
      </c>
      <c r="AX2640">
        <v>1219</v>
      </c>
      <c r="AY2640">
        <v>12059</v>
      </c>
      <c r="AZ2640">
        <v>4202</v>
      </c>
      <c r="BA2640">
        <v>7438</v>
      </c>
      <c r="BB2640">
        <v>1432</v>
      </c>
      <c r="BC2640">
        <v>13072</v>
      </c>
      <c r="BD2640">
        <v>9486</v>
      </c>
      <c r="BE2640">
        <v>9222</v>
      </c>
      <c r="BF2640">
        <v>1768</v>
      </c>
      <c r="BG2640">
        <v>20476</v>
      </c>
      <c r="BH2640">
        <v>0</v>
      </c>
      <c r="BI2640">
        <v>0</v>
      </c>
      <c r="BJ2640">
        <v>0</v>
      </c>
      <c r="BK2640">
        <v>0</v>
      </c>
      <c r="BL2640" s="2">
        <v>24.82</v>
      </c>
      <c r="BM2640" s="2">
        <v>42005.095138888886</v>
      </c>
      <c r="BN2640" s="2">
        <v>5.4</v>
      </c>
      <c r="BO2640" s="2">
        <v>42005.092361111114</v>
      </c>
      <c r="BP2640" s="2">
        <v>6.92</v>
      </c>
      <c r="BQ2640" s="2">
        <v>42005.092361111114</v>
      </c>
      <c r="BR2640" s="2">
        <v>11.07</v>
      </c>
      <c r="BS2640" s="2">
        <v>42005.092361111114</v>
      </c>
      <c r="BT2640">
        <v>0</v>
      </c>
      <c r="BU2640">
        <v>0</v>
      </c>
      <c r="BV2640" t="s">
        <v>135</v>
      </c>
      <c r="BW2640">
        <v>0</v>
      </c>
      <c r="BX2640">
        <v>0</v>
      </c>
      <c r="BY2640" t="s">
        <v>135</v>
      </c>
      <c r="BZ2640">
        <v>0</v>
      </c>
      <c r="CA2640">
        <v>0</v>
      </c>
      <c r="CB2640" t="s">
        <v>135</v>
      </c>
      <c r="CH2640" s="2"/>
      <c r="CJ2640" s="2"/>
      <c r="CL2640" s="2"/>
      <c r="CN2640" s="2"/>
      <c r="CQ2640" s="2"/>
      <c r="CT2640" s="2"/>
      <c r="CW2640" s="2"/>
    </row>
    <row r="2641" spans="1:101" x14ac:dyDescent="0.25">
      <c r="A2641" s="1" t="s">
        <v>163</v>
      </c>
      <c r="B2641" s="75" t="s">
        <v>164</v>
      </c>
      <c r="C2641">
        <v>0</v>
      </c>
      <c r="D2641">
        <v>0</v>
      </c>
      <c r="E2641">
        <v>0</v>
      </c>
      <c r="F2641">
        <v>604324.56000000006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3.91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7490</v>
      </c>
      <c r="AW2641">
        <v>3350</v>
      </c>
      <c r="AX2641">
        <v>1219</v>
      </c>
      <c r="AY2641">
        <v>12059</v>
      </c>
      <c r="AZ2641">
        <v>4202</v>
      </c>
      <c r="BA2641">
        <v>7438</v>
      </c>
      <c r="BB2641">
        <v>1432</v>
      </c>
      <c r="BC2641">
        <v>13072</v>
      </c>
      <c r="BD2641">
        <v>9486</v>
      </c>
      <c r="BE2641">
        <v>9222</v>
      </c>
      <c r="BF2641">
        <v>1768</v>
      </c>
      <c r="BG2641">
        <v>20476</v>
      </c>
      <c r="BH2641">
        <v>0</v>
      </c>
      <c r="BI2641">
        <v>0</v>
      </c>
      <c r="BJ2641">
        <v>0</v>
      </c>
      <c r="BK2641">
        <v>0</v>
      </c>
      <c r="BL2641" s="2">
        <v>24.82</v>
      </c>
      <c r="BM2641" s="2">
        <v>42005.095138888886</v>
      </c>
      <c r="BN2641" s="2">
        <v>5.4</v>
      </c>
      <c r="BO2641" s="2">
        <v>42005.092361111114</v>
      </c>
      <c r="BP2641" s="2">
        <v>6.92</v>
      </c>
      <c r="BQ2641" s="2">
        <v>42005.092361111114</v>
      </c>
      <c r="BR2641" s="2">
        <v>11.07</v>
      </c>
      <c r="BS2641" s="2">
        <v>42005.092361111114</v>
      </c>
      <c r="BT2641">
        <v>0</v>
      </c>
      <c r="BU2641">
        <v>0</v>
      </c>
      <c r="BV2641" t="s">
        <v>135</v>
      </c>
      <c r="BW2641">
        <v>0</v>
      </c>
      <c r="BX2641">
        <v>0</v>
      </c>
      <c r="BY2641" t="s">
        <v>135</v>
      </c>
      <c r="BZ2641">
        <v>0</v>
      </c>
      <c r="CA2641">
        <v>0</v>
      </c>
      <c r="CB2641" t="s">
        <v>135</v>
      </c>
      <c r="CH2641" s="2"/>
      <c r="CJ2641" s="2"/>
      <c r="CL2641" s="2"/>
      <c r="CN2641" s="2"/>
      <c r="CQ2641" s="2"/>
      <c r="CT2641" s="2"/>
      <c r="CW2641" s="2"/>
    </row>
    <row r="2642" spans="1:101" x14ac:dyDescent="0.25">
      <c r="A2642" s="1" t="s">
        <v>163</v>
      </c>
      <c r="B2642" s="75" t="s">
        <v>164</v>
      </c>
      <c r="C2642">
        <v>0</v>
      </c>
      <c r="D2642">
        <v>0</v>
      </c>
      <c r="E2642">
        <v>0</v>
      </c>
      <c r="F2642">
        <v>604324.56000000006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3.91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7490</v>
      </c>
      <c r="AW2642">
        <v>3350</v>
      </c>
      <c r="AX2642">
        <v>1219</v>
      </c>
      <c r="AY2642">
        <v>12059</v>
      </c>
      <c r="AZ2642">
        <v>4202</v>
      </c>
      <c r="BA2642">
        <v>7438</v>
      </c>
      <c r="BB2642">
        <v>1432</v>
      </c>
      <c r="BC2642">
        <v>13072</v>
      </c>
      <c r="BD2642">
        <v>9486</v>
      </c>
      <c r="BE2642">
        <v>9222</v>
      </c>
      <c r="BF2642">
        <v>1768</v>
      </c>
      <c r="BG2642">
        <v>20476</v>
      </c>
      <c r="BH2642">
        <v>0</v>
      </c>
      <c r="BI2642">
        <v>0</v>
      </c>
      <c r="BJ2642">
        <v>0</v>
      </c>
      <c r="BK2642">
        <v>0</v>
      </c>
      <c r="BL2642" s="2">
        <v>24.82</v>
      </c>
      <c r="BM2642" s="2">
        <v>42005.095138888886</v>
      </c>
      <c r="BN2642" s="2">
        <v>5.4</v>
      </c>
      <c r="BO2642" s="2">
        <v>42005.092361111114</v>
      </c>
      <c r="BP2642" s="2">
        <v>6.92</v>
      </c>
      <c r="BQ2642" s="2">
        <v>42005.092361111114</v>
      </c>
      <c r="BR2642" s="2">
        <v>11.07</v>
      </c>
      <c r="BS2642" s="2">
        <v>42005.092361111114</v>
      </c>
      <c r="BT2642">
        <v>0</v>
      </c>
      <c r="BU2642">
        <v>0</v>
      </c>
      <c r="BV2642" t="s">
        <v>135</v>
      </c>
      <c r="BW2642">
        <v>0</v>
      </c>
      <c r="BX2642">
        <v>0</v>
      </c>
      <c r="BY2642" t="s">
        <v>135</v>
      </c>
      <c r="BZ2642">
        <v>0</v>
      </c>
      <c r="CA2642">
        <v>0</v>
      </c>
      <c r="CB2642" t="s">
        <v>135</v>
      </c>
      <c r="CH2642" s="2"/>
      <c r="CJ2642" s="2"/>
      <c r="CL2642" s="2"/>
      <c r="CN2642" s="2"/>
      <c r="CQ2642" s="2"/>
      <c r="CT2642" s="2"/>
      <c r="CW2642" s="2"/>
    </row>
    <row r="2643" spans="1:101" x14ac:dyDescent="0.25">
      <c r="A2643" s="1" t="s">
        <v>163</v>
      </c>
      <c r="B2643" s="75" t="s">
        <v>164</v>
      </c>
      <c r="C2643">
        <v>0</v>
      </c>
      <c r="D2643">
        <v>0</v>
      </c>
      <c r="E2643">
        <v>0</v>
      </c>
      <c r="F2643">
        <v>604324.56000000006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3.91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7490</v>
      </c>
      <c r="AW2643">
        <v>3350</v>
      </c>
      <c r="AX2643">
        <v>1219</v>
      </c>
      <c r="AY2643">
        <v>12059</v>
      </c>
      <c r="AZ2643">
        <v>4202</v>
      </c>
      <c r="BA2643">
        <v>7438</v>
      </c>
      <c r="BB2643">
        <v>1432</v>
      </c>
      <c r="BC2643">
        <v>13072</v>
      </c>
      <c r="BD2643">
        <v>9486</v>
      </c>
      <c r="BE2643">
        <v>9222</v>
      </c>
      <c r="BF2643">
        <v>1768</v>
      </c>
      <c r="BG2643">
        <v>20476</v>
      </c>
      <c r="BH2643">
        <v>0</v>
      </c>
      <c r="BI2643">
        <v>0</v>
      </c>
      <c r="BJ2643">
        <v>0</v>
      </c>
      <c r="BK2643">
        <v>0</v>
      </c>
      <c r="BL2643" s="2">
        <v>24.82</v>
      </c>
      <c r="BM2643" s="2">
        <v>42005.095138888886</v>
      </c>
      <c r="BN2643" s="2">
        <v>5.4</v>
      </c>
      <c r="BO2643" s="2">
        <v>42005.092361111114</v>
      </c>
      <c r="BP2643" s="2">
        <v>6.92</v>
      </c>
      <c r="BQ2643" s="2">
        <v>42005.092361111114</v>
      </c>
      <c r="BR2643" s="2">
        <v>11.07</v>
      </c>
      <c r="BS2643" s="2">
        <v>42005.092361111114</v>
      </c>
      <c r="BT2643">
        <v>0</v>
      </c>
      <c r="BU2643">
        <v>0</v>
      </c>
      <c r="BV2643" t="s">
        <v>135</v>
      </c>
      <c r="BW2643">
        <v>0</v>
      </c>
      <c r="BX2643">
        <v>0</v>
      </c>
      <c r="BY2643" t="s">
        <v>135</v>
      </c>
      <c r="BZ2643">
        <v>0</v>
      </c>
      <c r="CA2643">
        <v>0</v>
      </c>
      <c r="CB2643" t="s">
        <v>135</v>
      </c>
      <c r="CH2643" s="2"/>
      <c r="CJ2643" s="2"/>
      <c r="CL2643" s="2"/>
      <c r="CN2643" s="2"/>
      <c r="CQ2643" s="2"/>
      <c r="CT2643" s="2"/>
      <c r="CW2643" s="2"/>
    </row>
    <row r="2644" spans="1:101" x14ac:dyDescent="0.25">
      <c r="A2644" s="1" t="s">
        <v>163</v>
      </c>
      <c r="B2644" s="75" t="s">
        <v>164</v>
      </c>
      <c r="C2644">
        <v>0</v>
      </c>
      <c r="D2644">
        <v>0</v>
      </c>
      <c r="E2644">
        <v>0</v>
      </c>
      <c r="F2644">
        <v>604324.56000000006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3.91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7490</v>
      </c>
      <c r="AW2644">
        <v>3350</v>
      </c>
      <c r="AX2644">
        <v>1219</v>
      </c>
      <c r="AY2644">
        <v>12059</v>
      </c>
      <c r="AZ2644">
        <v>4202</v>
      </c>
      <c r="BA2644">
        <v>7438</v>
      </c>
      <c r="BB2644">
        <v>1432</v>
      </c>
      <c r="BC2644">
        <v>13072</v>
      </c>
      <c r="BD2644">
        <v>9486</v>
      </c>
      <c r="BE2644">
        <v>9222</v>
      </c>
      <c r="BF2644">
        <v>1768</v>
      </c>
      <c r="BG2644">
        <v>20476</v>
      </c>
      <c r="BH2644">
        <v>0</v>
      </c>
      <c r="BI2644">
        <v>0</v>
      </c>
      <c r="BJ2644">
        <v>0</v>
      </c>
      <c r="BK2644">
        <v>0</v>
      </c>
      <c r="BL2644" s="2">
        <v>24.82</v>
      </c>
      <c r="BM2644" s="2">
        <v>42005.095138888886</v>
      </c>
      <c r="BN2644" s="2">
        <v>5.4</v>
      </c>
      <c r="BO2644" s="2">
        <v>42005.092361111114</v>
      </c>
      <c r="BP2644" s="2">
        <v>6.92</v>
      </c>
      <c r="BQ2644" s="2">
        <v>42005.092361111114</v>
      </c>
      <c r="BR2644" s="2">
        <v>11.07</v>
      </c>
      <c r="BS2644" s="2">
        <v>42005.092361111114</v>
      </c>
      <c r="BT2644">
        <v>0</v>
      </c>
      <c r="BU2644">
        <v>0</v>
      </c>
      <c r="BV2644" t="s">
        <v>135</v>
      </c>
      <c r="BW2644">
        <v>0</v>
      </c>
      <c r="BX2644">
        <v>0</v>
      </c>
      <c r="BY2644" t="s">
        <v>135</v>
      </c>
      <c r="BZ2644">
        <v>0</v>
      </c>
      <c r="CA2644">
        <v>0</v>
      </c>
      <c r="CB2644" t="s">
        <v>135</v>
      </c>
      <c r="CH2644" s="2"/>
      <c r="CJ2644" s="2"/>
      <c r="CL2644" s="2"/>
      <c r="CN2644" s="2"/>
      <c r="CQ2644" s="2"/>
      <c r="CT2644" s="2"/>
      <c r="CW2644" s="2"/>
    </row>
    <row r="2645" spans="1:101" x14ac:dyDescent="0.25">
      <c r="A2645" s="1" t="s">
        <v>163</v>
      </c>
      <c r="B2645" s="75" t="s">
        <v>164</v>
      </c>
      <c r="C2645">
        <v>0</v>
      </c>
      <c r="D2645">
        <v>0</v>
      </c>
      <c r="E2645">
        <v>0</v>
      </c>
      <c r="F2645">
        <v>604324.56000000006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3.91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7490</v>
      </c>
      <c r="AW2645">
        <v>3350</v>
      </c>
      <c r="AX2645">
        <v>1219</v>
      </c>
      <c r="AY2645">
        <v>12059</v>
      </c>
      <c r="AZ2645">
        <v>4202</v>
      </c>
      <c r="BA2645">
        <v>7438</v>
      </c>
      <c r="BB2645">
        <v>1432</v>
      </c>
      <c r="BC2645">
        <v>13072</v>
      </c>
      <c r="BD2645">
        <v>9486</v>
      </c>
      <c r="BE2645">
        <v>9222</v>
      </c>
      <c r="BF2645">
        <v>1768</v>
      </c>
      <c r="BG2645">
        <v>20476</v>
      </c>
      <c r="BH2645">
        <v>0</v>
      </c>
      <c r="BI2645">
        <v>0</v>
      </c>
      <c r="BJ2645">
        <v>0</v>
      </c>
      <c r="BK2645">
        <v>0</v>
      </c>
      <c r="BL2645" s="2">
        <v>24.82</v>
      </c>
      <c r="BM2645" s="2">
        <v>42005.095138888886</v>
      </c>
      <c r="BN2645" s="2">
        <v>5.4</v>
      </c>
      <c r="BO2645" s="2">
        <v>42005.092361111114</v>
      </c>
      <c r="BP2645" s="2">
        <v>6.92</v>
      </c>
      <c r="BQ2645" s="2">
        <v>42005.092361111114</v>
      </c>
      <c r="BR2645" s="2">
        <v>11.07</v>
      </c>
      <c r="BS2645" s="2">
        <v>42005.092361111114</v>
      </c>
      <c r="BT2645">
        <v>0</v>
      </c>
      <c r="BU2645">
        <v>0</v>
      </c>
      <c r="BV2645" t="s">
        <v>135</v>
      </c>
      <c r="BW2645">
        <v>0</v>
      </c>
      <c r="BX2645">
        <v>0</v>
      </c>
      <c r="BY2645" t="s">
        <v>135</v>
      </c>
      <c r="BZ2645">
        <v>0</v>
      </c>
      <c r="CA2645">
        <v>0</v>
      </c>
      <c r="CB2645" t="s">
        <v>135</v>
      </c>
      <c r="CH2645" s="2"/>
      <c r="CJ2645" s="2"/>
      <c r="CL2645" s="2"/>
      <c r="CN2645" s="2"/>
      <c r="CQ2645" s="2"/>
      <c r="CT2645" s="2"/>
      <c r="CW2645" s="2"/>
    </row>
    <row r="2646" spans="1:101" x14ac:dyDescent="0.25">
      <c r="A2646" s="1" t="s">
        <v>163</v>
      </c>
      <c r="B2646" s="75" t="s">
        <v>164</v>
      </c>
      <c r="C2646">
        <v>0</v>
      </c>
      <c r="D2646">
        <v>0</v>
      </c>
      <c r="E2646">
        <v>0</v>
      </c>
      <c r="F2646">
        <v>604324.56000000006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3.91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7490</v>
      </c>
      <c r="AW2646">
        <v>3350</v>
      </c>
      <c r="AX2646">
        <v>1219</v>
      </c>
      <c r="AY2646">
        <v>12059</v>
      </c>
      <c r="AZ2646">
        <v>4202</v>
      </c>
      <c r="BA2646">
        <v>7438</v>
      </c>
      <c r="BB2646">
        <v>1432</v>
      </c>
      <c r="BC2646">
        <v>13072</v>
      </c>
      <c r="BD2646">
        <v>9486</v>
      </c>
      <c r="BE2646">
        <v>9222</v>
      </c>
      <c r="BF2646">
        <v>1768</v>
      </c>
      <c r="BG2646">
        <v>20476</v>
      </c>
      <c r="BH2646">
        <v>0</v>
      </c>
      <c r="BI2646">
        <v>0</v>
      </c>
      <c r="BJ2646">
        <v>0</v>
      </c>
      <c r="BK2646">
        <v>0</v>
      </c>
      <c r="BL2646" s="2">
        <v>24.82</v>
      </c>
      <c r="BM2646" s="2">
        <v>42005.095138888886</v>
      </c>
      <c r="BN2646" s="2">
        <v>5.4</v>
      </c>
      <c r="BO2646" s="2">
        <v>42005.092361111114</v>
      </c>
      <c r="BP2646" s="2">
        <v>6.92</v>
      </c>
      <c r="BQ2646" s="2">
        <v>42005.092361111114</v>
      </c>
      <c r="BR2646" s="2">
        <v>11.07</v>
      </c>
      <c r="BS2646" s="2">
        <v>42005.092361111114</v>
      </c>
      <c r="BT2646">
        <v>0</v>
      </c>
      <c r="BU2646">
        <v>0</v>
      </c>
      <c r="BV2646" t="s">
        <v>135</v>
      </c>
      <c r="BW2646">
        <v>0</v>
      </c>
      <c r="BX2646">
        <v>0</v>
      </c>
      <c r="BY2646" t="s">
        <v>135</v>
      </c>
      <c r="BZ2646">
        <v>0</v>
      </c>
      <c r="CA2646">
        <v>0</v>
      </c>
      <c r="CB2646" t="s">
        <v>135</v>
      </c>
      <c r="CH2646" s="2"/>
      <c r="CJ2646" s="2"/>
      <c r="CL2646" s="2"/>
      <c r="CN2646" s="2"/>
      <c r="CQ2646" s="2"/>
      <c r="CT2646" s="2"/>
      <c r="CW2646" s="2"/>
    </row>
    <row r="2647" spans="1:101" x14ac:dyDescent="0.25">
      <c r="A2647" s="1" t="s">
        <v>163</v>
      </c>
      <c r="B2647" s="75" t="s">
        <v>164</v>
      </c>
      <c r="C2647">
        <v>0</v>
      </c>
      <c r="D2647">
        <v>0</v>
      </c>
      <c r="E2647">
        <v>0</v>
      </c>
      <c r="F2647">
        <v>604324.56000000006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3.91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7490</v>
      </c>
      <c r="AW2647">
        <v>3350</v>
      </c>
      <c r="AX2647">
        <v>1219</v>
      </c>
      <c r="AY2647">
        <v>12059</v>
      </c>
      <c r="AZ2647">
        <v>4202</v>
      </c>
      <c r="BA2647">
        <v>7438</v>
      </c>
      <c r="BB2647">
        <v>1432</v>
      </c>
      <c r="BC2647">
        <v>13072</v>
      </c>
      <c r="BD2647">
        <v>9486</v>
      </c>
      <c r="BE2647">
        <v>9222</v>
      </c>
      <c r="BF2647">
        <v>1768</v>
      </c>
      <c r="BG2647">
        <v>20476</v>
      </c>
      <c r="BH2647">
        <v>0</v>
      </c>
      <c r="BI2647">
        <v>0</v>
      </c>
      <c r="BJ2647">
        <v>0</v>
      </c>
      <c r="BK2647">
        <v>0</v>
      </c>
      <c r="BL2647" s="2">
        <v>24.82</v>
      </c>
      <c r="BM2647" s="2">
        <v>42005.095138888886</v>
      </c>
      <c r="BN2647" s="2">
        <v>5.4</v>
      </c>
      <c r="BO2647" s="2">
        <v>42005.092361111114</v>
      </c>
      <c r="BP2647" s="2">
        <v>6.92</v>
      </c>
      <c r="BQ2647" s="2">
        <v>42005.092361111114</v>
      </c>
      <c r="BR2647" s="2">
        <v>11.07</v>
      </c>
      <c r="BS2647" s="2">
        <v>42005.092361111114</v>
      </c>
      <c r="BT2647">
        <v>0</v>
      </c>
      <c r="BU2647">
        <v>0</v>
      </c>
      <c r="BV2647" t="s">
        <v>135</v>
      </c>
      <c r="BW2647">
        <v>0</v>
      </c>
      <c r="BX2647">
        <v>0</v>
      </c>
      <c r="BY2647" t="s">
        <v>135</v>
      </c>
      <c r="BZ2647">
        <v>0</v>
      </c>
      <c r="CA2647">
        <v>0</v>
      </c>
      <c r="CB2647" t="s">
        <v>135</v>
      </c>
      <c r="CH2647" s="2"/>
      <c r="CJ2647" s="2"/>
      <c r="CL2647" s="2"/>
      <c r="CN2647" s="2"/>
      <c r="CQ2647" s="2"/>
      <c r="CT2647" s="2"/>
      <c r="CW2647" s="2"/>
    </row>
    <row r="2648" spans="1:101" x14ac:dyDescent="0.25">
      <c r="A2648" s="1" t="s">
        <v>163</v>
      </c>
      <c r="B2648" s="75" t="s">
        <v>164</v>
      </c>
      <c r="C2648">
        <v>0</v>
      </c>
      <c r="D2648">
        <v>0</v>
      </c>
      <c r="E2648">
        <v>0</v>
      </c>
      <c r="F2648">
        <v>604324.56000000006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3.91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7490</v>
      </c>
      <c r="AW2648">
        <v>3350</v>
      </c>
      <c r="AX2648">
        <v>1219</v>
      </c>
      <c r="AY2648">
        <v>12059</v>
      </c>
      <c r="AZ2648">
        <v>4202</v>
      </c>
      <c r="BA2648">
        <v>7438</v>
      </c>
      <c r="BB2648">
        <v>1432</v>
      </c>
      <c r="BC2648">
        <v>13072</v>
      </c>
      <c r="BD2648">
        <v>9486</v>
      </c>
      <c r="BE2648">
        <v>9222</v>
      </c>
      <c r="BF2648">
        <v>1768</v>
      </c>
      <c r="BG2648">
        <v>20476</v>
      </c>
      <c r="BH2648">
        <v>0</v>
      </c>
      <c r="BI2648">
        <v>0</v>
      </c>
      <c r="BJ2648">
        <v>0</v>
      </c>
      <c r="BK2648">
        <v>0</v>
      </c>
      <c r="BL2648" s="2">
        <v>24.82</v>
      </c>
      <c r="BM2648" s="2">
        <v>42005.095138888886</v>
      </c>
      <c r="BN2648" s="2">
        <v>5.4</v>
      </c>
      <c r="BO2648" s="2">
        <v>42005.092361111114</v>
      </c>
      <c r="BP2648" s="2">
        <v>6.92</v>
      </c>
      <c r="BQ2648" s="2">
        <v>42005.092361111114</v>
      </c>
      <c r="BR2648" s="2">
        <v>11.07</v>
      </c>
      <c r="BS2648" s="2">
        <v>42005.092361111114</v>
      </c>
      <c r="BT2648">
        <v>0</v>
      </c>
      <c r="BU2648">
        <v>0</v>
      </c>
      <c r="BV2648" t="s">
        <v>135</v>
      </c>
      <c r="BW2648">
        <v>0</v>
      </c>
      <c r="BX2648">
        <v>0</v>
      </c>
      <c r="BY2648" t="s">
        <v>135</v>
      </c>
      <c r="BZ2648">
        <v>0</v>
      </c>
      <c r="CA2648">
        <v>0</v>
      </c>
      <c r="CB2648" t="s">
        <v>135</v>
      </c>
      <c r="CH2648" s="2"/>
      <c r="CJ2648" s="2"/>
      <c r="CL2648" s="2"/>
      <c r="CN2648" s="2"/>
      <c r="CQ2648" s="2"/>
      <c r="CT2648" s="2"/>
      <c r="CW2648" s="2"/>
    </row>
    <row r="2649" spans="1:101" x14ac:dyDescent="0.25">
      <c r="A2649" s="1" t="s">
        <v>163</v>
      </c>
      <c r="B2649" s="75" t="s">
        <v>164</v>
      </c>
      <c r="C2649">
        <v>0</v>
      </c>
      <c r="D2649">
        <v>0</v>
      </c>
      <c r="E2649">
        <v>0</v>
      </c>
      <c r="F2649">
        <v>604324.56000000006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3.91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7490</v>
      </c>
      <c r="AW2649">
        <v>3350</v>
      </c>
      <c r="AX2649">
        <v>1219</v>
      </c>
      <c r="AY2649">
        <v>12059</v>
      </c>
      <c r="AZ2649">
        <v>4202</v>
      </c>
      <c r="BA2649">
        <v>7438</v>
      </c>
      <c r="BB2649">
        <v>1432</v>
      </c>
      <c r="BC2649">
        <v>13072</v>
      </c>
      <c r="BD2649">
        <v>9486</v>
      </c>
      <c r="BE2649">
        <v>9222</v>
      </c>
      <c r="BF2649">
        <v>1768</v>
      </c>
      <c r="BG2649">
        <v>20476</v>
      </c>
      <c r="BH2649">
        <v>0</v>
      </c>
      <c r="BI2649">
        <v>0</v>
      </c>
      <c r="BJ2649">
        <v>0</v>
      </c>
      <c r="BK2649">
        <v>0</v>
      </c>
      <c r="BL2649" s="2">
        <v>24.82</v>
      </c>
      <c r="BM2649" s="2">
        <v>42005.095138888886</v>
      </c>
      <c r="BN2649" s="2">
        <v>5.4</v>
      </c>
      <c r="BO2649" s="2">
        <v>42005.092361111114</v>
      </c>
      <c r="BP2649" s="2">
        <v>6.92</v>
      </c>
      <c r="BQ2649" s="2">
        <v>42005.092361111114</v>
      </c>
      <c r="BR2649" s="2">
        <v>11.07</v>
      </c>
      <c r="BS2649" s="2">
        <v>42005.092361111114</v>
      </c>
      <c r="BT2649">
        <v>0</v>
      </c>
      <c r="BU2649">
        <v>0</v>
      </c>
      <c r="BV2649" t="s">
        <v>135</v>
      </c>
      <c r="BW2649">
        <v>0</v>
      </c>
      <c r="BX2649">
        <v>0</v>
      </c>
      <c r="BY2649" t="s">
        <v>135</v>
      </c>
      <c r="BZ2649">
        <v>0</v>
      </c>
      <c r="CA2649">
        <v>0</v>
      </c>
      <c r="CB2649" t="s">
        <v>135</v>
      </c>
      <c r="CH2649" s="2"/>
      <c r="CJ2649" s="2"/>
      <c r="CL2649" s="2"/>
      <c r="CN2649" s="2"/>
      <c r="CQ2649" s="2"/>
      <c r="CT2649" s="2"/>
      <c r="CW2649" s="2"/>
    </row>
    <row r="2650" spans="1:101" x14ac:dyDescent="0.25">
      <c r="CH2650" s="2"/>
      <c r="CJ2650" s="2"/>
      <c r="CL2650" s="2"/>
      <c r="CN2650" s="2"/>
      <c r="CQ2650" s="2"/>
      <c r="CT2650" s="2"/>
      <c r="CW2650" s="2"/>
    </row>
    <row r="2651" spans="1:101" x14ac:dyDescent="0.25">
      <c r="CH2651" s="2"/>
      <c r="CJ2651" s="2"/>
      <c r="CL2651" s="2"/>
      <c r="CN2651" s="2"/>
      <c r="CQ2651" s="2"/>
      <c r="CT2651" s="2"/>
      <c r="CW2651" s="2"/>
    </row>
    <row r="2652" spans="1:101" x14ac:dyDescent="0.25">
      <c r="CH2652" s="2"/>
      <c r="CJ2652" s="2"/>
      <c r="CL2652" s="2"/>
      <c r="CN2652" s="2"/>
      <c r="CQ2652" s="2"/>
      <c r="CT2652" s="2"/>
      <c r="CW2652" s="2"/>
    </row>
    <row r="2653" spans="1:101" x14ac:dyDescent="0.25">
      <c r="CH2653" s="2"/>
      <c r="CJ2653" s="2"/>
      <c r="CL2653" s="2"/>
      <c r="CN2653" s="2"/>
      <c r="CQ2653" s="2"/>
      <c r="CT2653" s="2"/>
      <c r="CW2653" s="2"/>
    </row>
    <row r="2654" spans="1:101" x14ac:dyDescent="0.25">
      <c r="CH2654" s="2"/>
      <c r="CJ2654" s="2"/>
      <c r="CL2654" s="2"/>
      <c r="CN2654" s="2"/>
      <c r="CQ2654" s="2"/>
      <c r="CT2654" s="2"/>
      <c r="CW2654" s="2"/>
    </row>
    <row r="2655" spans="1:101" x14ac:dyDescent="0.25">
      <c r="CH2655" s="2"/>
      <c r="CJ2655" s="2"/>
      <c r="CL2655" s="2"/>
      <c r="CN2655" s="2"/>
      <c r="CQ2655" s="2"/>
      <c r="CT2655" s="2"/>
      <c r="CW2655" s="2"/>
    </row>
    <row r="2656" spans="1:101" x14ac:dyDescent="0.25">
      <c r="CH2656" s="2"/>
      <c r="CJ2656" s="2"/>
      <c r="CL2656" s="2"/>
      <c r="CN2656" s="2"/>
      <c r="CQ2656" s="2"/>
      <c r="CT2656" s="2"/>
      <c r="CW2656" s="2"/>
    </row>
    <row r="2657" spans="86:101" x14ac:dyDescent="0.25">
      <c r="CH2657" s="2"/>
      <c r="CJ2657" s="2"/>
      <c r="CL2657" s="2"/>
      <c r="CN2657" s="2"/>
      <c r="CQ2657" s="2"/>
      <c r="CT2657" s="2"/>
      <c r="CW2657" s="2"/>
    </row>
    <row r="2658" spans="86:101" x14ac:dyDescent="0.25">
      <c r="CH2658" s="2"/>
      <c r="CJ2658" s="2"/>
      <c r="CL2658" s="2"/>
      <c r="CN2658" s="2"/>
      <c r="CQ2658" s="2"/>
      <c r="CT2658" s="2"/>
      <c r="CW2658" s="2"/>
    </row>
    <row r="2659" spans="86:101" x14ac:dyDescent="0.25">
      <c r="CH2659" s="2"/>
      <c r="CJ2659" s="2"/>
      <c r="CL2659" s="2"/>
      <c r="CN2659" s="2"/>
      <c r="CQ2659" s="2"/>
      <c r="CT2659" s="2"/>
      <c r="CW2659" s="2"/>
    </row>
    <row r="2660" spans="86:101" x14ac:dyDescent="0.25">
      <c r="CH2660" s="2"/>
      <c r="CJ2660" s="2"/>
      <c r="CL2660" s="2"/>
      <c r="CN2660" s="2"/>
      <c r="CQ2660" s="2"/>
      <c r="CT2660" s="2"/>
      <c r="CW2660" s="2"/>
    </row>
    <row r="2661" spans="86:101" x14ac:dyDescent="0.25">
      <c r="CH2661" s="2"/>
      <c r="CJ2661" s="2"/>
      <c r="CL2661" s="2"/>
      <c r="CN2661" s="2"/>
      <c r="CQ2661" s="2"/>
      <c r="CT2661" s="2"/>
      <c r="CW2661" s="2"/>
    </row>
    <row r="2662" spans="86:101" x14ac:dyDescent="0.25">
      <c r="CH2662" s="2"/>
      <c r="CJ2662" s="2"/>
      <c r="CL2662" s="2"/>
      <c r="CN2662" s="2"/>
      <c r="CQ2662" s="2"/>
      <c r="CT2662" s="2"/>
      <c r="CW2662" s="2"/>
    </row>
    <row r="2663" spans="86:101" x14ac:dyDescent="0.25">
      <c r="CH2663" s="2"/>
      <c r="CJ2663" s="2"/>
      <c r="CL2663" s="2"/>
      <c r="CN2663" s="2"/>
      <c r="CQ2663" s="2"/>
      <c r="CT2663" s="2"/>
      <c r="CW2663" s="2"/>
    </row>
    <row r="2664" spans="86:101" x14ac:dyDescent="0.25">
      <c r="CH2664" s="2"/>
      <c r="CJ2664" s="2"/>
      <c r="CL2664" s="2"/>
      <c r="CN2664" s="2"/>
      <c r="CQ2664" s="2"/>
      <c r="CT2664" s="2"/>
      <c r="CW2664" s="2"/>
    </row>
    <row r="2665" spans="86:101" x14ac:dyDescent="0.25">
      <c r="CH2665" s="2"/>
      <c r="CJ2665" s="2"/>
      <c r="CL2665" s="2"/>
      <c r="CN2665" s="2"/>
      <c r="CQ2665" s="2"/>
      <c r="CT2665" s="2"/>
      <c r="CW2665" s="2"/>
    </row>
    <row r="2666" spans="86:101" x14ac:dyDescent="0.25">
      <c r="CH2666" s="2"/>
      <c r="CJ2666" s="2"/>
      <c r="CL2666" s="2"/>
      <c r="CN2666" s="2"/>
      <c r="CQ2666" s="2"/>
      <c r="CT2666" s="2"/>
      <c r="CW2666" s="2"/>
    </row>
    <row r="2667" spans="86:101" x14ac:dyDescent="0.25">
      <c r="CH2667" s="2"/>
      <c r="CJ2667" s="2"/>
      <c r="CL2667" s="2"/>
      <c r="CN2667" s="2"/>
      <c r="CQ2667" s="2"/>
      <c r="CT2667" s="2"/>
      <c r="CW2667" s="2"/>
    </row>
    <row r="2668" spans="86:101" x14ac:dyDescent="0.25">
      <c r="CH2668" s="2"/>
      <c r="CJ2668" s="2"/>
      <c r="CL2668" s="2"/>
      <c r="CN2668" s="2"/>
      <c r="CQ2668" s="2"/>
      <c r="CT2668" s="2"/>
      <c r="CW2668" s="2"/>
    </row>
    <row r="2669" spans="86:101" x14ac:dyDescent="0.25">
      <c r="CH2669" s="2"/>
      <c r="CJ2669" s="2"/>
      <c r="CL2669" s="2"/>
      <c r="CN2669" s="2"/>
      <c r="CQ2669" s="2"/>
      <c r="CT2669" s="2"/>
      <c r="CW2669" s="2"/>
    </row>
    <row r="2670" spans="86:101" x14ac:dyDescent="0.25">
      <c r="CH2670" s="2"/>
      <c r="CJ2670" s="2"/>
      <c r="CL2670" s="2"/>
      <c r="CN2670" s="2"/>
      <c r="CQ2670" s="2"/>
      <c r="CT2670" s="2"/>
      <c r="CW2670" s="2"/>
    </row>
    <row r="2671" spans="86:101" x14ac:dyDescent="0.25">
      <c r="CH2671" s="2"/>
      <c r="CJ2671" s="2"/>
      <c r="CL2671" s="2"/>
      <c r="CN2671" s="2"/>
      <c r="CQ2671" s="2"/>
      <c r="CT2671" s="2"/>
      <c r="CW2671" s="2"/>
    </row>
    <row r="2672" spans="86:101" x14ac:dyDescent="0.25">
      <c r="CH2672" s="2"/>
      <c r="CJ2672" s="2"/>
      <c r="CL2672" s="2"/>
      <c r="CN2672" s="2"/>
      <c r="CQ2672" s="2"/>
      <c r="CT2672" s="2"/>
      <c r="CW2672" s="2"/>
    </row>
    <row r="2673" spans="86:101" x14ac:dyDescent="0.25">
      <c r="CH2673" s="2"/>
      <c r="CJ2673" s="2"/>
      <c r="CL2673" s="2"/>
      <c r="CN2673" s="2"/>
      <c r="CQ2673" s="2"/>
      <c r="CT2673" s="2"/>
      <c r="CW2673" s="2"/>
    </row>
    <row r="2674" spans="86:101" x14ac:dyDescent="0.25">
      <c r="CH2674" s="2"/>
      <c r="CJ2674" s="2"/>
      <c r="CL2674" s="2"/>
      <c r="CN2674" s="2"/>
      <c r="CQ2674" s="2"/>
      <c r="CT2674" s="2"/>
      <c r="CW2674" s="2"/>
    </row>
    <row r="2675" spans="86:101" x14ac:dyDescent="0.25">
      <c r="CH2675" s="2"/>
      <c r="CJ2675" s="2"/>
      <c r="CL2675" s="2"/>
      <c r="CN2675" s="2"/>
      <c r="CQ2675" s="2"/>
      <c r="CT2675" s="2"/>
      <c r="CW2675" s="2"/>
    </row>
    <row r="2676" spans="86:101" x14ac:dyDescent="0.25">
      <c r="CH2676" s="2"/>
      <c r="CJ2676" s="2"/>
      <c r="CL2676" s="2"/>
      <c r="CN2676" s="2"/>
      <c r="CQ2676" s="2"/>
      <c r="CT2676" s="2"/>
      <c r="CW2676" s="2"/>
    </row>
    <row r="2677" spans="86:101" x14ac:dyDescent="0.25">
      <c r="CH2677" s="2"/>
      <c r="CJ2677" s="2"/>
      <c r="CL2677" s="2"/>
      <c r="CN2677" s="2"/>
      <c r="CQ2677" s="2"/>
      <c r="CT2677" s="2"/>
      <c r="CW2677" s="2"/>
    </row>
    <row r="2678" spans="86:101" x14ac:dyDescent="0.25">
      <c r="CH2678" s="2"/>
      <c r="CJ2678" s="2"/>
      <c r="CL2678" s="2"/>
      <c r="CN2678" s="2"/>
      <c r="CQ2678" s="2"/>
      <c r="CT2678" s="2"/>
      <c r="CW2678" s="2"/>
    </row>
    <row r="2679" spans="86:101" x14ac:dyDescent="0.25">
      <c r="CH2679" s="2"/>
      <c r="CJ2679" s="2"/>
      <c r="CL2679" s="2"/>
      <c r="CN2679" s="2"/>
      <c r="CQ2679" s="2"/>
      <c r="CT2679" s="2"/>
      <c r="CW2679" s="2"/>
    </row>
    <row r="2680" spans="86:101" x14ac:dyDescent="0.25">
      <c r="CH2680" s="2"/>
      <c r="CJ2680" s="2"/>
      <c r="CL2680" s="2"/>
      <c r="CN2680" s="2"/>
      <c r="CQ2680" s="2"/>
      <c r="CT2680" s="2"/>
      <c r="CW2680" s="2"/>
    </row>
    <row r="2681" spans="86:101" x14ac:dyDescent="0.25">
      <c r="CH2681" s="2"/>
      <c r="CJ2681" s="2"/>
      <c r="CL2681" s="2"/>
      <c r="CN2681" s="2"/>
      <c r="CQ2681" s="2"/>
      <c r="CT2681" s="2"/>
      <c r="CW2681" s="2"/>
    </row>
    <row r="2682" spans="86:101" x14ac:dyDescent="0.25">
      <c r="CH2682" s="2"/>
      <c r="CJ2682" s="2"/>
      <c r="CL2682" s="2"/>
      <c r="CN2682" s="2"/>
      <c r="CQ2682" s="2"/>
      <c r="CT2682" s="2"/>
      <c r="CW2682" s="2"/>
    </row>
    <row r="2683" spans="86:101" x14ac:dyDescent="0.25">
      <c r="CH2683" s="2"/>
      <c r="CJ2683" s="2"/>
      <c r="CL2683" s="2"/>
      <c r="CN2683" s="2"/>
      <c r="CQ2683" s="2"/>
      <c r="CT2683" s="2"/>
      <c r="CW2683" s="2"/>
    </row>
    <row r="2684" spans="86:101" x14ac:dyDescent="0.25">
      <c r="CH2684" s="2"/>
      <c r="CJ2684" s="2"/>
      <c r="CL2684" s="2"/>
      <c r="CN2684" s="2"/>
      <c r="CQ2684" s="2"/>
      <c r="CT2684" s="2"/>
      <c r="CW2684" s="2"/>
    </row>
    <row r="2685" spans="86:101" x14ac:dyDescent="0.25">
      <c r="CH2685" s="2"/>
      <c r="CJ2685" s="2"/>
      <c r="CL2685" s="2"/>
      <c r="CN2685" s="2"/>
      <c r="CQ2685" s="2"/>
      <c r="CT2685" s="2"/>
      <c r="CW2685" s="2"/>
    </row>
    <row r="2686" spans="86:101" x14ac:dyDescent="0.25">
      <c r="CH2686" s="2"/>
      <c r="CJ2686" s="2"/>
      <c r="CL2686" s="2"/>
      <c r="CN2686" s="2"/>
      <c r="CQ2686" s="2"/>
      <c r="CT2686" s="2"/>
      <c r="CW2686" s="2"/>
    </row>
    <row r="2687" spans="86:101" x14ac:dyDescent="0.25">
      <c r="CH2687" s="2"/>
      <c r="CJ2687" s="2"/>
      <c r="CL2687" s="2"/>
      <c r="CN2687" s="2"/>
      <c r="CQ2687" s="2"/>
      <c r="CT2687" s="2"/>
      <c r="CW2687" s="2"/>
    </row>
    <row r="2688" spans="86:101" x14ac:dyDescent="0.25">
      <c r="CH2688" s="2"/>
      <c r="CJ2688" s="2"/>
      <c r="CL2688" s="2"/>
      <c r="CN2688" s="2"/>
      <c r="CQ2688" s="2"/>
      <c r="CT2688" s="2"/>
      <c r="CW2688" s="2"/>
    </row>
    <row r="2689" spans="86:101" x14ac:dyDescent="0.25">
      <c r="CH2689" s="2"/>
      <c r="CJ2689" s="2"/>
      <c r="CL2689" s="2"/>
      <c r="CN2689" s="2"/>
      <c r="CQ2689" s="2"/>
      <c r="CT2689" s="2"/>
      <c r="CW2689" s="2"/>
    </row>
    <row r="2690" spans="86:101" x14ac:dyDescent="0.25">
      <c r="CH2690" s="2"/>
      <c r="CJ2690" s="2"/>
      <c r="CL2690" s="2"/>
      <c r="CN2690" s="2"/>
      <c r="CQ2690" s="2"/>
      <c r="CT2690" s="2"/>
      <c r="CW2690" s="2"/>
    </row>
    <row r="2691" spans="86:101" x14ac:dyDescent="0.25">
      <c r="CH2691" s="2"/>
      <c r="CJ2691" s="2"/>
      <c r="CL2691" s="2"/>
      <c r="CN2691" s="2"/>
      <c r="CQ2691" s="2"/>
      <c r="CT2691" s="2"/>
      <c r="CW2691" s="2"/>
    </row>
    <row r="2692" spans="86:101" x14ac:dyDescent="0.25">
      <c r="CH2692" s="2"/>
      <c r="CJ2692" s="2"/>
      <c r="CL2692" s="2"/>
      <c r="CN2692" s="2"/>
      <c r="CQ2692" s="2"/>
      <c r="CT2692" s="2"/>
      <c r="CW2692" s="2"/>
    </row>
    <row r="2693" spans="86:101" x14ac:dyDescent="0.25">
      <c r="CH2693" s="2"/>
      <c r="CJ2693" s="2"/>
      <c r="CL2693" s="2"/>
      <c r="CN2693" s="2"/>
      <c r="CQ2693" s="2"/>
      <c r="CT2693" s="2"/>
      <c r="CW2693" s="2"/>
    </row>
    <row r="2694" spans="86:101" x14ac:dyDescent="0.25">
      <c r="CH2694" s="2"/>
      <c r="CJ2694" s="2"/>
      <c r="CL2694" s="2"/>
      <c r="CN2694" s="2"/>
      <c r="CQ2694" s="2"/>
      <c r="CT2694" s="2"/>
      <c r="CW2694" s="2"/>
    </row>
    <row r="2695" spans="86:101" x14ac:dyDescent="0.25">
      <c r="CH2695" s="2"/>
      <c r="CJ2695" s="2"/>
      <c r="CL2695" s="2"/>
      <c r="CN2695" s="2"/>
      <c r="CQ2695" s="2"/>
      <c r="CT2695" s="2"/>
      <c r="CW2695" s="2"/>
    </row>
    <row r="2696" spans="86:101" x14ac:dyDescent="0.25">
      <c r="CH2696" s="2"/>
      <c r="CJ2696" s="2"/>
      <c r="CL2696" s="2"/>
      <c r="CN2696" s="2"/>
      <c r="CQ2696" s="2"/>
      <c r="CT2696" s="2"/>
      <c r="CW2696" s="2"/>
    </row>
    <row r="2697" spans="86:101" x14ac:dyDescent="0.25">
      <c r="CH2697" s="2"/>
      <c r="CJ2697" s="2"/>
      <c r="CL2697" s="2"/>
      <c r="CN2697" s="2"/>
      <c r="CQ2697" s="2"/>
      <c r="CT2697" s="2"/>
      <c r="CW2697" s="2"/>
    </row>
    <row r="2698" spans="86:101" x14ac:dyDescent="0.25">
      <c r="CH2698" s="2"/>
      <c r="CJ2698" s="2"/>
      <c r="CL2698" s="2"/>
      <c r="CN2698" s="2"/>
      <c r="CQ2698" s="2"/>
      <c r="CT2698" s="2"/>
      <c r="CW2698" s="2"/>
    </row>
    <row r="2699" spans="86:101" x14ac:dyDescent="0.25">
      <c r="CH2699" s="2"/>
      <c r="CJ2699" s="2"/>
      <c r="CL2699" s="2"/>
      <c r="CN2699" s="2"/>
      <c r="CQ2699" s="2"/>
      <c r="CT2699" s="2"/>
      <c r="CW2699" s="2"/>
    </row>
    <row r="2700" spans="86:101" x14ac:dyDescent="0.25">
      <c r="CH2700" s="2"/>
      <c r="CJ2700" s="2"/>
      <c r="CL2700" s="2"/>
      <c r="CN2700" s="2"/>
      <c r="CQ2700" s="2"/>
      <c r="CT2700" s="2"/>
      <c r="CW2700" s="2"/>
    </row>
    <row r="2701" spans="86:101" x14ac:dyDescent="0.25">
      <c r="CH2701" s="2"/>
      <c r="CJ2701" s="2"/>
      <c r="CL2701" s="2"/>
      <c r="CN2701" s="2"/>
      <c r="CQ2701" s="2"/>
      <c r="CT2701" s="2"/>
      <c r="CW2701" s="2"/>
    </row>
    <row r="2702" spans="86:101" x14ac:dyDescent="0.25">
      <c r="CH2702" s="2"/>
      <c r="CJ2702" s="2"/>
      <c r="CL2702" s="2"/>
      <c r="CN2702" s="2"/>
      <c r="CQ2702" s="2"/>
      <c r="CT2702" s="2"/>
      <c r="CW2702" s="2"/>
    </row>
    <row r="2703" spans="86:101" x14ac:dyDescent="0.25">
      <c r="CH2703" s="2"/>
      <c r="CJ2703" s="2"/>
      <c r="CL2703" s="2"/>
      <c r="CN2703" s="2"/>
      <c r="CQ2703" s="2"/>
      <c r="CT2703" s="2"/>
      <c r="CW2703" s="2"/>
    </row>
    <row r="2704" spans="86:101" x14ac:dyDescent="0.25">
      <c r="CH2704" s="2"/>
      <c r="CJ2704" s="2"/>
      <c r="CL2704" s="2"/>
      <c r="CN2704" s="2"/>
      <c r="CQ2704" s="2"/>
      <c r="CT2704" s="2"/>
      <c r="CW2704" s="2"/>
    </row>
    <row r="2705" spans="86:101" x14ac:dyDescent="0.25">
      <c r="CH2705" s="2"/>
      <c r="CJ2705" s="2"/>
      <c r="CL2705" s="2"/>
      <c r="CN2705" s="2"/>
      <c r="CQ2705" s="2"/>
      <c r="CT2705" s="2"/>
      <c r="CW2705" s="2"/>
    </row>
    <row r="2706" spans="86:101" x14ac:dyDescent="0.25">
      <c r="CH2706" s="2"/>
      <c r="CJ2706" s="2"/>
      <c r="CL2706" s="2"/>
      <c r="CN2706" s="2"/>
      <c r="CQ2706" s="2"/>
      <c r="CT2706" s="2"/>
      <c r="CW2706" s="2"/>
    </row>
    <row r="2707" spans="86:101" x14ac:dyDescent="0.25">
      <c r="CH2707" s="2"/>
      <c r="CJ2707" s="2"/>
      <c r="CL2707" s="2"/>
      <c r="CN2707" s="2"/>
      <c r="CQ2707" s="2"/>
      <c r="CT2707" s="2"/>
      <c r="CW2707" s="2"/>
    </row>
    <row r="2708" spans="86:101" x14ac:dyDescent="0.25">
      <c r="CH2708" s="2"/>
      <c r="CJ2708" s="2"/>
      <c r="CL2708" s="2"/>
      <c r="CN2708" s="2"/>
      <c r="CQ2708" s="2"/>
      <c r="CT2708" s="2"/>
      <c r="CW2708" s="2"/>
    </row>
    <row r="2709" spans="86:101" x14ac:dyDescent="0.25">
      <c r="CH2709" s="2"/>
      <c r="CJ2709" s="2"/>
      <c r="CL2709" s="2"/>
      <c r="CN2709" s="2"/>
      <c r="CQ2709" s="2"/>
      <c r="CT2709" s="2"/>
      <c r="CW2709" s="2"/>
    </row>
    <row r="2710" spans="86:101" x14ac:dyDescent="0.25">
      <c r="CH2710" s="2"/>
      <c r="CJ2710" s="2"/>
      <c r="CL2710" s="2"/>
      <c r="CN2710" s="2"/>
      <c r="CQ2710" s="2"/>
      <c r="CT2710" s="2"/>
      <c r="CW2710" s="2"/>
    </row>
    <row r="2711" spans="86:101" x14ac:dyDescent="0.25">
      <c r="CH2711" s="2"/>
      <c r="CJ2711" s="2"/>
      <c r="CL2711" s="2"/>
      <c r="CN2711" s="2"/>
      <c r="CQ2711" s="2"/>
      <c r="CT2711" s="2"/>
      <c r="CW2711" s="2"/>
    </row>
    <row r="2712" spans="86:101" x14ac:dyDescent="0.25">
      <c r="CH2712" s="2"/>
      <c r="CJ2712" s="2"/>
      <c r="CL2712" s="2"/>
      <c r="CN2712" s="2"/>
      <c r="CQ2712" s="2"/>
      <c r="CT2712" s="2"/>
      <c r="CW2712" s="2"/>
    </row>
    <row r="2713" spans="86:101" x14ac:dyDescent="0.25">
      <c r="CH2713" s="2"/>
      <c r="CJ2713" s="2"/>
      <c r="CL2713" s="2"/>
      <c r="CN2713" s="2"/>
      <c r="CQ2713" s="2"/>
      <c r="CT2713" s="2"/>
      <c r="CW2713" s="2"/>
    </row>
    <row r="2714" spans="86:101" x14ac:dyDescent="0.25">
      <c r="CH2714" s="2"/>
      <c r="CJ2714" s="2"/>
      <c r="CL2714" s="2"/>
      <c r="CN2714" s="2"/>
      <c r="CQ2714" s="2"/>
      <c r="CT2714" s="2"/>
      <c r="CW2714" s="2"/>
    </row>
    <row r="2715" spans="86:101" x14ac:dyDescent="0.25">
      <c r="CH2715" s="2"/>
      <c r="CJ2715" s="2"/>
      <c r="CL2715" s="2"/>
      <c r="CN2715" s="2"/>
      <c r="CQ2715" s="2"/>
      <c r="CT2715" s="2"/>
      <c r="CW2715" s="2"/>
    </row>
    <row r="2716" spans="86:101" x14ac:dyDescent="0.25">
      <c r="CH2716" s="2"/>
      <c r="CJ2716" s="2"/>
      <c r="CL2716" s="2"/>
      <c r="CN2716" s="2"/>
      <c r="CQ2716" s="2"/>
      <c r="CT2716" s="2"/>
      <c r="CW2716" s="2"/>
    </row>
    <row r="2717" spans="86:101" x14ac:dyDescent="0.25">
      <c r="CH2717" s="2"/>
      <c r="CJ2717" s="2"/>
      <c r="CL2717" s="2"/>
      <c r="CN2717" s="2"/>
      <c r="CQ2717" s="2"/>
      <c r="CT2717" s="2"/>
      <c r="CW2717" s="2"/>
    </row>
    <row r="2718" spans="86:101" x14ac:dyDescent="0.25">
      <c r="CH2718" s="2"/>
      <c r="CJ2718" s="2"/>
      <c r="CL2718" s="2"/>
      <c r="CN2718" s="2"/>
      <c r="CQ2718" s="2"/>
      <c r="CT2718" s="2"/>
      <c r="CW2718" s="2"/>
    </row>
    <row r="2719" spans="86:101" x14ac:dyDescent="0.25">
      <c r="CH2719" s="2"/>
      <c r="CJ2719" s="2"/>
      <c r="CL2719" s="2"/>
      <c r="CN2719" s="2"/>
      <c r="CQ2719" s="2"/>
      <c r="CT2719" s="2"/>
      <c r="CW2719" s="2"/>
    </row>
    <row r="2720" spans="86:101" x14ac:dyDescent="0.25">
      <c r="CH2720" s="2"/>
      <c r="CJ2720" s="2"/>
      <c r="CL2720" s="2"/>
      <c r="CN2720" s="2"/>
      <c r="CQ2720" s="2"/>
      <c r="CT2720" s="2"/>
      <c r="CW2720" s="2"/>
    </row>
    <row r="2721" spans="86:101" x14ac:dyDescent="0.25">
      <c r="CH2721" s="2"/>
      <c r="CJ2721" s="2"/>
      <c r="CL2721" s="2"/>
      <c r="CN2721" s="2"/>
      <c r="CQ2721" s="2"/>
      <c r="CT2721" s="2"/>
      <c r="CW2721" s="2"/>
    </row>
    <row r="2722" spans="86:101" x14ac:dyDescent="0.25">
      <c r="CH2722" s="2"/>
      <c r="CJ2722" s="2"/>
      <c r="CL2722" s="2"/>
      <c r="CN2722" s="2"/>
      <c r="CQ2722" s="2"/>
      <c r="CT2722" s="2"/>
      <c r="CW2722" s="2"/>
    </row>
    <row r="2723" spans="86:101" x14ac:dyDescent="0.25">
      <c r="CH2723" s="2"/>
      <c r="CJ2723" s="2"/>
      <c r="CL2723" s="2"/>
      <c r="CN2723" s="2"/>
      <c r="CQ2723" s="2"/>
      <c r="CT2723" s="2"/>
      <c r="CW2723" s="2"/>
    </row>
    <row r="2724" spans="86:101" x14ac:dyDescent="0.25">
      <c r="CH2724" s="2"/>
      <c r="CJ2724" s="2"/>
      <c r="CL2724" s="2"/>
      <c r="CN2724" s="2"/>
      <c r="CQ2724" s="2"/>
      <c r="CT2724" s="2"/>
      <c r="CW2724" s="2"/>
    </row>
    <row r="2725" spans="86:101" x14ac:dyDescent="0.25">
      <c r="CH2725" s="2"/>
      <c r="CJ2725" s="2"/>
      <c r="CL2725" s="2"/>
      <c r="CN2725" s="2"/>
      <c r="CQ2725" s="2"/>
      <c r="CT2725" s="2"/>
      <c r="CW2725" s="2"/>
    </row>
    <row r="2726" spans="86:101" x14ac:dyDescent="0.25">
      <c r="CH2726" s="2"/>
      <c r="CJ2726" s="2"/>
      <c r="CL2726" s="2"/>
      <c r="CN2726" s="2"/>
      <c r="CQ2726" s="2"/>
      <c r="CT2726" s="2"/>
      <c r="CW2726" s="2"/>
    </row>
    <row r="2727" spans="86:101" x14ac:dyDescent="0.25">
      <c r="CH2727" s="2"/>
      <c r="CJ2727" s="2"/>
      <c r="CL2727" s="2"/>
      <c r="CN2727" s="2"/>
      <c r="CQ2727" s="2"/>
      <c r="CT2727" s="2"/>
      <c r="CW2727" s="2"/>
    </row>
    <row r="2728" spans="86:101" x14ac:dyDescent="0.25">
      <c r="CH2728" s="2"/>
      <c r="CJ2728" s="2"/>
      <c r="CL2728" s="2"/>
      <c r="CN2728" s="2"/>
      <c r="CQ2728" s="2"/>
      <c r="CT2728" s="2"/>
      <c r="CW2728" s="2"/>
    </row>
    <row r="2729" spans="86:101" x14ac:dyDescent="0.25">
      <c r="CH2729" s="2"/>
      <c r="CJ2729" s="2"/>
      <c r="CL2729" s="2"/>
      <c r="CN2729" s="2"/>
      <c r="CQ2729" s="2"/>
      <c r="CT2729" s="2"/>
      <c r="CW2729" s="2"/>
    </row>
    <row r="2730" spans="86:101" x14ac:dyDescent="0.25">
      <c r="CH2730" s="2"/>
      <c r="CJ2730" s="2"/>
      <c r="CL2730" s="2"/>
      <c r="CN2730" s="2"/>
      <c r="CQ2730" s="2"/>
      <c r="CT2730" s="2"/>
      <c r="CW2730" s="2"/>
    </row>
    <row r="2731" spans="86:101" x14ac:dyDescent="0.25">
      <c r="CH2731" s="2"/>
      <c r="CJ2731" s="2"/>
      <c r="CL2731" s="2"/>
      <c r="CN2731" s="2"/>
      <c r="CQ2731" s="2"/>
      <c r="CT2731" s="2"/>
      <c r="CW2731" s="2"/>
    </row>
    <row r="2732" spans="86:101" x14ac:dyDescent="0.25">
      <c r="CH2732" s="2"/>
      <c r="CJ2732" s="2"/>
      <c r="CL2732" s="2"/>
      <c r="CN2732" s="2"/>
      <c r="CQ2732" s="2"/>
      <c r="CT2732" s="2"/>
      <c r="CW2732" s="2"/>
    </row>
    <row r="2733" spans="86:101" x14ac:dyDescent="0.25">
      <c r="CH2733" s="2"/>
      <c r="CJ2733" s="2"/>
      <c r="CL2733" s="2"/>
      <c r="CN2733" s="2"/>
      <c r="CQ2733" s="2"/>
      <c r="CT2733" s="2"/>
      <c r="CW2733" s="2"/>
    </row>
    <row r="2734" spans="86:101" x14ac:dyDescent="0.25">
      <c r="CH2734" s="2"/>
      <c r="CJ2734" s="2"/>
      <c r="CL2734" s="2"/>
      <c r="CN2734" s="2"/>
      <c r="CQ2734" s="2"/>
      <c r="CT2734" s="2"/>
      <c r="CW2734" s="2"/>
    </row>
    <row r="2735" spans="86:101" x14ac:dyDescent="0.25">
      <c r="CH2735" s="2"/>
      <c r="CJ2735" s="2"/>
      <c r="CL2735" s="2"/>
      <c r="CN2735" s="2"/>
      <c r="CQ2735" s="2"/>
      <c r="CT2735" s="2"/>
      <c r="CW2735" s="2"/>
    </row>
    <row r="2736" spans="86:101" x14ac:dyDescent="0.25">
      <c r="CH2736" s="2"/>
      <c r="CJ2736" s="2"/>
      <c r="CL2736" s="2"/>
      <c r="CN2736" s="2"/>
      <c r="CQ2736" s="2"/>
      <c r="CT2736" s="2"/>
      <c r="CW2736" s="2"/>
    </row>
    <row r="2737" spans="86:101" x14ac:dyDescent="0.25">
      <c r="CH2737" s="2"/>
      <c r="CJ2737" s="2"/>
      <c r="CL2737" s="2"/>
      <c r="CN2737" s="2"/>
      <c r="CQ2737" s="2"/>
      <c r="CT2737" s="2"/>
      <c r="CW2737" s="2"/>
    </row>
    <row r="2738" spans="86:101" x14ac:dyDescent="0.25">
      <c r="CH2738" s="2"/>
      <c r="CJ2738" s="2"/>
      <c r="CL2738" s="2"/>
      <c r="CN2738" s="2"/>
      <c r="CQ2738" s="2"/>
      <c r="CT2738" s="2"/>
      <c r="CW2738" s="2"/>
    </row>
    <row r="2739" spans="86:101" x14ac:dyDescent="0.25">
      <c r="CH2739" s="2"/>
      <c r="CJ2739" s="2"/>
      <c r="CL2739" s="2"/>
      <c r="CN2739" s="2"/>
      <c r="CQ2739" s="2"/>
      <c r="CT2739" s="2"/>
      <c r="CW2739" s="2"/>
    </row>
    <row r="2740" spans="86:101" x14ac:dyDescent="0.25">
      <c r="CH2740" s="2"/>
      <c r="CJ2740" s="2"/>
      <c r="CL2740" s="2"/>
      <c r="CN2740" s="2"/>
      <c r="CQ2740" s="2"/>
      <c r="CT2740" s="2"/>
      <c r="CW2740" s="2"/>
    </row>
    <row r="2741" spans="86:101" x14ac:dyDescent="0.25">
      <c r="CH2741" s="2"/>
      <c r="CJ2741" s="2"/>
      <c r="CL2741" s="2"/>
      <c r="CN2741" s="2"/>
      <c r="CQ2741" s="2"/>
      <c r="CT2741" s="2"/>
      <c r="CW2741" s="2"/>
    </row>
    <row r="2742" spans="86:101" x14ac:dyDescent="0.25">
      <c r="CH2742" s="2"/>
      <c r="CJ2742" s="2"/>
      <c r="CL2742" s="2"/>
      <c r="CN2742" s="2"/>
      <c r="CQ2742" s="2"/>
      <c r="CT2742" s="2"/>
      <c r="CW2742" s="2"/>
    </row>
    <row r="2743" spans="86:101" x14ac:dyDescent="0.25">
      <c r="CH2743" s="2"/>
      <c r="CJ2743" s="2"/>
      <c r="CL2743" s="2"/>
      <c r="CN2743" s="2"/>
      <c r="CQ2743" s="2"/>
      <c r="CT2743" s="2"/>
      <c r="CW2743" s="2"/>
    </row>
    <row r="2744" spans="86:101" x14ac:dyDescent="0.25">
      <c r="CH2744" s="2"/>
      <c r="CJ2744" s="2"/>
      <c r="CL2744" s="2"/>
      <c r="CN2744" s="2"/>
      <c r="CQ2744" s="2"/>
      <c r="CT2744" s="2"/>
      <c r="CW2744" s="2"/>
    </row>
    <row r="2745" spans="86:101" x14ac:dyDescent="0.25">
      <c r="CH2745" s="2"/>
      <c r="CJ2745" s="2"/>
      <c r="CL2745" s="2"/>
      <c r="CN2745" s="2"/>
      <c r="CQ2745" s="2"/>
      <c r="CT2745" s="2"/>
      <c r="CW2745" s="2"/>
    </row>
    <row r="2746" spans="86:101" x14ac:dyDescent="0.25">
      <c r="CH2746" s="2"/>
      <c r="CJ2746" s="2"/>
      <c r="CL2746" s="2"/>
      <c r="CN2746" s="2"/>
      <c r="CQ2746" s="2"/>
      <c r="CT2746" s="2"/>
      <c r="CW2746" s="2"/>
    </row>
    <row r="2747" spans="86:101" x14ac:dyDescent="0.25">
      <c r="CH2747" s="2"/>
      <c r="CJ2747" s="2"/>
      <c r="CL2747" s="2"/>
      <c r="CN2747" s="2"/>
      <c r="CQ2747" s="2"/>
      <c r="CT2747" s="2"/>
      <c r="CW2747" s="2"/>
    </row>
    <row r="2748" spans="86:101" x14ac:dyDescent="0.25">
      <c r="CH2748" s="2"/>
      <c r="CJ2748" s="2"/>
      <c r="CL2748" s="2"/>
      <c r="CN2748" s="2"/>
      <c r="CQ2748" s="2"/>
      <c r="CT2748" s="2"/>
      <c r="CW2748" s="2"/>
    </row>
    <row r="2749" spans="86:101" x14ac:dyDescent="0.25">
      <c r="CH2749" s="2"/>
      <c r="CJ2749" s="2"/>
      <c r="CL2749" s="2"/>
      <c r="CN2749" s="2"/>
      <c r="CQ2749" s="2"/>
      <c r="CT2749" s="2"/>
      <c r="CW2749" s="2"/>
    </row>
    <row r="2750" spans="86:101" x14ac:dyDescent="0.25">
      <c r="CH2750" s="2"/>
      <c r="CJ2750" s="2"/>
      <c r="CL2750" s="2"/>
      <c r="CN2750" s="2"/>
      <c r="CQ2750" s="2"/>
      <c r="CT2750" s="2"/>
      <c r="CW2750" s="2"/>
    </row>
    <row r="2751" spans="86:101" x14ac:dyDescent="0.25">
      <c r="CH2751" s="2"/>
      <c r="CJ2751" s="2"/>
      <c r="CL2751" s="2"/>
      <c r="CN2751" s="2"/>
      <c r="CQ2751" s="2"/>
      <c r="CT2751" s="2"/>
      <c r="CW2751" s="2"/>
    </row>
    <row r="2752" spans="86:101" x14ac:dyDescent="0.25">
      <c r="CH2752" s="2"/>
      <c r="CJ2752" s="2"/>
      <c r="CL2752" s="2"/>
      <c r="CN2752" s="2"/>
      <c r="CQ2752" s="2"/>
      <c r="CT2752" s="2"/>
      <c r="CW2752" s="2"/>
    </row>
    <row r="2753" spans="86:101" x14ac:dyDescent="0.25">
      <c r="CH2753" s="2"/>
      <c r="CJ2753" s="2"/>
      <c r="CL2753" s="2"/>
      <c r="CN2753" s="2"/>
      <c r="CQ2753" s="2"/>
      <c r="CT2753" s="2"/>
      <c r="CW2753" s="2"/>
    </row>
    <row r="2754" spans="86:101" x14ac:dyDescent="0.25">
      <c r="CH2754" s="2"/>
      <c r="CJ2754" s="2"/>
      <c r="CL2754" s="2"/>
      <c r="CN2754" s="2"/>
      <c r="CQ2754" s="2"/>
      <c r="CT2754" s="2"/>
      <c r="CW2754" s="2"/>
    </row>
    <row r="2755" spans="86:101" x14ac:dyDescent="0.25">
      <c r="CH2755" s="2"/>
      <c r="CJ2755" s="2"/>
      <c r="CL2755" s="2"/>
      <c r="CN2755" s="2"/>
      <c r="CQ2755" s="2"/>
      <c r="CT2755" s="2"/>
      <c r="CW2755" s="2"/>
    </row>
    <row r="2756" spans="86:101" x14ac:dyDescent="0.25">
      <c r="CH2756" s="2"/>
      <c r="CJ2756" s="2"/>
      <c r="CL2756" s="2"/>
      <c r="CN2756" s="2"/>
      <c r="CQ2756" s="2"/>
      <c r="CT2756" s="2"/>
      <c r="CW2756" s="2"/>
    </row>
    <row r="2757" spans="86:101" x14ac:dyDescent="0.25">
      <c r="CH2757" s="2"/>
      <c r="CJ2757" s="2"/>
      <c r="CL2757" s="2"/>
      <c r="CN2757" s="2"/>
      <c r="CQ2757" s="2"/>
      <c r="CT2757" s="2"/>
      <c r="CW2757" s="2"/>
    </row>
    <row r="2758" spans="86:101" x14ac:dyDescent="0.25">
      <c r="CH2758" s="2"/>
      <c r="CJ2758" s="2"/>
      <c r="CL2758" s="2"/>
      <c r="CN2758" s="2"/>
      <c r="CQ2758" s="2"/>
      <c r="CT2758" s="2"/>
      <c r="CW2758" s="2"/>
    </row>
    <row r="2759" spans="86:101" x14ac:dyDescent="0.25">
      <c r="CH2759" s="2"/>
      <c r="CJ2759" s="2"/>
      <c r="CL2759" s="2"/>
      <c r="CN2759" s="2"/>
      <c r="CQ2759" s="2"/>
      <c r="CT2759" s="2"/>
      <c r="CW2759" s="2"/>
    </row>
    <row r="2760" spans="86:101" x14ac:dyDescent="0.25">
      <c r="CH2760" s="2"/>
      <c r="CJ2760" s="2"/>
      <c r="CL2760" s="2"/>
      <c r="CN2760" s="2"/>
      <c r="CQ2760" s="2"/>
      <c r="CT2760" s="2"/>
      <c r="CW2760" s="2"/>
    </row>
    <row r="2761" spans="86:101" x14ac:dyDescent="0.25">
      <c r="CH2761" s="2"/>
      <c r="CJ2761" s="2"/>
      <c r="CL2761" s="2"/>
      <c r="CN2761" s="2"/>
      <c r="CQ2761" s="2"/>
      <c r="CT2761" s="2"/>
      <c r="CW2761" s="2"/>
    </row>
    <row r="2762" spans="86:101" x14ac:dyDescent="0.25">
      <c r="CH2762" s="2"/>
      <c r="CJ2762" s="2"/>
      <c r="CL2762" s="2"/>
      <c r="CN2762" s="2"/>
      <c r="CQ2762" s="2"/>
      <c r="CT2762" s="2"/>
      <c r="CW2762" s="2"/>
    </row>
    <row r="2763" spans="86:101" x14ac:dyDescent="0.25">
      <c r="CH2763" s="2"/>
      <c r="CJ2763" s="2"/>
      <c r="CL2763" s="2"/>
      <c r="CN2763" s="2"/>
      <c r="CQ2763" s="2"/>
      <c r="CT2763" s="2"/>
      <c r="CW2763" s="2"/>
    </row>
    <row r="2764" spans="86:101" x14ac:dyDescent="0.25">
      <c r="CH2764" s="2"/>
      <c r="CJ2764" s="2"/>
      <c r="CL2764" s="2"/>
      <c r="CN2764" s="2"/>
      <c r="CQ2764" s="2"/>
      <c r="CT2764" s="2"/>
      <c r="CW2764" s="2"/>
    </row>
    <row r="2765" spans="86:101" x14ac:dyDescent="0.25">
      <c r="CH2765" s="2"/>
      <c r="CJ2765" s="2"/>
      <c r="CL2765" s="2"/>
      <c r="CN2765" s="2"/>
      <c r="CQ2765" s="2"/>
      <c r="CT2765" s="2"/>
      <c r="CW2765" s="2"/>
    </row>
    <row r="2766" spans="86:101" x14ac:dyDescent="0.25">
      <c r="CH2766" s="2"/>
      <c r="CJ2766" s="2"/>
      <c r="CL2766" s="2"/>
      <c r="CN2766" s="2"/>
      <c r="CQ2766" s="2"/>
      <c r="CT2766" s="2"/>
      <c r="CW2766" s="2"/>
    </row>
    <row r="2767" spans="86:101" x14ac:dyDescent="0.25">
      <c r="CH2767" s="2"/>
      <c r="CJ2767" s="2"/>
      <c r="CL2767" s="2"/>
      <c r="CN2767" s="2"/>
      <c r="CQ2767" s="2"/>
      <c r="CT2767" s="2"/>
      <c r="CW2767" s="2"/>
    </row>
    <row r="2768" spans="86:101" x14ac:dyDescent="0.25">
      <c r="CH2768" s="2"/>
      <c r="CJ2768" s="2"/>
      <c r="CL2768" s="2"/>
      <c r="CN2768" s="2"/>
      <c r="CQ2768" s="2"/>
      <c r="CT2768" s="2"/>
      <c r="CW2768" s="2"/>
    </row>
    <row r="2769" spans="86:101" x14ac:dyDescent="0.25">
      <c r="CH2769" s="2"/>
      <c r="CJ2769" s="2"/>
      <c r="CL2769" s="2"/>
      <c r="CN2769" s="2"/>
      <c r="CQ2769" s="2"/>
      <c r="CT2769" s="2"/>
      <c r="CW2769" s="2"/>
    </row>
    <row r="2770" spans="86:101" x14ac:dyDescent="0.25">
      <c r="CH2770" s="2"/>
      <c r="CJ2770" s="2"/>
      <c r="CL2770" s="2"/>
      <c r="CN2770" s="2"/>
      <c r="CQ2770" s="2"/>
      <c r="CT2770" s="2"/>
      <c r="CW2770" s="2"/>
    </row>
    <row r="2771" spans="86:101" x14ac:dyDescent="0.25">
      <c r="CH2771" s="2"/>
      <c r="CJ2771" s="2"/>
      <c r="CL2771" s="2"/>
      <c r="CN2771" s="2"/>
      <c r="CQ2771" s="2"/>
      <c r="CT2771" s="2"/>
      <c r="CW2771" s="2"/>
    </row>
    <row r="2772" spans="86:101" x14ac:dyDescent="0.25">
      <c r="CH2772" s="2"/>
      <c r="CJ2772" s="2"/>
      <c r="CL2772" s="2"/>
      <c r="CN2772" s="2"/>
      <c r="CQ2772" s="2"/>
      <c r="CT2772" s="2"/>
      <c r="CW2772" s="2"/>
    </row>
    <row r="2773" spans="86:101" x14ac:dyDescent="0.25">
      <c r="CH2773" s="2"/>
      <c r="CJ2773" s="2"/>
      <c r="CL2773" s="2"/>
      <c r="CN2773" s="2"/>
      <c r="CQ2773" s="2"/>
      <c r="CT2773" s="2"/>
      <c r="CW2773" s="2"/>
    </row>
    <row r="2774" spans="86:101" x14ac:dyDescent="0.25">
      <c r="CH2774" s="2"/>
      <c r="CJ2774" s="2"/>
      <c r="CL2774" s="2"/>
      <c r="CN2774" s="2"/>
      <c r="CQ2774" s="2"/>
      <c r="CT2774" s="2"/>
      <c r="CW2774" s="2"/>
    </row>
    <row r="2775" spans="86:101" x14ac:dyDescent="0.25">
      <c r="CH2775" s="2"/>
      <c r="CJ2775" s="2"/>
      <c r="CL2775" s="2"/>
      <c r="CN2775" s="2"/>
      <c r="CQ2775" s="2"/>
      <c r="CT2775" s="2"/>
      <c r="CW2775" s="2"/>
    </row>
    <row r="2776" spans="86:101" x14ac:dyDescent="0.25">
      <c r="CH2776" s="2"/>
      <c r="CJ2776" s="2"/>
      <c r="CL2776" s="2"/>
      <c r="CN2776" s="2"/>
      <c r="CQ2776" s="2"/>
      <c r="CT2776" s="2"/>
      <c r="CW2776" s="2"/>
    </row>
    <row r="2777" spans="86:101" x14ac:dyDescent="0.25">
      <c r="CH2777" s="2"/>
      <c r="CJ2777" s="2"/>
      <c r="CL2777" s="2"/>
      <c r="CN2777" s="2"/>
      <c r="CQ2777" s="2"/>
      <c r="CT2777" s="2"/>
      <c r="CW2777" s="2"/>
    </row>
    <row r="2778" spans="86:101" x14ac:dyDescent="0.25">
      <c r="CH2778" s="2"/>
      <c r="CJ2778" s="2"/>
      <c r="CL2778" s="2"/>
      <c r="CN2778" s="2"/>
      <c r="CQ2778" s="2"/>
      <c r="CT2778" s="2"/>
      <c r="CW2778" s="2"/>
    </row>
    <row r="2779" spans="86:101" x14ac:dyDescent="0.25">
      <c r="CH2779" s="2"/>
      <c r="CJ2779" s="2"/>
      <c r="CL2779" s="2"/>
      <c r="CN2779" s="2"/>
      <c r="CQ2779" s="2"/>
      <c r="CT2779" s="2"/>
      <c r="CW2779" s="2"/>
    </row>
    <row r="2780" spans="86:101" x14ac:dyDescent="0.25">
      <c r="CH2780" s="2"/>
      <c r="CJ2780" s="2"/>
      <c r="CL2780" s="2"/>
      <c r="CN2780" s="2"/>
      <c r="CQ2780" s="2"/>
      <c r="CT2780" s="2"/>
      <c r="CW2780" s="2"/>
    </row>
    <row r="2781" spans="86:101" x14ac:dyDescent="0.25">
      <c r="CH2781" s="2"/>
      <c r="CJ2781" s="2"/>
      <c r="CL2781" s="2"/>
      <c r="CN2781" s="2"/>
      <c r="CQ2781" s="2"/>
      <c r="CT2781" s="2"/>
      <c r="CW2781" s="2"/>
    </row>
    <row r="2782" spans="86:101" x14ac:dyDescent="0.25">
      <c r="CH2782" s="2"/>
      <c r="CJ2782" s="2"/>
      <c r="CL2782" s="2"/>
      <c r="CN2782" s="2"/>
      <c r="CQ2782" s="2"/>
      <c r="CT2782" s="2"/>
      <c r="CW2782" s="2"/>
    </row>
    <row r="2783" spans="86:101" x14ac:dyDescent="0.25">
      <c r="CH2783" s="2"/>
      <c r="CJ2783" s="2"/>
      <c r="CL2783" s="2"/>
      <c r="CN2783" s="2"/>
      <c r="CQ2783" s="2"/>
      <c r="CT2783" s="2"/>
      <c r="CW2783" s="2"/>
    </row>
    <row r="2784" spans="86:101" x14ac:dyDescent="0.25">
      <c r="CH2784" s="2"/>
      <c r="CJ2784" s="2"/>
      <c r="CL2784" s="2"/>
      <c r="CN2784" s="2"/>
      <c r="CQ2784" s="2"/>
      <c r="CT2784" s="2"/>
      <c r="CW2784" s="2"/>
    </row>
    <row r="2785" spans="86:101" x14ac:dyDescent="0.25">
      <c r="CH2785" s="2"/>
      <c r="CJ2785" s="2"/>
      <c r="CL2785" s="2"/>
      <c r="CN2785" s="2"/>
      <c r="CQ2785" s="2"/>
      <c r="CT2785" s="2"/>
      <c r="CW2785" s="2"/>
    </row>
    <row r="2786" spans="86:101" x14ac:dyDescent="0.25">
      <c r="CH2786" s="2"/>
      <c r="CJ2786" s="2"/>
      <c r="CL2786" s="2"/>
      <c r="CN2786" s="2"/>
      <c r="CQ2786" s="2"/>
      <c r="CT2786" s="2"/>
      <c r="CW2786" s="2"/>
    </row>
    <row r="2787" spans="86:101" x14ac:dyDescent="0.25">
      <c r="CH2787" s="2"/>
      <c r="CJ2787" s="2"/>
      <c r="CL2787" s="2"/>
      <c r="CN2787" s="2"/>
      <c r="CQ2787" s="2"/>
      <c r="CT2787" s="2"/>
      <c r="CW2787" s="2"/>
    </row>
    <row r="2788" spans="86:101" x14ac:dyDescent="0.25">
      <c r="CH2788" s="2"/>
      <c r="CJ2788" s="2"/>
      <c r="CL2788" s="2"/>
      <c r="CN2788" s="2"/>
      <c r="CQ2788" s="2"/>
      <c r="CT2788" s="2"/>
      <c r="CW2788" s="2"/>
    </row>
    <row r="2789" spans="86:101" x14ac:dyDescent="0.25">
      <c r="CH2789" s="2"/>
      <c r="CJ2789" s="2"/>
      <c r="CL2789" s="2"/>
      <c r="CN2789" s="2"/>
      <c r="CQ2789" s="2"/>
      <c r="CT2789" s="2"/>
      <c r="CW2789" s="2"/>
    </row>
    <row r="2790" spans="86:101" x14ac:dyDescent="0.25">
      <c r="CH2790" s="2"/>
      <c r="CJ2790" s="2"/>
      <c r="CL2790" s="2"/>
      <c r="CN2790" s="2"/>
      <c r="CQ2790" s="2"/>
      <c r="CT2790" s="2"/>
      <c r="CW2790" s="2"/>
    </row>
    <row r="2791" spans="86:101" x14ac:dyDescent="0.25">
      <c r="CH2791" s="2"/>
      <c r="CJ2791" s="2"/>
      <c r="CL2791" s="2"/>
      <c r="CN2791" s="2"/>
      <c r="CQ2791" s="2"/>
      <c r="CT2791" s="2"/>
      <c r="CW2791" s="2"/>
    </row>
    <row r="2792" spans="86:101" x14ac:dyDescent="0.25">
      <c r="CH2792" s="2"/>
      <c r="CJ2792" s="2"/>
      <c r="CL2792" s="2"/>
      <c r="CN2792" s="2"/>
      <c r="CQ2792" s="2"/>
      <c r="CT2792" s="2"/>
      <c r="CW2792" s="2"/>
    </row>
    <row r="2793" spans="86:101" x14ac:dyDescent="0.25">
      <c r="CH2793" s="2"/>
      <c r="CJ2793" s="2"/>
      <c r="CL2793" s="2"/>
      <c r="CN2793" s="2"/>
      <c r="CQ2793" s="2"/>
      <c r="CT2793" s="2"/>
      <c r="CW2793" s="2"/>
    </row>
    <row r="2794" spans="86:101" x14ac:dyDescent="0.25">
      <c r="CH2794" s="2"/>
      <c r="CJ2794" s="2"/>
      <c r="CL2794" s="2"/>
      <c r="CN2794" s="2"/>
      <c r="CQ2794" s="2"/>
      <c r="CT2794" s="2"/>
      <c r="CW2794" s="2"/>
    </row>
    <row r="2795" spans="86:101" x14ac:dyDescent="0.25">
      <c r="CH2795" s="2"/>
      <c r="CJ2795" s="2"/>
      <c r="CL2795" s="2"/>
      <c r="CN2795" s="2"/>
      <c r="CQ2795" s="2"/>
      <c r="CT2795" s="2"/>
      <c r="CW2795" s="2"/>
    </row>
    <row r="2796" spans="86:101" x14ac:dyDescent="0.25">
      <c r="CH2796" s="2"/>
      <c r="CJ2796" s="2"/>
      <c r="CL2796" s="2"/>
      <c r="CN2796" s="2"/>
      <c r="CQ2796" s="2"/>
      <c r="CT2796" s="2"/>
      <c r="CW2796" s="2"/>
    </row>
    <row r="2797" spans="86:101" x14ac:dyDescent="0.25">
      <c r="CH2797" s="2"/>
      <c r="CJ2797" s="2"/>
      <c r="CL2797" s="2"/>
      <c r="CN2797" s="2"/>
      <c r="CQ2797" s="2"/>
      <c r="CT2797" s="2"/>
      <c r="CW2797" s="2"/>
    </row>
    <row r="2798" spans="86:101" x14ac:dyDescent="0.25">
      <c r="CH2798" s="2"/>
      <c r="CJ2798" s="2"/>
      <c r="CL2798" s="2"/>
      <c r="CN2798" s="2"/>
      <c r="CQ2798" s="2"/>
      <c r="CT2798" s="2"/>
      <c r="CW2798" s="2"/>
    </row>
    <row r="2799" spans="86:101" x14ac:dyDescent="0.25">
      <c r="CH2799" s="2"/>
      <c r="CJ2799" s="2"/>
      <c r="CL2799" s="2"/>
      <c r="CN2799" s="2"/>
      <c r="CQ2799" s="2"/>
      <c r="CT2799" s="2"/>
      <c r="CW2799" s="2"/>
    </row>
    <row r="2800" spans="86:101" x14ac:dyDescent="0.25">
      <c r="CH2800" s="2"/>
      <c r="CJ2800" s="2"/>
      <c r="CL2800" s="2"/>
      <c r="CN2800" s="2"/>
      <c r="CQ2800" s="2"/>
      <c r="CT2800" s="2"/>
      <c r="CW2800" s="2"/>
    </row>
    <row r="2801" spans="86:101" x14ac:dyDescent="0.25">
      <c r="CH2801" s="2"/>
      <c r="CJ2801" s="2"/>
      <c r="CL2801" s="2"/>
      <c r="CN2801" s="2"/>
      <c r="CQ2801" s="2"/>
      <c r="CT2801" s="2"/>
      <c r="CW2801" s="2"/>
    </row>
    <row r="2802" spans="86:101" x14ac:dyDescent="0.25">
      <c r="CH2802" s="2"/>
      <c r="CJ2802" s="2"/>
      <c r="CL2802" s="2"/>
      <c r="CN2802" s="2"/>
      <c r="CQ2802" s="2"/>
      <c r="CT2802" s="2"/>
      <c r="CW2802" s="2"/>
    </row>
    <row r="2803" spans="86:101" x14ac:dyDescent="0.25">
      <c r="CH2803" s="2"/>
      <c r="CJ2803" s="2"/>
      <c r="CL2803" s="2"/>
      <c r="CN2803" s="2"/>
      <c r="CQ2803" s="2"/>
      <c r="CT2803" s="2"/>
      <c r="CW2803" s="2"/>
    </row>
    <row r="2804" spans="86:101" x14ac:dyDescent="0.25">
      <c r="CH2804" s="2"/>
      <c r="CJ2804" s="2"/>
      <c r="CL2804" s="2"/>
      <c r="CN2804" s="2"/>
      <c r="CQ2804" s="2"/>
      <c r="CT2804" s="2"/>
      <c r="CW2804" s="2"/>
    </row>
    <row r="2805" spans="86:101" x14ac:dyDescent="0.25">
      <c r="CH2805" s="2"/>
      <c r="CJ2805" s="2"/>
      <c r="CL2805" s="2"/>
      <c r="CN2805" s="2"/>
      <c r="CQ2805" s="2"/>
      <c r="CT2805" s="2"/>
      <c r="CW2805" s="2"/>
    </row>
    <row r="2806" spans="86:101" x14ac:dyDescent="0.25">
      <c r="CH2806" s="2"/>
      <c r="CJ2806" s="2"/>
      <c r="CL2806" s="2"/>
      <c r="CN2806" s="2"/>
      <c r="CQ2806" s="2"/>
      <c r="CT2806" s="2"/>
      <c r="CW2806" s="2"/>
    </row>
    <row r="2807" spans="86:101" x14ac:dyDescent="0.25">
      <c r="CH2807" s="2"/>
      <c r="CJ2807" s="2"/>
      <c r="CL2807" s="2"/>
      <c r="CN2807" s="2"/>
      <c r="CQ2807" s="2"/>
      <c r="CT2807" s="2"/>
      <c r="CW2807" s="2"/>
    </row>
    <row r="2808" spans="86:101" x14ac:dyDescent="0.25">
      <c r="CH2808" s="2"/>
      <c r="CJ2808" s="2"/>
      <c r="CL2808" s="2"/>
      <c r="CN2808" s="2"/>
      <c r="CQ2808" s="2"/>
      <c r="CT2808" s="2"/>
      <c r="CW2808" s="2"/>
    </row>
    <row r="2809" spans="86:101" x14ac:dyDescent="0.25">
      <c r="CH2809" s="2"/>
      <c r="CJ2809" s="2"/>
      <c r="CL2809" s="2"/>
      <c r="CN2809" s="2"/>
      <c r="CQ2809" s="2"/>
      <c r="CT2809" s="2"/>
      <c r="CW2809" s="2"/>
    </row>
    <row r="2810" spans="86:101" x14ac:dyDescent="0.25">
      <c r="CH2810" s="2"/>
      <c r="CJ2810" s="2"/>
      <c r="CL2810" s="2"/>
      <c r="CN2810" s="2"/>
      <c r="CQ2810" s="2"/>
      <c r="CT2810" s="2"/>
      <c r="CW2810" s="2"/>
    </row>
    <row r="2811" spans="86:101" x14ac:dyDescent="0.25">
      <c r="CH2811" s="2"/>
      <c r="CJ2811" s="2"/>
      <c r="CL2811" s="2"/>
      <c r="CN2811" s="2"/>
      <c r="CQ2811" s="2"/>
      <c r="CT2811" s="2"/>
      <c r="CW2811" s="2"/>
    </row>
    <row r="2812" spans="86:101" x14ac:dyDescent="0.25">
      <c r="CH2812" s="2"/>
      <c r="CJ2812" s="2"/>
      <c r="CL2812" s="2"/>
      <c r="CN2812" s="2"/>
      <c r="CQ2812" s="2"/>
      <c r="CT2812" s="2"/>
      <c r="CW2812" s="2"/>
    </row>
    <row r="2813" spans="86:101" x14ac:dyDescent="0.25">
      <c r="CH2813" s="2"/>
      <c r="CJ2813" s="2"/>
      <c r="CL2813" s="2"/>
      <c r="CN2813" s="2"/>
      <c r="CQ2813" s="2"/>
      <c r="CT2813" s="2"/>
      <c r="CW2813" s="2"/>
    </row>
    <row r="2814" spans="86:101" x14ac:dyDescent="0.25">
      <c r="CH2814" s="2"/>
      <c r="CJ2814" s="2"/>
      <c r="CL2814" s="2"/>
      <c r="CN2814" s="2"/>
      <c r="CQ2814" s="2"/>
      <c r="CT2814" s="2"/>
      <c r="CW2814" s="2"/>
    </row>
    <row r="2815" spans="86:101" x14ac:dyDescent="0.25">
      <c r="CH2815" s="2"/>
      <c r="CJ2815" s="2"/>
      <c r="CL2815" s="2"/>
      <c r="CN2815" s="2"/>
      <c r="CQ2815" s="2"/>
      <c r="CT2815" s="2"/>
      <c r="CW2815" s="2"/>
    </row>
    <row r="2816" spans="86:101" x14ac:dyDescent="0.25">
      <c r="CH2816" s="2"/>
      <c r="CJ2816" s="2"/>
      <c r="CL2816" s="2"/>
      <c r="CN2816" s="2"/>
      <c r="CQ2816" s="2"/>
      <c r="CT2816" s="2"/>
      <c r="CW2816" s="2"/>
    </row>
    <row r="2817" spans="86:101" x14ac:dyDescent="0.25">
      <c r="CH2817" s="2"/>
      <c r="CJ2817" s="2"/>
      <c r="CL2817" s="2"/>
      <c r="CN2817" s="2"/>
      <c r="CQ2817" s="2"/>
      <c r="CT2817" s="2"/>
      <c r="CW2817" s="2"/>
    </row>
    <row r="2818" spans="86:101" x14ac:dyDescent="0.25">
      <c r="CH2818" s="2"/>
      <c r="CJ2818" s="2"/>
      <c r="CL2818" s="2"/>
      <c r="CN2818" s="2"/>
      <c r="CQ2818" s="2"/>
      <c r="CT2818" s="2"/>
      <c r="CW2818" s="2"/>
    </row>
    <row r="2819" spans="86:101" x14ac:dyDescent="0.25">
      <c r="CH2819" s="2"/>
      <c r="CJ2819" s="2"/>
      <c r="CL2819" s="2"/>
      <c r="CN2819" s="2"/>
      <c r="CQ2819" s="2"/>
      <c r="CT2819" s="2"/>
      <c r="CW2819" s="2"/>
    </row>
    <row r="2820" spans="86:101" x14ac:dyDescent="0.25">
      <c r="CH2820" s="2"/>
      <c r="CJ2820" s="2"/>
      <c r="CL2820" s="2"/>
      <c r="CN2820" s="2"/>
      <c r="CQ2820" s="2"/>
      <c r="CT2820" s="2"/>
      <c r="CW2820" s="2"/>
    </row>
    <row r="2821" spans="86:101" x14ac:dyDescent="0.25">
      <c r="CH2821" s="2"/>
      <c r="CJ2821" s="2"/>
      <c r="CL2821" s="2"/>
      <c r="CN2821" s="2"/>
      <c r="CQ2821" s="2"/>
      <c r="CT2821" s="2"/>
      <c r="CW2821" s="2"/>
    </row>
    <row r="2822" spans="86:101" x14ac:dyDescent="0.25">
      <c r="CH2822" s="2"/>
      <c r="CJ2822" s="2"/>
      <c r="CL2822" s="2"/>
      <c r="CN2822" s="2"/>
      <c r="CQ2822" s="2"/>
      <c r="CT2822" s="2"/>
      <c r="CW2822" s="2"/>
    </row>
    <row r="2823" spans="86:101" x14ac:dyDescent="0.25">
      <c r="CH2823" s="2"/>
      <c r="CJ2823" s="2"/>
      <c r="CL2823" s="2"/>
      <c r="CN2823" s="2"/>
      <c r="CQ2823" s="2"/>
      <c r="CT2823" s="2"/>
      <c r="CW2823" s="2"/>
    </row>
    <row r="2824" spans="86:101" x14ac:dyDescent="0.25">
      <c r="CH2824" s="2"/>
      <c r="CJ2824" s="2"/>
      <c r="CL2824" s="2"/>
      <c r="CN2824" s="2"/>
      <c r="CQ2824" s="2"/>
      <c r="CT2824" s="2"/>
      <c r="CW2824" s="2"/>
    </row>
    <row r="2825" spans="86:101" x14ac:dyDescent="0.25">
      <c r="CH2825" s="2"/>
      <c r="CJ2825" s="2"/>
      <c r="CL2825" s="2"/>
      <c r="CN2825" s="2"/>
      <c r="CQ2825" s="2"/>
      <c r="CT2825" s="2"/>
      <c r="CW2825" s="2"/>
    </row>
    <row r="2826" spans="86:101" x14ac:dyDescent="0.25">
      <c r="CH2826" s="2"/>
      <c r="CJ2826" s="2"/>
      <c r="CL2826" s="2"/>
      <c r="CN2826" s="2"/>
      <c r="CQ2826" s="2"/>
      <c r="CT2826" s="2"/>
      <c r="CW2826" s="2"/>
    </row>
    <row r="2827" spans="86:101" x14ac:dyDescent="0.25">
      <c r="CH2827" s="2"/>
      <c r="CJ2827" s="2"/>
      <c r="CL2827" s="2"/>
      <c r="CN2827" s="2"/>
      <c r="CQ2827" s="2"/>
      <c r="CT2827" s="2"/>
      <c r="CW2827" s="2"/>
    </row>
    <row r="2828" spans="86:101" x14ac:dyDescent="0.25">
      <c r="CH2828" s="2"/>
      <c r="CJ2828" s="2"/>
      <c r="CL2828" s="2"/>
      <c r="CN2828" s="2"/>
      <c r="CQ2828" s="2"/>
      <c r="CT2828" s="2"/>
      <c r="CW2828" s="2"/>
    </row>
    <row r="2829" spans="86:101" x14ac:dyDescent="0.25">
      <c r="CH2829" s="2"/>
      <c r="CJ2829" s="2"/>
      <c r="CL2829" s="2"/>
      <c r="CN2829" s="2"/>
      <c r="CQ2829" s="2"/>
      <c r="CT2829" s="2"/>
      <c r="CW2829" s="2"/>
    </row>
    <row r="2830" spans="86:101" x14ac:dyDescent="0.25">
      <c r="CH2830" s="2"/>
      <c r="CJ2830" s="2"/>
      <c r="CL2830" s="2"/>
      <c r="CN2830" s="2"/>
      <c r="CQ2830" s="2"/>
      <c r="CT2830" s="2"/>
      <c r="CW2830" s="2"/>
    </row>
    <row r="2831" spans="86:101" x14ac:dyDescent="0.25">
      <c r="CH2831" s="2"/>
      <c r="CJ2831" s="2"/>
      <c r="CL2831" s="2"/>
      <c r="CN2831" s="2"/>
      <c r="CQ2831" s="2"/>
      <c r="CT2831" s="2"/>
      <c r="CW2831" s="2"/>
    </row>
    <row r="2832" spans="86:101" x14ac:dyDescent="0.25">
      <c r="CH2832" s="2"/>
      <c r="CJ2832" s="2"/>
      <c r="CL2832" s="2"/>
      <c r="CN2832" s="2"/>
      <c r="CQ2832" s="2"/>
      <c r="CT2832" s="2"/>
      <c r="CW2832" s="2"/>
    </row>
    <row r="2833" spans="86:101" x14ac:dyDescent="0.25">
      <c r="CH2833" s="2"/>
      <c r="CJ2833" s="2"/>
      <c r="CL2833" s="2"/>
      <c r="CN2833" s="2"/>
      <c r="CQ2833" s="2"/>
      <c r="CT2833" s="2"/>
      <c r="CW2833" s="2"/>
    </row>
    <row r="2834" spans="86:101" x14ac:dyDescent="0.25">
      <c r="CH2834" s="2"/>
      <c r="CJ2834" s="2"/>
      <c r="CL2834" s="2"/>
      <c r="CN2834" s="2"/>
      <c r="CQ2834" s="2"/>
      <c r="CT2834" s="2"/>
      <c r="CW2834" s="2"/>
    </row>
    <row r="2835" spans="86:101" x14ac:dyDescent="0.25">
      <c r="CH2835" s="2"/>
      <c r="CJ2835" s="2"/>
      <c r="CL2835" s="2"/>
      <c r="CN2835" s="2"/>
      <c r="CQ2835" s="2"/>
      <c r="CT2835" s="2"/>
      <c r="CW2835" s="2"/>
    </row>
    <row r="2836" spans="86:101" x14ac:dyDescent="0.25">
      <c r="CH2836" s="2"/>
      <c r="CJ2836" s="2"/>
      <c r="CL2836" s="2"/>
      <c r="CN2836" s="2"/>
      <c r="CQ2836" s="2"/>
      <c r="CT2836" s="2"/>
      <c r="CW2836" s="2"/>
    </row>
    <row r="2837" spans="86:101" x14ac:dyDescent="0.25">
      <c r="CH2837" s="2"/>
      <c r="CJ2837" s="2"/>
      <c r="CL2837" s="2"/>
      <c r="CN2837" s="2"/>
      <c r="CQ2837" s="2"/>
      <c r="CT2837" s="2"/>
      <c r="CW2837" s="2"/>
    </row>
    <row r="2838" spans="86:101" x14ac:dyDescent="0.25">
      <c r="CH2838" s="2"/>
      <c r="CJ2838" s="2"/>
      <c r="CL2838" s="2"/>
      <c r="CN2838" s="2"/>
      <c r="CQ2838" s="2"/>
      <c r="CT2838" s="2"/>
      <c r="CW2838" s="2"/>
    </row>
    <row r="2839" spans="86:101" x14ac:dyDescent="0.25">
      <c r="CH2839" s="2"/>
      <c r="CJ2839" s="2"/>
      <c r="CL2839" s="2"/>
      <c r="CN2839" s="2"/>
      <c r="CQ2839" s="2"/>
      <c r="CT2839" s="2"/>
      <c r="CW2839" s="2"/>
    </row>
    <row r="2840" spans="86:101" x14ac:dyDescent="0.25">
      <c r="CH2840" s="2"/>
      <c r="CJ2840" s="2"/>
      <c r="CL2840" s="2"/>
      <c r="CN2840" s="2"/>
      <c r="CQ2840" s="2"/>
      <c r="CT2840" s="2"/>
      <c r="CW2840" s="2"/>
    </row>
    <row r="2841" spans="86:101" x14ac:dyDescent="0.25">
      <c r="CH2841" s="2"/>
      <c r="CJ2841" s="2"/>
      <c r="CL2841" s="2"/>
      <c r="CN2841" s="2"/>
      <c r="CQ2841" s="2"/>
      <c r="CT2841" s="2"/>
      <c r="CW2841" s="2"/>
    </row>
    <row r="2842" spans="86:101" x14ac:dyDescent="0.25">
      <c r="CH2842" s="2"/>
      <c r="CJ2842" s="2"/>
      <c r="CL2842" s="2"/>
      <c r="CN2842" s="2"/>
      <c r="CQ2842" s="2"/>
      <c r="CT2842" s="2"/>
      <c r="CW2842" s="2"/>
    </row>
    <row r="2843" spans="86:101" x14ac:dyDescent="0.25">
      <c r="CH2843" s="2"/>
      <c r="CJ2843" s="2"/>
      <c r="CL2843" s="2"/>
      <c r="CN2843" s="2"/>
      <c r="CQ2843" s="2"/>
      <c r="CT2843" s="2"/>
      <c r="CW2843" s="2"/>
    </row>
    <row r="2844" spans="86:101" x14ac:dyDescent="0.25">
      <c r="CH2844" s="2"/>
      <c r="CJ2844" s="2"/>
      <c r="CL2844" s="2"/>
      <c r="CN2844" s="2"/>
      <c r="CQ2844" s="2"/>
      <c r="CT2844" s="2"/>
      <c r="CW2844" s="2"/>
    </row>
    <row r="2845" spans="86:101" x14ac:dyDescent="0.25">
      <c r="CH2845" s="2"/>
      <c r="CJ2845" s="2"/>
      <c r="CL2845" s="2"/>
      <c r="CN2845" s="2"/>
      <c r="CQ2845" s="2"/>
      <c r="CT2845" s="2"/>
      <c r="CW2845" s="2"/>
    </row>
    <row r="2846" spans="86:101" x14ac:dyDescent="0.25">
      <c r="CH2846" s="2"/>
      <c r="CJ2846" s="2"/>
      <c r="CL2846" s="2"/>
      <c r="CN2846" s="2"/>
      <c r="CQ2846" s="2"/>
      <c r="CT2846" s="2"/>
      <c r="CW2846" s="2"/>
    </row>
    <row r="2847" spans="86:101" x14ac:dyDescent="0.25">
      <c r="CH2847" s="2"/>
      <c r="CJ2847" s="2"/>
      <c r="CL2847" s="2"/>
      <c r="CN2847" s="2"/>
      <c r="CQ2847" s="2"/>
      <c r="CT2847" s="2"/>
      <c r="CW2847" s="2"/>
    </row>
    <row r="2848" spans="86:101" x14ac:dyDescent="0.25">
      <c r="CH2848" s="2"/>
      <c r="CJ2848" s="2"/>
      <c r="CL2848" s="2"/>
      <c r="CN2848" s="2"/>
      <c r="CQ2848" s="2"/>
      <c r="CT2848" s="2"/>
      <c r="CW2848" s="2"/>
    </row>
    <row r="2849" spans="86:101" x14ac:dyDescent="0.25">
      <c r="CH2849" s="2"/>
      <c r="CJ2849" s="2"/>
      <c r="CL2849" s="2"/>
      <c r="CN2849" s="2"/>
      <c r="CQ2849" s="2"/>
      <c r="CT2849" s="2"/>
      <c r="CW2849" s="2"/>
    </row>
    <row r="2850" spans="86:101" x14ac:dyDescent="0.25">
      <c r="CH2850" s="2"/>
      <c r="CJ2850" s="2"/>
      <c r="CL2850" s="2"/>
      <c r="CN2850" s="2"/>
      <c r="CQ2850" s="2"/>
      <c r="CT2850" s="2"/>
      <c r="CW2850" s="2"/>
    </row>
    <row r="2851" spans="86:101" x14ac:dyDescent="0.25">
      <c r="CH2851" s="2"/>
      <c r="CJ2851" s="2"/>
      <c r="CL2851" s="2"/>
      <c r="CN2851" s="2"/>
      <c r="CQ2851" s="2"/>
      <c r="CT2851" s="2"/>
      <c r="CW2851" s="2"/>
    </row>
    <row r="2852" spans="86:101" x14ac:dyDescent="0.25">
      <c r="CH2852" s="2"/>
      <c r="CJ2852" s="2"/>
      <c r="CL2852" s="2"/>
      <c r="CN2852" s="2"/>
      <c r="CQ2852" s="2"/>
      <c r="CT2852" s="2"/>
      <c r="CW2852" s="2"/>
    </row>
    <row r="2853" spans="86:101" x14ac:dyDescent="0.25">
      <c r="CH2853" s="2"/>
      <c r="CJ2853" s="2"/>
      <c r="CL2853" s="2"/>
      <c r="CN2853" s="2"/>
      <c r="CQ2853" s="2"/>
      <c r="CT2853" s="2"/>
      <c r="CW2853" s="2"/>
    </row>
    <row r="2854" spans="86:101" x14ac:dyDescent="0.25">
      <c r="CH2854" s="2"/>
      <c r="CJ2854" s="2"/>
      <c r="CL2854" s="2"/>
      <c r="CN2854" s="2"/>
      <c r="CQ2854" s="2"/>
      <c r="CT2854" s="2"/>
      <c r="CW2854" s="2"/>
    </row>
    <row r="2855" spans="86:101" x14ac:dyDescent="0.25">
      <c r="CH2855" s="2"/>
      <c r="CJ2855" s="2"/>
      <c r="CL2855" s="2"/>
      <c r="CN2855" s="2"/>
      <c r="CQ2855" s="2"/>
      <c r="CT2855" s="2"/>
      <c r="CW2855" s="2"/>
    </row>
    <row r="2856" spans="86:101" x14ac:dyDescent="0.25">
      <c r="CH2856" s="2"/>
      <c r="CJ2856" s="2"/>
      <c r="CL2856" s="2"/>
      <c r="CN2856" s="2"/>
      <c r="CQ2856" s="2"/>
      <c r="CT2856" s="2"/>
      <c r="CW2856" s="2"/>
    </row>
    <row r="2857" spans="86:101" x14ac:dyDescent="0.25">
      <c r="CH2857" s="2"/>
      <c r="CJ2857" s="2"/>
      <c r="CL2857" s="2"/>
      <c r="CN2857" s="2"/>
      <c r="CQ2857" s="2"/>
      <c r="CT2857" s="2"/>
      <c r="CW2857" s="2"/>
    </row>
    <row r="2858" spans="86:101" x14ac:dyDescent="0.25">
      <c r="CH2858" s="2"/>
      <c r="CJ2858" s="2"/>
      <c r="CL2858" s="2"/>
      <c r="CN2858" s="2"/>
      <c r="CQ2858" s="2"/>
      <c r="CT2858" s="2"/>
      <c r="CW2858" s="2"/>
    </row>
    <row r="2859" spans="86:101" x14ac:dyDescent="0.25">
      <c r="CH2859" s="2"/>
      <c r="CJ2859" s="2"/>
      <c r="CL2859" s="2"/>
      <c r="CN2859" s="2"/>
      <c r="CQ2859" s="2"/>
      <c r="CT2859" s="2"/>
      <c r="CW2859" s="2"/>
    </row>
    <row r="2860" spans="86:101" x14ac:dyDescent="0.25">
      <c r="CH2860" s="2"/>
      <c r="CJ2860" s="2"/>
      <c r="CL2860" s="2"/>
      <c r="CN2860" s="2"/>
      <c r="CQ2860" s="2"/>
      <c r="CT2860" s="2"/>
      <c r="CW2860" s="2"/>
    </row>
    <row r="2861" spans="86:101" x14ac:dyDescent="0.25">
      <c r="CH2861" s="2"/>
      <c r="CJ2861" s="2"/>
      <c r="CL2861" s="2"/>
      <c r="CN2861" s="2"/>
      <c r="CQ2861" s="2"/>
      <c r="CT2861" s="2"/>
      <c r="CW2861" s="2"/>
    </row>
    <row r="2862" spans="86:101" x14ac:dyDescent="0.25">
      <c r="CH2862" s="2"/>
      <c r="CJ2862" s="2"/>
      <c r="CL2862" s="2"/>
      <c r="CN2862" s="2"/>
      <c r="CQ2862" s="2"/>
      <c r="CT2862" s="2"/>
      <c r="CW2862" s="2"/>
    </row>
    <row r="2863" spans="86:101" x14ac:dyDescent="0.25">
      <c r="CH2863" s="2"/>
      <c r="CJ2863" s="2"/>
      <c r="CL2863" s="2"/>
      <c r="CN2863" s="2"/>
      <c r="CQ2863" s="2"/>
      <c r="CT2863" s="2"/>
      <c r="CW2863" s="2"/>
    </row>
    <row r="2864" spans="86:101" x14ac:dyDescent="0.25">
      <c r="CH2864" s="2"/>
      <c r="CJ2864" s="2"/>
      <c r="CL2864" s="2"/>
      <c r="CN2864" s="2"/>
      <c r="CQ2864" s="2"/>
      <c r="CT2864" s="2"/>
      <c r="CW2864" s="2"/>
    </row>
    <row r="2865" spans="86:101" x14ac:dyDescent="0.25">
      <c r="CH2865" s="2"/>
      <c r="CJ2865" s="2"/>
      <c r="CL2865" s="2"/>
      <c r="CN2865" s="2"/>
      <c r="CQ2865" s="2"/>
      <c r="CT2865" s="2"/>
      <c r="CW2865" s="2"/>
    </row>
    <row r="2866" spans="86:101" x14ac:dyDescent="0.25">
      <c r="CH2866" s="2"/>
      <c r="CJ2866" s="2"/>
      <c r="CL2866" s="2"/>
      <c r="CN2866" s="2"/>
      <c r="CQ2866" s="2"/>
      <c r="CT2866" s="2"/>
      <c r="CW2866" s="2"/>
    </row>
    <row r="2867" spans="86:101" x14ac:dyDescent="0.25">
      <c r="CH2867" s="2"/>
      <c r="CJ2867" s="2"/>
      <c r="CL2867" s="2"/>
      <c r="CN2867" s="2"/>
      <c r="CQ2867" s="2"/>
      <c r="CT2867" s="2"/>
      <c r="CW2867" s="2"/>
    </row>
    <row r="2868" spans="86:101" x14ac:dyDescent="0.25">
      <c r="CH2868" s="2"/>
      <c r="CJ2868" s="2"/>
      <c r="CL2868" s="2"/>
      <c r="CN2868" s="2"/>
      <c r="CQ2868" s="2"/>
      <c r="CT2868" s="2"/>
      <c r="CW2868" s="2"/>
    </row>
    <row r="2869" spans="86:101" x14ac:dyDescent="0.25">
      <c r="CH2869" s="2"/>
      <c r="CJ2869" s="2"/>
      <c r="CL2869" s="2"/>
      <c r="CN2869" s="2"/>
      <c r="CQ2869" s="2"/>
      <c r="CT2869" s="2"/>
      <c r="CW2869" s="2"/>
    </row>
    <row r="2870" spans="86:101" x14ac:dyDescent="0.25">
      <c r="CH2870" s="2"/>
      <c r="CJ2870" s="2"/>
      <c r="CL2870" s="2"/>
      <c r="CN2870" s="2"/>
      <c r="CQ2870" s="2"/>
      <c r="CT2870" s="2"/>
      <c r="CW2870" s="2"/>
    </row>
    <row r="2871" spans="86:101" x14ac:dyDescent="0.25">
      <c r="CH2871" s="2"/>
      <c r="CJ2871" s="2"/>
      <c r="CL2871" s="2"/>
      <c r="CN2871" s="2"/>
      <c r="CQ2871" s="2"/>
      <c r="CT2871" s="2"/>
      <c r="CW2871" s="2"/>
    </row>
    <row r="2872" spans="86:101" x14ac:dyDescent="0.25">
      <c r="CH2872" s="2"/>
      <c r="CJ2872" s="2"/>
      <c r="CL2872" s="2"/>
      <c r="CN2872" s="2"/>
      <c r="CQ2872" s="2"/>
      <c r="CT2872" s="2"/>
      <c r="CW2872" s="2"/>
    </row>
    <row r="2873" spans="86:101" x14ac:dyDescent="0.25">
      <c r="CH2873" s="2"/>
      <c r="CJ2873" s="2"/>
      <c r="CL2873" s="2"/>
      <c r="CN2873" s="2"/>
      <c r="CQ2873" s="2"/>
      <c r="CT2873" s="2"/>
      <c r="CW2873" s="2"/>
    </row>
    <row r="2874" spans="86:101" x14ac:dyDescent="0.25">
      <c r="CH2874" s="2"/>
      <c r="CJ2874" s="2"/>
      <c r="CL2874" s="2"/>
      <c r="CN2874" s="2"/>
      <c r="CQ2874" s="2"/>
      <c r="CT2874" s="2"/>
      <c r="CW2874" s="2"/>
    </row>
    <row r="2875" spans="86:101" x14ac:dyDescent="0.25">
      <c r="CH2875" s="2"/>
      <c r="CJ2875" s="2"/>
      <c r="CL2875" s="2"/>
      <c r="CN2875" s="2"/>
      <c r="CQ2875" s="2"/>
      <c r="CT2875" s="2"/>
      <c r="CW2875" s="2"/>
    </row>
    <row r="2876" spans="86:101" x14ac:dyDescent="0.25">
      <c r="CH2876" s="2"/>
      <c r="CJ2876" s="2"/>
      <c r="CL2876" s="2"/>
      <c r="CN2876" s="2"/>
      <c r="CQ2876" s="2"/>
      <c r="CT2876" s="2"/>
      <c r="CW2876" s="2"/>
    </row>
    <row r="2877" spans="86:101" x14ac:dyDescent="0.25">
      <c r="CH2877" s="2"/>
      <c r="CJ2877" s="2"/>
      <c r="CL2877" s="2"/>
      <c r="CN2877" s="2"/>
      <c r="CQ2877" s="2"/>
      <c r="CT2877" s="2"/>
      <c r="CW2877" s="2"/>
    </row>
    <row r="2878" spans="86:101" x14ac:dyDescent="0.25">
      <c r="CH2878" s="2"/>
      <c r="CJ2878" s="2"/>
      <c r="CL2878" s="2"/>
      <c r="CN2878" s="2"/>
      <c r="CQ2878" s="2"/>
      <c r="CT2878" s="2"/>
      <c r="CW2878" s="2"/>
    </row>
    <row r="2879" spans="86:101" x14ac:dyDescent="0.25">
      <c r="CH2879" s="2"/>
      <c r="CJ2879" s="2"/>
      <c r="CL2879" s="2"/>
      <c r="CN2879" s="2"/>
      <c r="CQ2879" s="2"/>
      <c r="CT2879" s="2"/>
      <c r="CW2879" s="2"/>
    </row>
    <row r="2880" spans="86:101" x14ac:dyDescent="0.25">
      <c r="CH2880" s="2"/>
      <c r="CJ2880" s="2"/>
      <c r="CL2880" s="2"/>
      <c r="CN2880" s="2"/>
      <c r="CQ2880" s="2"/>
      <c r="CT2880" s="2"/>
      <c r="CW2880" s="2"/>
    </row>
    <row r="2881" spans="86:101" x14ac:dyDescent="0.25">
      <c r="CH2881" s="2"/>
      <c r="CJ2881" s="2"/>
      <c r="CL2881" s="2"/>
      <c r="CN2881" s="2"/>
      <c r="CQ2881" s="2"/>
      <c r="CT2881" s="2"/>
      <c r="CW2881" s="2"/>
    </row>
    <row r="2882" spans="86:101" x14ac:dyDescent="0.25">
      <c r="CH2882" s="2"/>
      <c r="CJ2882" s="2"/>
      <c r="CL2882" s="2"/>
      <c r="CN2882" s="2"/>
      <c r="CQ2882" s="2"/>
      <c r="CT2882" s="2"/>
      <c r="CW2882" s="2"/>
    </row>
    <row r="2883" spans="86:101" x14ac:dyDescent="0.25">
      <c r="CH2883" s="2"/>
      <c r="CJ2883" s="2"/>
      <c r="CL2883" s="2"/>
      <c r="CN2883" s="2"/>
      <c r="CQ2883" s="2"/>
      <c r="CT2883" s="2"/>
      <c r="CW2883" s="2"/>
    </row>
    <row r="2884" spans="86:101" x14ac:dyDescent="0.25">
      <c r="CH2884" s="2"/>
      <c r="CJ2884" s="2"/>
      <c r="CL2884" s="2"/>
      <c r="CN2884" s="2"/>
      <c r="CQ2884" s="2"/>
      <c r="CT2884" s="2"/>
      <c r="CW2884" s="2"/>
    </row>
    <row r="2885" spans="86:101" x14ac:dyDescent="0.25">
      <c r="CH2885" s="2"/>
      <c r="CJ2885" s="2"/>
      <c r="CL2885" s="2"/>
      <c r="CN2885" s="2"/>
      <c r="CQ2885" s="2"/>
      <c r="CT2885" s="2"/>
      <c r="CW2885" s="2"/>
    </row>
    <row r="2886" spans="86:101" x14ac:dyDescent="0.25">
      <c r="CH2886" s="2"/>
      <c r="CJ2886" s="2"/>
      <c r="CL2886" s="2"/>
      <c r="CN2886" s="2"/>
      <c r="CQ2886" s="2"/>
      <c r="CT2886" s="2"/>
      <c r="CW2886" s="2"/>
    </row>
    <row r="2887" spans="86:101" x14ac:dyDescent="0.25">
      <c r="CH2887" s="2"/>
      <c r="CJ2887" s="2"/>
      <c r="CL2887" s="2"/>
      <c r="CN2887" s="2"/>
      <c r="CQ2887" s="2"/>
      <c r="CT2887" s="2"/>
      <c r="CW2887" s="2"/>
    </row>
    <row r="2888" spans="86:101" x14ac:dyDescent="0.25">
      <c r="CH2888" s="2"/>
      <c r="CJ2888" s="2"/>
      <c r="CL2888" s="2"/>
      <c r="CN2888" s="2"/>
      <c r="CQ2888" s="2"/>
      <c r="CT2888" s="2"/>
      <c r="CW2888" s="2"/>
    </row>
    <row r="2889" spans="86:101" x14ac:dyDescent="0.25">
      <c r="CH2889" s="2"/>
      <c r="CJ2889" s="2"/>
      <c r="CL2889" s="2"/>
      <c r="CN2889" s="2"/>
      <c r="CQ2889" s="2"/>
      <c r="CT2889" s="2"/>
      <c r="CW2889" s="2"/>
    </row>
    <row r="2890" spans="86:101" x14ac:dyDescent="0.25">
      <c r="CH2890" s="2"/>
      <c r="CJ2890" s="2"/>
      <c r="CL2890" s="2"/>
      <c r="CN2890" s="2"/>
      <c r="CQ2890" s="2"/>
      <c r="CT2890" s="2"/>
      <c r="CW2890" s="2"/>
    </row>
    <row r="2891" spans="86:101" x14ac:dyDescent="0.25">
      <c r="CH2891" s="2"/>
      <c r="CJ2891" s="2"/>
      <c r="CL2891" s="2"/>
      <c r="CN2891" s="2"/>
      <c r="CQ2891" s="2"/>
      <c r="CT2891" s="2"/>
      <c r="CW2891" s="2"/>
    </row>
    <row r="2892" spans="86:101" x14ac:dyDescent="0.25">
      <c r="CH2892" s="2"/>
      <c r="CJ2892" s="2"/>
      <c r="CL2892" s="2"/>
      <c r="CN2892" s="2"/>
      <c r="CQ2892" s="2"/>
      <c r="CT2892" s="2"/>
      <c r="CW2892" s="2"/>
    </row>
    <row r="2893" spans="86:101" x14ac:dyDescent="0.25">
      <c r="CH2893" s="2"/>
      <c r="CJ2893" s="2"/>
      <c r="CL2893" s="2"/>
      <c r="CN2893" s="2"/>
      <c r="CQ2893" s="2"/>
      <c r="CT2893" s="2"/>
      <c r="CW2893" s="2"/>
    </row>
    <row r="2894" spans="86:101" x14ac:dyDescent="0.25">
      <c r="CH2894" s="2"/>
      <c r="CJ2894" s="2"/>
      <c r="CL2894" s="2"/>
      <c r="CN2894" s="2"/>
      <c r="CQ2894" s="2"/>
      <c r="CT2894" s="2"/>
      <c r="CW2894" s="2"/>
    </row>
    <row r="2895" spans="86:101" x14ac:dyDescent="0.25">
      <c r="CH2895" s="2"/>
      <c r="CJ2895" s="2"/>
      <c r="CL2895" s="2"/>
      <c r="CN2895" s="2"/>
      <c r="CQ2895" s="2"/>
      <c r="CT2895" s="2"/>
      <c r="CW2895" s="2"/>
    </row>
    <row r="2896" spans="86:101" x14ac:dyDescent="0.25">
      <c r="CH2896" s="2"/>
      <c r="CJ2896" s="2"/>
      <c r="CL2896" s="2"/>
      <c r="CN2896" s="2"/>
      <c r="CQ2896" s="2"/>
      <c r="CT2896" s="2"/>
      <c r="CW2896" s="2"/>
    </row>
    <row r="2897" spans="86:101" x14ac:dyDescent="0.25">
      <c r="CH2897" s="2"/>
      <c r="CJ2897" s="2"/>
      <c r="CL2897" s="2"/>
      <c r="CN2897" s="2"/>
      <c r="CQ2897" s="2"/>
      <c r="CT2897" s="2"/>
      <c r="CW2897" s="2"/>
    </row>
    <row r="2898" spans="86:101" x14ac:dyDescent="0.25">
      <c r="CH2898" s="2"/>
      <c r="CJ2898" s="2"/>
      <c r="CL2898" s="2"/>
      <c r="CN2898" s="2"/>
      <c r="CQ2898" s="2"/>
      <c r="CT2898" s="2"/>
      <c r="CW2898" s="2"/>
    </row>
    <row r="2899" spans="86:101" x14ac:dyDescent="0.25">
      <c r="CH2899" s="2"/>
      <c r="CJ2899" s="2"/>
      <c r="CL2899" s="2"/>
      <c r="CN2899" s="2"/>
      <c r="CQ2899" s="2"/>
      <c r="CT2899" s="2"/>
      <c r="CW2899" s="2"/>
    </row>
    <row r="2900" spans="86:101" x14ac:dyDescent="0.25">
      <c r="CH2900" s="2"/>
      <c r="CJ2900" s="2"/>
      <c r="CL2900" s="2"/>
      <c r="CN2900" s="2"/>
      <c r="CQ2900" s="2"/>
      <c r="CT2900" s="2"/>
      <c r="CW2900" s="2"/>
    </row>
    <row r="2901" spans="86:101" x14ac:dyDescent="0.25">
      <c r="CH2901" s="2"/>
      <c r="CJ2901" s="2"/>
      <c r="CL2901" s="2"/>
      <c r="CN2901" s="2"/>
      <c r="CQ2901" s="2"/>
      <c r="CT2901" s="2"/>
      <c r="CW2901" s="2"/>
    </row>
    <row r="2902" spans="86:101" x14ac:dyDescent="0.25">
      <c r="CH2902" s="2"/>
      <c r="CJ2902" s="2"/>
      <c r="CL2902" s="2"/>
      <c r="CN2902" s="2"/>
      <c r="CQ2902" s="2"/>
      <c r="CT2902" s="2"/>
      <c r="CW2902" s="2"/>
    </row>
    <row r="2903" spans="86:101" x14ac:dyDescent="0.25">
      <c r="CH2903" s="2"/>
      <c r="CJ2903" s="2"/>
      <c r="CL2903" s="2"/>
      <c r="CN2903" s="2"/>
      <c r="CQ2903" s="2"/>
      <c r="CT2903" s="2"/>
      <c r="CW2903" s="2"/>
    </row>
    <row r="2904" spans="86:101" x14ac:dyDescent="0.25">
      <c r="CH2904" s="2"/>
      <c r="CJ2904" s="2"/>
      <c r="CL2904" s="2"/>
      <c r="CN2904" s="2"/>
      <c r="CQ2904" s="2"/>
      <c r="CT2904" s="2"/>
      <c r="CW2904" s="2"/>
    </row>
    <row r="2905" spans="86:101" x14ac:dyDescent="0.25">
      <c r="CH2905" s="2"/>
      <c r="CJ2905" s="2"/>
      <c r="CL2905" s="2"/>
      <c r="CN2905" s="2"/>
      <c r="CQ2905" s="2"/>
      <c r="CT2905" s="2"/>
      <c r="CW2905" s="2"/>
    </row>
    <row r="2906" spans="86:101" x14ac:dyDescent="0.25">
      <c r="CH2906" s="2"/>
      <c r="CJ2906" s="2"/>
      <c r="CL2906" s="2"/>
      <c r="CN2906" s="2"/>
      <c r="CQ2906" s="2"/>
      <c r="CT2906" s="2"/>
      <c r="CW2906" s="2"/>
    </row>
    <row r="2907" spans="86:101" x14ac:dyDescent="0.25">
      <c r="CH2907" s="2"/>
      <c r="CJ2907" s="2"/>
      <c r="CL2907" s="2"/>
      <c r="CN2907" s="2"/>
      <c r="CQ2907" s="2"/>
      <c r="CT2907" s="2"/>
      <c r="CW2907" s="2"/>
    </row>
    <row r="2908" spans="86:101" x14ac:dyDescent="0.25">
      <c r="CH2908" s="2"/>
      <c r="CJ2908" s="2"/>
      <c r="CL2908" s="2"/>
      <c r="CN2908" s="2"/>
      <c r="CQ2908" s="2"/>
      <c r="CT2908" s="2"/>
      <c r="CW2908" s="2"/>
    </row>
    <row r="2909" spans="86:101" x14ac:dyDescent="0.25">
      <c r="CH2909" s="2"/>
      <c r="CJ2909" s="2"/>
      <c r="CL2909" s="2"/>
      <c r="CN2909" s="2"/>
      <c r="CQ2909" s="2"/>
      <c r="CT2909" s="2"/>
      <c r="CW2909" s="2"/>
    </row>
    <row r="2910" spans="86:101" x14ac:dyDescent="0.25">
      <c r="CH2910" s="2"/>
      <c r="CJ2910" s="2"/>
      <c r="CL2910" s="2"/>
      <c r="CN2910" s="2"/>
      <c r="CQ2910" s="2"/>
      <c r="CT2910" s="2"/>
      <c r="CW2910" s="2"/>
    </row>
    <row r="2911" spans="86:101" x14ac:dyDescent="0.25">
      <c r="CH2911" s="2"/>
      <c r="CJ2911" s="2"/>
      <c r="CL2911" s="2"/>
      <c r="CN2911" s="2"/>
      <c r="CQ2911" s="2"/>
      <c r="CT2911" s="2"/>
      <c r="CW2911" s="2"/>
    </row>
    <row r="2912" spans="86:101" x14ac:dyDescent="0.25">
      <c r="CH2912" s="2"/>
      <c r="CJ2912" s="2"/>
      <c r="CL2912" s="2"/>
      <c r="CN2912" s="2"/>
      <c r="CQ2912" s="2"/>
      <c r="CT2912" s="2"/>
      <c r="CW2912" s="2"/>
    </row>
    <row r="2913" spans="86:101" x14ac:dyDescent="0.25">
      <c r="CH2913" s="2"/>
      <c r="CJ2913" s="2"/>
      <c r="CL2913" s="2"/>
      <c r="CN2913" s="2"/>
      <c r="CQ2913" s="2"/>
      <c r="CT2913" s="2"/>
      <c r="CW2913" s="2"/>
    </row>
    <row r="2914" spans="86:101" x14ac:dyDescent="0.25">
      <c r="CH2914" s="2"/>
      <c r="CJ2914" s="2"/>
      <c r="CL2914" s="2"/>
      <c r="CN2914" s="2"/>
      <c r="CQ2914" s="2"/>
      <c r="CT2914" s="2"/>
      <c r="CW2914" s="2"/>
    </row>
    <row r="2915" spans="86:101" x14ac:dyDescent="0.25">
      <c r="CH2915" s="2"/>
      <c r="CJ2915" s="2"/>
      <c r="CL2915" s="2"/>
      <c r="CN2915" s="2"/>
      <c r="CQ2915" s="2"/>
      <c r="CT2915" s="2"/>
      <c r="CW2915" s="2"/>
    </row>
    <row r="2916" spans="86:101" x14ac:dyDescent="0.25">
      <c r="CH2916" s="2"/>
      <c r="CJ2916" s="2"/>
      <c r="CL2916" s="2"/>
      <c r="CN2916" s="2"/>
      <c r="CQ2916" s="2"/>
      <c r="CT2916" s="2"/>
      <c r="CW2916" s="2"/>
    </row>
    <row r="2917" spans="86:101" x14ac:dyDescent="0.25">
      <c r="CH2917" s="2"/>
      <c r="CJ2917" s="2"/>
      <c r="CL2917" s="2"/>
      <c r="CN2917" s="2"/>
      <c r="CQ2917" s="2"/>
      <c r="CT2917" s="2"/>
      <c r="CW2917" s="2"/>
    </row>
    <row r="2918" spans="86:101" x14ac:dyDescent="0.25">
      <c r="CH2918" s="2"/>
      <c r="CJ2918" s="2"/>
      <c r="CL2918" s="2"/>
      <c r="CN2918" s="2"/>
      <c r="CQ2918" s="2"/>
      <c r="CT2918" s="2"/>
      <c r="CW2918" s="2"/>
    </row>
    <row r="2919" spans="86:101" x14ac:dyDescent="0.25">
      <c r="CH2919" s="2"/>
      <c r="CJ2919" s="2"/>
      <c r="CL2919" s="2"/>
      <c r="CN2919" s="2"/>
      <c r="CQ2919" s="2"/>
      <c r="CT2919" s="2"/>
      <c r="CW2919" s="2"/>
    </row>
    <row r="2920" spans="86:101" x14ac:dyDescent="0.25">
      <c r="CH2920" s="2"/>
      <c r="CJ2920" s="2"/>
      <c r="CL2920" s="2"/>
      <c r="CN2920" s="2"/>
      <c r="CQ2920" s="2"/>
      <c r="CT2920" s="2"/>
      <c r="CW2920" s="2"/>
    </row>
    <row r="2921" spans="86:101" x14ac:dyDescent="0.25">
      <c r="CH2921" s="2"/>
      <c r="CJ2921" s="2"/>
      <c r="CL2921" s="2"/>
      <c r="CN2921" s="2"/>
      <c r="CQ2921" s="2"/>
      <c r="CT2921" s="2"/>
      <c r="CW2921" s="2"/>
    </row>
    <row r="2922" spans="86:101" x14ac:dyDescent="0.25">
      <c r="CH2922" s="2"/>
      <c r="CJ2922" s="2"/>
      <c r="CL2922" s="2"/>
      <c r="CN2922" s="2"/>
      <c r="CQ2922" s="2"/>
      <c r="CT2922" s="2"/>
      <c r="CW2922" s="2"/>
    </row>
    <row r="2923" spans="86:101" x14ac:dyDescent="0.25">
      <c r="CH2923" s="2"/>
      <c r="CJ2923" s="2"/>
      <c r="CL2923" s="2"/>
      <c r="CN2923" s="2"/>
      <c r="CQ2923" s="2"/>
      <c r="CT2923" s="2"/>
      <c r="CW2923" s="2"/>
    </row>
    <row r="2924" spans="86:101" x14ac:dyDescent="0.25">
      <c r="CH2924" s="2"/>
      <c r="CJ2924" s="2"/>
      <c r="CL2924" s="2"/>
      <c r="CN2924" s="2"/>
      <c r="CQ2924" s="2"/>
      <c r="CT2924" s="2"/>
      <c r="CW2924" s="2"/>
    </row>
    <row r="2925" spans="86:101" x14ac:dyDescent="0.25">
      <c r="CH2925" s="2"/>
      <c r="CJ2925" s="2"/>
      <c r="CL2925" s="2"/>
      <c r="CN2925" s="2"/>
      <c r="CQ2925" s="2"/>
      <c r="CT2925" s="2"/>
      <c r="CW2925" s="2"/>
    </row>
    <row r="2926" spans="86:101" x14ac:dyDescent="0.25">
      <c r="CH2926" s="2"/>
      <c r="CJ2926" s="2"/>
      <c r="CL2926" s="2"/>
      <c r="CN2926" s="2"/>
      <c r="CQ2926" s="2"/>
      <c r="CT2926" s="2"/>
      <c r="CW2926" s="2"/>
    </row>
    <row r="2927" spans="86:101" x14ac:dyDescent="0.25">
      <c r="CH2927" s="2"/>
      <c r="CJ2927" s="2"/>
      <c r="CL2927" s="2"/>
      <c r="CN2927" s="2"/>
      <c r="CQ2927" s="2"/>
      <c r="CT2927" s="2"/>
      <c r="CW2927" s="2"/>
    </row>
    <row r="2928" spans="86:101" x14ac:dyDescent="0.25">
      <c r="CH2928" s="2"/>
      <c r="CJ2928" s="2"/>
      <c r="CL2928" s="2"/>
      <c r="CN2928" s="2"/>
      <c r="CQ2928" s="2"/>
      <c r="CT2928" s="2"/>
      <c r="CW2928" s="2"/>
    </row>
    <row r="2929" spans="86:101" x14ac:dyDescent="0.25">
      <c r="CH2929" s="2"/>
      <c r="CJ2929" s="2"/>
      <c r="CL2929" s="2"/>
      <c r="CN2929" s="2"/>
      <c r="CQ2929" s="2"/>
      <c r="CT2929" s="2"/>
      <c r="CW2929" s="2"/>
    </row>
    <row r="2930" spans="86:101" x14ac:dyDescent="0.25">
      <c r="CH2930" s="2"/>
      <c r="CJ2930" s="2"/>
      <c r="CL2930" s="2"/>
      <c r="CN2930" s="2"/>
      <c r="CQ2930" s="2"/>
      <c r="CT2930" s="2"/>
      <c r="CW2930" s="2"/>
    </row>
    <row r="2931" spans="86:101" x14ac:dyDescent="0.25">
      <c r="CH2931" s="2"/>
      <c r="CJ2931" s="2"/>
      <c r="CL2931" s="2"/>
      <c r="CN2931" s="2"/>
      <c r="CQ2931" s="2"/>
      <c r="CT2931" s="2"/>
      <c r="CW2931" s="2"/>
    </row>
    <row r="2932" spans="86:101" x14ac:dyDescent="0.25">
      <c r="CH2932" s="2"/>
      <c r="CJ2932" s="2"/>
      <c r="CL2932" s="2"/>
      <c r="CN2932" s="2"/>
      <c r="CQ2932" s="2"/>
      <c r="CT2932" s="2"/>
      <c r="CW2932" s="2"/>
    </row>
    <row r="2933" spans="86:101" x14ac:dyDescent="0.25">
      <c r="CH2933" s="2"/>
      <c r="CJ2933" s="2"/>
      <c r="CL2933" s="2"/>
      <c r="CN2933" s="2"/>
      <c r="CQ2933" s="2"/>
      <c r="CT2933" s="2"/>
      <c r="CW2933" s="2"/>
    </row>
    <row r="2934" spans="86:101" x14ac:dyDescent="0.25">
      <c r="CH2934" s="2"/>
      <c r="CJ2934" s="2"/>
      <c r="CL2934" s="2"/>
      <c r="CN2934" s="2"/>
      <c r="CQ2934" s="2"/>
      <c r="CT2934" s="2"/>
      <c r="CW2934" s="2"/>
    </row>
    <row r="2935" spans="86:101" x14ac:dyDescent="0.25">
      <c r="CH2935" s="2"/>
      <c r="CJ2935" s="2"/>
      <c r="CL2935" s="2"/>
      <c r="CN2935" s="2"/>
      <c r="CQ2935" s="2"/>
      <c r="CT2935" s="2"/>
      <c r="CW2935" s="2"/>
    </row>
    <row r="2936" spans="86:101" x14ac:dyDescent="0.25">
      <c r="CH2936" s="2"/>
      <c r="CJ2936" s="2"/>
      <c r="CL2936" s="2"/>
      <c r="CN2936" s="2"/>
      <c r="CQ2936" s="2"/>
      <c r="CT2936" s="2"/>
      <c r="CW2936" s="2"/>
    </row>
    <row r="2937" spans="86:101" x14ac:dyDescent="0.25">
      <c r="CH2937" s="2"/>
      <c r="CJ2937" s="2"/>
      <c r="CL2937" s="2"/>
      <c r="CN2937" s="2"/>
      <c r="CQ2937" s="2"/>
      <c r="CT2937" s="2"/>
      <c r="CW2937" s="2"/>
    </row>
    <row r="2938" spans="86:101" x14ac:dyDescent="0.25">
      <c r="CH2938" s="2"/>
      <c r="CJ2938" s="2"/>
      <c r="CL2938" s="2"/>
      <c r="CN2938" s="2"/>
      <c r="CQ2938" s="2"/>
      <c r="CT2938" s="2"/>
      <c r="CW2938" s="2"/>
    </row>
    <row r="2939" spans="86:101" x14ac:dyDescent="0.25">
      <c r="CH2939" s="2"/>
      <c r="CJ2939" s="2"/>
      <c r="CL2939" s="2"/>
      <c r="CN2939" s="2"/>
      <c r="CQ2939" s="2"/>
      <c r="CT2939" s="2"/>
      <c r="CW2939" s="2"/>
    </row>
    <row r="2940" spans="86:101" x14ac:dyDescent="0.25">
      <c r="CH2940" s="2"/>
      <c r="CJ2940" s="2"/>
      <c r="CL2940" s="2"/>
      <c r="CN2940" s="2"/>
      <c r="CQ2940" s="2"/>
      <c r="CT2940" s="2"/>
      <c r="CW2940" s="2"/>
    </row>
    <row r="2941" spans="86:101" x14ac:dyDescent="0.25">
      <c r="CH2941" s="2"/>
      <c r="CJ2941" s="2"/>
      <c r="CL2941" s="2"/>
      <c r="CN2941" s="2"/>
      <c r="CQ2941" s="2"/>
      <c r="CT2941" s="2"/>
      <c r="CW2941" s="2"/>
    </row>
    <row r="2942" spans="86:101" x14ac:dyDescent="0.25">
      <c r="CH2942" s="2"/>
      <c r="CJ2942" s="2"/>
      <c r="CL2942" s="2"/>
      <c r="CN2942" s="2"/>
      <c r="CQ2942" s="2"/>
      <c r="CT2942" s="2"/>
      <c r="CW2942" s="2"/>
    </row>
    <row r="2943" spans="86:101" x14ac:dyDescent="0.25">
      <c r="CH2943" s="2"/>
      <c r="CJ2943" s="2"/>
      <c r="CL2943" s="2"/>
      <c r="CN2943" s="2"/>
      <c r="CQ2943" s="2"/>
      <c r="CT2943" s="2"/>
      <c r="CW2943" s="2"/>
    </row>
    <row r="2944" spans="86:101" x14ac:dyDescent="0.25">
      <c r="CH2944" s="2"/>
      <c r="CJ2944" s="2"/>
      <c r="CL2944" s="2"/>
      <c r="CN2944" s="2"/>
      <c r="CQ2944" s="2"/>
      <c r="CT2944" s="2"/>
      <c r="CW2944" s="2"/>
    </row>
    <row r="2945" spans="86:101" x14ac:dyDescent="0.25">
      <c r="CH2945" s="2"/>
      <c r="CJ2945" s="2"/>
      <c r="CL2945" s="2"/>
      <c r="CN2945" s="2"/>
      <c r="CQ2945" s="2"/>
      <c r="CT2945" s="2"/>
      <c r="CW2945" s="2"/>
    </row>
    <row r="2946" spans="86:101" x14ac:dyDescent="0.25">
      <c r="CH2946" s="2"/>
      <c r="CJ2946" s="2"/>
      <c r="CL2946" s="2"/>
      <c r="CN2946" s="2"/>
      <c r="CQ2946" s="2"/>
      <c r="CT2946" s="2"/>
      <c r="CW2946" s="2"/>
    </row>
    <row r="2947" spans="86:101" x14ac:dyDescent="0.25">
      <c r="CH2947" s="2"/>
      <c r="CJ2947" s="2"/>
      <c r="CL2947" s="2"/>
      <c r="CN2947" s="2"/>
      <c r="CQ2947" s="2"/>
      <c r="CT2947" s="2"/>
      <c r="CW2947" s="2"/>
    </row>
    <row r="2948" spans="86:101" x14ac:dyDescent="0.25">
      <c r="CH2948" s="2"/>
      <c r="CJ2948" s="2"/>
      <c r="CL2948" s="2"/>
      <c r="CN2948" s="2"/>
      <c r="CQ2948" s="2"/>
      <c r="CT2948" s="2"/>
      <c r="CW2948" s="2"/>
    </row>
    <row r="2949" spans="86:101" x14ac:dyDescent="0.25">
      <c r="CH2949" s="2"/>
      <c r="CJ2949" s="2"/>
      <c r="CL2949" s="2"/>
      <c r="CN2949" s="2"/>
      <c r="CQ2949" s="2"/>
      <c r="CT2949" s="2"/>
      <c r="CW2949" s="2"/>
    </row>
    <row r="2950" spans="86:101" x14ac:dyDescent="0.25">
      <c r="CH2950" s="2"/>
      <c r="CJ2950" s="2"/>
      <c r="CL2950" s="2"/>
      <c r="CN2950" s="2"/>
      <c r="CQ2950" s="2"/>
      <c r="CT2950" s="2"/>
      <c r="CW2950" s="2"/>
    </row>
    <row r="2951" spans="86:101" x14ac:dyDescent="0.25">
      <c r="CH2951" s="2"/>
      <c r="CJ2951" s="2"/>
      <c r="CL2951" s="2"/>
      <c r="CN2951" s="2"/>
      <c r="CQ2951" s="2"/>
      <c r="CT2951" s="2"/>
      <c r="CW2951" s="2"/>
    </row>
    <row r="2952" spans="86:101" x14ac:dyDescent="0.25">
      <c r="CH2952" s="2"/>
      <c r="CJ2952" s="2"/>
      <c r="CL2952" s="2"/>
      <c r="CN2952" s="2"/>
      <c r="CQ2952" s="2"/>
      <c r="CT2952" s="2"/>
      <c r="CW2952" s="2"/>
    </row>
    <row r="2953" spans="86:101" x14ac:dyDescent="0.25">
      <c r="CH2953" s="2"/>
      <c r="CJ2953" s="2"/>
      <c r="CL2953" s="2"/>
      <c r="CN2953" s="2"/>
      <c r="CQ2953" s="2"/>
      <c r="CT2953" s="2"/>
      <c r="CW2953" s="2"/>
    </row>
    <row r="2954" spans="86:101" x14ac:dyDescent="0.25">
      <c r="CH2954" s="2"/>
      <c r="CJ2954" s="2"/>
      <c r="CL2954" s="2"/>
      <c r="CN2954" s="2"/>
      <c r="CQ2954" s="2"/>
      <c r="CT2954" s="2"/>
      <c r="CW2954" s="2"/>
    </row>
    <row r="2955" spans="86:101" x14ac:dyDescent="0.25">
      <c r="CH2955" s="2"/>
      <c r="CJ2955" s="2"/>
      <c r="CL2955" s="2"/>
      <c r="CN2955" s="2"/>
      <c r="CQ2955" s="2"/>
      <c r="CT2955" s="2"/>
      <c r="CW2955" s="2"/>
    </row>
    <row r="2956" spans="86:101" x14ac:dyDescent="0.25">
      <c r="CH2956" s="2"/>
      <c r="CJ2956" s="2"/>
      <c r="CL2956" s="2"/>
      <c r="CN2956" s="2"/>
      <c r="CQ2956" s="2"/>
      <c r="CT2956" s="2"/>
      <c r="CW2956" s="2"/>
    </row>
    <row r="2957" spans="86:101" x14ac:dyDescent="0.25">
      <c r="CH2957" s="2"/>
      <c r="CJ2957" s="2"/>
      <c r="CL2957" s="2"/>
      <c r="CN2957" s="2"/>
      <c r="CQ2957" s="2"/>
      <c r="CT2957" s="2"/>
      <c r="CW2957" s="2"/>
    </row>
    <row r="2958" spans="86:101" x14ac:dyDescent="0.25">
      <c r="CH2958" s="2"/>
      <c r="CJ2958" s="2"/>
      <c r="CL2958" s="2"/>
      <c r="CN2958" s="2"/>
      <c r="CQ2958" s="2"/>
      <c r="CT2958" s="2"/>
      <c r="CW2958" s="2"/>
    </row>
    <row r="2959" spans="86:101" x14ac:dyDescent="0.25">
      <c r="CH2959" s="2"/>
      <c r="CJ2959" s="2"/>
      <c r="CL2959" s="2"/>
      <c r="CN2959" s="2"/>
      <c r="CQ2959" s="2"/>
      <c r="CT2959" s="2"/>
      <c r="CW2959" s="2"/>
    </row>
    <row r="2960" spans="86:101" x14ac:dyDescent="0.25">
      <c r="CH2960" s="2"/>
      <c r="CJ2960" s="2"/>
      <c r="CL2960" s="2"/>
      <c r="CN2960" s="2"/>
      <c r="CQ2960" s="2"/>
      <c r="CT2960" s="2"/>
      <c r="CW2960" s="2"/>
    </row>
    <row r="2961" spans="86:101" x14ac:dyDescent="0.25">
      <c r="CH2961" s="2"/>
      <c r="CJ2961" s="2"/>
      <c r="CL2961" s="2"/>
      <c r="CN2961" s="2"/>
      <c r="CQ2961" s="2"/>
      <c r="CT2961" s="2"/>
      <c r="CW2961" s="2"/>
    </row>
    <row r="2962" spans="86:101" x14ac:dyDescent="0.25">
      <c r="CH2962" s="2"/>
      <c r="CJ2962" s="2"/>
      <c r="CL2962" s="2"/>
      <c r="CN2962" s="2"/>
      <c r="CQ2962" s="2"/>
      <c r="CT2962" s="2"/>
      <c r="CW2962" s="2"/>
    </row>
    <row r="2963" spans="86:101" x14ac:dyDescent="0.25">
      <c r="CH2963" s="2"/>
      <c r="CJ2963" s="2"/>
      <c r="CL2963" s="2"/>
      <c r="CN2963" s="2"/>
      <c r="CQ2963" s="2"/>
      <c r="CT2963" s="2"/>
      <c r="CW2963" s="2"/>
    </row>
    <row r="2964" spans="86:101" x14ac:dyDescent="0.25">
      <c r="CH2964" s="2"/>
      <c r="CJ2964" s="2"/>
      <c r="CL2964" s="2"/>
      <c r="CN2964" s="2"/>
      <c r="CQ2964" s="2"/>
      <c r="CT2964" s="2"/>
      <c r="CW2964" s="2"/>
    </row>
    <row r="2965" spans="86:101" x14ac:dyDescent="0.25">
      <c r="CH2965" s="2"/>
      <c r="CJ2965" s="2"/>
      <c r="CL2965" s="2"/>
      <c r="CN2965" s="2"/>
      <c r="CQ2965" s="2"/>
      <c r="CT2965" s="2"/>
      <c r="CW2965" s="2"/>
    </row>
    <row r="2966" spans="86:101" x14ac:dyDescent="0.25">
      <c r="CH2966" s="2"/>
      <c r="CJ2966" s="2"/>
      <c r="CL2966" s="2"/>
      <c r="CN2966" s="2"/>
      <c r="CQ2966" s="2"/>
      <c r="CT2966" s="2"/>
      <c r="CW2966" s="2"/>
    </row>
    <row r="2967" spans="86:101" x14ac:dyDescent="0.25">
      <c r="CH2967" s="2"/>
      <c r="CJ2967" s="2"/>
      <c r="CL2967" s="2"/>
      <c r="CN2967" s="2"/>
      <c r="CQ2967" s="2"/>
      <c r="CT2967" s="2"/>
      <c r="CW2967" s="2"/>
    </row>
    <row r="2968" spans="86:101" x14ac:dyDescent="0.25">
      <c r="CH2968" s="2"/>
      <c r="CJ2968" s="2"/>
      <c r="CL2968" s="2"/>
      <c r="CN2968" s="2"/>
      <c r="CQ2968" s="2"/>
      <c r="CT2968" s="2"/>
      <c r="CW2968" s="2"/>
    </row>
    <row r="2969" spans="86:101" x14ac:dyDescent="0.25">
      <c r="CH2969" s="2"/>
      <c r="CJ2969" s="2"/>
      <c r="CL2969" s="2"/>
      <c r="CN2969" s="2"/>
      <c r="CQ2969" s="2"/>
      <c r="CT2969" s="2"/>
      <c r="CW2969" s="2"/>
    </row>
    <row r="2970" spans="86:101" x14ac:dyDescent="0.25">
      <c r="CH2970" s="2"/>
      <c r="CJ2970" s="2"/>
      <c r="CL2970" s="2"/>
      <c r="CN2970" s="2"/>
      <c r="CQ2970" s="2"/>
      <c r="CT2970" s="2"/>
      <c r="CW2970" s="2"/>
    </row>
    <row r="2971" spans="86:101" x14ac:dyDescent="0.25">
      <c r="CH2971" s="2"/>
      <c r="CJ2971" s="2"/>
      <c r="CL2971" s="2"/>
      <c r="CN2971" s="2"/>
      <c r="CQ2971" s="2"/>
      <c r="CT2971" s="2"/>
      <c r="CW2971" s="2"/>
    </row>
    <row r="2972" spans="86:101" x14ac:dyDescent="0.25">
      <c r="CH2972" s="2"/>
      <c r="CJ2972" s="2"/>
      <c r="CL2972" s="2"/>
      <c r="CN2972" s="2"/>
      <c r="CQ2972" s="2"/>
      <c r="CT2972" s="2"/>
      <c r="CW2972" s="2"/>
    </row>
    <row r="2973" spans="86:101" x14ac:dyDescent="0.25">
      <c r="CH2973" s="2"/>
      <c r="CJ2973" s="2"/>
      <c r="CL2973" s="2"/>
      <c r="CN2973" s="2"/>
      <c r="CQ2973" s="2"/>
      <c r="CT2973" s="2"/>
      <c r="CW2973" s="2"/>
    </row>
    <row r="2974" spans="86:101" x14ac:dyDescent="0.25">
      <c r="CH2974" s="2"/>
      <c r="CJ2974" s="2"/>
      <c r="CL2974" s="2"/>
      <c r="CN2974" s="2"/>
      <c r="CQ2974" s="2"/>
      <c r="CT2974" s="2"/>
      <c r="CW2974" s="2"/>
    </row>
    <row r="2975" spans="86:101" x14ac:dyDescent="0.25">
      <c r="CH2975" s="2"/>
      <c r="CJ2975" s="2"/>
      <c r="CL2975" s="2"/>
      <c r="CN2975" s="2"/>
      <c r="CQ2975" s="2"/>
      <c r="CT2975" s="2"/>
      <c r="CW2975" s="2"/>
    </row>
    <row r="2976" spans="86:101" x14ac:dyDescent="0.25">
      <c r="CH2976" s="2"/>
      <c r="CJ2976" s="2"/>
      <c r="CL2976" s="2"/>
      <c r="CN2976" s="2"/>
      <c r="CQ2976" s="2"/>
      <c r="CT2976" s="2"/>
      <c r="CW2976" s="2"/>
    </row>
    <row r="2977" spans="86:101" x14ac:dyDescent="0.25">
      <c r="CH2977" s="2"/>
      <c r="CJ2977" s="2"/>
      <c r="CL2977" s="2"/>
      <c r="CN2977" s="2"/>
      <c r="CQ2977" s="2"/>
      <c r="CT2977" s="2"/>
      <c r="CW2977" s="2"/>
    </row>
    <row r="2978" spans="86:101" x14ac:dyDescent="0.25">
      <c r="CH2978" s="2"/>
      <c r="CJ2978" s="2"/>
      <c r="CL2978" s="2"/>
      <c r="CN2978" s="2"/>
      <c r="CQ2978" s="2"/>
      <c r="CT2978" s="2"/>
      <c r="CW2978" s="2"/>
    </row>
    <row r="2979" spans="86:101" x14ac:dyDescent="0.25">
      <c r="CH2979" s="2"/>
      <c r="CJ2979" s="2"/>
      <c r="CL2979" s="2"/>
      <c r="CN2979" s="2"/>
      <c r="CQ2979" s="2"/>
      <c r="CT2979" s="2"/>
      <c r="CW2979" s="2"/>
    </row>
    <row r="2980" spans="86:101" x14ac:dyDescent="0.25">
      <c r="CH2980" s="2"/>
      <c r="CJ2980" s="2"/>
      <c r="CL2980" s="2"/>
      <c r="CN2980" s="2"/>
      <c r="CQ2980" s="2"/>
      <c r="CT2980" s="2"/>
      <c r="CW2980" s="2"/>
    </row>
    <row r="2981" spans="86:101" x14ac:dyDescent="0.25">
      <c r="CH2981" s="2"/>
      <c r="CJ2981" s="2"/>
      <c r="CL2981" s="2"/>
      <c r="CN2981" s="2"/>
      <c r="CQ2981" s="2"/>
      <c r="CT2981" s="2"/>
      <c r="CW2981" s="2"/>
    </row>
    <row r="2982" spans="86:101" x14ac:dyDescent="0.25">
      <c r="CH2982" s="2"/>
      <c r="CJ2982" s="2"/>
      <c r="CL2982" s="2"/>
      <c r="CN2982" s="2"/>
      <c r="CQ2982" s="2"/>
      <c r="CT2982" s="2"/>
      <c r="CW2982" s="2"/>
    </row>
    <row r="2983" spans="86:101" x14ac:dyDescent="0.25">
      <c r="CH2983" s="2"/>
      <c r="CJ2983" s="2"/>
      <c r="CL2983" s="2"/>
      <c r="CN2983" s="2"/>
      <c r="CQ2983" s="2"/>
      <c r="CT2983" s="2"/>
      <c r="CW2983" s="2"/>
    </row>
    <row r="2984" spans="86:101" x14ac:dyDescent="0.25">
      <c r="CH2984" s="2"/>
      <c r="CJ2984" s="2"/>
      <c r="CL2984" s="2"/>
      <c r="CN2984" s="2"/>
      <c r="CQ2984" s="2"/>
      <c r="CT2984" s="2"/>
      <c r="CW2984" s="2"/>
    </row>
    <row r="2985" spans="86:101" x14ac:dyDescent="0.25">
      <c r="CH2985" s="2"/>
      <c r="CJ2985" s="2"/>
      <c r="CL2985" s="2"/>
      <c r="CN2985" s="2"/>
      <c r="CQ2985" s="2"/>
      <c r="CT2985" s="2"/>
      <c r="CW2985" s="2"/>
    </row>
    <row r="2986" spans="86:101" x14ac:dyDescent="0.25">
      <c r="CH2986" s="2"/>
      <c r="CJ2986" s="2"/>
      <c r="CL2986" s="2"/>
      <c r="CN2986" s="2"/>
      <c r="CQ2986" s="2"/>
      <c r="CT2986" s="2"/>
      <c r="CW2986" s="2"/>
    </row>
    <row r="2987" spans="86:101" x14ac:dyDescent="0.25">
      <c r="CH2987" s="2"/>
      <c r="CJ2987" s="2"/>
      <c r="CL2987" s="2"/>
      <c r="CN2987" s="2"/>
      <c r="CQ2987" s="2"/>
      <c r="CT2987" s="2"/>
      <c r="CW2987" s="2"/>
    </row>
    <row r="2988" spans="86:101" x14ac:dyDescent="0.25">
      <c r="CH2988" s="2"/>
      <c r="CJ2988" s="2"/>
      <c r="CL2988" s="2"/>
      <c r="CN2988" s="2"/>
      <c r="CQ2988" s="2"/>
      <c r="CT2988" s="2"/>
      <c r="CW2988" s="2"/>
    </row>
    <row r="2989" spans="86:101" x14ac:dyDescent="0.25">
      <c r="CH2989" s="2"/>
      <c r="CJ2989" s="2"/>
      <c r="CL2989" s="2"/>
      <c r="CN2989" s="2"/>
      <c r="CQ2989" s="2"/>
      <c r="CT2989" s="2"/>
      <c r="CW2989" s="2"/>
    </row>
    <row r="2990" spans="86:101" x14ac:dyDescent="0.25">
      <c r="CH2990" s="2"/>
      <c r="CJ2990" s="2"/>
      <c r="CL2990" s="2"/>
      <c r="CN2990" s="2"/>
      <c r="CQ2990" s="2"/>
      <c r="CT2990" s="2"/>
      <c r="CW2990" s="2"/>
    </row>
    <row r="2991" spans="86:101" x14ac:dyDescent="0.25">
      <c r="CH2991" s="2"/>
      <c r="CJ2991" s="2"/>
      <c r="CL2991" s="2"/>
      <c r="CN2991" s="2"/>
      <c r="CQ2991" s="2"/>
      <c r="CT2991" s="2"/>
      <c r="CW2991" s="2"/>
    </row>
    <row r="2992" spans="86:101" x14ac:dyDescent="0.25">
      <c r="CH2992" s="2"/>
      <c r="CJ2992" s="2"/>
      <c r="CL2992" s="2"/>
      <c r="CN2992" s="2"/>
      <c r="CQ2992" s="2"/>
      <c r="CT2992" s="2"/>
      <c r="CW2992" s="2"/>
    </row>
    <row r="2993" spans="86:101" x14ac:dyDescent="0.25">
      <c r="CH2993" s="2"/>
      <c r="CJ2993" s="2"/>
      <c r="CL2993" s="2"/>
      <c r="CN2993" s="2"/>
      <c r="CQ2993" s="2"/>
      <c r="CT2993" s="2"/>
      <c r="CW2993" s="2"/>
    </row>
    <row r="2994" spans="86:101" x14ac:dyDescent="0.25">
      <c r="CH2994" s="2"/>
      <c r="CJ2994" s="2"/>
      <c r="CL2994" s="2"/>
      <c r="CN2994" s="2"/>
      <c r="CQ2994" s="2"/>
      <c r="CT2994" s="2"/>
      <c r="CW2994" s="2"/>
    </row>
    <row r="2995" spans="86:101" x14ac:dyDescent="0.25">
      <c r="CH2995" s="2"/>
      <c r="CJ2995" s="2"/>
      <c r="CL2995" s="2"/>
      <c r="CN2995" s="2"/>
      <c r="CQ2995" s="2"/>
      <c r="CT2995" s="2"/>
      <c r="CW2995" s="2"/>
    </row>
    <row r="2996" spans="86:101" x14ac:dyDescent="0.25">
      <c r="CH2996" s="2"/>
      <c r="CJ2996" s="2"/>
      <c r="CL2996" s="2"/>
      <c r="CN2996" s="2"/>
      <c r="CQ2996" s="2"/>
      <c r="CT2996" s="2"/>
      <c r="CW2996" s="2"/>
    </row>
    <row r="2997" spans="86:101" x14ac:dyDescent="0.25">
      <c r="CH2997" s="2"/>
      <c r="CJ2997" s="2"/>
      <c r="CL2997" s="2"/>
      <c r="CN2997" s="2"/>
      <c r="CQ2997" s="2"/>
      <c r="CT2997" s="2"/>
      <c r="CW2997" s="2"/>
    </row>
    <row r="2998" spans="86:101" x14ac:dyDescent="0.25">
      <c r="CH2998" s="2"/>
      <c r="CJ2998" s="2"/>
      <c r="CL2998" s="2"/>
      <c r="CN2998" s="2"/>
      <c r="CQ2998" s="2"/>
      <c r="CT2998" s="2"/>
      <c r="CW2998" s="2"/>
    </row>
    <row r="2999" spans="86:101" x14ac:dyDescent="0.25">
      <c r="CH2999" s="2"/>
      <c r="CJ2999" s="2"/>
      <c r="CL2999" s="2"/>
      <c r="CN2999" s="2"/>
      <c r="CQ2999" s="2"/>
      <c r="CT2999" s="2"/>
      <c r="CW2999" s="2"/>
    </row>
    <row r="3000" spans="86:101" x14ac:dyDescent="0.25">
      <c r="CH3000" s="2"/>
      <c r="CJ3000" s="2"/>
      <c r="CL3000" s="2"/>
      <c r="CN3000" s="2"/>
      <c r="CQ3000" s="2"/>
      <c r="CT3000" s="2"/>
      <c r="CW3000" s="2"/>
    </row>
    <row r="3001" spans="86:101" x14ac:dyDescent="0.25">
      <c r="CH3001" s="2"/>
      <c r="CJ3001" s="2"/>
      <c r="CL3001" s="2"/>
      <c r="CN3001" s="2"/>
      <c r="CQ3001" s="2"/>
      <c r="CT3001" s="2"/>
      <c r="CW3001" s="2"/>
    </row>
    <row r="3002" spans="86:101" x14ac:dyDescent="0.25">
      <c r="CH3002" s="2"/>
      <c r="CJ3002" s="2"/>
      <c r="CL3002" s="2"/>
      <c r="CN3002" s="2"/>
      <c r="CQ3002" s="2"/>
      <c r="CT3002" s="2"/>
      <c r="CW3002" s="2"/>
    </row>
    <row r="3003" spans="86:101" x14ac:dyDescent="0.25">
      <c r="CH3003" s="2"/>
      <c r="CJ3003" s="2"/>
      <c r="CL3003" s="2"/>
      <c r="CN3003" s="2"/>
      <c r="CQ3003" s="2"/>
      <c r="CT3003" s="2"/>
      <c r="CW3003" s="2"/>
    </row>
    <row r="3004" spans="86:101" x14ac:dyDescent="0.25">
      <c r="CH3004" s="2"/>
      <c r="CJ3004" s="2"/>
      <c r="CL3004" s="2"/>
      <c r="CN3004" s="2"/>
      <c r="CQ3004" s="2"/>
      <c r="CT3004" s="2"/>
      <c r="CW3004" s="2"/>
    </row>
    <row r="3005" spans="86:101" x14ac:dyDescent="0.25">
      <c r="CH3005" s="2"/>
      <c r="CJ3005" s="2"/>
      <c r="CL3005" s="2"/>
      <c r="CN3005" s="2"/>
      <c r="CQ3005" s="2"/>
      <c r="CT3005" s="2"/>
      <c r="CW3005" s="2"/>
    </row>
    <row r="3006" spans="86:101" x14ac:dyDescent="0.25">
      <c r="CH3006" s="2"/>
      <c r="CJ3006" s="2"/>
      <c r="CL3006" s="2"/>
      <c r="CN3006" s="2"/>
      <c r="CQ3006" s="2"/>
      <c r="CT3006" s="2"/>
      <c r="CW3006" s="2"/>
    </row>
    <row r="3007" spans="86:101" x14ac:dyDescent="0.25">
      <c r="CH3007" s="2"/>
      <c r="CJ3007" s="2"/>
      <c r="CL3007" s="2"/>
      <c r="CN3007" s="2"/>
      <c r="CQ3007" s="2"/>
      <c r="CT3007" s="2"/>
      <c r="CW3007" s="2"/>
    </row>
    <row r="3008" spans="86:101" x14ac:dyDescent="0.25">
      <c r="CH3008" s="2"/>
      <c r="CJ3008" s="2"/>
      <c r="CL3008" s="2"/>
      <c r="CN3008" s="2"/>
      <c r="CQ3008" s="2"/>
      <c r="CT3008" s="2"/>
      <c r="CW3008" s="2"/>
    </row>
    <row r="3009" spans="86:101" x14ac:dyDescent="0.25">
      <c r="CH3009" s="2"/>
      <c r="CJ3009" s="2"/>
      <c r="CL3009" s="2"/>
      <c r="CN3009" s="2"/>
      <c r="CQ3009" s="2"/>
      <c r="CT3009" s="2"/>
      <c r="CW3009" s="2"/>
    </row>
    <row r="3010" spans="86:101" x14ac:dyDescent="0.25">
      <c r="CH3010" s="2"/>
      <c r="CJ3010" s="2"/>
      <c r="CL3010" s="2"/>
      <c r="CN3010" s="2"/>
      <c r="CQ3010" s="2"/>
      <c r="CT3010" s="2"/>
      <c r="CW3010" s="2"/>
    </row>
    <row r="3011" spans="86:101" x14ac:dyDescent="0.25">
      <c r="CH3011" s="2"/>
      <c r="CJ3011" s="2"/>
      <c r="CL3011" s="2"/>
      <c r="CN3011" s="2"/>
      <c r="CQ3011" s="2"/>
      <c r="CT3011" s="2"/>
      <c r="CW3011" s="2"/>
    </row>
    <row r="3012" spans="86:101" x14ac:dyDescent="0.25">
      <c r="CH3012" s="2"/>
      <c r="CJ3012" s="2"/>
      <c r="CL3012" s="2"/>
      <c r="CN3012" s="2"/>
      <c r="CQ3012" s="2"/>
      <c r="CT3012" s="2"/>
      <c r="CW3012" s="2"/>
    </row>
    <row r="3013" spans="86:101" x14ac:dyDescent="0.25">
      <c r="CH3013" s="2"/>
      <c r="CJ3013" s="2"/>
      <c r="CL3013" s="2"/>
      <c r="CN3013" s="2"/>
      <c r="CQ3013" s="2"/>
      <c r="CT3013" s="2"/>
      <c r="CW3013" s="2"/>
    </row>
    <row r="3014" spans="86:101" x14ac:dyDescent="0.25">
      <c r="CH3014" s="2"/>
      <c r="CJ3014" s="2"/>
      <c r="CL3014" s="2"/>
      <c r="CN3014" s="2"/>
      <c r="CQ3014" s="2"/>
      <c r="CT3014" s="2"/>
      <c r="CW3014" s="2"/>
    </row>
    <row r="3015" spans="86:101" x14ac:dyDescent="0.25">
      <c r="CH3015" s="2"/>
      <c r="CJ3015" s="2"/>
      <c r="CL3015" s="2"/>
      <c r="CN3015" s="2"/>
      <c r="CQ3015" s="2"/>
      <c r="CT3015" s="2"/>
      <c r="CW3015" s="2"/>
    </row>
    <row r="3016" spans="86:101" x14ac:dyDescent="0.25">
      <c r="CH3016" s="2"/>
      <c r="CJ3016" s="2"/>
      <c r="CL3016" s="2"/>
      <c r="CN3016" s="2"/>
      <c r="CQ3016" s="2"/>
      <c r="CT3016" s="2"/>
      <c r="CW3016" s="2"/>
    </row>
    <row r="3017" spans="86:101" x14ac:dyDescent="0.25">
      <c r="CH3017" s="2"/>
      <c r="CJ3017" s="2"/>
      <c r="CL3017" s="2"/>
      <c r="CN3017" s="2"/>
      <c r="CQ3017" s="2"/>
      <c r="CT3017" s="2"/>
      <c r="CW3017" s="2"/>
    </row>
    <row r="3018" spans="86:101" x14ac:dyDescent="0.25">
      <c r="CH3018" s="2"/>
      <c r="CJ3018" s="2"/>
      <c r="CL3018" s="2"/>
      <c r="CN3018" s="2"/>
      <c r="CQ3018" s="2"/>
      <c r="CT3018" s="2"/>
      <c r="CW3018" s="2"/>
    </row>
    <row r="3019" spans="86:101" x14ac:dyDescent="0.25">
      <c r="CH3019" s="2"/>
      <c r="CJ3019" s="2"/>
      <c r="CL3019" s="2"/>
      <c r="CN3019" s="2"/>
      <c r="CQ3019" s="2"/>
      <c r="CT3019" s="2"/>
      <c r="CW3019" s="2"/>
    </row>
    <row r="3020" spans="86:101" x14ac:dyDescent="0.25">
      <c r="CH3020" s="2"/>
      <c r="CJ3020" s="2"/>
      <c r="CL3020" s="2"/>
      <c r="CN3020" s="2"/>
      <c r="CQ3020" s="2"/>
      <c r="CT3020" s="2"/>
      <c r="CW3020" s="2"/>
    </row>
    <row r="3021" spans="86:101" x14ac:dyDescent="0.25">
      <c r="CH3021" s="2"/>
      <c r="CJ3021" s="2"/>
      <c r="CL3021" s="2"/>
      <c r="CN3021" s="2"/>
      <c r="CQ3021" s="2"/>
      <c r="CT3021" s="2"/>
      <c r="CW3021" s="2"/>
    </row>
    <row r="3022" spans="86:101" x14ac:dyDescent="0.25">
      <c r="CH3022" s="2"/>
      <c r="CJ3022" s="2"/>
      <c r="CL3022" s="2"/>
      <c r="CN3022" s="2"/>
      <c r="CQ3022" s="2"/>
      <c r="CT3022" s="2"/>
      <c r="CW3022" s="2"/>
    </row>
    <row r="3023" spans="86:101" x14ac:dyDescent="0.25">
      <c r="CH3023" s="2"/>
      <c r="CJ3023" s="2"/>
      <c r="CL3023" s="2"/>
      <c r="CN3023" s="2"/>
      <c r="CQ3023" s="2"/>
      <c r="CT3023" s="2"/>
      <c r="CW3023" s="2"/>
    </row>
    <row r="3024" spans="86:101" x14ac:dyDescent="0.25">
      <c r="CH3024" s="2"/>
      <c r="CJ3024" s="2"/>
      <c r="CL3024" s="2"/>
      <c r="CN3024" s="2"/>
      <c r="CQ3024" s="2"/>
      <c r="CT3024" s="2"/>
      <c r="CW3024" s="2"/>
    </row>
    <row r="3025" spans="86:101" x14ac:dyDescent="0.25">
      <c r="CH3025" s="2"/>
      <c r="CJ3025" s="2"/>
      <c r="CL3025" s="2"/>
      <c r="CN3025" s="2"/>
      <c r="CQ3025" s="2"/>
      <c r="CT3025" s="2"/>
      <c r="CW3025" s="2"/>
    </row>
    <row r="3026" spans="86:101" x14ac:dyDescent="0.25">
      <c r="CH3026" s="2"/>
      <c r="CJ3026" s="2"/>
      <c r="CL3026" s="2"/>
      <c r="CN3026" s="2"/>
      <c r="CQ3026" s="2"/>
      <c r="CT3026" s="2"/>
      <c r="CW3026" s="2"/>
    </row>
    <row r="3027" spans="86:101" x14ac:dyDescent="0.25">
      <c r="CH3027" s="2"/>
      <c r="CJ3027" s="2"/>
      <c r="CL3027" s="2"/>
      <c r="CN3027" s="2"/>
      <c r="CQ3027" s="2"/>
      <c r="CT3027" s="2"/>
      <c r="CW3027" s="2"/>
    </row>
    <row r="3028" spans="86:101" x14ac:dyDescent="0.25">
      <c r="CH3028" s="2"/>
      <c r="CJ3028" s="2"/>
      <c r="CL3028" s="2"/>
      <c r="CN3028" s="2"/>
      <c r="CQ3028" s="2"/>
      <c r="CT3028" s="2"/>
      <c r="CW3028" s="2"/>
    </row>
    <row r="3029" spans="86:101" x14ac:dyDescent="0.25">
      <c r="CH3029" s="2"/>
      <c r="CJ3029" s="2"/>
      <c r="CL3029" s="2"/>
      <c r="CN3029" s="2"/>
      <c r="CQ3029" s="2"/>
      <c r="CT3029" s="2"/>
      <c r="CW3029" s="2"/>
    </row>
    <row r="3030" spans="86:101" x14ac:dyDescent="0.25">
      <c r="CH3030" s="2"/>
      <c r="CJ3030" s="2"/>
      <c r="CL3030" s="2"/>
      <c r="CN3030" s="2"/>
      <c r="CQ3030" s="2"/>
      <c r="CT3030" s="2"/>
      <c r="CW3030" s="2"/>
    </row>
    <row r="3031" spans="86:101" x14ac:dyDescent="0.25">
      <c r="CH3031" s="2"/>
      <c r="CJ3031" s="2"/>
      <c r="CL3031" s="2"/>
      <c r="CN3031" s="2"/>
      <c r="CQ3031" s="2"/>
      <c r="CT3031" s="2"/>
      <c r="CW3031" s="2"/>
    </row>
    <row r="3032" spans="86:101" x14ac:dyDescent="0.25">
      <c r="CH3032" s="2"/>
      <c r="CJ3032" s="2"/>
      <c r="CL3032" s="2"/>
      <c r="CN3032" s="2"/>
      <c r="CQ3032" s="2"/>
      <c r="CT3032" s="2"/>
      <c r="CW3032" s="2"/>
    </row>
    <row r="3033" spans="86:101" x14ac:dyDescent="0.25">
      <c r="CH3033" s="2"/>
      <c r="CJ3033" s="2"/>
      <c r="CL3033" s="2"/>
      <c r="CN3033" s="2"/>
      <c r="CQ3033" s="2"/>
      <c r="CT3033" s="2"/>
      <c r="CW3033" s="2"/>
    </row>
    <row r="3034" spans="86:101" x14ac:dyDescent="0.25">
      <c r="CH3034" s="2"/>
      <c r="CJ3034" s="2"/>
      <c r="CL3034" s="2"/>
      <c r="CN3034" s="2"/>
      <c r="CQ3034" s="2"/>
      <c r="CT3034" s="2"/>
      <c r="CW3034" s="2"/>
    </row>
    <row r="3035" spans="86:101" x14ac:dyDescent="0.25">
      <c r="CH3035" s="2"/>
      <c r="CJ3035" s="2"/>
      <c r="CL3035" s="2"/>
      <c r="CN3035" s="2"/>
      <c r="CQ3035" s="2"/>
      <c r="CT3035" s="2"/>
      <c r="CW3035" s="2"/>
    </row>
    <row r="3036" spans="86:101" x14ac:dyDescent="0.25">
      <c r="CH3036" s="2"/>
      <c r="CJ3036" s="2"/>
      <c r="CL3036" s="2"/>
      <c r="CN3036" s="2"/>
      <c r="CQ3036" s="2"/>
      <c r="CT3036" s="2"/>
      <c r="CW3036" s="2"/>
    </row>
    <row r="3037" spans="86:101" x14ac:dyDescent="0.25">
      <c r="CH3037" s="2"/>
      <c r="CJ3037" s="2"/>
      <c r="CL3037" s="2"/>
      <c r="CN3037" s="2"/>
      <c r="CQ3037" s="2"/>
      <c r="CT3037" s="2"/>
      <c r="CW3037" s="2"/>
    </row>
    <row r="3038" spans="86:101" x14ac:dyDescent="0.25">
      <c r="CH3038" s="2"/>
      <c r="CJ3038" s="2"/>
      <c r="CL3038" s="2"/>
      <c r="CN3038" s="2"/>
      <c r="CQ3038" s="2"/>
      <c r="CT3038" s="2"/>
      <c r="CW3038" s="2"/>
    </row>
    <row r="3039" spans="86:101" x14ac:dyDescent="0.25">
      <c r="CH3039" s="2"/>
      <c r="CJ3039" s="2"/>
      <c r="CL3039" s="2"/>
      <c r="CN3039" s="2"/>
      <c r="CQ3039" s="2"/>
      <c r="CT3039" s="2"/>
      <c r="CW3039" s="2"/>
    </row>
    <row r="3040" spans="86:101" x14ac:dyDescent="0.25">
      <c r="CH3040" s="2"/>
      <c r="CJ3040" s="2"/>
      <c r="CL3040" s="2"/>
      <c r="CN3040" s="2"/>
      <c r="CQ3040" s="2"/>
      <c r="CT3040" s="2"/>
      <c r="CW3040" s="2"/>
    </row>
    <row r="3041" spans="86:101" x14ac:dyDescent="0.25">
      <c r="CH3041" s="2"/>
      <c r="CJ3041" s="2"/>
      <c r="CL3041" s="2"/>
      <c r="CN3041" s="2"/>
      <c r="CQ3041" s="2"/>
      <c r="CT3041" s="2"/>
      <c r="CW3041" s="2"/>
    </row>
    <row r="3042" spans="86:101" x14ac:dyDescent="0.25">
      <c r="CH3042" s="2"/>
      <c r="CJ3042" s="2"/>
      <c r="CL3042" s="2"/>
      <c r="CN3042" s="2"/>
      <c r="CQ3042" s="2"/>
      <c r="CT3042" s="2"/>
      <c r="CW3042" s="2"/>
    </row>
    <row r="3043" spans="86:101" x14ac:dyDescent="0.25">
      <c r="CH3043" s="2"/>
      <c r="CJ3043" s="2"/>
      <c r="CL3043" s="2"/>
      <c r="CN3043" s="2"/>
      <c r="CQ3043" s="2"/>
      <c r="CT3043" s="2"/>
      <c r="CW3043" s="2"/>
    </row>
    <row r="3044" spans="86:101" x14ac:dyDescent="0.25">
      <c r="CH3044" s="2"/>
      <c r="CJ3044" s="2"/>
      <c r="CL3044" s="2"/>
      <c r="CN3044" s="2"/>
      <c r="CQ3044" s="2"/>
      <c r="CT3044" s="2"/>
      <c r="CW3044" s="2"/>
    </row>
    <row r="3045" spans="86:101" x14ac:dyDescent="0.25">
      <c r="CH3045" s="2"/>
      <c r="CJ3045" s="2"/>
      <c r="CL3045" s="2"/>
      <c r="CN3045" s="2"/>
      <c r="CQ3045" s="2"/>
      <c r="CT3045" s="2"/>
      <c r="CW3045" s="2"/>
    </row>
    <row r="3046" spans="86:101" x14ac:dyDescent="0.25">
      <c r="CH3046" s="2"/>
      <c r="CJ3046" s="2"/>
      <c r="CL3046" s="2"/>
      <c r="CN3046" s="2"/>
      <c r="CQ3046" s="2"/>
      <c r="CT3046" s="2"/>
      <c r="CW3046" s="2"/>
    </row>
  </sheetData>
  <autoFilter ref="A3:CW3" xr:uid="{00000000-0001-0000-0000-000000000000}"/>
  <phoneticPr fontId="2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AC89-8002-490C-BFF0-5E88A218D112}">
  <sheetPr codeName="Hoja2">
    <pageSetUpPr fitToPage="1"/>
  </sheetPr>
  <dimension ref="A1:Q14"/>
  <sheetViews>
    <sheetView tabSelected="1" view="pageBreakPreview" topLeftCell="A55" zoomScale="85" zoomScaleNormal="85" zoomScaleSheetLayoutView="85" workbookViewId="0"/>
  </sheetViews>
  <sheetFormatPr baseColWidth="10" defaultRowHeight="15" x14ac:dyDescent="0.25"/>
  <cols>
    <col min="1" max="1" width="11" customWidth="1"/>
    <col min="3" max="3" width="7.85546875" customWidth="1"/>
    <col min="6" max="6" width="11.85546875" bestFit="1" customWidth="1"/>
    <col min="11" max="11" width="7.5703125" customWidth="1"/>
    <col min="12" max="12" width="9.28515625" customWidth="1"/>
    <col min="13" max="13" width="32" bestFit="1" customWidth="1"/>
    <col min="14" max="14" width="9.7109375" bestFit="1" customWidth="1"/>
    <col min="15" max="15" width="8.140625" bestFit="1" customWidth="1"/>
    <col min="16" max="16" width="10.5703125" bestFit="1" customWidth="1"/>
    <col min="17" max="17" width="30.5703125" bestFit="1" customWidth="1"/>
  </cols>
  <sheetData>
    <row r="1" spans="1:17" s="3" customFormat="1" ht="21" x14ac:dyDescent="0.35">
      <c r="A1" s="50"/>
      <c r="B1" s="51"/>
      <c r="C1" s="51"/>
      <c r="D1" s="51"/>
      <c r="E1" s="51"/>
      <c r="F1" s="51"/>
      <c r="G1" s="51"/>
      <c r="H1" s="51"/>
      <c r="I1" s="51"/>
      <c r="J1" s="52"/>
      <c r="K1" s="50"/>
      <c r="L1" s="51"/>
      <c r="M1" s="51"/>
      <c r="N1" s="51"/>
      <c r="O1" s="51"/>
      <c r="P1" s="51"/>
      <c r="Q1" s="52"/>
    </row>
    <row r="2" spans="1:17" x14ac:dyDescent="0.25">
      <c r="A2" s="53" t="s">
        <v>141</v>
      </c>
      <c r="B2" s="54" t="s">
        <v>142</v>
      </c>
      <c r="C2" s="54"/>
      <c r="D2" s="54"/>
      <c r="E2" s="54"/>
      <c r="F2" s="54"/>
      <c r="G2" s="54"/>
      <c r="H2" s="54"/>
      <c r="I2" s="54"/>
      <c r="J2" s="55"/>
      <c r="K2" s="56"/>
      <c r="L2" s="57" t="s">
        <v>143</v>
      </c>
      <c r="M2" s="54" t="s">
        <v>144</v>
      </c>
      <c r="N2" s="54"/>
      <c r="O2" s="54"/>
      <c r="P2" s="54"/>
      <c r="Q2" s="55"/>
    </row>
    <row r="3" spans="1:17" x14ac:dyDescent="0.25">
      <c r="A3" s="53" t="s">
        <v>145</v>
      </c>
      <c r="B3" s="54" t="s">
        <v>146</v>
      </c>
      <c r="C3" s="54"/>
      <c r="D3" s="54"/>
      <c r="E3" s="54"/>
      <c r="F3" s="54"/>
      <c r="G3" s="54"/>
      <c r="H3" s="54"/>
      <c r="I3" s="54"/>
      <c r="J3" s="55"/>
      <c r="K3" s="56"/>
      <c r="L3" s="57" t="s">
        <v>147</v>
      </c>
      <c r="M3" s="54" t="s">
        <v>148</v>
      </c>
      <c r="N3" s="54"/>
      <c r="O3" s="54"/>
      <c r="P3" s="54"/>
      <c r="Q3" s="55"/>
    </row>
    <row r="4" spans="1:17" x14ac:dyDescent="0.25">
      <c r="A4" s="53" t="s">
        <v>149</v>
      </c>
      <c r="B4" s="58">
        <v>44859</v>
      </c>
      <c r="C4" s="54"/>
      <c r="D4" s="54"/>
      <c r="E4" s="54"/>
      <c r="F4" s="54"/>
      <c r="G4" s="54"/>
      <c r="H4" s="54"/>
      <c r="I4" s="54"/>
      <c r="J4" s="55"/>
      <c r="K4" s="56"/>
      <c r="L4" s="57" t="s">
        <v>150</v>
      </c>
      <c r="M4" s="59" t="s">
        <v>151</v>
      </c>
      <c r="N4" s="54"/>
      <c r="O4" s="54"/>
      <c r="P4" s="54"/>
      <c r="Q4" s="55"/>
    </row>
    <row r="5" spans="1:17" x14ac:dyDescent="0.25">
      <c r="A5" s="53" t="s">
        <v>152</v>
      </c>
      <c r="B5" s="54" t="s">
        <v>153</v>
      </c>
      <c r="C5" s="54"/>
      <c r="D5" s="54"/>
      <c r="E5" s="54"/>
      <c r="F5" s="54"/>
      <c r="G5" s="54"/>
      <c r="H5" s="54"/>
      <c r="I5" s="54"/>
      <c r="J5" s="55"/>
      <c r="K5" s="56"/>
      <c r="L5" s="57" t="s">
        <v>154</v>
      </c>
      <c r="M5" s="60" t="s">
        <v>118</v>
      </c>
      <c r="N5" s="54"/>
      <c r="O5" s="54"/>
      <c r="P5" s="54"/>
      <c r="Q5" s="55"/>
    </row>
    <row r="6" spans="1:17" x14ac:dyDescent="0.25">
      <c r="A6" s="53" t="s">
        <v>155</v>
      </c>
      <c r="B6" s="54" t="s">
        <v>156</v>
      </c>
      <c r="C6" s="54"/>
      <c r="D6" s="54"/>
      <c r="E6" s="54"/>
      <c r="F6" s="54"/>
      <c r="G6" s="54"/>
      <c r="H6" s="54"/>
      <c r="I6" s="54"/>
      <c r="J6" s="55"/>
      <c r="K6" s="56"/>
      <c r="L6" s="57" t="s">
        <v>157</v>
      </c>
      <c r="M6" s="61" t="s">
        <v>117</v>
      </c>
      <c r="N6" s="54"/>
      <c r="O6" s="54"/>
      <c r="P6" s="54"/>
      <c r="Q6" s="55"/>
    </row>
    <row r="7" spans="1:17" x14ac:dyDescent="0.25">
      <c r="A7" s="53" t="s">
        <v>158</v>
      </c>
      <c r="B7" s="54" t="s">
        <v>159</v>
      </c>
      <c r="C7" s="54"/>
      <c r="D7" s="54"/>
      <c r="E7" s="54"/>
      <c r="F7" s="54"/>
      <c r="G7" s="54"/>
      <c r="H7" s="54"/>
      <c r="I7" s="54"/>
      <c r="J7" s="55"/>
      <c r="K7" s="56"/>
      <c r="L7" s="54"/>
      <c r="M7" s="54"/>
      <c r="N7" s="54"/>
      <c r="O7" s="54"/>
      <c r="P7" s="54"/>
      <c r="Q7" s="55"/>
    </row>
    <row r="8" spans="1:17" ht="15.75" thickBot="1" x14ac:dyDescent="0.3">
      <c r="A8" s="62"/>
      <c r="B8" s="63"/>
      <c r="C8" s="63"/>
      <c r="D8" s="63"/>
      <c r="E8" s="63"/>
      <c r="F8" s="63"/>
      <c r="G8" s="63"/>
      <c r="H8" s="63"/>
      <c r="I8" s="63"/>
      <c r="J8" s="64"/>
      <c r="K8" s="62"/>
      <c r="L8" s="63"/>
      <c r="M8" s="63"/>
      <c r="N8" s="63"/>
      <c r="O8" s="63"/>
      <c r="P8" s="63"/>
      <c r="Q8" s="64"/>
    </row>
    <row r="9" spans="1:17" s="3" customFormat="1" ht="21" x14ac:dyDescent="0.35">
      <c r="A9" s="17" t="s">
        <v>139</v>
      </c>
      <c r="M9" s="65" t="s">
        <v>119</v>
      </c>
      <c r="N9" s="65"/>
      <c r="O9" s="65"/>
      <c r="P9" s="65"/>
      <c r="Q9" s="65"/>
    </row>
    <row r="10" spans="1:17" x14ac:dyDescent="0.25">
      <c r="A10" s="41" t="s">
        <v>109</v>
      </c>
      <c r="M10" s="33" t="e">
        <f>Q10</f>
        <v>#REF!</v>
      </c>
      <c r="N10" s="34">
        <f>P10</f>
        <v>0</v>
      </c>
      <c r="O10" s="20" t="s">
        <v>121</v>
      </c>
      <c r="P10" s="21">
        <f>MIN(datos!$A:$A)</f>
        <v>0</v>
      </c>
      <c r="Q10" s="22" t="e">
        <f>MIN(datos!#REF!)</f>
        <v>#REF!</v>
      </c>
    </row>
    <row r="11" spans="1:17" x14ac:dyDescent="0.25">
      <c r="A11" s="19" t="s">
        <v>117</v>
      </c>
      <c r="M11" s="33" t="e">
        <f>Q11</f>
        <v>#REF!</v>
      </c>
      <c r="N11" s="35">
        <f>P11</f>
        <v>0</v>
      </c>
      <c r="O11" s="20" t="s">
        <v>122</v>
      </c>
      <c r="P11" s="21">
        <f>MAX(datos!$A:$A)</f>
        <v>0</v>
      </c>
      <c r="Q11" s="22" t="e">
        <f>MAX(datos!#REF!)</f>
        <v>#REF!</v>
      </c>
    </row>
    <row r="12" spans="1:17" x14ac:dyDescent="0.25">
      <c r="A12" s="19" t="s">
        <v>118</v>
      </c>
      <c r="M12" s="66" t="s">
        <v>120</v>
      </c>
      <c r="N12" s="66"/>
      <c r="O12" s="23"/>
      <c r="P12" s="25" t="s">
        <v>123</v>
      </c>
    </row>
    <row r="13" spans="1:17" x14ac:dyDescent="0.25">
      <c r="M13" s="26" t="e">
        <f>MATCH($M$10,datos!#REF!,0)</f>
        <v>#REF!</v>
      </c>
      <c r="N13" s="26">
        <f t="array" aca="1" ref="N13" ca="1">IFERROR(MATCH($M$10&amp;$N$10,DATE&amp;TIME,1)+4,4)</f>
        <v>4</v>
      </c>
      <c r="O13" s="24"/>
      <c r="P13" s="27">
        <f>COUNTA(datos!#REF!)-3</f>
        <v>-2</v>
      </c>
      <c r="Q13" t="s">
        <v>124</v>
      </c>
    </row>
    <row r="14" spans="1:17" x14ac:dyDescent="0.25">
      <c r="M14" s="26" t="e">
        <f>MATCH($M$11,datos!#REF!,1)</f>
        <v>#REF!</v>
      </c>
      <c r="N14" s="26" t="e">
        <f t="array" aca="1" ref="N14" ca="1">MATCH(M11&amp;$N$11,DATE&amp;TIME,1)+3</f>
        <v>#REF!</v>
      </c>
      <c r="O14" s="7"/>
      <c r="P14" s="28" t="e">
        <f ca="1">N14-N13+1</f>
        <v>#REF!</v>
      </c>
      <c r="Q14" t="s">
        <v>125</v>
      </c>
    </row>
  </sheetData>
  <mergeCells count="2">
    <mergeCell ref="M9:Q9"/>
    <mergeCell ref="M12:N12"/>
  </mergeCells>
  <dataValidations count="4">
    <dataValidation type="date" allowBlank="1" showInputMessage="1" showErrorMessage="1" errorTitle="Error de dia" error="El dia seleccionado debe estar dentro del registro" sqref="M11" xr:uid="{683E569A-080D-4256-A245-C3C205F7CC34}">
      <formula1>Q10</formula1>
      <formula2>Q11</formula2>
    </dataValidation>
    <dataValidation type="date" allowBlank="1" showInputMessage="1" showErrorMessage="1" errorTitle="Error de dia" error="EL valor debe estar dentro del rango de datos" sqref="M10" xr:uid="{6600D990-D2BE-4057-A902-3A9F9E91B30F}">
      <formula1>Q10</formula1>
      <formula2>Q11</formula2>
    </dataValidation>
    <dataValidation type="time" allowBlank="1" showInputMessage="1" showErrorMessage="1" errorTitle="Error de hora" error="La hora minima debe estar dentro del rango de medicion" sqref="N10" xr:uid="{E3CED69A-907E-4D49-B308-B731E26DC4D7}">
      <formula1>P10</formula1>
      <formula2>P11</formula2>
    </dataValidation>
    <dataValidation type="time" allowBlank="1" showInputMessage="1" showErrorMessage="1" errorTitle="Error de hora" error="La hora maxima debe estar dentro del rango de medicion" sqref="N11" xr:uid="{BF313E61-8AC9-4381-AFCA-01B3C5812E23}">
      <formula1>P10</formula1>
      <formula2>P11</formula2>
    </dataValidation>
  </dataValidations>
  <hyperlinks>
    <hyperlink ref="A11" r:id="rId1" xr:uid="{30448AD1-A9AF-4C7F-B7FE-58BE802E1FFD}"/>
    <hyperlink ref="A12" r:id="rId2" xr:uid="{EAB1DC47-C24C-4487-8F07-B30B408DEC9C}"/>
    <hyperlink ref="M5" r:id="rId3" xr:uid="{C536A1A6-7860-4C6A-B411-DA61E3C7BF41}"/>
    <hyperlink ref="M6" r:id="rId4" xr:uid="{B88403C0-8B1B-4E4D-9960-EFAB777A5D6A}"/>
  </hyperlinks>
  <pageMargins left="0.25" right="0.25" top="0.75" bottom="0.75" header="0.3" footer="0.3"/>
  <pageSetup paperSize="9" scale="43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A_COLUMNAS">
                <anchor moveWithCells="1" sizeWithCells="1">
                  <from>
                    <xdr:col>6</xdr:col>
                    <xdr:colOff>723900</xdr:colOff>
                    <xdr:row>9</xdr:row>
                    <xdr:rowOff>9525</xdr:rowOff>
                  </from>
                  <to>
                    <xdr:col>8</xdr:col>
                    <xdr:colOff>742950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AJUSTA_MAX_MIN">
                <anchor moveWithCells="1" sizeWithCells="1">
                  <from>
                    <xdr:col>9</xdr:col>
                    <xdr:colOff>28575</xdr:colOff>
                    <xdr:row>9</xdr:row>
                    <xdr:rowOff>9525</xdr:rowOff>
                  </from>
                  <to>
                    <xdr:col>11</xdr:col>
                    <xdr:colOff>314325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F48D9-2FE8-4727-A374-DFAD24BED3D5}">
  <sheetPr codeName="Hoja4"/>
  <dimension ref="A1:Q47"/>
  <sheetViews>
    <sheetView view="pageBreakPreview" zoomScale="60" zoomScaleNormal="85" workbookViewId="0">
      <selection sqref="A1:N7"/>
    </sheetView>
  </sheetViews>
  <sheetFormatPr baseColWidth="10" defaultRowHeight="15" x14ac:dyDescent="0.25"/>
  <cols>
    <col min="4" max="4" width="11.28515625" bestFit="1" customWidth="1"/>
  </cols>
  <sheetData>
    <row r="1" spans="1:17" s="3" customFormat="1" ht="21" x14ac:dyDescent="0.35">
      <c r="A1" s="50"/>
      <c r="B1" s="51"/>
      <c r="C1" s="51"/>
      <c r="D1" s="51"/>
      <c r="E1" s="51"/>
      <c r="F1" s="51"/>
      <c r="G1" s="51"/>
      <c r="H1" s="51"/>
      <c r="I1" s="51"/>
      <c r="J1" s="52"/>
      <c r="K1" s="50"/>
      <c r="L1" s="51"/>
      <c r="M1" s="51"/>
      <c r="N1" s="51"/>
      <c r="O1" s="51"/>
      <c r="P1" s="51"/>
      <c r="Q1" s="52"/>
    </row>
    <row r="2" spans="1:17" x14ac:dyDescent="0.25">
      <c r="A2" s="53" t="s">
        <v>141</v>
      </c>
      <c r="B2" s="54" t="s">
        <v>142</v>
      </c>
      <c r="C2" s="54"/>
      <c r="D2" s="54"/>
      <c r="E2" s="54"/>
      <c r="F2" s="54"/>
      <c r="G2" s="54"/>
      <c r="H2" s="54"/>
      <c r="I2" s="54"/>
      <c r="J2" s="55"/>
      <c r="K2" s="56"/>
      <c r="L2" s="57" t="s">
        <v>143</v>
      </c>
      <c r="M2" s="54" t="s">
        <v>144</v>
      </c>
      <c r="N2" s="54"/>
      <c r="O2" s="54"/>
      <c r="P2" s="54"/>
      <c r="Q2" s="55"/>
    </row>
    <row r="3" spans="1:17" x14ac:dyDescent="0.25">
      <c r="A3" s="53" t="s">
        <v>145</v>
      </c>
      <c r="B3" s="54" t="s">
        <v>146</v>
      </c>
      <c r="C3" s="54"/>
      <c r="D3" s="54"/>
      <c r="E3" s="54"/>
      <c r="F3" s="54"/>
      <c r="G3" s="54"/>
      <c r="H3" s="54"/>
      <c r="I3" s="54"/>
      <c r="J3" s="55"/>
      <c r="K3" s="56"/>
      <c r="L3" s="57" t="s">
        <v>147</v>
      </c>
      <c r="M3" s="54" t="s">
        <v>148</v>
      </c>
      <c r="N3" s="54"/>
      <c r="O3" s="54"/>
      <c r="P3" s="54"/>
      <c r="Q3" s="55"/>
    </row>
    <row r="4" spans="1:17" x14ac:dyDescent="0.25">
      <c r="A4" s="53" t="s">
        <v>149</v>
      </c>
      <c r="B4" s="58">
        <v>44859</v>
      </c>
      <c r="C4" s="54"/>
      <c r="D4" s="54"/>
      <c r="E4" s="54"/>
      <c r="F4" s="54"/>
      <c r="G4" s="54"/>
      <c r="H4" s="54"/>
      <c r="I4" s="54"/>
      <c r="J4" s="55"/>
      <c r="K4" s="56"/>
      <c r="L4" s="57" t="s">
        <v>150</v>
      </c>
      <c r="M4" s="59" t="s">
        <v>151</v>
      </c>
      <c r="N4" s="54"/>
      <c r="O4" s="54"/>
      <c r="P4" s="54"/>
      <c r="Q4" s="55"/>
    </row>
    <row r="5" spans="1:17" x14ac:dyDescent="0.25">
      <c r="A5" s="53" t="s">
        <v>152</v>
      </c>
      <c r="B5" s="54" t="s">
        <v>153</v>
      </c>
      <c r="C5" s="54"/>
      <c r="D5" s="54"/>
      <c r="E5" s="54"/>
      <c r="F5" s="54"/>
      <c r="G5" s="54"/>
      <c r="H5" s="54"/>
      <c r="I5" s="54"/>
      <c r="J5" s="55"/>
      <c r="K5" s="56"/>
      <c r="L5" s="57" t="s">
        <v>154</v>
      </c>
      <c r="M5" s="60" t="s">
        <v>118</v>
      </c>
      <c r="N5" s="54"/>
      <c r="O5" s="54"/>
      <c r="P5" s="54"/>
      <c r="Q5" s="55"/>
    </row>
    <row r="6" spans="1:17" x14ac:dyDescent="0.25">
      <c r="A6" s="53" t="s">
        <v>155</v>
      </c>
      <c r="B6" s="54" t="s">
        <v>156</v>
      </c>
      <c r="C6" s="54"/>
      <c r="D6" s="54"/>
      <c r="E6" s="54"/>
      <c r="F6" s="54"/>
      <c r="G6" s="54"/>
      <c r="H6" s="54"/>
      <c r="I6" s="54"/>
      <c r="J6" s="55"/>
      <c r="K6" s="56"/>
      <c r="L6" s="57" t="s">
        <v>157</v>
      </c>
      <c r="M6" s="61" t="s">
        <v>117</v>
      </c>
      <c r="N6" s="54"/>
      <c r="O6" s="54"/>
      <c r="P6" s="54"/>
      <c r="Q6" s="55"/>
    </row>
    <row r="7" spans="1:17" x14ac:dyDescent="0.25">
      <c r="A7" s="53" t="s">
        <v>158</v>
      </c>
      <c r="B7" s="54" t="s">
        <v>159</v>
      </c>
      <c r="C7" s="54"/>
      <c r="D7" s="54"/>
      <c r="E7" s="54"/>
      <c r="F7" s="54"/>
      <c r="G7" s="54"/>
      <c r="H7" s="54"/>
      <c r="I7" s="54"/>
      <c r="J7" s="55"/>
      <c r="K7" s="56"/>
      <c r="L7" s="54"/>
      <c r="M7" s="54"/>
      <c r="N7" s="54"/>
      <c r="O7" s="54"/>
      <c r="P7" s="54"/>
      <c r="Q7" s="55"/>
    </row>
    <row r="8" spans="1:17" ht="15.75" thickBot="1" x14ac:dyDescent="0.3">
      <c r="A8" s="62"/>
      <c r="B8" s="63"/>
      <c r="C8" s="63"/>
      <c r="D8" s="63"/>
      <c r="E8" s="63"/>
      <c r="F8" s="63"/>
      <c r="G8" s="63"/>
      <c r="H8" s="63"/>
      <c r="I8" s="63"/>
      <c r="J8" s="64"/>
      <c r="K8" s="62"/>
      <c r="L8" s="63"/>
      <c r="M8" s="63"/>
      <c r="N8" s="63"/>
      <c r="O8" s="63"/>
      <c r="P8" s="63"/>
      <c r="Q8" s="64"/>
    </row>
    <row r="9" spans="1:17" x14ac:dyDescent="0.25">
      <c r="A9" s="47" t="s">
        <v>128</v>
      </c>
      <c r="B9" s="47" t="e">
        <f ca="1">ROUNDDOWN(MIN(Q_SUM),-3)</f>
        <v>#REF!</v>
      </c>
      <c r="C9" s="47" t="s">
        <v>138</v>
      </c>
    </row>
    <row r="10" spans="1:17" x14ac:dyDescent="0.25">
      <c r="A10" s="47" t="s">
        <v>129</v>
      </c>
      <c r="B10" s="47" t="e">
        <f ca="1">ROUNDUP(MAX(Q_SUM),-3)</f>
        <v>#REF!</v>
      </c>
      <c r="C10" s="47" t="s">
        <v>138</v>
      </c>
    </row>
    <row r="11" spans="1:17" x14ac:dyDescent="0.25">
      <c r="A11" s="47" t="s">
        <v>130</v>
      </c>
      <c r="B11" s="47" t="e">
        <f ca="1">ROUNDDOWN((B10-B9)/30,-2)</f>
        <v>#REF!</v>
      </c>
      <c r="C11" s="47" t="s">
        <v>138</v>
      </c>
    </row>
    <row r="13" spans="1:17" x14ac:dyDescent="0.25">
      <c r="A13" s="67" t="s">
        <v>132</v>
      </c>
      <c r="B13" s="67"/>
      <c r="C13" s="67"/>
      <c r="D13" s="67"/>
      <c r="E13" s="67"/>
    </row>
    <row r="14" spans="1:17" x14ac:dyDescent="0.25">
      <c r="A14" s="42" t="s">
        <v>126</v>
      </c>
      <c r="B14" s="42" t="s">
        <v>127</v>
      </c>
      <c r="C14" s="5" t="s">
        <v>136</v>
      </c>
      <c r="D14" s="5" t="s">
        <v>137</v>
      </c>
      <c r="E14" s="5" t="s">
        <v>133</v>
      </c>
    </row>
    <row r="15" spans="1:17" x14ac:dyDescent="0.25">
      <c r="A15" s="42" t="s">
        <v>131</v>
      </c>
      <c r="B15" s="5" t="e" cm="1">
        <f t="array" aca="1" ref="B15" ca="1">COUNTIF(Q_SUM,"&lt;"&amp;$B$9-($B$11/2))</f>
        <v>#REF!</v>
      </c>
      <c r="C15" s="45" t="e">
        <f ca="1">B15/COUNT(Q_SUM)</f>
        <v>#REF!</v>
      </c>
      <c r="D15" s="5">
        <v>0</v>
      </c>
      <c r="E15" s="5">
        <v>0</v>
      </c>
    </row>
    <row r="16" spans="1:17" x14ac:dyDescent="0.25">
      <c r="A16" s="43" t="e">
        <f ca="1">ROUNDDOWN(B9,4)</f>
        <v>#REF!</v>
      </c>
      <c r="B16" s="5" t="e" cm="1">
        <f t="array" aca="1" ref="B16" ca="1">COUNTIF(Q_SUM,"&lt;"&amp;A16+($B$11/2))-COUNTIF(Q_SUM,"&lt;"&amp;A16-($B$11/2))</f>
        <v>#REF!</v>
      </c>
      <c r="C16" s="45" t="e">
        <f ca="1">SUM($B$15:B16)/COUNT(Q_SUM)</f>
        <v>#REF!</v>
      </c>
      <c r="D16" s="5" t="e">
        <f ca="1">A16*B16</f>
        <v>#REF!</v>
      </c>
      <c r="E16" s="46" t="e">
        <f ca="1">SUM($D$15:D16)/$D$47</f>
        <v>#REF!</v>
      </c>
    </row>
    <row r="17" spans="1:5" x14ac:dyDescent="0.25">
      <c r="A17" s="12" t="str">
        <f ca="1">IFERROR(IF((A16+$B$11)&lt;$B$10,A16+$B$11,""),"")</f>
        <v/>
      </c>
      <c r="B17" s="5" t="e" cm="1">
        <f t="array" aca="1" ref="B17" ca="1">COUNTIF(Q_SUM,"&lt;"&amp;A17+($B$11/2))-COUNTIF(Q_SUM,"&lt;"&amp;A17-($B$11/2))</f>
        <v>#REF!</v>
      </c>
      <c r="C17" s="45" t="e">
        <f ca="1">SUM($B$15:B17)/COUNT(Q_SUM)</f>
        <v>#REF!</v>
      </c>
      <c r="D17" s="5" t="e">
        <f ca="1">A17*B17/1000</f>
        <v>#VALUE!</v>
      </c>
      <c r="E17" s="46" t="e">
        <f ca="1">SUM($D$15:D17)/$D$47</f>
        <v>#REF!</v>
      </c>
    </row>
    <row r="18" spans="1:5" x14ac:dyDescent="0.25">
      <c r="A18" s="12" t="str">
        <f t="shared" ref="A18:A46" ca="1" si="0">IFERROR(IF((A17+$B$11)&lt;$B$10,A17+$B$11,""),"")</f>
        <v/>
      </c>
      <c r="B18" s="5" t="e" cm="1">
        <f t="array" aca="1" ref="B18" ca="1">COUNTIF(Q_SUM,"&lt;"&amp;A18+($B$11/2))-COUNTIF(Q_SUM,"&lt;"&amp;A18-($B$11/2))</f>
        <v>#REF!</v>
      </c>
      <c r="C18" s="45" t="e">
        <f ca="1">SUM($B$15:B18)/COUNT(Q_SUM)</f>
        <v>#REF!</v>
      </c>
      <c r="D18" s="5" t="e">
        <f t="shared" ref="D18:D46" ca="1" si="1">A18*B18/1000</f>
        <v>#VALUE!</v>
      </c>
      <c r="E18" s="46" t="e">
        <f ca="1">SUM($D$15:D18)/$D$47</f>
        <v>#REF!</v>
      </c>
    </row>
    <row r="19" spans="1:5" x14ac:dyDescent="0.25">
      <c r="A19" s="12" t="str">
        <f t="shared" ca="1" si="0"/>
        <v/>
      </c>
      <c r="B19" s="5" t="e" cm="1">
        <f t="array" aca="1" ref="B19" ca="1">COUNTIF(Q_SUM,"&lt;"&amp;A19+($B$11/2))-COUNTIF(Q_SUM,"&lt;"&amp;A19-($B$11/2))</f>
        <v>#REF!</v>
      </c>
      <c r="C19" s="45" t="e">
        <f ca="1">SUM($B$15:B19)/COUNT(Q_SUM)</f>
        <v>#REF!</v>
      </c>
      <c r="D19" s="5" t="e">
        <f t="shared" ca="1" si="1"/>
        <v>#VALUE!</v>
      </c>
      <c r="E19" s="46" t="e">
        <f ca="1">SUM($D$15:D19)/$D$47</f>
        <v>#REF!</v>
      </c>
    </row>
    <row r="20" spans="1:5" x14ac:dyDescent="0.25">
      <c r="A20" s="12" t="str">
        <f t="shared" ca="1" si="0"/>
        <v/>
      </c>
      <c r="B20" s="5" t="e" cm="1">
        <f t="array" aca="1" ref="B20" ca="1">COUNTIF(Q_SUM,"&lt;"&amp;A20+($B$11/2))-COUNTIF(Q_SUM,"&lt;"&amp;A20-($B$11/2))</f>
        <v>#REF!</v>
      </c>
      <c r="C20" s="45" t="e">
        <f ca="1">SUM($B$15:B20)/COUNT(Q_SUM)</f>
        <v>#REF!</v>
      </c>
      <c r="D20" s="5" t="e">
        <f t="shared" ca="1" si="1"/>
        <v>#VALUE!</v>
      </c>
      <c r="E20" s="46" t="e">
        <f ca="1">SUM($D$15:D20)/$D$47</f>
        <v>#REF!</v>
      </c>
    </row>
    <row r="21" spans="1:5" x14ac:dyDescent="0.25">
      <c r="A21" s="12" t="str">
        <f t="shared" ca="1" si="0"/>
        <v/>
      </c>
      <c r="B21" s="5" t="e" cm="1">
        <f t="array" aca="1" ref="B21" ca="1">COUNTIF(Q_SUM,"&lt;"&amp;A21+($B$11/2))-COUNTIF(Q_SUM,"&lt;"&amp;A21-($B$11/2))</f>
        <v>#REF!</v>
      </c>
      <c r="C21" s="45" t="e">
        <f ca="1">SUM($B$15:B21)/COUNT(Q_SUM)</f>
        <v>#REF!</v>
      </c>
      <c r="D21" s="5" t="e">
        <f t="shared" ca="1" si="1"/>
        <v>#VALUE!</v>
      </c>
      <c r="E21" s="46" t="e">
        <f ca="1">SUM($D$15:D21)/$D$47</f>
        <v>#REF!</v>
      </c>
    </row>
    <row r="22" spans="1:5" x14ac:dyDescent="0.25">
      <c r="A22" s="12" t="str">
        <f t="shared" ca="1" si="0"/>
        <v/>
      </c>
      <c r="B22" s="5" t="e" cm="1">
        <f t="array" aca="1" ref="B22" ca="1">COUNTIF(Q_SUM,"&lt;"&amp;A22+($B$11/2))-COUNTIF(Q_SUM,"&lt;"&amp;A22-($B$11/2))</f>
        <v>#REF!</v>
      </c>
      <c r="C22" s="45" t="e">
        <f ca="1">SUM($B$15:B22)/COUNT(Q_SUM)</f>
        <v>#REF!</v>
      </c>
      <c r="D22" s="5" t="e">
        <f t="shared" ca="1" si="1"/>
        <v>#VALUE!</v>
      </c>
      <c r="E22" s="46" t="e">
        <f ca="1">SUM($D$15:D22)/$D$47</f>
        <v>#REF!</v>
      </c>
    </row>
    <row r="23" spans="1:5" x14ac:dyDescent="0.25">
      <c r="A23" s="12" t="str">
        <f t="shared" ca="1" si="0"/>
        <v/>
      </c>
      <c r="B23" s="5" t="e" cm="1">
        <f t="array" aca="1" ref="B23" ca="1">COUNTIF(Q_SUM,"&lt;"&amp;A23+($B$11/2))-COUNTIF(Q_SUM,"&lt;"&amp;A23-($B$11/2))</f>
        <v>#REF!</v>
      </c>
      <c r="C23" s="45" t="e">
        <f ca="1">SUM($B$15:B23)/COUNT(Q_SUM)</f>
        <v>#REF!</v>
      </c>
      <c r="D23" s="5" t="e">
        <f t="shared" ca="1" si="1"/>
        <v>#VALUE!</v>
      </c>
      <c r="E23" s="46" t="e">
        <f ca="1">SUM($D$15:D23)/$D$47</f>
        <v>#REF!</v>
      </c>
    </row>
    <row r="24" spans="1:5" x14ac:dyDescent="0.25">
      <c r="A24" s="12" t="str">
        <f t="shared" ca="1" si="0"/>
        <v/>
      </c>
      <c r="B24" s="5" t="e" cm="1">
        <f t="array" aca="1" ref="B24" ca="1">COUNTIF(Q_SUM,"&lt;"&amp;A24+($B$11/2))-COUNTIF(Q_SUM,"&lt;"&amp;A24-($B$11/2))</f>
        <v>#REF!</v>
      </c>
      <c r="C24" s="45" t="e">
        <f ca="1">SUM($B$15:B24)/COUNT(Q_SUM)</f>
        <v>#REF!</v>
      </c>
      <c r="D24" s="5" t="e">
        <f t="shared" ca="1" si="1"/>
        <v>#VALUE!</v>
      </c>
      <c r="E24" s="46" t="e">
        <f ca="1">SUM($D$15:D24)/$D$47</f>
        <v>#REF!</v>
      </c>
    </row>
    <row r="25" spans="1:5" x14ac:dyDescent="0.25">
      <c r="A25" s="12" t="str">
        <f t="shared" ca="1" si="0"/>
        <v/>
      </c>
      <c r="B25" s="5" t="e" cm="1">
        <f t="array" aca="1" ref="B25" ca="1">COUNTIF(Q_SUM,"&lt;"&amp;A25+($B$11/2))-COUNTIF(Q_SUM,"&lt;"&amp;A25-($B$11/2))</f>
        <v>#REF!</v>
      </c>
      <c r="C25" s="45" t="e">
        <f ca="1">SUM($B$15:B25)/COUNT(Q_SUM)</f>
        <v>#REF!</v>
      </c>
      <c r="D25" s="5" t="e">
        <f t="shared" ca="1" si="1"/>
        <v>#VALUE!</v>
      </c>
      <c r="E25" s="46" t="e">
        <f ca="1">SUM($D$15:D25)/$D$47</f>
        <v>#REF!</v>
      </c>
    </row>
    <row r="26" spans="1:5" x14ac:dyDescent="0.25">
      <c r="A26" s="12" t="str">
        <f t="shared" ca="1" si="0"/>
        <v/>
      </c>
      <c r="B26" s="5" t="e" cm="1">
        <f t="array" aca="1" ref="B26" ca="1">COUNTIF(Q_SUM,"&lt;"&amp;A26+($B$11/2))-COUNTIF(Q_SUM,"&lt;"&amp;A26-($B$11/2))</f>
        <v>#REF!</v>
      </c>
      <c r="C26" s="45" t="e">
        <f ca="1">SUM($B$15:B26)/COUNT(Q_SUM)</f>
        <v>#REF!</v>
      </c>
      <c r="D26" s="5" t="e">
        <f t="shared" ca="1" si="1"/>
        <v>#VALUE!</v>
      </c>
      <c r="E26" s="46" t="e">
        <f ca="1">SUM($D$15:D26)/$D$47</f>
        <v>#REF!</v>
      </c>
    </row>
    <row r="27" spans="1:5" x14ac:dyDescent="0.25">
      <c r="A27" s="12" t="str">
        <f t="shared" ca="1" si="0"/>
        <v/>
      </c>
      <c r="B27" s="5" t="e" cm="1">
        <f t="array" aca="1" ref="B27" ca="1">COUNTIF(Q_SUM,"&lt;"&amp;A27+($B$11/2))-COUNTIF(Q_SUM,"&lt;"&amp;A27-($B$11/2))</f>
        <v>#REF!</v>
      </c>
      <c r="C27" s="45" t="e">
        <f ca="1">SUM($B$15:B27)/COUNT(Q_SUM)</f>
        <v>#REF!</v>
      </c>
      <c r="D27" s="5" t="e">
        <f t="shared" ca="1" si="1"/>
        <v>#VALUE!</v>
      </c>
      <c r="E27" s="46" t="e">
        <f ca="1">SUM($D$15:D27)/$D$47</f>
        <v>#REF!</v>
      </c>
    </row>
    <row r="28" spans="1:5" x14ac:dyDescent="0.25">
      <c r="A28" s="12" t="str">
        <f t="shared" ca="1" si="0"/>
        <v/>
      </c>
      <c r="B28" s="5" t="e" cm="1">
        <f t="array" aca="1" ref="B28" ca="1">COUNTIF(Q_SUM,"&lt;"&amp;A28+($B$11/2))-COUNTIF(Q_SUM,"&lt;"&amp;A28-($B$11/2))</f>
        <v>#REF!</v>
      </c>
      <c r="C28" s="45" t="e">
        <f ca="1">SUM($B$15:B28)/COUNT(Q_SUM)</f>
        <v>#REF!</v>
      </c>
      <c r="D28" s="5" t="e">
        <f t="shared" ca="1" si="1"/>
        <v>#VALUE!</v>
      </c>
      <c r="E28" s="46" t="e">
        <f ca="1">SUM($D$15:D28)/$D$47</f>
        <v>#REF!</v>
      </c>
    </row>
    <row r="29" spans="1:5" x14ac:dyDescent="0.25">
      <c r="A29" s="12" t="str">
        <f t="shared" ca="1" si="0"/>
        <v/>
      </c>
      <c r="B29" s="5" t="e" cm="1">
        <f t="array" aca="1" ref="B29" ca="1">COUNTIF(Q_SUM,"&lt;"&amp;A29+($B$11/2))-COUNTIF(Q_SUM,"&lt;"&amp;A29-($B$11/2))</f>
        <v>#REF!</v>
      </c>
      <c r="C29" s="45" t="e">
        <f ca="1">SUM($B$15:B29)/COUNT(Q_SUM)</f>
        <v>#REF!</v>
      </c>
      <c r="D29" s="5" t="e">
        <f t="shared" ca="1" si="1"/>
        <v>#VALUE!</v>
      </c>
      <c r="E29" s="46" t="e">
        <f ca="1">SUM($D$15:D29)/$D$47</f>
        <v>#REF!</v>
      </c>
    </row>
    <row r="30" spans="1:5" x14ac:dyDescent="0.25">
      <c r="A30" s="12" t="str">
        <f t="shared" ca="1" si="0"/>
        <v/>
      </c>
      <c r="B30" s="5" t="e" cm="1">
        <f t="array" aca="1" ref="B30" ca="1">COUNTIF(Q_SUM,"&lt;"&amp;A30+($B$11/2))-COUNTIF(Q_SUM,"&lt;"&amp;A30-($B$11/2))</f>
        <v>#REF!</v>
      </c>
      <c r="C30" s="45" t="e">
        <f ca="1">SUM($B$15:B30)/COUNT(Q_SUM)</f>
        <v>#REF!</v>
      </c>
      <c r="D30" s="5" t="e">
        <f t="shared" ca="1" si="1"/>
        <v>#VALUE!</v>
      </c>
      <c r="E30" s="46" t="e">
        <f ca="1">SUM($D$15:D30)/$D$47</f>
        <v>#REF!</v>
      </c>
    </row>
    <row r="31" spans="1:5" x14ac:dyDescent="0.25">
      <c r="A31" s="12" t="str">
        <f t="shared" ca="1" si="0"/>
        <v/>
      </c>
      <c r="B31" s="5" t="e" cm="1">
        <f t="array" aca="1" ref="B31" ca="1">COUNTIF(Q_SUM,"&lt;"&amp;A31+($B$11/2))-COUNTIF(Q_SUM,"&lt;"&amp;A31-($B$11/2))</f>
        <v>#REF!</v>
      </c>
      <c r="C31" s="45" t="e">
        <f ca="1">SUM($B$15:B31)/COUNT(Q_SUM)</f>
        <v>#REF!</v>
      </c>
      <c r="D31" s="5" t="e">
        <f t="shared" ca="1" si="1"/>
        <v>#VALUE!</v>
      </c>
      <c r="E31" s="46" t="e">
        <f ca="1">SUM($D$15:D31)/$D$47</f>
        <v>#REF!</v>
      </c>
    </row>
    <row r="32" spans="1:5" x14ac:dyDescent="0.25">
      <c r="A32" s="12" t="str">
        <f t="shared" ca="1" si="0"/>
        <v/>
      </c>
      <c r="B32" s="5" t="e" cm="1">
        <f t="array" aca="1" ref="B32" ca="1">COUNTIF(Q_SUM,"&lt;"&amp;A32+($B$11/2))-COUNTIF(Q_SUM,"&lt;"&amp;A32-($B$11/2))</f>
        <v>#REF!</v>
      </c>
      <c r="C32" s="45" t="e">
        <f ca="1">SUM($B$15:B32)/COUNT(Q_SUM)</f>
        <v>#REF!</v>
      </c>
      <c r="D32" s="5" t="e">
        <f t="shared" ca="1" si="1"/>
        <v>#VALUE!</v>
      </c>
      <c r="E32" s="46" t="e">
        <f ca="1">SUM($D$15:D32)/$D$47</f>
        <v>#REF!</v>
      </c>
    </row>
    <row r="33" spans="1:17" x14ac:dyDescent="0.25">
      <c r="A33" s="12" t="str">
        <f t="shared" ca="1" si="0"/>
        <v/>
      </c>
      <c r="B33" s="5" t="e" cm="1">
        <f t="array" aca="1" ref="B33" ca="1">COUNTIF(Q_SUM,"&lt;"&amp;A33+($B$11/2))-COUNTIF(Q_SUM,"&lt;"&amp;A33-($B$11/2))</f>
        <v>#REF!</v>
      </c>
      <c r="C33" s="45" t="e">
        <f ca="1">SUM($B$15:B33)/COUNT(Q_SUM)</f>
        <v>#REF!</v>
      </c>
      <c r="D33" s="5" t="e">
        <f t="shared" ca="1" si="1"/>
        <v>#VALUE!</v>
      </c>
      <c r="E33" s="46" t="e">
        <f ca="1">SUM($D$15:D33)/$D$47</f>
        <v>#REF!</v>
      </c>
      <c r="M33" s="10" t="s">
        <v>115</v>
      </c>
      <c r="N33" s="10" t="s">
        <v>111</v>
      </c>
      <c r="O33" s="10" t="s">
        <v>110</v>
      </c>
      <c r="P33" s="10" t="s">
        <v>113</v>
      </c>
      <c r="Q33" s="10" t="s">
        <v>112</v>
      </c>
    </row>
    <row r="34" spans="1:17" x14ac:dyDescent="0.25">
      <c r="A34" s="12" t="str">
        <f t="shared" ca="1" si="0"/>
        <v/>
      </c>
      <c r="B34" s="5" t="e" cm="1">
        <f t="array" aca="1" ref="B34" ca="1">COUNTIF(Q_SUM,"&lt;"&amp;A34+($B$11/2))-COUNTIF(Q_SUM,"&lt;"&amp;A34-($B$11/2))</f>
        <v>#REF!</v>
      </c>
      <c r="C34" s="45" t="e">
        <f ca="1">SUM($B$15:B34)/COUNT(Q_SUM)</f>
        <v>#REF!</v>
      </c>
      <c r="D34" s="5" t="e">
        <f t="shared" ca="1" si="1"/>
        <v>#VALUE!</v>
      </c>
      <c r="E34" s="46" t="e">
        <f ca="1">SUM($D$15:D34)/$D$47</f>
        <v>#REF!</v>
      </c>
      <c r="M34" s="48" t="s">
        <v>28</v>
      </c>
      <c r="N34" s="47" t="e">
        <f ca="1">MIN(UTHA)</f>
        <v>#REF!</v>
      </c>
      <c r="O34" s="47" t="e">
        <f ca="1">+MAX(UTHA)</f>
        <v>#REF!</v>
      </c>
      <c r="P34" s="47" t="e">
        <f t="shared" ref="P34:P37" ca="1" si="2">O34-N34</f>
        <v>#REF!</v>
      </c>
      <c r="Q34" s="49" t="e">
        <f ca="1">AVERAGE(UTHA)</f>
        <v>#REF!</v>
      </c>
    </row>
    <row r="35" spans="1:17" x14ac:dyDescent="0.25">
      <c r="A35" s="12" t="str">
        <f t="shared" ca="1" si="0"/>
        <v/>
      </c>
      <c r="B35" s="5" t="e" cm="1">
        <f t="array" aca="1" ref="B35" ca="1">COUNTIF(Q_SUM,"&lt;"&amp;A35+($B$11/2))-COUNTIF(Q_SUM,"&lt;"&amp;A35-($B$11/2))</f>
        <v>#REF!</v>
      </c>
      <c r="C35" s="45" t="e">
        <f ca="1">SUM($B$15:B35)/COUNT(Q_SUM)</f>
        <v>#REF!</v>
      </c>
      <c r="D35" s="5" t="e">
        <f t="shared" ca="1" si="1"/>
        <v>#VALUE!</v>
      </c>
      <c r="E35" s="46" t="e">
        <f ca="1">SUM($D$15:D35)/$D$47</f>
        <v>#REF!</v>
      </c>
      <c r="M35" s="48" t="s">
        <v>29</v>
      </c>
      <c r="N35" s="47" t="e">
        <f ca="1">MIN(UTHB)</f>
        <v>#REF!</v>
      </c>
      <c r="O35" s="47" t="e">
        <f ca="1">+MAX(UTHB)</f>
        <v>#REF!</v>
      </c>
      <c r="P35" s="47" t="e">
        <f t="shared" ca="1" si="2"/>
        <v>#REF!</v>
      </c>
      <c r="Q35" s="49" t="e">
        <f ca="1">AVERAGE(UTHB)</f>
        <v>#REF!</v>
      </c>
    </row>
    <row r="36" spans="1:17" x14ac:dyDescent="0.25">
      <c r="A36" s="12" t="str">
        <f t="shared" ca="1" si="0"/>
        <v/>
      </c>
      <c r="B36" s="5" t="e" cm="1">
        <f t="array" aca="1" ref="B36" ca="1">COUNTIF(Q_SUM,"&lt;"&amp;A36+($B$11/2))-COUNTIF(Q_SUM,"&lt;"&amp;A36-($B$11/2))</f>
        <v>#REF!</v>
      </c>
      <c r="C36" s="45" t="e">
        <f ca="1">SUM($B$15:B36)/COUNT(Q_SUM)</f>
        <v>#REF!</v>
      </c>
      <c r="D36" s="5" t="e">
        <f t="shared" ca="1" si="1"/>
        <v>#VALUE!</v>
      </c>
      <c r="E36" s="46" t="e">
        <f ca="1">SUM($D$15:D36)/$D$47</f>
        <v>#REF!</v>
      </c>
      <c r="M36" s="48" t="s">
        <v>30</v>
      </c>
      <c r="N36" s="47" t="e">
        <f ca="1">MIN(UTHC)</f>
        <v>#REF!</v>
      </c>
      <c r="O36" s="47" t="e">
        <f ca="1">+MAX(UTHC)</f>
        <v>#REF!</v>
      </c>
      <c r="P36" s="47" t="e">
        <f t="shared" ca="1" si="2"/>
        <v>#REF!</v>
      </c>
      <c r="Q36" s="49" t="e">
        <f ca="1">AVERAGE(UTHC)</f>
        <v>#REF!</v>
      </c>
    </row>
    <row r="37" spans="1:17" x14ac:dyDescent="0.25">
      <c r="A37" s="12" t="str">
        <f t="shared" ca="1" si="0"/>
        <v/>
      </c>
      <c r="B37" s="5" t="e" cm="1">
        <f t="array" aca="1" ref="B37" ca="1">COUNTIF(Q_SUM,"&lt;"&amp;A37+($B$11/2))-COUNTIF(Q_SUM,"&lt;"&amp;A37-($B$11/2))</f>
        <v>#REF!</v>
      </c>
      <c r="C37" s="45" t="e">
        <f ca="1">SUM($B$15:B37)/COUNT(Q_SUM)</f>
        <v>#REF!</v>
      </c>
      <c r="D37" s="5" t="e">
        <f t="shared" ca="1" si="1"/>
        <v>#VALUE!</v>
      </c>
      <c r="E37" s="46" t="e">
        <f ca="1">SUM($D$15:D37)/$D$47</f>
        <v>#REF!</v>
      </c>
      <c r="M37" s="48" t="s">
        <v>31</v>
      </c>
      <c r="N37" s="47" t="e">
        <f ca="1">MIN(UTHAVG)</f>
        <v>#REF!</v>
      </c>
      <c r="O37" s="47" t="e">
        <f ca="1">+MAX(UTHAVG)</f>
        <v>#REF!</v>
      </c>
      <c r="P37" s="47" t="e">
        <f t="shared" ca="1" si="2"/>
        <v>#REF!</v>
      </c>
      <c r="Q37" s="49" t="e">
        <f ca="1">AVERAGE(UTHAVG)</f>
        <v>#REF!</v>
      </c>
    </row>
    <row r="38" spans="1:17" x14ac:dyDescent="0.25">
      <c r="A38" s="12" t="str">
        <f t="shared" ca="1" si="0"/>
        <v/>
      </c>
      <c r="B38" s="5" t="e" cm="1">
        <f t="array" aca="1" ref="B38" ca="1">COUNTIF(Q_SUM,"&lt;"&amp;A38+($B$11/2))-COUNTIF(Q_SUM,"&lt;"&amp;A38-($B$11/2))</f>
        <v>#REF!</v>
      </c>
      <c r="C38" s="45" t="e">
        <f ca="1">SUM($B$15:B38)/COUNT(Q_SUM)</f>
        <v>#REF!</v>
      </c>
      <c r="D38" s="5" t="e">
        <f t="shared" ca="1" si="1"/>
        <v>#VALUE!</v>
      </c>
      <c r="E38" s="46" t="e">
        <f ca="1">SUM($D$15:D38)/$D$47</f>
        <v>#REF!</v>
      </c>
    </row>
    <row r="39" spans="1:17" x14ac:dyDescent="0.25">
      <c r="A39" s="12" t="str">
        <f t="shared" ca="1" si="0"/>
        <v/>
      </c>
      <c r="B39" s="5" t="e" cm="1">
        <f t="array" aca="1" ref="B39" ca="1">COUNTIF(Q_SUM,"&lt;"&amp;A39+($B$11/2))-COUNTIF(Q_SUM,"&lt;"&amp;A39-($B$11/2))</f>
        <v>#REF!</v>
      </c>
      <c r="C39" s="45" t="e">
        <f ca="1">SUM($B$15:B39)/COUNT(Q_SUM)</f>
        <v>#REF!</v>
      </c>
      <c r="D39" s="5" t="e">
        <f t="shared" ca="1" si="1"/>
        <v>#VALUE!</v>
      </c>
      <c r="E39" s="46" t="e">
        <f ca="1">SUM($D$15:D39)/$D$47</f>
        <v>#REF!</v>
      </c>
      <c r="M39" s="29" t="s">
        <v>134</v>
      </c>
    </row>
    <row r="40" spans="1:17" x14ac:dyDescent="0.25">
      <c r="A40" s="12" t="str">
        <f t="shared" ca="1" si="0"/>
        <v/>
      </c>
      <c r="B40" s="5" t="e" cm="1">
        <f t="array" aca="1" ref="B40" ca="1">COUNTIF(Q_SUM,"&lt;"&amp;A40+($B$11/2))-COUNTIF(Q_SUM,"&lt;"&amp;A40-($B$11/2))</f>
        <v>#REF!</v>
      </c>
      <c r="C40" s="45" t="e">
        <f ca="1">SUM($B$15:B40)/COUNT(Q_SUM)</f>
        <v>#REF!</v>
      </c>
      <c r="D40" s="5" t="e">
        <f t="shared" ca="1" si="1"/>
        <v>#VALUE!</v>
      </c>
      <c r="E40" s="46" t="e">
        <f ca="1">SUM($D$15:D40)/$D$47</f>
        <v>#REF!</v>
      </c>
    </row>
    <row r="41" spans="1:17" x14ac:dyDescent="0.25">
      <c r="A41" s="12" t="str">
        <f t="shared" ca="1" si="0"/>
        <v/>
      </c>
      <c r="B41" s="5" t="e" cm="1">
        <f t="array" aca="1" ref="B41" ca="1">COUNTIF(Q_SUM,"&lt;"&amp;A41+($B$11/2))-COUNTIF(Q_SUM,"&lt;"&amp;A41-($B$11/2))</f>
        <v>#REF!</v>
      </c>
      <c r="C41" s="45" t="e">
        <f ca="1">SUM($B$15:B41)/COUNT(Q_SUM)</f>
        <v>#REF!</v>
      </c>
      <c r="D41" s="5" t="e">
        <f t="shared" ca="1" si="1"/>
        <v>#VALUE!</v>
      </c>
      <c r="E41" s="46" t="e">
        <f ca="1">SUM($D$15:D41)/$D$47</f>
        <v>#REF!</v>
      </c>
    </row>
    <row r="42" spans="1:17" x14ac:dyDescent="0.25">
      <c r="A42" s="12" t="str">
        <f t="shared" ca="1" si="0"/>
        <v/>
      </c>
      <c r="B42" s="5" t="e" cm="1">
        <f t="array" aca="1" ref="B42" ca="1">COUNTIF(Q_SUM,"&lt;"&amp;A42+($B$11/2))-COUNTIF(Q_SUM,"&lt;"&amp;A42-($B$11/2))</f>
        <v>#REF!</v>
      </c>
      <c r="C42" s="45" t="e">
        <f ca="1">SUM($B$15:B42)/COUNT(Q_SUM)</f>
        <v>#REF!</v>
      </c>
      <c r="D42" s="5" t="e">
        <f t="shared" ca="1" si="1"/>
        <v>#VALUE!</v>
      </c>
      <c r="E42" s="46" t="e">
        <f ca="1">SUM($D$15:D42)/$D$47</f>
        <v>#REF!</v>
      </c>
    </row>
    <row r="43" spans="1:17" x14ac:dyDescent="0.25">
      <c r="A43" s="12" t="str">
        <f t="shared" ca="1" si="0"/>
        <v/>
      </c>
      <c r="B43" s="5" t="e" cm="1">
        <f t="array" aca="1" ref="B43" ca="1">COUNTIF(Q_SUM,"&lt;"&amp;A43+($B$11/2))-COUNTIF(Q_SUM,"&lt;"&amp;A43-($B$11/2))</f>
        <v>#REF!</v>
      </c>
      <c r="C43" s="45" t="e">
        <f ca="1">SUM($B$15:B43)/COUNT(Q_SUM)</f>
        <v>#REF!</v>
      </c>
      <c r="D43" s="5" t="e">
        <f t="shared" ca="1" si="1"/>
        <v>#VALUE!</v>
      </c>
      <c r="E43" s="46" t="e">
        <f ca="1">SUM($D$15:D43)/$D$47</f>
        <v>#REF!</v>
      </c>
    </row>
    <row r="44" spans="1:17" x14ac:dyDescent="0.25">
      <c r="A44" s="12" t="str">
        <f t="shared" ca="1" si="0"/>
        <v/>
      </c>
      <c r="B44" s="5" t="e" cm="1">
        <f t="array" aca="1" ref="B44" ca="1">COUNTIF(Q_SUM,"&lt;"&amp;A44+($B$11/2))-COUNTIF(Q_SUM,"&lt;"&amp;A44-($B$11/2))</f>
        <v>#REF!</v>
      </c>
      <c r="C44" s="45" t="e">
        <f ca="1">SUM($B$15:B44)/COUNT(Q_SUM)</f>
        <v>#REF!</v>
      </c>
      <c r="D44" s="5" t="e">
        <f t="shared" ca="1" si="1"/>
        <v>#VALUE!</v>
      </c>
      <c r="E44" s="46" t="e">
        <f ca="1">SUM($D$15:D44)/$D$47</f>
        <v>#REF!</v>
      </c>
    </row>
    <row r="45" spans="1:17" x14ac:dyDescent="0.25">
      <c r="A45" s="12" t="str">
        <f t="shared" ca="1" si="0"/>
        <v/>
      </c>
      <c r="B45" s="5" t="e" cm="1">
        <f t="array" aca="1" ref="B45" ca="1">COUNTIF(Q_SUM,"&lt;"&amp;A45+($B$11/2))-COUNTIF(Q_SUM,"&lt;"&amp;A45-($B$11/2))</f>
        <v>#REF!</v>
      </c>
      <c r="C45" s="45" t="e">
        <f ca="1">SUM($B$15:B45)/COUNT(Q_SUM)</f>
        <v>#REF!</v>
      </c>
      <c r="D45" s="5" t="e">
        <f t="shared" ca="1" si="1"/>
        <v>#VALUE!</v>
      </c>
      <c r="E45" s="46" t="e">
        <f ca="1">SUM($D$15:D45)/$D$47</f>
        <v>#REF!</v>
      </c>
    </row>
    <row r="46" spans="1:17" x14ac:dyDescent="0.25">
      <c r="A46" s="12" t="str">
        <f t="shared" ca="1" si="0"/>
        <v/>
      </c>
      <c r="B46" s="5" t="e" cm="1">
        <f t="array" aca="1" ref="B46" ca="1">COUNTIF(Q_SUM,"&lt;"&amp;A46+($B$11/2))-COUNTIF(Q_SUM,"&lt;"&amp;A46-($B$11/2))</f>
        <v>#REF!</v>
      </c>
      <c r="C46" s="45" t="e">
        <f ca="1">SUM($B$15:B46)/COUNT(Q_SUM)</f>
        <v>#REF!</v>
      </c>
      <c r="D46" s="5" t="e">
        <f t="shared" ca="1" si="1"/>
        <v>#VALUE!</v>
      </c>
      <c r="E46" s="46" t="e">
        <f ca="1">SUM($D$15:D46)/$D$47</f>
        <v>#REF!</v>
      </c>
    </row>
    <row r="47" spans="1:17" x14ac:dyDescent="0.25">
      <c r="A47" s="44"/>
      <c r="D47" t="e">
        <f ca="1">SUM(D15:D46)</f>
        <v>#REF!</v>
      </c>
    </row>
  </sheetData>
  <sheetProtection algorithmName="SHA-512" hashValue="r3p7CLd9c0ifBvOo1f2Pb23PLzakBwUDXWJtLvjfwJQhzYxkqMqmWr3K5Nvn1k1JgH8++Qa/q8Pqx25R+cfb6w==" saltValue="ehl4uztWNHss+ppKcETojA==" spinCount="100000" sheet="1" objects="1" scenarios="1"/>
  <mergeCells count="1">
    <mergeCell ref="A13:E13"/>
  </mergeCells>
  <conditionalFormatting sqref="B15:B4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:Q37">
    <cfRule type="cellIs" dxfId="0" priority="1" operator="greaterThan">
      <formula>3</formula>
    </cfRule>
  </conditionalFormatting>
  <hyperlinks>
    <hyperlink ref="M5" r:id="rId1" xr:uid="{54250313-72A2-4233-B758-5C4BB951E672}"/>
    <hyperlink ref="M6" r:id="rId2" xr:uid="{AC400952-3295-4822-83D4-50DBE95743D5}"/>
  </hyperlinks>
  <pageMargins left="0.7" right="0.7" top="0.75" bottom="0.75" header="0.3" footer="0.3"/>
  <pageSetup paperSize="9" scale="38" orientation="portrait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7051-C667-4985-B5AF-1F4CD9153D20}">
  <sheetPr codeName="Hoja5"/>
  <dimension ref="A1:Q41"/>
  <sheetViews>
    <sheetView view="pageBreakPreview" topLeftCell="A4" zoomScale="60" zoomScaleNormal="100" workbookViewId="0">
      <selection activeCell="A4" sqref="A4:N10"/>
    </sheetView>
  </sheetViews>
  <sheetFormatPr baseColWidth="10" defaultRowHeight="15" x14ac:dyDescent="0.25"/>
  <sheetData>
    <row r="1" spans="1:17" x14ac:dyDescent="0.25">
      <c r="A1" t="s">
        <v>128</v>
      </c>
      <c r="B1">
        <v>190</v>
      </c>
    </row>
    <row r="2" spans="1:17" x14ac:dyDescent="0.25">
      <c r="A2" t="s">
        <v>129</v>
      </c>
      <c r="B2">
        <v>240</v>
      </c>
    </row>
    <row r="3" spans="1:17" ht="15.75" thickBot="1" x14ac:dyDescent="0.3">
      <c r="A3" t="s">
        <v>130</v>
      </c>
      <c r="B3">
        <v>2</v>
      </c>
    </row>
    <row r="4" spans="1:17" s="3" customFormat="1" ht="21" x14ac:dyDescent="0.35">
      <c r="A4" s="50"/>
      <c r="B4" s="51"/>
      <c r="C4" s="51"/>
      <c r="D4" s="51"/>
      <c r="E4" s="51"/>
      <c r="F4" s="51"/>
      <c r="G4" s="51"/>
      <c r="H4" s="51"/>
      <c r="I4" s="51"/>
      <c r="J4" s="52"/>
      <c r="K4" s="50"/>
      <c r="L4" s="51"/>
      <c r="M4" s="51"/>
      <c r="N4" s="51"/>
      <c r="O4" s="51"/>
      <c r="P4" s="51"/>
      <c r="Q4" s="52"/>
    </row>
    <row r="5" spans="1:17" x14ac:dyDescent="0.25">
      <c r="A5" s="53" t="s">
        <v>141</v>
      </c>
      <c r="B5" s="54" t="s">
        <v>142</v>
      </c>
      <c r="C5" s="54"/>
      <c r="D5" s="54"/>
      <c r="E5" s="54"/>
      <c r="F5" s="54"/>
      <c r="G5" s="54"/>
      <c r="H5" s="54"/>
      <c r="I5" s="54"/>
      <c r="J5" s="55"/>
      <c r="K5" s="56"/>
      <c r="L5" s="57" t="s">
        <v>143</v>
      </c>
      <c r="M5" s="54" t="s">
        <v>144</v>
      </c>
      <c r="N5" s="54"/>
      <c r="O5" s="54"/>
      <c r="P5" s="54"/>
      <c r="Q5" s="55"/>
    </row>
    <row r="6" spans="1:17" x14ac:dyDescent="0.25">
      <c r="A6" s="53" t="s">
        <v>145</v>
      </c>
      <c r="B6" s="54" t="s">
        <v>146</v>
      </c>
      <c r="C6" s="54"/>
      <c r="D6" s="54"/>
      <c r="E6" s="54"/>
      <c r="F6" s="54"/>
      <c r="G6" s="54"/>
      <c r="H6" s="54"/>
      <c r="I6" s="54"/>
      <c r="J6" s="55"/>
      <c r="K6" s="56"/>
      <c r="L6" s="57" t="s">
        <v>147</v>
      </c>
      <c r="M6" s="54" t="s">
        <v>148</v>
      </c>
      <c r="N6" s="54"/>
      <c r="O6" s="54"/>
      <c r="P6" s="54"/>
      <c r="Q6" s="55"/>
    </row>
    <row r="7" spans="1:17" x14ac:dyDescent="0.25">
      <c r="A7" s="53" t="s">
        <v>149</v>
      </c>
      <c r="B7" s="58">
        <v>44859</v>
      </c>
      <c r="C7" s="54"/>
      <c r="D7" s="54"/>
      <c r="E7" s="54"/>
      <c r="F7" s="54"/>
      <c r="G7" s="54"/>
      <c r="H7" s="54"/>
      <c r="I7" s="54"/>
      <c r="J7" s="55"/>
      <c r="K7" s="56"/>
      <c r="L7" s="57" t="s">
        <v>150</v>
      </c>
      <c r="M7" s="59" t="s">
        <v>151</v>
      </c>
      <c r="N7" s="54"/>
      <c r="O7" s="54"/>
      <c r="P7" s="54"/>
      <c r="Q7" s="55"/>
    </row>
    <row r="8" spans="1:17" x14ac:dyDescent="0.25">
      <c r="A8" s="53" t="s">
        <v>152</v>
      </c>
      <c r="B8" s="54" t="s">
        <v>153</v>
      </c>
      <c r="C8" s="54"/>
      <c r="D8" s="54"/>
      <c r="E8" s="54"/>
      <c r="F8" s="54"/>
      <c r="G8" s="54"/>
      <c r="H8" s="54"/>
      <c r="I8" s="54"/>
      <c r="J8" s="55"/>
      <c r="K8" s="56"/>
      <c r="L8" s="57" t="s">
        <v>154</v>
      </c>
      <c r="M8" s="60" t="s">
        <v>118</v>
      </c>
      <c r="N8" s="54"/>
      <c r="O8" s="54"/>
      <c r="P8" s="54"/>
      <c r="Q8" s="55"/>
    </row>
    <row r="9" spans="1:17" x14ac:dyDescent="0.25">
      <c r="A9" s="53" t="s">
        <v>155</v>
      </c>
      <c r="B9" s="54" t="s">
        <v>156</v>
      </c>
      <c r="C9" s="54"/>
      <c r="D9" s="54"/>
      <c r="E9" s="54"/>
      <c r="F9" s="54"/>
      <c r="G9" s="54"/>
      <c r="H9" s="54"/>
      <c r="I9" s="54"/>
      <c r="J9" s="55"/>
      <c r="K9" s="56"/>
      <c r="L9" s="57" t="s">
        <v>157</v>
      </c>
      <c r="M9" s="61" t="s">
        <v>117</v>
      </c>
      <c r="N9" s="54"/>
      <c r="O9" s="54"/>
      <c r="P9" s="54"/>
      <c r="Q9" s="55"/>
    </row>
    <row r="10" spans="1:17" x14ac:dyDescent="0.25">
      <c r="A10" s="53" t="s">
        <v>158</v>
      </c>
      <c r="B10" s="54" t="s">
        <v>159</v>
      </c>
      <c r="C10" s="54"/>
      <c r="D10" s="54"/>
      <c r="E10" s="54"/>
      <c r="F10" s="54"/>
      <c r="G10" s="54"/>
      <c r="H10" s="54"/>
      <c r="I10" s="54"/>
      <c r="J10" s="55"/>
      <c r="K10" s="56"/>
      <c r="L10" s="54"/>
      <c r="M10" s="54"/>
      <c r="N10" s="54"/>
      <c r="O10" s="54"/>
      <c r="P10" s="54"/>
      <c r="Q10" s="55"/>
    </row>
    <row r="11" spans="1:17" ht="15.75" thickBot="1" x14ac:dyDescent="0.3">
      <c r="A11" s="62"/>
      <c r="B11" s="63"/>
      <c r="C11" s="63"/>
      <c r="D11" s="63"/>
      <c r="E11" s="63"/>
      <c r="F11" s="63"/>
      <c r="G11" s="63"/>
      <c r="H11" s="63"/>
      <c r="I11" s="63"/>
      <c r="J11" s="64"/>
      <c r="K11" s="62"/>
      <c r="L11" s="63"/>
      <c r="M11" s="63"/>
      <c r="N11" s="63"/>
      <c r="O11" s="63"/>
      <c r="P11" s="63"/>
      <c r="Q11" s="64"/>
    </row>
    <row r="13" spans="1:17" x14ac:dyDescent="0.25">
      <c r="A13" s="40"/>
      <c r="B13" s="10" t="s">
        <v>24</v>
      </c>
      <c r="C13" s="10" t="s">
        <v>25</v>
      </c>
      <c r="D13" s="10" t="s">
        <v>26</v>
      </c>
    </row>
    <row r="14" spans="1:17" x14ac:dyDescent="0.25">
      <c r="A14" s="37" t="s">
        <v>126</v>
      </c>
      <c r="B14" s="37" t="s">
        <v>127</v>
      </c>
      <c r="C14" s="37" t="s">
        <v>127</v>
      </c>
      <c r="D14" s="37" t="s">
        <v>127</v>
      </c>
    </row>
    <row r="15" spans="1:17" x14ac:dyDescent="0.25">
      <c r="A15" s="37" t="s">
        <v>131</v>
      </c>
      <c r="B15" s="39" t="e">
        <f ca="1">COUNTIF(UA,"&lt;"&amp;$B$1-($B$3/2))</f>
        <v>#REF!</v>
      </c>
      <c r="C15" s="39" t="e">
        <f ca="1">COUNTIF(UB,"&lt;"&amp;$B$1-($B$3/2))</f>
        <v>#REF!</v>
      </c>
      <c r="D15" s="39" t="e">
        <f ca="1">COUNTIF(UC,"&lt;"&amp;$B$1-($B$3/2))</f>
        <v>#REF!</v>
      </c>
    </row>
    <row r="16" spans="1:17" x14ac:dyDescent="0.25">
      <c r="A16" s="37">
        <f>$B$1</f>
        <v>190</v>
      </c>
      <c r="B16" s="39" t="e">
        <f t="shared" ref="B16:B40" ca="1" si="0">COUNTIF(UA,"&lt;"&amp;A16+($B$3/2))-COUNTIF(UA,"&lt;"&amp;A16-($B$3/2))</f>
        <v>#REF!</v>
      </c>
      <c r="C16" s="39" t="e">
        <f t="shared" ref="C16:C40" ca="1" si="1">COUNTIF(UB,"&lt;"&amp;A16+($B$3/2))-COUNTIF(UB,"&lt;"&amp;A16-($B$3/2))</f>
        <v>#REF!</v>
      </c>
      <c r="D16" s="39" t="e">
        <f t="shared" ref="D16:D40" ca="1" si="2">COUNTIF(UC,"&lt;"&amp;A16+($B$3/2))-COUNTIF(UC,"&lt;"&amp;A16-($B$3/2))</f>
        <v>#REF!</v>
      </c>
    </row>
    <row r="17" spans="1:4" x14ac:dyDescent="0.25">
      <c r="A17" s="38">
        <f>IFERROR(IF((A16+$B$3)&lt;$B$2,A16+$B$3,""),"")</f>
        <v>192</v>
      </c>
      <c r="B17" s="39" t="e">
        <f t="shared" ca="1" si="0"/>
        <v>#REF!</v>
      </c>
      <c r="C17" s="39" t="e">
        <f t="shared" ca="1" si="1"/>
        <v>#REF!</v>
      </c>
      <c r="D17" s="39" t="e">
        <f t="shared" ca="1" si="2"/>
        <v>#REF!</v>
      </c>
    </row>
    <row r="18" spans="1:4" x14ac:dyDescent="0.25">
      <c r="A18" s="38">
        <f t="shared" ref="A18:A41" si="3">IFERROR(IF((A17+$B$3)&lt;$B$2,A17+$B$3,""),"")</f>
        <v>194</v>
      </c>
      <c r="B18" s="39" t="e">
        <f t="shared" ca="1" si="0"/>
        <v>#REF!</v>
      </c>
      <c r="C18" s="39" t="e">
        <f t="shared" ca="1" si="1"/>
        <v>#REF!</v>
      </c>
      <c r="D18" s="39" t="e">
        <f t="shared" ca="1" si="2"/>
        <v>#REF!</v>
      </c>
    </row>
    <row r="19" spans="1:4" x14ac:dyDescent="0.25">
      <c r="A19" s="38">
        <f t="shared" si="3"/>
        <v>196</v>
      </c>
      <c r="B19" s="39" t="e">
        <f t="shared" ca="1" si="0"/>
        <v>#REF!</v>
      </c>
      <c r="C19" s="39" t="e">
        <f t="shared" ca="1" si="1"/>
        <v>#REF!</v>
      </c>
      <c r="D19" s="39" t="e">
        <f t="shared" ca="1" si="2"/>
        <v>#REF!</v>
      </c>
    </row>
    <row r="20" spans="1:4" x14ac:dyDescent="0.25">
      <c r="A20" s="38">
        <f t="shared" si="3"/>
        <v>198</v>
      </c>
      <c r="B20" s="39" t="e">
        <f t="shared" ca="1" si="0"/>
        <v>#REF!</v>
      </c>
      <c r="C20" s="39" t="e">
        <f t="shared" ca="1" si="1"/>
        <v>#REF!</v>
      </c>
      <c r="D20" s="39" t="e">
        <f t="shared" ca="1" si="2"/>
        <v>#REF!</v>
      </c>
    </row>
    <row r="21" spans="1:4" x14ac:dyDescent="0.25">
      <c r="A21" s="38">
        <f t="shared" si="3"/>
        <v>200</v>
      </c>
      <c r="B21" s="39" t="e">
        <f t="shared" ca="1" si="0"/>
        <v>#REF!</v>
      </c>
      <c r="C21" s="39" t="e">
        <f t="shared" ca="1" si="1"/>
        <v>#REF!</v>
      </c>
      <c r="D21" s="39" t="e">
        <f t="shared" ca="1" si="2"/>
        <v>#REF!</v>
      </c>
    </row>
    <row r="22" spans="1:4" x14ac:dyDescent="0.25">
      <c r="A22" s="38">
        <f t="shared" si="3"/>
        <v>202</v>
      </c>
      <c r="B22" s="39" t="e">
        <f t="shared" ca="1" si="0"/>
        <v>#REF!</v>
      </c>
      <c r="C22" s="39" t="e">
        <f t="shared" ca="1" si="1"/>
        <v>#REF!</v>
      </c>
      <c r="D22" s="39" t="e">
        <f t="shared" ca="1" si="2"/>
        <v>#REF!</v>
      </c>
    </row>
    <row r="23" spans="1:4" x14ac:dyDescent="0.25">
      <c r="A23" s="38">
        <f t="shared" si="3"/>
        <v>204</v>
      </c>
      <c r="B23" s="39" t="e">
        <f t="shared" ca="1" si="0"/>
        <v>#REF!</v>
      </c>
      <c r="C23" s="39" t="e">
        <f t="shared" ca="1" si="1"/>
        <v>#REF!</v>
      </c>
      <c r="D23" s="39" t="e">
        <f t="shared" ca="1" si="2"/>
        <v>#REF!</v>
      </c>
    </row>
    <row r="24" spans="1:4" x14ac:dyDescent="0.25">
      <c r="A24" s="38">
        <f t="shared" si="3"/>
        <v>206</v>
      </c>
      <c r="B24" s="39" t="e">
        <f t="shared" ca="1" si="0"/>
        <v>#REF!</v>
      </c>
      <c r="C24" s="39" t="e">
        <f t="shared" ca="1" si="1"/>
        <v>#REF!</v>
      </c>
      <c r="D24" s="39" t="e">
        <f t="shared" ca="1" si="2"/>
        <v>#REF!</v>
      </c>
    </row>
    <row r="25" spans="1:4" x14ac:dyDescent="0.25">
      <c r="A25" s="38">
        <f t="shared" si="3"/>
        <v>208</v>
      </c>
      <c r="B25" s="39" t="e">
        <f t="shared" ca="1" si="0"/>
        <v>#REF!</v>
      </c>
      <c r="C25" s="39" t="e">
        <f t="shared" ca="1" si="1"/>
        <v>#REF!</v>
      </c>
      <c r="D25" s="39" t="e">
        <f t="shared" ca="1" si="2"/>
        <v>#REF!</v>
      </c>
    </row>
    <row r="26" spans="1:4" x14ac:dyDescent="0.25">
      <c r="A26" s="38">
        <f t="shared" si="3"/>
        <v>210</v>
      </c>
      <c r="B26" s="39" t="e">
        <f t="shared" ca="1" si="0"/>
        <v>#REF!</v>
      </c>
      <c r="C26" s="39" t="e">
        <f t="shared" ca="1" si="1"/>
        <v>#REF!</v>
      </c>
      <c r="D26" s="39" t="e">
        <f t="shared" ca="1" si="2"/>
        <v>#REF!</v>
      </c>
    </row>
    <row r="27" spans="1:4" x14ac:dyDescent="0.25">
      <c r="A27" s="38">
        <f t="shared" si="3"/>
        <v>212</v>
      </c>
      <c r="B27" s="39" t="e">
        <f t="shared" ca="1" si="0"/>
        <v>#REF!</v>
      </c>
      <c r="C27" s="39" t="e">
        <f t="shared" ca="1" si="1"/>
        <v>#REF!</v>
      </c>
      <c r="D27" s="39" t="e">
        <f t="shared" ca="1" si="2"/>
        <v>#REF!</v>
      </c>
    </row>
    <row r="28" spans="1:4" x14ac:dyDescent="0.25">
      <c r="A28" s="38">
        <f t="shared" si="3"/>
        <v>214</v>
      </c>
      <c r="B28" s="39" t="e">
        <f t="shared" ca="1" si="0"/>
        <v>#REF!</v>
      </c>
      <c r="C28" s="39" t="e">
        <f t="shared" ca="1" si="1"/>
        <v>#REF!</v>
      </c>
      <c r="D28" s="39" t="e">
        <f t="shared" ca="1" si="2"/>
        <v>#REF!</v>
      </c>
    </row>
    <row r="29" spans="1:4" x14ac:dyDescent="0.25">
      <c r="A29" s="38">
        <f t="shared" si="3"/>
        <v>216</v>
      </c>
      <c r="B29" s="39" t="e">
        <f t="shared" ca="1" si="0"/>
        <v>#REF!</v>
      </c>
      <c r="C29" s="39" t="e">
        <f t="shared" ca="1" si="1"/>
        <v>#REF!</v>
      </c>
      <c r="D29" s="39" t="e">
        <f t="shared" ca="1" si="2"/>
        <v>#REF!</v>
      </c>
    </row>
    <row r="30" spans="1:4" x14ac:dyDescent="0.25">
      <c r="A30" s="38">
        <f t="shared" si="3"/>
        <v>218</v>
      </c>
      <c r="B30" s="39" t="e">
        <f t="shared" ca="1" si="0"/>
        <v>#REF!</v>
      </c>
      <c r="C30" s="39" t="e">
        <f t="shared" ca="1" si="1"/>
        <v>#REF!</v>
      </c>
      <c r="D30" s="39" t="e">
        <f t="shared" ca="1" si="2"/>
        <v>#REF!</v>
      </c>
    </row>
    <row r="31" spans="1:4" x14ac:dyDescent="0.25">
      <c r="A31" s="38">
        <f t="shared" si="3"/>
        <v>220</v>
      </c>
      <c r="B31" s="39" t="e">
        <f t="shared" ca="1" si="0"/>
        <v>#REF!</v>
      </c>
      <c r="C31" s="39" t="e">
        <f t="shared" ca="1" si="1"/>
        <v>#REF!</v>
      </c>
      <c r="D31" s="39" t="e">
        <f t="shared" ca="1" si="2"/>
        <v>#REF!</v>
      </c>
    </row>
    <row r="32" spans="1:4" x14ac:dyDescent="0.25">
      <c r="A32" s="38">
        <f t="shared" si="3"/>
        <v>222</v>
      </c>
      <c r="B32" s="39" t="e">
        <f t="shared" ca="1" si="0"/>
        <v>#REF!</v>
      </c>
      <c r="C32" s="39" t="e">
        <f t="shared" ca="1" si="1"/>
        <v>#REF!</v>
      </c>
      <c r="D32" s="39" t="e">
        <f t="shared" ca="1" si="2"/>
        <v>#REF!</v>
      </c>
    </row>
    <row r="33" spans="1:5" x14ac:dyDescent="0.25">
      <c r="A33" s="38">
        <f t="shared" si="3"/>
        <v>224</v>
      </c>
      <c r="B33" s="39" t="e">
        <f t="shared" ca="1" si="0"/>
        <v>#REF!</v>
      </c>
      <c r="C33" s="39" t="e">
        <f t="shared" ca="1" si="1"/>
        <v>#REF!</v>
      </c>
      <c r="D33" s="39" t="e">
        <f t="shared" ca="1" si="2"/>
        <v>#REF!</v>
      </c>
    </row>
    <row r="34" spans="1:5" x14ac:dyDescent="0.25">
      <c r="A34" s="38">
        <f t="shared" si="3"/>
        <v>226</v>
      </c>
      <c r="B34" s="39" t="e">
        <f t="shared" ca="1" si="0"/>
        <v>#REF!</v>
      </c>
      <c r="C34" s="39" t="e">
        <f t="shared" ca="1" si="1"/>
        <v>#REF!</v>
      </c>
      <c r="D34" s="39" t="e">
        <f t="shared" ca="1" si="2"/>
        <v>#REF!</v>
      </c>
    </row>
    <row r="35" spans="1:5" x14ac:dyDescent="0.25">
      <c r="A35" s="38">
        <f t="shared" si="3"/>
        <v>228</v>
      </c>
      <c r="B35" s="39" t="e">
        <f t="shared" ca="1" si="0"/>
        <v>#REF!</v>
      </c>
      <c r="C35" s="39" t="e">
        <f t="shared" ca="1" si="1"/>
        <v>#REF!</v>
      </c>
      <c r="D35" s="39" t="e">
        <f t="shared" ca="1" si="2"/>
        <v>#REF!</v>
      </c>
    </row>
    <row r="36" spans="1:5" x14ac:dyDescent="0.25">
      <c r="A36" s="38">
        <f t="shared" si="3"/>
        <v>230</v>
      </c>
      <c r="B36" s="39" t="e">
        <f t="shared" ca="1" si="0"/>
        <v>#REF!</v>
      </c>
      <c r="C36" s="39" t="e">
        <f t="shared" ca="1" si="1"/>
        <v>#REF!</v>
      </c>
      <c r="D36" s="39" t="e">
        <f t="shared" ca="1" si="2"/>
        <v>#REF!</v>
      </c>
      <c r="E36" s="29"/>
    </row>
    <row r="37" spans="1:5" x14ac:dyDescent="0.25">
      <c r="A37" s="38">
        <f t="shared" si="3"/>
        <v>232</v>
      </c>
      <c r="B37" s="39" t="e">
        <f t="shared" ca="1" si="0"/>
        <v>#REF!</v>
      </c>
      <c r="C37" s="39" t="e">
        <f t="shared" ca="1" si="1"/>
        <v>#REF!</v>
      </c>
      <c r="D37" s="39" t="e">
        <f t="shared" ca="1" si="2"/>
        <v>#REF!</v>
      </c>
    </row>
    <row r="38" spans="1:5" x14ac:dyDescent="0.25">
      <c r="A38" s="38">
        <f t="shared" si="3"/>
        <v>234</v>
      </c>
      <c r="B38" s="39" t="e">
        <f t="shared" ca="1" si="0"/>
        <v>#REF!</v>
      </c>
      <c r="C38" s="39" t="e">
        <f t="shared" ca="1" si="1"/>
        <v>#REF!</v>
      </c>
      <c r="D38" s="39" t="e">
        <f t="shared" ca="1" si="2"/>
        <v>#REF!</v>
      </c>
    </row>
    <row r="39" spans="1:5" x14ac:dyDescent="0.25">
      <c r="A39" s="38">
        <f t="shared" si="3"/>
        <v>236</v>
      </c>
      <c r="B39" s="39" t="e">
        <f t="shared" ca="1" si="0"/>
        <v>#REF!</v>
      </c>
      <c r="C39" s="39" t="e">
        <f t="shared" ca="1" si="1"/>
        <v>#REF!</v>
      </c>
      <c r="D39" s="39" t="e">
        <f t="shared" ca="1" si="2"/>
        <v>#REF!</v>
      </c>
    </row>
    <row r="40" spans="1:5" x14ac:dyDescent="0.25">
      <c r="A40" s="38">
        <f t="shared" si="3"/>
        <v>238</v>
      </c>
      <c r="B40" s="39" t="e">
        <f t="shared" ca="1" si="0"/>
        <v>#REF!</v>
      </c>
      <c r="C40" s="39" t="e">
        <f t="shared" ca="1" si="1"/>
        <v>#REF!</v>
      </c>
      <c r="D40" s="39" t="e">
        <f t="shared" ca="1" si="2"/>
        <v>#REF!</v>
      </c>
    </row>
    <row r="41" spans="1:5" x14ac:dyDescent="0.25">
      <c r="A41" s="38" t="str">
        <f t="shared" si="3"/>
        <v/>
      </c>
      <c r="B41" s="39"/>
      <c r="C41" s="39"/>
      <c r="D41" s="39"/>
    </row>
  </sheetData>
  <sheetProtection algorithmName="SHA-512" hashValue="FrFUdu1c1NzcAxIAeNsxvVCjSTxEhzGE7vnTZtlXrqX+gRX7J9L2eslE1OtYljdWgvbWbX6q2i8phETBkDT7Bw==" saltValue="MrF6isVUiPfSf6uaTyi48A==" spinCount="100000" sheet="1" objects="1" scenarios="1"/>
  <sortState xmlns:xlrd2="http://schemas.microsoft.com/office/spreadsheetml/2017/richdata2" ref="A16:A41">
    <sortCondition ref="A16"/>
  </sortState>
  <conditionalFormatting sqref="B15:D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8" r:id="rId1" xr:uid="{F1AB5D2C-3E0D-44A4-9CFB-B699995CDC89}"/>
    <hyperlink ref="M9" r:id="rId2" xr:uid="{22014329-4EC8-4034-ACDF-F4760CA803C4}"/>
  </hyperlinks>
  <pageMargins left="0.7" right="0.7" top="0.75" bottom="0.75" header="0.3" footer="0.3"/>
  <pageSetup paperSize="9" scale="38" orientation="portrait" verticalDpi="0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8D9B-891E-4DCC-B6D9-6D57C1F60F4E}">
  <sheetPr codeName="Hoja3"/>
  <dimension ref="A1:U114"/>
  <sheetViews>
    <sheetView view="pageBreakPreview" topLeftCell="A52" zoomScale="60" zoomScaleNormal="100" workbookViewId="0">
      <selection sqref="A1:N7"/>
    </sheetView>
  </sheetViews>
  <sheetFormatPr baseColWidth="10" defaultRowHeight="15" x14ac:dyDescent="0.25"/>
  <cols>
    <col min="1" max="1" width="3.28515625" customWidth="1"/>
    <col min="2" max="2" width="5.42578125" style="7" customWidth="1"/>
    <col min="3" max="3" width="16.5703125" customWidth="1"/>
    <col min="4" max="4" width="13.7109375" style="29" bestFit="1" customWidth="1"/>
    <col min="5" max="6" width="12.42578125" style="7" bestFit="1" customWidth="1"/>
    <col min="7" max="7" width="11.85546875" style="7" customWidth="1"/>
    <col min="8" max="8" width="12.42578125" style="7" bestFit="1" customWidth="1"/>
    <col min="19" max="19" width="11.42578125" style="7"/>
  </cols>
  <sheetData>
    <row r="1" spans="1:19" s="3" customFormat="1" ht="21" x14ac:dyDescent="0.35">
      <c r="A1" s="50"/>
      <c r="B1" s="51"/>
      <c r="C1" s="51"/>
      <c r="D1" s="51"/>
      <c r="E1" s="51"/>
      <c r="F1" s="51"/>
      <c r="G1" s="51"/>
      <c r="H1" s="51"/>
      <c r="I1" s="51"/>
      <c r="J1" s="52"/>
      <c r="K1" s="50"/>
      <c r="L1" s="51"/>
      <c r="M1" s="51"/>
      <c r="N1" s="51"/>
      <c r="O1" s="51"/>
      <c r="P1" s="51"/>
      <c r="Q1" s="52"/>
    </row>
    <row r="2" spans="1:19" x14ac:dyDescent="0.25">
      <c r="A2" s="53" t="s">
        <v>141</v>
      </c>
      <c r="B2" s="54" t="s">
        <v>142</v>
      </c>
      <c r="C2" s="54"/>
      <c r="D2" s="54"/>
      <c r="E2" s="54"/>
      <c r="F2" s="54"/>
      <c r="G2" s="54"/>
      <c r="H2" s="54"/>
      <c r="I2" s="54"/>
      <c r="J2" s="55"/>
      <c r="K2" s="56"/>
      <c r="L2" s="57" t="s">
        <v>143</v>
      </c>
      <c r="M2" s="54" t="s">
        <v>144</v>
      </c>
      <c r="N2" s="54"/>
      <c r="O2" s="54"/>
      <c r="P2" s="54"/>
      <c r="Q2" s="55"/>
      <c r="S2"/>
    </row>
    <row r="3" spans="1:19" x14ac:dyDescent="0.25">
      <c r="A3" s="53" t="s">
        <v>145</v>
      </c>
      <c r="B3" s="54" t="s">
        <v>146</v>
      </c>
      <c r="C3" s="54"/>
      <c r="D3" s="54"/>
      <c r="E3" s="54"/>
      <c r="F3" s="54"/>
      <c r="G3" s="54"/>
      <c r="H3" s="54"/>
      <c r="I3" s="54"/>
      <c r="J3" s="55"/>
      <c r="K3" s="56"/>
      <c r="L3" s="57" t="s">
        <v>147</v>
      </c>
      <c r="M3" s="54" t="s">
        <v>148</v>
      </c>
      <c r="N3" s="54"/>
      <c r="O3" s="54"/>
      <c r="P3" s="54"/>
      <c r="Q3" s="55"/>
      <c r="S3"/>
    </row>
    <row r="4" spans="1:19" x14ac:dyDescent="0.25">
      <c r="A4" s="53" t="s">
        <v>149</v>
      </c>
      <c r="B4" s="58">
        <v>44859</v>
      </c>
      <c r="C4" s="54"/>
      <c r="D4" s="54"/>
      <c r="E4" s="54"/>
      <c r="F4" s="54"/>
      <c r="G4" s="54"/>
      <c r="H4" s="54"/>
      <c r="I4" s="54"/>
      <c r="J4" s="55"/>
      <c r="K4" s="56"/>
      <c r="L4" s="57" t="s">
        <v>150</v>
      </c>
      <c r="M4" s="59" t="s">
        <v>151</v>
      </c>
      <c r="N4" s="54"/>
      <c r="O4" s="54"/>
      <c r="P4" s="54"/>
      <c r="Q4" s="55"/>
      <c r="S4"/>
    </row>
    <row r="5" spans="1:19" x14ac:dyDescent="0.25">
      <c r="A5" s="53" t="s">
        <v>152</v>
      </c>
      <c r="B5" s="54" t="s">
        <v>153</v>
      </c>
      <c r="C5" s="54"/>
      <c r="D5" s="54"/>
      <c r="E5" s="54"/>
      <c r="F5" s="54"/>
      <c r="G5" s="54"/>
      <c r="H5" s="54"/>
      <c r="I5" s="54"/>
      <c r="J5" s="55"/>
      <c r="K5" s="56"/>
      <c r="L5" s="57" t="s">
        <v>154</v>
      </c>
      <c r="M5" s="60" t="s">
        <v>118</v>
      </c>
      <c r="N5" s="54"/>
      <c r="O5" s="54"/>
      <c r="P5" s="54"/>
      <c r="Q5" s="55"/>
      <c r="S5"/>
    </row>
    <row r="6" spans="1:19" x14ac:dyDescent="0.25">
      <c r="A6" s="53" t="s">
        <v>155</v>
      </c>
      <c r="B6" s="54" t="s">
        <v>156</v>
      </c>
      <c r="C6" s="54"/>
      <c r="D6" s="54"/>
      <c r="E6" s="54"/>
      <c r="F6" s="54"/>
      <c r="G6" s="54"/>
      <c r="H6" s="54"/>
      <c r="I6" s="54"/>
      <c r="J6" s="55"/>
      <c r="K6" s="56"/>
      <c r="L6" s="57" t="s">
        <v>157</v>
      </c>
      <c r="M6" s="61" t="s">
        <v>117</v>
      </c>
      <c r="N6" s="54"/>
      <c r="O6" s="54"/>
      <c r="P6" s="54"/>
      <c r="Q6" s="55"/>
      <c r="S6"/>
    </row>
    <row r="7" spans="1:19" x14ac:dyDescent="0.25">
      <c r="A7" s="53" t="s">
        <v>158</v>
      </c>
      <c r="B7" s="54" t="s">
        <v>159</v>
      </c>
      <c r="C7" s="54"/>
      <c r="D7" s="54"/>
      <c r="E7" s="54"/>
      <c r="F7" s="54"/>
      <c r="G7" s="54"/>
      <c r="H7" s="54"/>
      <c r="I7" s="54"/>
      <c r="J7" s="55"/>
      <c r="K7" s="56"/>
      <c r="L7" s="54"/>
      <c r="M7" s="54"/>
      <c r="N7" s="54"/>
      <c r="O7" s="54"/>
      <c r="P7" s="54"/>
      <c r="Q7" s="55"/>
      <c r="S7"/>
    </row>
    <row r="8" spans="1:19" ht="15.75" thickBot="1" x14ac:dyDescent="0.3">
      <c r="A8" s="62"/>
      <c r="B8" s="63"/>
      <c r="C8" s="63"/>
      <c r="D8" s="63"/>
      <c r="E8" s="63"/>
      <c r="F8" s="63"/>
      <c r="G8" s="63"/>
      <c r="H8" s="63"/>
      <c r="I8" s="63"/>
      <c r="J8" s="64"/>
      <c r="K8" s="62"/>
      <c r="L8" s="63"/>
      <c r="M8" s="63"/>
      <c r="N8" s="63"/>
      <c r="O8" s="63"/>
      <c r="P8" s="63"/>
      <c r="Q8" s="64"/>
      <c r="S8"/>
    </row>
    <row r="9" spans="1:19" ht="21" x14ac:dyDescent="0.35">
      <c r="B9" s="18" t="s">
        <v>140</v>
      </c>
      <c r="M9" s="4"/>
    </row>
    <row r="10" spans="1:19" x14ac:dyDescent="0.25">
      <c r="B10" s="19" t="s">
        <v>117</v>
      </c>
    </row>
    <row r="11" spans="1:19" x14ac:dyDescent="0.25">
      <c r="B11" s="19" t="s">
        <v>118</v>
      </c>
    </row>
    <row r="12" spans="1:19" x14ac:dyDescent="0.25">
      <c r="B12" s="10" t="s">
        <v>114</v>
      </c>
      <c r="C12" s="13" t="s">
        <v>116</v>
      </c>
      <c r="D12" s="10" t="s">
        <v>115</v>
      </c>
      <c r="E12" s="10" t="s">
        <v>111</v>
      </c>
      <c r="F12" s="10" t="s">
        <v>110</v>
      </c>
      <c r="G12" s="10" t="s">
        <v>113</v>
      </c>
      <c r="H12" s="10" t="s">
        <v>112</v>
      </c>
    </row>
    <row r="13" spans="1:19" x14ac:dyDescent="0.25">
      <c r="B13" s="5">
        <v>1</v>
      </c>
      <c r="C13" s="68" t="s">
        <v>0</v>
      </c>
      <c r="D13" s="30" t="s">
        <v>22</v>
      </c>
      <c r="E13" s="11" t="e">
        <f ca="1">MIN(DATE)</f>
        <v>#REF!</v>
      </c>
      <c r="F13" s="11" t="e">
        <f ca="1">MAX(DATE)</f>
        <v>#REF!</v>
      </c>
      <c r="G13" s="8" t="e">
        <f ca="1">F13-E13</f>
        <v>#REF!</v>
      </c>
      <c r="H13" s="11" t="e">
        <f ca="1">+AVERAGE(DATE)</f>
        <v>#REF!</v>
      </c>
    </row>
    <row r="14" spans="1:19" x14ac:dyDescent="0.25">
      <c r="B14" s="5">
        <v>2</v>
      </c>
      <c r="C14" s="68"/>
      <c r="D14" s="30" t="s">
        <v>23</v>
      </c>
      <c r="E14" s="6">
        <f ca="1">MIN(TIME)</f>
        <v>0</v>
      </c>
      <c r="F14" s="6">
        <f ca="1">MAX(TIME)</f>
        <v>0</v>
      </c>
      <c r="G14" s="6">
        <f ca="1">F14-E14</f>
        <v>0</v>
      </c>
      <c r="H14" s="6" t="e">
        <f ca="1">AVERAGE(TIME)</f>
        <v>#DIV/0!</v>
      </c>
    </row>
    <row r="15" spans="1:19" x14ac:dyDescent="0.25">
      <c r="B15" s="5">
        <v>3</v>
      </c>
      <c r="C15" s="68" t="s">
        <v>1</v>
      </c>
      <c r="D15" s="30" t="s">
        <v>24</v>
      </c>
      <c r="E15" s="5" t="e">
        <f ca="1">MIN(UA)</f>
        <v>#REF!</v>
      </c>
      <c r="F15" s="5" t="e">
        <f ca="1">+MAX(UA)</f>
        <v>#REF!</v>
      </c>
      <c r="G15" s="8" t="e">
        <f t="shared" ref="G15:G17" ca="1" si="0">F15-E15</f>
        <v>#REF!</v>
      </c>
      <c r="H15" s="9" t="e">
        <f ca="1">AVERAGE(UA)</f>
        <v>#REF!</v>
      </c>
    </row>
    <row r="16" spans="1:19" x14ac:dyDescent="0.25">
      <c r="B16" s="5">
        <v>4</v>
      </c>
      <c r="C16" s="68"/>
      <c r="D16" s="30" t="s">
        <v>25</v>
      </c>
      <c r="E16" s="5" t="e">
        <f ca="1">MIN(UA)</f>
        <v>#REF!</v>
      </c>
      <c r="F16" s="5" t="e">
        <f ca="1">+MAX(UB)</f>
        <v>#REF!</v>
      </c>
      <c r="G16" s="8" t="e">
        <f t="shared" ca="1" si="0"/>
        <v>#REF!</v>
      </c>
      <c r="H16" s="9" t="e">
        <f ca="1">AVERAGE(UB)</f>
        <v>#REF!</v>
      </c>
    </row>
    <row r="17" spans="2:21" x14ac:dyDescent="0.25">
      <c r="B17" s="5">
        <v>5</v>
      </c>
      <c r="C17" s="68"/>
      <c r="D17" s="30" t="s">
        <v>26</v>
      </c>
      <c r="E17" s="5" t="e">
        <f ca="1">MIN(UC)</f>
        <v>#REF!</v>
      </c>
      <c r="F17" s="5" t="e">
        <f ca="1">+MAX(UC)</f>
        <v>#REF!</v>
      </c>
      <c r="G17" s="8" t="e">
        <f t="shared" ca="1" si="0"/>
        <v>#REF!</v>
      </c>
      <c r="H17" s="9" t="e">
        <f ca="1">AVERAGE(UC)</f>
        <v>#REF!</v>
      </c>
    </row>
    <row r="18" spans="2:21" x14ac:dyDescent="0.25">
      <c r="B18" s="5">
        <v>6</v>
      </c>
      <c r="C18" s="68"/>
      <c r="D18" s="30" t="s">
        <v>27</v>
      </c>
      <c r="E18" s="5" t="e">
        <f ca="1">MIN(UAVG)</f>
        <v>#REF!</v>
      </c>
      <c r="F18" s="5" t="e">
        <f ca="1">+MAX(UAVG)</f>
        <v>#REF!</v>
      </c>
      <c r="G18" s="8" t="e">
        <f t="shared" ref="G18" ca="1" si="1">F18-E18</f>
        <v>#REF!</v>
      </c>
      <c r="H18" s="9" t="e">
        <f ca="1">AVERAGE(UAVG)</f>
        <v>#REF!</v>
      </c>
    </row>
    <row r="19" spans="2:21" x14ac:dyDescent="0.25">
      <c r="B19" s="5">
        <v>7</v>
      </c>
      <c r="C19" s="68" t="s">
        <v>2</v>
      </c>
      <c r="D19" s="30" t="s">
        <v>28</v>
      </c>
      <c r="E19" s="5" t="e">
        <f ca="1">MIN(UTHA)</f>
        <v>#REF!</v>
      </c>
      <c r="F19" s="5" t="e">
        <f ca="1">+MAX(UTHA)</f>
        <v>#REF!</v>
      </c>
      <c r="G19" s="8" t="e">
        <f t="shared" ref="G19" ca="1" si="2">F19-E19</f>
        <v>#REF!</v>
      </c>
      <c r="H19" s="9" t="e">
        <f ca="1">AVERAGE(UTHA)</f>
        <v>#REF!</v>
      </c>
    </row>
    <row r="20" spans="2:21" x14ac:dyDescent="0.25">
      <c r="B20" s="5">
        <v>8</v>
      </c>
      <c r="C20" s="68"/>
      <c r="D20" s="30" t="s">
        <v>29</v>
      </c>
      <c r="E20" s="5" t="e">
        <f ca="1">MIN(UTHB)</f>
        <v>#REF!</v>
      </c>
      <c r="F20" s="5" t="e">
        <f ca="1">+MAX(UTHB)</f>
        <v>#REF!</v>
      </c>
      <c r="G20" s="8" t="e">
        <f t="shared" ref="G20:G21" ca="1" si="3">F20-E20</f>
        <v>#REF!</v>
      </c>
      <c r="H20" s="9" t="e">
        <f ca="1">AVERAGE(UTHB)</f>
        <v>#REF!</v>
      </c>
    </row>
    <row r="21" spans="2:21" x14ac:dyDescent="0.25">
      <c r="B21" s="5">
        <v>9</v>
      </c>
      <c r="C21" s="68"/>
      <c r="D21" s="30" t="s">
        <v>30</v>
      </c>
      <c r="E21" s="5" t="e">
        <f ca="1">MIN(UTHC)</f>
        <v>#REF!</v>
      </c>
      <c r="F21" s="5" t="e">
        <f ca="1">+MAX(UTHC)</f>
        <v>#REF!</v>
      </c>
      <c r="G21" s="8" t="e">
        <f t="shared" ca="1" si="3"/>
        <v>#REF!</v>
      </c>
      <c r="H21" s="9" t="e">
        <f ca="1">AVERAGE(UTHC)</f>
        <v>#REF!</v>
      </c>
    </row>
    <row r="22" spans="2:21" x14ac:dyDescent="0.25">
      <c r="B22" s="5">
        <v>10</v>
      </c>
      <c r="C22" s="68"/>
      <c r="D22" s="30" t="s">
        <v>31</v>
      </c>
      <c r="E22" s="5" t="e">
        <f ca="1">MIN(UTHAVG)</f>
        <v>#REF!</v>
      </c>
      <c r="F22" s="5" t="e">
        <f ca="1">+MAX(UTHAVG)</f>
        <v>#REF!</v>
      </c>
      <c r="G22" s="8" t="e">
        <f t="shared" ref="G22" ca="1" si="4">F22-E22</f>
        <v>#REF!</v>
      </c>
      <c r="H22" s="9" t="e">
        <f ca="1">AVERAGE(UTHAVG)</f>
        <v>#REF!</v>
      </c>
    </row>
    <row r="23" spans="2:21" x14ac:dyDescent="0.25">
      <c r="B23" s="5">
        <v>11</v>
      </c>
      <c r="C23" s="68" t="s">
        <v>3</v>
      </c>
      <c r="D23" s="30" t="s">
        <v>32</v>
      </c>
      <c r="E23" s="5" t="e">
        <f ca="1">MIN(IA)</f>
        <v>#REF!</v>
      </c>
      <c r="F23" s="5" t="e">
        <f ca="1">+MAX(IA)</f>
        <v>#REF!</v>
      </c>
      <c r="G23" s="8" t="e">
        <f t="shared" ref="G23:G25" ca="1" si="5">F23-E23</f>
        <v>#REF!</v>
      </c>
      <c r="H23" s="9" t="e">
        <f ca="1">AVERAGE(IA)</f>
        <v>#REF!</v>
      </c>
    </row>
    <row r="24" spans="2:21" x14ac:dyDescent="0.25">
      <c r="B24" s="5">
        <v>12</v>
      </c>
      <c r="C24" s="68"/>
      <c r="D24" s="30" t="s">
        <v>33</v>
      </c>
      <c r="E24" s="5" t="e">
        <f ca="1">MIN(IB)</f>
        <v>#REF!</v>
      </c>
      <c r="F24" s="5" t="e">
        <f ca="1">+MAX(IB)</f>
        <v>#REF!</v>
      </c>
      <c r="G24" s="8" t="e">
        <f t="shared" ca="1" si="5"/>
        <v>#REF!</v>
      </c>
      <c r="H24" s="9" t="e">
        <f ca="1">AVERAGE(IB)</f>
        <v>#REF!</v>
      </c>
    </row>
    <row r="25" spans="2:21" x14ac:dyDescent="0.25">
      <c r="B25" s="5">
        <v>13</v>
      </c>
      <c r="C25" s="68"/>
      <c r="D25" s="30" t="s">
        <v>34</v>
      </c>
      <c r="E25" s="5" t="e">
        <f ca="1">MIN(IC)</f>
        <v>#REF!</v>
      </c>
      <c r="F25" s="5" t="e">
        <f ca="1">+MAX(IC)</f>
        <v>#REF!</v>
      </c>
      <c r="G25" s="8" t="e">
        <f t="shared" ca="1" si="5"/>
        <v>#REF!</v>
      </c>
      <c r="H25" s="9" t="e">
        <f ca="1">AVERAGE(IC)</f>
        <v>#REF!</v>
      </c>
    </row>
    <row r="26" spans="2:21" x14ac:dyDescent="0.25">
      <c r="B26" s="5">
        <v>14</v>
      </c>
      <c r="C26" s="68"/>
      <c r="D26" s="30" t="s">
        <v>35</v>
      </c>
      <c r="E26" s="5" t="e">
        <f ca="1">MIN(IAVG)</f>
        <v>#REF!</v>
      </c>
      <c r="F26" s="5" t="e">
        <f ca="1">+MAX(IAVG)</f>
        <v>#REF!</v>
      </c>
      <c r="G26" s="8" t="e">
        <f t="shared" ref="G26:G27" ca="1" si="6">F26-E26</f>
        <v>#REF!</v>
      </c>
      <c r="H26" s="9" t="e">
        <f ca="1">AVERAGE(IAVG)</f>
        <v>#REF!</v>
      </c>
    </row>
    <row r="27" spans="2:21" x14ac:dyDescent="0.25">
      <c r="B27" s="5">
        <v>15</v>
      </c>
      <c r="C27" s="68"/>
      <c r="D27" s="30" t="s">
        <v>36</v>
      </c>
      <c r="E27" s="5" t="e">
        <f ca="1">MIN(IN)</f>
        <v>#REF!</v>
      </c>
      <c r="F27" s="5" t="e">
        <f ca="1">+MAX(IN)</f>
        <v>#REF!</v>
      </c>
      <c r="G27" s="8" t="e">
        <f t="shared" ca="1" si="6"/>
        <v>#REF!</v>
      </c>
      <c r="H27" s="9" t="e">
        <f ca="1">AVERAGE(IN)</f>
        <v>#REF!</v>
      </c>
    </row>
    <row r="28" spans="2:21" x14ac:dyDescent="0.25">
      <c r="B28" s="5">
        <v>16</v>
      </c>
      <c r="C28" s="68" t="s">
        <v>4</v>
      </c>
      <c r="D28" s="30" t="s">
        <v>37</v>
      </c>
      <c r="E28" s="5" t="e">
        <f ca="1">MIN(ITHA)</f>
        <v>#REF!</v>
      </c>
      <c r="F28" s="5" t="e">
        <f ca="1">+MAX(ITHA)</f>
        <v>#REF!</v>
      </c>
      <c r="G28" s="8" t="e">
        <f t="shared" ref="G28:G30" ca="1" si="7">F28-E28</f>
        <v>#REF!</v>
      </c>
      <c r="H28" s="9" t="e">
        <f ca="1">AVERAGE(ITHA)</f>
        <v>#REF!</v>
      </c>
    </row>
    <row r="29" spans="2:21" x14ac:dyDescent="0.25">
      <c r="B29" s="5">
        <v>17</v>
      </c>
      <c r="C29" s="68"/>
      <c r="D29" s="30" t="s">
        <v>38</v>
      </c>
      <c r="E29" s="5" t="e">
        <f ca="1">MIN(ITHB)</f>
        <v>#REF!</v>
      </c>
      <c r="F29" s="5" t="e">
        <f ca="1">+MAX(ITHB)</f>
        <v>#REF!</v>
      </c>
      <c r="G29" s="8" t="e">
        <f t="shared" ca="1" si="7"/>
        <v>#REF!</v>
      </c>
      <c r="H29" s="9" t="e">
        <f ca="1">AVERAGE(ITHB)</f>
        <v>#REF!</v>
      </c>
      <c r="U29" t="str">
        <f>C32</f>
        <v>ITHD2(%)</v>
      </c>
    </row>
    <row r="30" spans="2:21" x14ac:dyDescent="0.25">
      <c r="B30" s="5">
        <v>18</v>
      </c>
      <c r="C30" s="68"/>
      <c r="D30" s="30" t="s">
        <v>39</v>
      </c>
      <c r="E30" s="5" t="e">
        <f ca="1">MIN(ITHC)</f>
        <v>#REF!</v>
      </c>
      <c r="F30" s="5" t="e">
        <f ca="1">+MAX(ITHC)</f>
        <v>#REF!</v>
      </c>
      <c r="G30" s="8" t="e">
        <f t="shared" ca="1" si="7"/>
        <v>#REF!</v>
      </c>
      <c r="H30" s="9" t="e">
        <f ca="1">AVERAGE(ITHC)</f>
        <v>#REF!</v>
      </c>
      <c r="U30" t="str">
        <f>C35</f>
        <v>ITHD3(%)</v>
      </c>
    </row>
    <row r="31" spans="2:21" x14ac:dyDescent="0.25">
      <c r="B31" s="5">
        <v>19</v>
      </c>
      <c r="C31" s="68"/>
      <c r="D31" s="30" t="s">
        <v>40</v>
      </c>
      <c r="E31" s="5" t="e">
        <f ca="1">MIN(ITHAVG)</f>
        <v>#REF!</v>
      </c>
      <c r="F31" s="5" t="e">
        <f ca="1">+MAX(ITHAVG)</f>
        <v>#REF!</v>
      </c>
      <c r="G31" s="8" t="e">
        <f t="shared" ref="G31:G34" ca="1" si="8">F31-E31</f>
        <v>#REF!</v>
      </c>
      <c r="H31" s="9" t="e">
        <f ca="1">AVERAGE(ITHAVG)</f>
        <v>#REF!</v>
      </c>
      <c r="U31" t="str">
        <f>C38</f>
        <v>ITHD4(%)</v>
      </c>
    </row>
    <row r="32" spans="2:21" x14ac:dyDescent="0.25">
      <c r="B32" s="5">
        <v>20</v>
      </c>
      <c r="C32" s="68" t="str">
        <f>datos!$S$2</f>
        <v>ITHD2(%)</v>
      </c>
      <c r="D32" s="30" t="s">
        <v>41</v>
      </c>
      <c r="E32" s="5" t="e">
        <f ca="1">MIN(ITHXA)</f>
        <v>#REF!</v>
      </c>
      <c r="F32" s="5" t="e">
        <f ca="1">+MAX(ITHXA)</f>
        <v>#REF!</v>
      </c>
      <c r="G32" s="8" t="e">
        <f t="shared" ca="1" si="8"/>
        <v>#REF!</v>
      </c>
      <c r="H32" s="9" t="e">
        <f ca="1">AVERAGE(ITHXA)</f>
        <v>#REF!</v>
      </c>
      <c r="U32" t="str">
        <f>C41</f>
        <v>Frequency(Hz)</v>
      </c>
    </row>
    <row r="33" spans="2:21" x14ac:dyDescent="0.25">
      <c r="B33" s="5">
        <v>21</v>
      </c>
      <c r="C33" s="68"/>
      <c r="D33" s="30" t="s">
        <v>42</v>
      </c>
      <c r="E33" s="5" t="e">
        <f ca="1">MIN(ITHXB)</f>
        <v>#REF!</v>
      </c>
      <c r="F33" s="5" t="e">
        <f ca="1">+MAX(ITHXB)</f>
        <v>#REF!</v>
      </c>
      <c r="G33" s="8" t="e">
        <f t="shared" ca="1" si="8"/>
        <v>#REF!</v>
      </c>
      <c r="H33" s="9" t="e">
        <f ca="1">AVERAGE(ITHXB)</f>
        <v>#REF!</v>
      </c>
      <c r="U33">
        <f>C44</f>
        <v>0</v>
      </c>
    </row>
    <row r="34" spans="2:21" x14ac:dyDescent="0.25">
      <c r="B34" s="5">
        <v>22</v>
      </c>
      <c r="C34" s="68"/>
      <c r="D34" s="30" t="s">
        <v>43</v>
      </c>
      <c r="E34" s="5" t="e">
        <f ca="1">MIN(ITHXC)</f>
        <v>#REF!</v>
      </c>
      <c r="F34" s="5" t="e">
        <f ca="1">+MAX(ITHXC)</f>
        <v>#REF!</v>
      </c>
      <c r="G34" s="8" t="e">
        <f t="shared" ca="1" si="8"/>
        <v>#REF!</v>
      </c>
      <c r="H34" s="9" t="e">
        <f ca="1">AVERAGE(ITHXC)</f>
        <v>#REF!</v>
      </c>
    </row>
    <row r="35" spans="2:21" x14ac:dyDescent="0.25">
      <c r="B35" s="5">
        <v>23</v>
      </c>
      <c r="C35" s="68" t="str">
        <f>datos!$V$2</f>
        <v>ITHD3(%)</v>
      </c>
      <c r="D35" s="30" t="s">
        <v>44</v>
      </c>
      <c r="E35" s="5" t="e">
        <f ca="1">MIN(ITHYA)</f>
        <v>#REF!</v>
      </c>
      <c r="F35" s="5" t="e">
        <f ca="1">+MAX(ITHYA)</f>
        <v>#REF!</v>
      </c>
      <c r="G35" s="8" t="e">
        <f t="shared" ref="G35:G37" ca="1" si="9">F35-E35</f>
        <v>#REF!</v>
      </c>
      <c r="H35" s="9" t="e">
        <f ca="1">AVERAGE(ITHYA)</f>
        <v>#REF!</v>
      </c>
    </row>
    <row r="36" spans="2:21" x14ac:dyDescent="0.25">
      <c r="B36" s="5">
        <v>24</v>
      </c>
      <c r="C36" s="68"/>
      <c r="D36" s="30" t="s">
        <v>45</v>
      </c>
      <c r="E36" s="5" t="e">
        <f ca="1">MIN(ITHYB)</f>
        <v>#REF!</v>
      </c>
      <c r="F36" s="5" t="e">
        <f ca="1">+MAX(ITHYB)</f>
        <v>#REF!</v>
      </c>
      <c r="G36" s="8" t="e">
        <f t="shared" ca="1" si="9"/>
        <v>#REF!</v>
      </c>
      <c r="H36" s="9" t="e">
        <f ca="1">AVERAGE(ITHYB)</f>
        <v>#REF!</v>
      </c>
    </row>
    <row r="37" spans="2:21" x14ac:dyDescent="0.25">
      <c r="B37" s="5">
        <v>25</v>
      </c>
      <c r="C37" s="68"/>
      <c r="D37" s="30" t="s">
        <v>46</v>
      </c>
      <c r="E37" s="5" t="e">
        <f ca="1">MIN(ITHYC)</f>
        <v>#REF!</v>
      </c>
      <c r="F37" s="5" t="e">
        <f ca="1">+MAX(ITHYC)</f>
        <v>#REF!</v>
      </c>
      <c r="G37" s="8" t="e">
        <f t="shared" ca="1" si="9"/>
        <v>#REF!</v>
      </c>
      <c r="H37" s="9" t="e">
        <f ca="1">AVERAGE(ITHYC)</f>
        <v>#REF!</v>
      </c>
    </row>
    <row r="38" spans="2:21" x14ac:dyDescent="0.25">
      <c r="B38" s="5">
        <v>26</v>
      </c>
      <c r="C38" s="68" t="str">
        <f>datos!$Y$2</f>
        <v>ITHD4(%)</v>
      </c>
      <c r="D38" s="30" t="s">
        <v>47</v>
      </c>
      <c r="E38" s="5" t="e">
        <f ca="1">MIN(ITHZA)</f>
        <v>#REF!</v>
      </c>
      <c r="F38" s="5" t="e">
        <f ca="1">+MAX(ITHZA)</f>
        <v>#REF!</v>
      </c>
      <c r="G38" s="8" t="e">
        <f t="shared" ref="G38:G40" ca="1" si="10">F38-E38</f>
        <v>#REF!</v>
      </c>
      <c r="H38" s="9" t="e">
        <f ca="1">AVERAGE(ITHZA)</f>
        <v>#REF!</v>
      </c>
    </row>
    <row r="39" spans="2:21" x14ac:dyDescent="0.25">
      <c r="B39" s="5">
        <v>27</v>
      </c>
      <c r="C39" s="68"/>
      <c r="D39" s="30" t="s">
        <v>48</v>
      </c>
      <c r="E39" s="5" t="e">
        <f ca="1">MIN(ITHZB)</f>
        <v>#REF!</v>
      </c>
      <c r="F39" s="5" t="e">
        <f ca="1">+MAX(ITHZB)</f>
        <v>#REF!</v>
      </c>
      <c r="G39" s="8" t="e">
        <f t="shared" ca="1" si="10"/>
        <v>#REF!</v>
      </c>
      <c r="H39" s="9" t="e">
        <f ca="1">AVERAGE(ITHZB)</f>
        <v>#REF!</v>
      </c>
    </row>
    <row r="40" spans="2:21" x14ac:dyDescent="0.25">
      <c r="B40" s="5">
        <v>28</v>
      </c>
      <c r="C40" s="68"/>
      <c r="D40" s="30" t="s">
        <v>49</v>
      </c>
      <c r="E40" s="5" t="e">
        <f ca="1">MIN(ITHZC)</f>
        <v>#REF!</v>
      </c>
      <c r="F40" s="5" t="e">
        <f ca="1">+MAX(ITHZC)</f>
        <v>#REF!</v>
      </c>
      <c r="G40" s="8" t="e">
        <f t="shared" ca="1" si="10"/>
        <v>#REF!</v>
      </c>
      <c r="H40" s="9" t="e">
        <f ca="1">AVERAGE(ITHZC)</f>
        <v>#REF!</v>
      </c>
    </row>
    <row r="41" spans="2:21" x14ac:dyDescent="0.25">
      <c r="B41" s="5">
        <v>29</v>
      </c>
      <c r="C41" s="68" t="str">
        <f>datos!$AB$2</f>
        <v>Frequency(Hz)</v>
      </c>
      <c r="D41" s="30" t="s">
        <v>50</v>
      </c>
      <c r="E41" s="5" t="e">
        <f ca="1">MIN(ITHVA)</f>
        <v>#REF!</v>
      </c>
      <c r="F41" s="5" t="e">
        <f ca="1">+MAX(ITHVA)</f>
        <v>#REF!</v>
      </c>
      <c r="G41" s="8" t="e">
        <f t="shared" ref="G41:G43" ca="1" si="11">F41-E41</f>
        <v>#REF!</v>
      </c>
      <c r="H41" s="9" t="e">
        <f ca="1">AVERAGE(ITHVA)</f>
        <v>#REF!</v>
      </c>
    </row>
    <row r="42" spans="2:21" x14ac:dyDescent="0.25">
      <c r="B42" s="5">
        <v>30</v>
      </c>
      <c r="C42" s="68"/>
      <c r="D42" s="30" t="s">
        <v>51</v>
      </c>
      <c r="E42" s="5" t="e">
        <f ca="1">MIN(ITHVB)</f>
        <v>#REF!</v>
      </c>
      <c r="F42" s="5" t="e">
        <f ca="1">+MAX(ITHVB)</f>
        <v>#REF!</v>
      </c>
      <c r="G42" s="8" t="e">
        <f t="shared" ca="1" si="11"/>
        <v>#REF!</v>
      </c>
      <c r="H42" s="9" t="e">
        <f ca="1">AVERAGE(ITHVB)</f>
        <v>#REF!</v>
      </c>
    </row>
    <row r="43" spans="2:21" x14ac:dyDescent="0.25">
      <c r="B43" s="5">
        <v>31</v>
      </c>
      <c r="C43" s="68"/>
      <c r="D43" s="30" t="s">
        <v>52</v>
      </c>
      <c r="E43" s="5" t="e">
        <f ca="1">MIN(ITHVC)</f>
        <v>#REF!</v>
      </c>
      <c r="F43" s="5" t="e">
        <f ca="1">+MAX(ITHVC)</f>
        <v>#REF!</v>
      </c>
      <c r="G43" s="8" t="e">
        <f t="shared" ca="1" si="11"/>
        <v>#REF!</v>
      </c>
      <c r="H43" s="9" t="e">
        <f ca="1">AVERAGE(ITHVC)</f>
        <v>#REF!</v>
      </c>
    </row>
    <row r="44" spans="2:21" x14ac:dyDescent="0.25">
      <c r="B44" s="5">
        <v>32</v>
      </c>
      <c r="C44" s="68">
        <f>datos!$AE$2</f>
        <v>0</v>
      </c>
      <c r="D44" s="30" t="s">
        <v>53</v>
      </c>
      <c r="E44" s="5" t="e">
        <f ca="1">MIN(ITHWA)</f>
        <v>#REF!</v>
      </c>
      <c r="F44" s="5" t="e">
        <f ca="1">+MAX(ITHWA)</f>
        <v>#REF!</v>
      </c>
      <c r="G44" s="8" t="e">
        <f t="shared" ref="G44:G58" ca="1" si="12">F44-E44</f>
        <v>#REF!</v>
      </c>
      <c r="H44" s="9" t="e">
        <f ca="1">AVERAGE(ITHWA)</f>
        <v>#REF!</v>
      </c>
    </row>
    <row r="45" spans="2:21" x14ac:dyDescent="0.25">
      <c r="B45" s="5">
        <v>33</v>
      </c>
      <c r="C45" s="68"/>
      <c r="D45" s="30" t="s">
        <v>54</v>
      </c>
      <c r="E45" s="5" t="e">
        <f ca="1">MIN(ITHWB)</f>
        <v>#REF!</v>
      </c>
      <c r="F45" s="5" t="e">
        <f ca="1">+MAX(ITHWB)</f>
        <v>#REF!</v>
      </c>
      <c r="G45" s="8" t="e">
        <f t="shared" ca="1" si="12"/>
        <v>#REF!</v>
      </c>
      <c r="H45" s="9" t="e">
        <f ca="1">AVERAGE(ITHWB)</f>
        <v>#REF!</v>
      </c>
    </row>
    <row r="46" spans="2:21" x14ac:dyDescent="0.25">
      <c r="B46" s="5">
        <v>34</v>
      </c>
      <c r="C46" s="68"/>
      <c r="D46" s="30" t="s">
        <v>55</v>
      </c>
      <c r="E46" s="5" t="e">
        <f ca="1">MIN(ITHWC)</f>
        <v>#REF!</v>
      </c>
      <c r="F46" s="5" t="e">
        <f ca="1">+MAX(ITHWC)</f>
        <v>#REF!</v>
      </c>
      <c r="G46" s="8" t="e">
        <f t="shared" ca="1" si="12"/>
        <v>#REF!</v>
      </c>
      <c r="H46" s="9" t="e">
        <f ca="1">AVERAGE(ITHWC)</f>
        <v>#REF!</v>
      </c>
    </row>
    <row r="47" spans="2:21" x14ac:dyDescent="0.25">
      <c r="B47" s="5">
        <v>35</v>
      </c>
      <c r="C47" s="68">
        <f>datos!$AH$2</f>
        <v>0</v>
      </c>
      <c r="D47" s="30" t="s">
        <v>41</v>
      </c>
      <c r="E47" s="5" t="e">
        <f ca="1">MIN(ITHXAA)</f>
        <v>#REF!</v>
      </c>
      <c r="F47" s="5" t="e">
        <f ca="1">+MAX(ITHXAA)</f>
        <v>#REF!</v>
      </c>
      <c r="G47" s="8" t="e">
        <f t="shared" ca="1" si="12"/>
        <v>#REF!</v>
      </c>
      <c r="H47" s="9" t="e">
        <f ca="1">AVERAGE(ITHXAA)</f>
        <v>#REF!</v>
      </c>
    </row>
    <row r="48" spans="2:21" x14ac:dyDescent="0.25">
      <c r="B48" s="5">
        <v>36</v>
      </c>
      <c r="C48" s="68"/>
      <c r="D48" s="30" t="s">
        <v>42</v>
      </c>
      <c r="E48" s="5" t="e">
        <f ca="1">MIN(ITHXBA)</f>
        <v>#REF!</v>
      </c>
      <c r="F48" s="5" t="e">
        <f ca="1">+MAX(ITHXBA)</f>
        <v>#REF!</v>
      </c>
      <c r="G48" s="8" t="e">
        <f t="shared" ca="1" si="12"/>
        <v>#REF!</v>
      </c>
      <c r="H48" s="9" t="e">
        <f ca="1">AVERAGE(ITHXBA)</f>
        <v>#REF!</v>
      </c>
    </row>
    <row r="49" spans="2:8" x14ac:dyDescent="0.25">
      <c r="B49" s="5">
        <v>37</v>
      </c>
      <c r="C49" s="68"/>
      <c r="D49" s="30" t="s">
        <v>43</v>
      </c>
      <c r="E49" s="5" t="e">
        <f ca="1">MIN(ITHXCA)</f>
        <v>#REF!</v>
      </c>
      <c r="F49" s="5" t="e">
        <f ca="1">+MAX(ITHXCA)</f>
        <v>#REF!</v>
      </c>
      <c r="G49" s="8" t="e">
        <f t="shared" ca="1" si="12"/>
        <v>#REF!</v>
      </c>
      <c r="H49" s="9" t="e">
        <f ca="1">AVERAGE(ITHXCA)</f>
        <v>#REF!</v>
      </c>
    </row>
    <row r="50" spans="2:8" x14ac:dyDescent="0.25">
      <c r="B50" s="5">
        <v>38</v>
      </c>
      <c r="C50" s="68">
        <f>datos!$AK$2</f>
        <v>0</v>
      </c>
      <c r="D50" s="30" t="s">
        <v>44</v>
      </c>
      <c r="E50" s="5" t="e">
        <f ca="1">MIN(ITHYAA)</f>
        <v>#REF!</v>
      </c>
      <c r="F50" s="5" t="e">
        <f ca="1">+MAX(ITHYAA)</f>
        <v>#REF!</v>
      </c>
      <c r="G50" s="8" t="e">
        <f t="shared" ca="1" si="12"/>
        <v>#REF!</v>
      </c>
      <c r="H50" s="9" t="e">
        <f ca="1">AVERAGE(ITHYAA)</f>
        <v>#REF!</v>
      </c>
    </row>
    <row r="51" spans="2:8" x14ac:dyDescent="0.25">
      <c r="B51" s="5">
        <v>39</v>
      </c>
      <c r="C51" s="68"/>
      <c r="D51" s="30" t="s">
        <v>45</v>
      </c>
      <c r="E51" s="5" t="e">
        <f ca="1">MIN(ITHYBA)</f>
        <v>#REF!</v>
      </c>
      <c r="F51" s="5" t="e">
        <f ca="1">+MAX(ITHYBA)</f>
        <v>#REF!</v>
      </c>
      <c r="G51" s="8" t="e">
        <f t="shared" ca="1" si="12"/>
        <v>#REF!</v>
      </c>
      <c r="H51" s="9" t="e">
        <f ca="1">AVERAGE(ITHYBA)</f>
        <v>#REF!</v>
      </c>
    </row>
    <row r="52" spans="2:8" x14ac:dyDescent="0.25">
      <c r="B52" s="5">
        <v>40</v>
      </c>
      <c r="C52" s="68"/>
      <c r="D52" s="30" t="s">
        <v>46</v>
      </c>
      <c r="E52" s="5" t="e">
        <f ca="1">MIN(ITHYCA)</f>
        <v>#REF!</v>
      </c>
      <c r="F52" s="5" t="e">
        <f ca="1">+MAX(ITHYCA)</f>
        <v>#REF!</v>
      </c>
      <c r="G52" s="8" t="e">
        <f t="shared" ca="1" si="12"/>
        <v>#REF!</v>
      </c>
      <c r="H52" s="9" t="e">
        <f ca="1">AVERAGE(ITHYCA)</f>
        <v>#REF!</v>
      </c>
    </row>
    <row r="53" spans="2:8" x14ac:dyDescent="0.25">
      <c r="B53" s="5">
        <v>41</v>
      </c>
      <c r="C53" s="68" t="str">
        <f>datos!$AN$2</f>
        <v>Reactive Power(Var)</v>
      </c>
      <c r="D53" s="30" t="s">
        <v>47</v>
      </c>
      <c r="E53" s="5" t="e">
        <f ca="1">MIN(ITHZAA)</f>
        <v>#REF!</v>
      </c>
      <c r="F53" s="5" t="e">
        <f ca="1">+MAX(ITHZAA)</f>
        <v>#REF!</v>
      </c>
      <c r="G53" s="8" t="e">
        <f t="shared" ca="1" si="12"/>
        <v>#REF!</v>
      </c>
      <c r="H53" s="9" t="e">
        <f ca="1">AVERAGE(ITHZAA)</f>
        <v>#REF!</v>
      </c>
    </row>
    <row r="54" spans="2:8" x14ac:dyDescent="0.25">
      <c r="B54" s="5">
        <v>42</v>
      </c>
      <c r="C54" s="68"/>
      <c r="D54" s="30" t="s">
        <v>48</v>
      </c>
      <c r="E54" s="5" t="e">
        <f ca="1">MIN(ITHZBA)</f>
        <v>#REF!</v>
      </c>
      <c r="F54" s="5" t="e">
        <f ca="1">+MAX(ITHZBA)</f>
        <v>#REF!</v>
      </c>
      <c r="G54" s="8" t="e">
        <f t="shared" ca="1" si="12"/>
        <v>#REF!</v>
      </c>
      <c r="H54" s="9" t="e">
        <f ca="1">AVERAGE(ITHZBA)</f>
        <v>#REF!</v>
      </c>
    </row>
    <row r="55" spans="2:8" x14ac:dyDescent="0.25">
      <c r="B55" s="5">
        <v>43</v>
      </c>
      <c r="C55" s="68"/>
      <c r="D55" s="30" t="s">
        <v>49</v>
      </c>
      <c r="E55" s="5" t="e">
        <f ca="1">MIN(ITHZCA)</f>
        <v>#REF!</v>
      </c>
      <c r="F55" s="5" t="e">
        <f ca="1">+MAX(ITHZCA)</f>
        <v>#REF!</v>
      </c>
      <c r="G55" s="8" t="e">
        <f t="shared" ca="1" si="12"/>
        <v>#REF!</v>
      </c>
      <c r="H55" s="9" t="e">
        <f ca="1">AVERAGE(ITHZCA)</f>
        <v>#REF!</v>
      </c>
    </row>
    <row r="56" spans="2:8" x14ac:dyDescent="0.25">
      <c r="B56" s="5">
        <v>44</v>
      </c>
      <c r="C56" s="68">
        <f>datos!$AQ$2</f>
        <v>0</v>
      </c>
      <c r="D56" s="30" t="s">
        <v>50</v>
      </c>
      <c r="E56" s="5" t="e">
        <f ca="1">MIN(ITHVAA)</f>
        <v>#REF!</v>
      </c>
      <c r="F56" s="5" t="e">
        <f ca="1">+MAX(ITHVAA)</f>
        <v>#REF!</v>
      </c>
      <c r="G56" s="8" t="e">
        <f t="shared" ca="1" si="12"/>
        <v>#REF!</v>
      </c>
      <c r="H56" s="9" t="e">
        <f ca="1">AVERAGE(ITHVAA)</f>
        <v>#REF!</v>
      </c>
    </row>
    <row r="57" spans="2:8" x14ac:dyDescent="0.25">
      <c r="B57" s="5">
        <v>45</v>
      </c>
      <c r="C57" s="68"/>
      <c r="D57" s="30" t="s">
        <v>51</v>
      </c>
      <c r="E57" s="5" t="e">
        <f ca="1">MIN(ITHVBA)</f>
        <v>#REF!</v>
      </c>
      <c r="F57" s="5" t="e">
        <f ca="1">+MAX(ITHVBA)</f>
        <v>#REF!</v>
      </c>
      <c r="G57" s="8" t="e">
        <f t="shared" ca="1" si="12"/>
        <v>#REF!</v>
      </c>
      <c r="H57" s="9" t="e">
        <f ca="1">AVERAGE(ITHVBA)</f>
        <v>#REF!</v>
      </c>
    </row>
    <row r="58" spans="2:8" x14ac:dyDescent="0.25">
      <c r="B58" s="5">
        <v>46</v>
      </c>
      <c r="C58" s="68"/>
      <c r="D58" s="30" t="s">
        <v>52</v>
      </c>
      <c r="E58" s="5" t="e">
        <f ca="1">MIN(ITHVCA)</f>
        <v>#REF!</v>
      </c>
      <c r="F58" s="5" t="e">
        <f ca="1">+MAX(ITHVCA)</f>
        <v>#REF!</v>
      </c>
      <c r="G58" s="8" t="e">
        <f t="shared" ca="1" si="12"/>
        <v>#REF!</v>
      </c>
      <c r="H58" s="9" t="e">
        <f ca="1">AVERAGE(ITHVCA)</f>
        <v>#REF!</v>
      </c>
    </row>
    <row r="59" spans="2:8" x14ac:dyDescent="0.25">
      <c r="B59" s="5">
        <v>47</v>
      </c>
      <c r="C59" s="68">
        <f>datos!$AT$2</f>
        <v>0</v>
      </c>
      <c r="D59" s="30" t="s">
        <v>53</v>
      </c>
      <c r="E59" s="5" t="e">
        <f ca="1">MIN(ITHWAA)</f>
        <v>#REF!</v>
      </c>
      <c r="F59" s="5" t="e">
        <f ca="1">+MAX(ITHWAA)</f>
        <v>#REF!</v>
      </c>
      <c r="G59" s="8" t="e">
        <f t="shared" ref="G59:G61" ca="1" si="13">F59-E59</f>
        <v>#REF!</v>
      </c>
      <c r="H59" s="9" t="e">
        <f ca="1">AVERAGE(ITHWAA)</f>
        <v>#REF!</v>
      </c>
    </row>
    <row r="60" spans="2:8" x14ac:dyDescent="0.25">
      <c r="B60" s="5">
        <v>48</v>
      </c>
      <c r="C60" s="68"/>
      <c r="D60" s="30" t="s">
        <v>54</v>
      </c>
      <c r="E60" s="5" t="e">
        <f ca="1">MIN(ITHWBA)</f>
        <v>#REF!</v>
      </c>
      <c r="F60" s="5" t="e">
        <f ca="1">+MAX(ITHWBA)</f>
        <v>#REF!</v>
      </c>
      <c r="G60" s="8" t="e">
        <f t="shared" ca="1" si="13"/>
        <v>#REF!</v>
      </c>
      <c r="H60" s="9" t="e">
        <f ca="1">AVERAGE(ITHWBA)</f>
        <v>#REF!</v>
      </c>
    </row>
    <row r="61" spans="2:8" x14ac:dyDescent="0.25">
      <c r="B61" s="5">
        <v>49</v>
      </c>
      <c r="C61" s="68"/>
      <c r="D61" s="30" t="s">
        <v>55</v>
      </c>
      <c r="E61" s="5" t="e">
        <f ca="1">MIN(ITHWCA)</f>
        <v>#REF!</v>
      </c>
      <c r="F61" s="5" t="e">
        <f ca="1">+MAX(ITHWCA)</f>
        <v>#REF!</v>
      </c>
      <c r="G61" s="8" t="e">
        <f t="shared" ca="1" si="13"/>
        <v>#REF!</v>
      </c>
      <c r="H61" s="9" t="e">
        <f ca="1">AVERAGE(ITHWCA)</f>
        <v>#REF!</v>
      </c>
    </row>
    <row r="62" spans="2:8" x14ac:dyDescent="0.25">
      <c r="B62" s="5">
        <v>50</v>
      </c>
      <c r="C62" s="69" t="s">
        <v>6</v>
      </c>
      <c r="D62" s="30" t="s">
        <v>56</v>
      </c>
      <c r="E62" s="5" t="e">
        <f ca="1">MIN(F_A)</f>
        <v>#REF!</v>
      </c>
      <c r="F62" s="5" t="e">
        <f ca="1">+MAX(F_A)</f>
        <v>#REF!</v>
      </c>
      <c r="G62" s="8" t="e">
        <f t="shared" ref="G62:G64" ca="1" si="14">F62-E62</f>
        <v>#REF!</v>
      </c>
      <c r="H62" s="9" t="e">
        <f ca="1">AVERAGE(F_A)</f>
        <v>#REF!</v>
      </c>
    </row>
    <row r="63" spans="2:8" x14ac:dyDescent="0.25">
      <c r="B63" s="5">
        <v>51</v>
      </c>
      <c r="C63" s="70"/>
      <c r="D63" s="30" t="s">
        <v>57</v>
      </c>
      <c r="E63" s="5" t="e">
        <f ca="1">MIN(F_B)</f>
        <v>#REF!</v>
      </c>
      <c r="F63" s="5" t="e">
        <f ca="1">+MAX(F_B)</f>
        <v>#REF!</v>
      </c>
      <c r="G63" s="8" t="e">
        <f t="shared" ca="1" si="14"/>
        <v>#REF!</v>
      </c>
      <c r="H63" s="9" t="e">
        <f ca="1">AVERAGE(F_B)</f>
        <v>#REF!</v>
      </c>
    </row>
    <row r="64" spans="2:8" x14ac:dyDescent="0.25">
      <c r="B64" s="5">
        <v>52</v>
      </c>
      <c r="C64" s="70"/>
      <c r="D64" s="30" t="s">
        <v>58</v>
      </c>
      <c r="E64" s="5" t="e">
        <f ca="1">MIN(F_C)</f>
        <v>#REF!</v>
      </c>
      <c r="F64" s="5" t="e">
        <f ca="1">+MAX(F_C)</f>
        <v>#REF!</v>
      </c>
      <c r="G64" s="8" t="e">
        <f t="shared" ca="1" si="14"/>
        <v>#REF!</v>
      </c>
      <c r="H64" s="9" t="e">
        <f ca="1">AVERAGE(F_C)</f>
        <v>#REF!</v>
      </c>
    </row>
    <row r="65" spans="2:8" x14ac:dyDescent="0.25">
      <c r="B65" s="5">
        <v>53</v>
      </c>
      <c r="C65" s="71"/>
      <c r="D65" s="30" t="s">
        <v>59</v>
      </c>
      <c r="E65" s="5" t="e">
        <f ca="1">MIN(F_AVG)</f>
        <v>#REF!</v>
      </c>
      <c r="F65" s="5" t="e">
        <f ca="1">+MAX(F_AVG)</f>
        <v>#REF!</v>
      </c>
      <c r="G65" s="8" t="e">
        <f t="shared" ref="G65" ca="1" si="15">F65-E65</f>
        <v>#REF!</v>
      </c>
      <c r="H65" s="9" t="e">
        <f ca="1">AVERAGE(F_AVG)</f>
        <v>#REF!</v>
      </c>
    </row>
    <row r="66" spans="2:8" x14ac:dyDescent="0.25">
      <c r="B66" s="5">
        <v>54</v>
      </c>
      <c r="C66" s="69" t="s">
        <v>7</v>
      </c>
      <c r="D66" s="30" t="s">
        <v>60</v>
      </c>
      <c r="E66" s="16" t="e">
        <f ca="1">MIN(PFA)</f>
        <v>#REF!</v>
      </c>
      <c r="F66" s="16" t="e">
        <f ca="1">+MAX(PFA)</f>
        <v>#REF!</v>
      </c>
      <c r="G66" s="16" t="e">
        <f t="shared" ref="G66:G68" ca="1" si="16">F66-E66</f>
        <v>#REF!</v>
      </c>
      <c r="H66" s="16" t="e">
        <f ca="1">AVERAGE(PFA)</f>
        <v>#REF!</v>
      </c>
    </row>
    <row r="67" spans="2:8" x14ac:dyDescent="0.25">
      <c r="B67" s="5">
        <v>55</v>
      </c>
      <c r="C67" s="70"/>
      <c r="D67" s="30" t="s">
        <v>61</v>
      </c>
      <c r="E67" s="16" t="e">
        <f ca="1">MIN(PFB)</f>
        <v>#REF!</v>
      </c>
      <c r="F67" s="16" t="e">
        <f ca="1">+MAX(PFB)</f>
        <v>#REF!</v>
      </c>
      <c r="G67" s="16" t="e">
        <f t="shared" ca="1" si="16"/>
        <v>#REF!</v>
      </c>
      <c r="H67" s="16" t="e">
        <f ca="1">AVERAGE(PFB)</f>
        <v>#REF!</v>
      </c>
    </row>
    <row r="68" spans="2:8" x14ac:dyDescent="0.25">
      <c r="B68" s="5">
        <v>56</v>
      </c>
      <c r="C68" s="70"/>
      <c r="D68" s="30" t="s">
        <v>62</v>
      </c>
      <c r="E68" s="16" t="e">
        <f ca="1">MIN(PFC)</f>
        <v>#REF!</v>
      </c>
      <c r="F68" s="16" t="e">
        <f ca="1">+MAX(PFC)</f>
        <v>#REF!</v>
      </c>
      <c r="G68" s="16" t="e">
        <f t="shared" ca="1" si="16"/>
        <v>#REF!</v>
      </c>
      <c r="H68" s="16" t="e">
        <f ca="1">AVERAGE(PFC)</f>
        <v>#REF!</v>
      </c>
    </row>
    <row r="69" spans="2:8" x14ac:dyDescent="0.25">
      <c r="B69" s="5">
        <v>57</v>
      </c>
      <c r="C69" s="71"/>
      <c r="D69" s="30" t="s">
        <v>63</v>
      </c>
      <c r="E69" s="5" t="e">
        <f ca="1">MIN(PFAVG)</f>
        <v>#REF!</v>
      </c>
      <c r="F69" s="5" t="e">
        <f ca="1">+MAX(PFAVG)</f>
        <v>#REF!</v>
      </c>
      <c r="G69" s="8" t="e">
        <f t="shared" ref="G69" ca="1" si="17">F69-E69</f>
        <v>#REF!</v>
      </c>
      <c r="H69" s="9" t="e">
        <f ca="1">AVERAGE(PFAVG)</f>
        <v>#REF!</v>
      </c>
    </row>
    <row r="70" spans="2:8" x14ac:dyDescent="0.25">
      <c r="B70" s="5">
        <v>58</v>
      </c>
      <c r="C70" s="69" t="s">
        <v>8</v>
      </c>
      <c r="D70" s="30" t="s">
        <v>64</v>
      </c>
      <c r="E70" s="12" t="e">
        <f ca="1">MIN(P_A)</f>
        <v>#REF!</v>
      </c>
      <c r="F70" s="12" t="e">
        <f ca="1">+MAX(P_A)</f>
        <v>#REF!</v>
      </c>
      <c r="G70" s="12" t="e">
        <f t="shared" ref="G70:G72" ca="1" si="18">F70-E70</f>
        <v>#REF!</v>
      </c>
      <c r="H70" s="12" t="e">
        <f ca="1">AVERAGE(P_A)</f>
        <v>#REF!</v>
      </c>
    </row>
    <row r="71" spans="2:8" x14ac:dyDescent="0.25">
      <c r="B71" s="5">
        <v>59</v>
      </c>
      <c r="C71" s="70"/>
      <c r="D71" s="30" t="s">
        <v>65</v>
      </c>
      <c r="E71" s="12" t="e">
        <f ca="1">MIN(P_B)</f>
        <v>#REF!</v>
      </c>
      <c r="F71" s="12" t="e">
        <f ca="1">+MAX(P_B)</f>
        <v>#REF!</v>
      </c>
      <c r="G71" s="12" t="e">
        <f t="shared" ca="1" si="18"/>
        <v>#REF!</v>
      </c>
      <c r="H71" s="12" t="e">
        <f ca="1">AVERAGE(P_B)</f>
        <v>#REF!</v>
      </c>
    </row>
    <row r="72" spans="2:8" x14ac:dyDescent="0.25">
      <c r="B72" s="5">
        <v>60</v>
      </c>
      <c r="C72" s="70"/>
      <c r="D72" s="30" t="s">
        <v>66</v>
      </c>
      <c r="E72" s="12" t="e">
        <f ca="1">MIN(P_C)</f>
        <v>#REF!</v>
      </c>
      <c r="F72" s="12" t="e">
        <f ca="1">+MAX(P_C)</f>
        <v>#REF!</v>
      </c>
      <c r="G72" s="12" t="e">
        <f t="shared" ca="1" si="18"/>
        <v>#REF!</v>
      </c>
      <c r="H72" s="12" t="e">
        <f ca="1">AVERAGE(P_C)</f>
        <v>#REF!</v>
      </c>
    </row>
    <row r="73" spans="2:8" x14ac:dyDescent="0.25">
      <c r="B73" s="5">
        <v>61</v>
      </c>
      <c r="C73" s="71"/>
      <c r="D73" s="30" t="s">
        <v>67</v>
      </c>
      <c r="E73" s="12" t="e">
        <f ca="1">MIN(P_SUM)</f>
        <v>#REF!</v>
      </c>
      <c r="F73" s="12" t="e">
        <f ca="1">+MAX(P_SUM)</f>
        <v>#REF!</v>
      </c>
      <c r="G73" s="12" t="e">
        <f t="shared" ref="G73" ca="1" si="19">F73-E73</f>
        <v>#REF!</v>
      </c>
      <c r="H73" s="12" t="e">
        <f ca="1">AVERAGE(P_SUM)</f>
        <v>#REF!</v>
      </c>
    </row>
    <row r="74" spans="2:8" x14ac:dyDescent="0.25">
      <c r="B74" s="5">
        <v>62</v>
      </c>
      <c r="C74" s="72" t="s">
        <v>9</v>
      </c>
      <c r="D74" s="30" t="s">
        <v>68</v>
      </c>
      <c r="E74" s="12" t="e">
        <f ca="1">MIN(Q_A)</f>
        <v>#REF!</v>
      </c>
      <c r="F74" s="12" t="e">
        <f ca="1">+MAX(Q_A)</f>
        <v>#REF!</v>
      </c>
      <c r="G74" s="12" t="e">
        <f t="shared" ref="G74:G76" ca="1" si="20">F74-E74</f>
        <v>#REF!</v>
      </c>
      <c r="H74" s="12" t="e">
        <f ca="1">AVERAGE(Q_A)</f>
        <v>#REF!</v>
      </c>
    </row>
    <row r="75" spans="2:8" x14ac:dyDescent="0.25">
      <c r="B75" s="5">
        <v>63</v>
      </c>
      <c r="C75" s="73"/>
      <c r="D75" s="30" t="s">
        <v>69</v>
      </c>
      <c r="E75" s="12" t="e">
        <f ca="1">MIN(Q_B)</f>
        <v>#REF!</v>
      </c>
      <c r="F75" s="12" t="e">
        <f ca="1">+MAX(Q_B)</f>
        <v>#REF!</v>
      </c>
      <c r="G75" s="12" t="e">
        <f t="shared" ca="1" si="20"/>
        <v>#REF!</v>
      </c>
      <c r="H75" s="12" t="e">
        <f ca="1">AVERAGE(Q_B)</f>
        <v>#REF!</v>
      </c>
    </row>
    <row r="76" spans="2:8" x14ac:dyDescent="0.25">
      <c r="B76" s="5">
        <v>64</v>
      </c>
      <c r="C76" s="73"/>
      <c r="D76" s="30" t="s">
        <v>70</v>
      </c>
      <c r="E76" s="12" t="e">
        <f ca="1">MIN(Q_C)</f>
        <v>#REF!</v>
      </c>
      <c r="F76" s="12" t="e">
        <f ca="1">+MAX(Q_C)</f>
        <v>#REF!</v>
      </c>
      <c r="G76" s="12" t="e">
        <f t="shared" ca="1" si="20"/>
        <v>#REF!</v>
      </c>
      <c r="H76" s="12" t="e">
        <f ca="1">AVERAGE(Q_C)</f>
        <v>#REF!</v>
      </c>
    </row>
    <row r="77" spans="2:8" x14ac:dyDescent="0.25">
      <c r="B77" s="5">
        <v>65</v>
      </c>
      <c r="C77" s="74"/>
      <c r="D77" s="30" t="s">
        <v>71</v>
      </c>
      <c r="E77" s="12" t="e">
        <f ca="1">MIN(Q_SUM)</f>
        <v>#REF!</v>
      </c>
      <c r="F77" s="12" t="e">
        <f ca="1">+MAX(Q_SUM)</f>
        <v>#REF!</v>
      </c>
      <c r="G77" s="12" t="e">
        <f t="shared" ref="G77" ca="1" si="21">F77-E77</f>
        <v>#REF!</v>
      </c>
      <c r="H77" s="12" t="e">
        <f ca="1">AVERAGE(Q_SUM)</f>
        <v>#REF!</v>
      </c>
    </row>
    <row r="78" spans="2:8" x14ac:dyDescent="0.25">
      <c r="B78" s="5">
        <v>66</v>
      </c>
      <c r="C78" s="72" t="s">
        <v>10</v>
      </c>
      <c r="D78" s="30" t="s">
        <v>72</v>
      </c>
      <c r="E78" s="12" t="e">
        <f ca="1">MIN(S_A)</f>
        <v>#REF!</v>
      </c>
      <c r="F78" s="12" t="e">
        <f ca="1">+MAX(S_A)</f>
        <v>#REF!</v>
      </c>
      <c r="G78" s="12" t="e">
        <f t="shared" ref="G78:G80" ca="1" si="22">F78-E78</f>
        <v>#REF!</v>
      </c>
      <c r="H78" s="12" t="e">
        <f ca="1">AVERAGE(S_A)</f>
        <v>#REF!</v>
      </c>
    </row>
    <row r="79" spans="2:8" x14ac:dyDescent="0.25">
      <c r="B79" s="5">
        <v>67</v>
      </c>
      <c r="C79" s="73"/>
      <c r="D79" s="30" t="s">
        <v>73</v>
      </c>
      <c r="E79" s="12" t="e">
        <f ca="1">MIN(S_B)</f>
        <v>#REF!</v>
      </c>
      <c r="F79" s="12" t="e">
        <f ca="1">+MAX(S_B)</f>
        <v>#REF!</v>
      </c>
      <c r="G79" s="12" t="e">
        <f t="shared" ca="1" si="22"/>
        <v>#REF!</v>
      </c>
      <c r="H79" s="12" t="e">
        <f ca="1">AVERAGE(S_B)</f>
        <v>#REF!</v>
      </c>
    </row>
    <row r="80" spans="2:8" x14ac:dyDescent="0.25">
      <c r="B80" s="5">
        <v>68</v>
      </c>
      <c r="C80" s="73"/>
      <c r="D80" s="30" t="s">
        <v>74</v>
      </c>
      <c r="E80" s="12" t="e">
        <f ca="1">MIN(S_C)</f>
        <v>#REF!</v>
      </c>
      <c r="F80" s="12" t="e">
        <f ca="1">+MAX(S_C)</f>
        <v>#REF!</v>
      </c>
      <c r="G80" s="12" t="e">
        <f t="shared" ca="1" si="22"/>
        <v>#REF!</v>
      </c>
      <c r="H80" s="12" t="e">
        <f ca="1">AVERAGE(S_C)</f>
        <v>#REF!</v>
      </c>
    </row>
    <row r="81" spans="2:8" x14ac:dyDescent="0.25">
      <c r="B81" s="5">
        <v>69</v>
      </c>
      <c r="C81" s="74"/>
      <c r="D81" s="30" t="s">
        <v>75</v>
      </c>
      <c r="E81" s="12" t="e">
        <f ca="1">MIN(S_SUM)</f>
        <v>#REF!</v>
      </c>
      <c r="F81" s="12" t="e">
        <f ca="1">+MAX(S_SUM)</f>
        <v>#REF!</v>
      </c>
      <c r="G81" s="12" t="e">
        <f t="shared" ref="G81:G84" ca="1" si="23">F81-E81</f>
        <v>#REF!</v>
      </c>
      <c r="H81" s="12" t="e">
        <f ca="1">AVERAGE(S_SUM)</f>
        <v>#REF!</v>
      </c>
    </row>
    <row r="82" spans="2:8" x14ac:dyDescent="0.25">
      <c r="B82" s="5">
        <v>70</v>
      </c>
      <c r="C82" s="72" t="s">
        <v>11</v>
      </c>
      <c r="D82" s="30" t="s">
        <v>76</v>
      </c>
      <c r="E82" s="12" t="e">
        <f ca="1">MIN(EPA)</f>
        <v>#REF!</v>
      </c>
      <c r="F82" s="12" t="e">
        <f ca="1">+MAX(EPA)</f>
        <v>#REF!</v>
      </c>
      <c r="G82" s="12" t="e">
        <f t="shared" ca="1" si="23"/>
        <v>#REF!</v>
      </c>
      <c r="H82" s="12" t="e">
        <f ca="1">AVERAGE(EPA)</f>
        <v>#REF!</v>
      </c>
    </row>
    <row r="83" spans="2:8" x14ac:dyDescent="0.25">
      <c r="B83" s="5">
        <v>71</v>
      </c>
      <c r="C83" s="73"/>
      <c r="D83" s="30" t="s">
        <v>77</v>
      </c>
      <c r="E83" s="12" t="e">
        <f ca="1">MIN(EPB)</f>
        <v>#REF!</v>
      </c>
      <c r="F83" s="12" t="e">
        <f ca="1">+MAX(EPB)</f>
        <v>#REF!</v>
      </c>
      <c r="G83" s="12" t="e">
        <f t="shared" ca="1" si="23"/>
        <v>#REF!</v>
      </c>
      <c r="H83" s="12" t="e">
        <f ca="1">AVERAGE(EPB)</f>
        <v>#REF!</v>
      </c>
    </row>
    <row r="84" spans="2:8" x14ac:dyDescent="0.25">
      <c r="B84" s="5">
        <v>72</v>
      </c>
      <c r="C84" s="73"/>
      <c r="D84" s="30" t="s">
        <v>78</v>
      </c>
      <c r="E84" s="12" t="e">
        <f ca="1">MIN(EPC)</f>
        <v>#REF!</v>
      </c>
      <c r="F84" s="12" t="e">
        <f ca="1">+MAX(EPC)</f>
        <v>#REF!</v>
      </c>
      <c r="G84" s="12" t="e">
        <f t="shared" ca="1" si="23"/>
        <v>#REF!</v>
      </c>
      <c r="H84" s="12" t="e">
        <f ca="1">AVERAGE(EPC)</f>
        <v>#REF!</v>
      </c>
    </row>
    <row r="85" spans="2:8" x14ac:dyDescent="0.25">
      <c r="B85" s="5">
        <v>73</v>
      </c>
      <c r="C85" s="74"/>
      <c r="D85" s="30" t="s">
        <v>79</v>
      </c>
      <c r="E85" s="12" t="e">
        <f ca="1">MIN(EPSUM)</f>
        <v>#REF!</v>
      </c>
      <c r="F85" s="12" t="e">
        <f ca="1">+MAX(EPSUM)</f>
        <v>#REF!</v>
      </c>
      <c r="G85" s="12" t="e">
        <f t="shared" ref="G85:G88" ca="1" si="24">F85-E85</f>
        <v>#REF!</v>
      </c>
      <c r="H85" s="12" t="e">
        <f ca="1">AVERAGE(EPSUM)</f>
        <v>#REF!</v>
      </c>
    </row>
    <row r="86" spans="2:8" x14ac:dyDescent="0.25">
      <c r="B86" s="5">
        <v>74</v>
      </c>
      <c r="C86" s="72" t="s">
        <v>12</v>
      </c>
      <c r="D86" s="30" t="s">
        <v>80</v>
      </c>
      <c r="E86" s="12" t="e">
        <f ca="1">MIN(EQA)</f>
        <v>#REF!</v>
      </c>
      <c r="F86" s="12" t="e">
        <f ca="1">+MAX(EQA)</f>
        <v>#REF!</v>
      </c>
      <c r="G86" s="12" t="e">
        <f t="shared" ca="1" si="24"/>
        <v>#REF!</v>
      </c>
      <c r="H86" s="12" t="e">
        <f ca="1">AVERAGE(EQA)</f>
        <v>#REF!</v>
      </c>
    </row>
    <row r="87" spans="2:8" x14ac:dyDescent="0.25">
      <c r="B87" s="5">
        <v>75</v>
      </c>
      <c r="C87" s="73"/>
      <c r="D87" s="30" t="s">
        <v>81</v>
      </c>
      <c r="E87" s="12" t="e">
        <f ca="1">MIN(EQB)</f>
        <v>#REF!</v>
      </c>
      <c r="F87" s="12" t="e">
        <f ca="1">+MAX(EQB)</f>
        <v>#REF!</v>
      </c>
      <c r="G87" s="12" t="e">
        <f t="shared" ca="1" si="24"/>
        <v>#REF!</v>
      </c>
      <c r="H87" s="12" t="e">
        <f ca="1">AVERAGE(EQB)</f>
        <v>#REF!</v>
      </c>
    </row>
    <row r="88" spans="2:8" x14ac:dyDescent="0.25">
      <c r="B88" s="5">
        <v>76</v>
      </c>
      <c r="C88" s="73"/>
      <c r="D88" s="30" t="s">
        <v>82</v>
      </c>
      <c r="E88" s="12" t="e">
        <f ca="1">MIN(EQC)</f>
        <v>#REF!</v>
      </c>
      <c r="F88" s="12" t="e">
        <f ca="1">+MAX(EQC)</f>
        <v>#REF!</v>
      </c>
      <c r="G88" s="12" t="e">
        <f t="shared" ca="1" si="24"/>
        <v>#REF!</v>
      </c>
      <c r="H88" s="12" t="e">
        <f ca="1">AVERAGE(EQC)</f>
        <v>#REF!</v>
      </c>
    </row>
    <row r="89" spans="2:8" x14ac:dyDescent="0.25">
      <c r="B89" s="5">
        <v>77</v>
      </c>
      <c r="C89" s="74"/>
      <c r="D89" s="30" t="s">
        <v>83</v>
      </c>
      <c r="E89" s="12" t="e">
        <f ca="1">MIN(EQSUM)</f>
        <v>#REF!</v>
      </c>
      <c r="F89" s="12" t="e">
        <f ca="1">+MAX(EQSUM)</f>
        <v>#REF!</v>
      </c>
      <c r="G89" s="12" t="e">
        <f t="shared" ref="G89:G92" ca="1" si="25">F89-E89</f>
        <v>#REF!</v>
      </c>
      <c r="H89" s="12" t="e">
        <f ca="1">AVERAGE(EQSUM)</f>
        <v>#REF!</v>
      </c>
    </row>
    <row r="90" spans="2:8" x14ac:dyDescent="0.25">
      <c r="B90" s="5">
        <v>78</v>
      </c>
      <c r="C90" s="72" t="s">
        <v>13</v>
      </c>
      <c r="D90" s="30" t="s">
        <v>84</v>
      </c>
      <c r="E90" s="12" t="e">
        <f ca="1">MIN(ESA)</f>
        <v>#REF!</v>
      </c>
      <c r="F90" s="12" t="e">
        <f ca="1">+MAX(ESA)</f>
        <v>#REF!</v>
      </c>
      <c r="G90" s="12" t="e">
        <f t="shared" ca="1" si="25"/>
        <v>#REF!</v>
      </c>
      <c r="H90" s="12" t="e">
        <f ca="1">AVERAGE(ESA)</f>
        <v>#REF!</v>
      </c>
    </row>
    <row r="91" spans="2:8" x14ac:dyDescent="0.25">
      <c r="B91" s="5">
        <v>79</v>
      </c>
      <c r="C91" s="73"/>
      <c r="D91" s="30" t="s">
        <v>85</v>
      </c>
      <c r="E91" s="12" t="e">
        <f ca="1">MIN(ESB)</f>
        <v>#REF!</v>
      </c>
      <c r="F91" s="12" t="e">
        <f ca="1">+MAX(ESB)</f>
        <v>#REF!</v>
      </c>
      <c r="G91" s="12" t="e">
        <f t="shared" ca="1" si="25"/>
        <v>#REF!</v>
      </c>
      <c r="H91" s="12" t="e">
        <f ca="1">AVERAGE(ESB)</f>
        <v>#REF!</v>
      </c>
    </row>
    <row r="92" spans="2:8" x14ac:dyDescent="0.25">
      <c r="B92" s="5">
        <v>80</v>
      </c>
      <c r="C92" s="73"/>
      <c r="D92" s="30" t="s">
        <v>86</v>
      </c>
      <c r="E92" s="12" t="e">
        <f ca="1">MIN(ESC)</f>
        <v>#REF!</v>
      </c>
      <c r="F92" s="12" t="e">
        <f ca="1">+MAX(ESC)</f>
        <v>#REF!</v>
      </c>
      <c r="G92" s="12" t="e">
        <f t="shared" ca="1" si="25"/>
        <v>#REF!</v>
      </c>
      <c r="H92" s="12" t="e">
        <f ca="1">AVERAGE(ESC)</f>
        <v>#REF!</v>
      </c>
    </row>
    <row r="93" spans="2:8" x14ac:dyDescent="0.25">
      <c r="B93" s="5">
        <v>81</v>
      </c>
      <c r="C93" s="74"/>
      <c r="D93" s="30" t="s">
        <v>87</v>
      </c>
      <c r="E93" s="12" t="e">
        <f ca="1">MIN(ESSUM)</f>
        <v>#REF!</v>
      </c>
      <c r="F93" s="12" t="e">
        <f ca="1">+MAX(ESSUM)</f>
        <v>#REF!</v>
      </c>
      <c r="G93" s="12" t="e">
        <f t="shared" ref="G93:G96" ca="1" si="26">F93-E93</f>
        <v>#REF!</v>
      </c>
      <c r="H93" s="12" t="e">
        <f ca="1">AVERAGE(ESSUM)</f>
        <v>#REF!</v>
      </c>
    </row>
    <row r="94" spans="2:8" x14ac:dyDescent="0.25">
      <c r="B94" s="5">
        <v>82</v>
      </c>
      <c r="C94" s="72" t="s">
        <v>14</v>
      </c>
      <c r="D94" s="30" t="s">
        <v>88</v>
      </c>
      <c r="E94" s="12" t="e">
        <f ca="1">MIN(DMIA)</f>
        <v>#REF!</v>
      </c>
      <c r="F94" s="12" t="e">
        <f ca="1">+MAX(DMIA)</f>
        <v>#REF!</v>
      </c>
      <c r="G94" s="12" t="e">
        <f t="shared" ca="1" si="26"/>
        <v>#REF!</v>
      </c>
      <c r="H94" s="12" t="e">
        <f ca="1">AVERAGE(DMIA)</f>
        <v>#REF!</v>
      </c>
    </row>
    <row r="95" spans="2:8" x14ac:dyDescent="0.25">
      <c r="B95" s="5">
        <v>83</v>
      </c>
      <c r="C95" s="73"/>
      <c r="D95" s="30" t="s">
        <v>89</v>
      </c>
      <c r="E95" s="12" t="e">
        <f ca="1">MIN(DMIB)</f>
        <v>#REF!</v>
      </c>
      <c r="F95" s="12" t="e">
        <f ca="1">+MAX(DMIB)</f>
        <v>#REF!</v>
      </c>
      <c r="G95" s="12" t="e">
        <f t="shared" ca="1" si="26"/>
        <v>#REF!</v>
      </c>
      <c r="H95" s="12" t="e">
        <f ca="1">AVERAGE(DMIB)</f>
        <v>#REF!</v>
      </c>
    </row>
    <row r="96" spans="2:8" x14ac:dyDescent="0.25">
      <c r="B96" s="5">
        <v>84</v>
      </c>
      <c r="C96" s="73"/>
      <c r="D96" s="30" t="s">
        <v>90</v>
      </c>
      <c r="E96" s="12" t="e">
        <f ca="1">MIN(DMIC)</f>
        <v>#REF!</v>
      </c>
      <c r="F96" s="12" t="e">
        <f ca="1">+MAX(DMIC)</f>
        <v>#REF!</v>
      </c>
      <c r="G96" s="12" t="e">
        <f t="shared" ca="1" si="26"/>
        <v>#REF!</v>
      </c>
      <c r="H96" s="12" t="e">
        <f ca="1">AVERAGE(DMIC)</f>
        <v>#REF!</v>
      </c>
    </row>
    <row r="97" spans="2:8" x14ac:dyDescent="0.25">
      <c r="B97" s="5">
        <v>85</v>
      </c>
      <c r="C97" s="74"/>
      <c r="D97" s="30" t="s">
        <v>91</v>
      </c>
      <c r="E97" s="12" t="e">
        <f ca="1">MIN(DMIAVG)</f>
        <v>#REF!</v>
      </c>
      <c r="F97" s="12" t="e">
        <f ca="1">+MAX(DMIAVG)</f>
        <v>#REF!</v>
      </c>
      <c r="G97" s="12" t="e">
        <f t="shared" ref="G97:G100" ca="1" si="27">F97-E97</f>
        <v>#REF!</v>
      </c>
      <c r="H97" s="12" t="e">
        <f ca="1">AVERAGE(DMIAVG)</f>
        <v>#REF!</v>
      </c>
    </row>
    <row r="98" spans="2:8" x14ac:dyDescent="0.25">
      <c r="B98" s="5">
        <v>86</v>
      </c>
      <c r="C98" s="72" t="s">
        <v>15</v>
      </c>
      <c r="D98" s="30" t="s">
        <v>92</v>
      </c>
      <c r="E98" s="32" t="e">
        <f ca="1">MIN(PDMIA)</f>
        <v>#REF!</v>
      </c>
      <c r="F98" s="32" t="e">
        <f ca="1">+MAX(PDMIA)</f>
        <v>#REF!</v>
      </c>
      <c r="G98" s="32" t="e">
        <f t="shared" ca="1" si="27"/>
        <v>#REF!</v>
      </c>
      <c r="H98" s="32" t="e">
        <f ca="1">AVERAGE(PDMIA)</f>
        <v>#REF!</v>
      </c>
    </row>
    <row r="99" spans="2:8" x14ac:dyDescent="0.25">
      <c r="B99" s="5">
        <v>87</v>
      </c>
      <c r="C99" s="73"/>
      <c r="D99" s="30" t="s">
        <v>93</v>
      </c>
      <c r="E99" s="36" t="e">
        <f ca="1">MIN(PDMIA_DT)</f>
        <v>#REF!</v>
      </c>
      <c r="F99" s="36" t="e">
        <f ca="1">MAX(PDMIA_DT)</f>
        <v>#REF!</v>
      </c>
      <c r="G99" s="36" t="e">
        <f t="shared" ca="1" si="27"/>
        <v>#REF!</v>
      </c>
      <c r="H99" s="36" t="e">
        <f ca="1">AVERAGE(PDMIA_DT)</f>
        <v>#REF!</v>
      </c>
    </row>
    <row r="100" spans="2:8" x14ac:dyDescent="0.25">
      <c r="B100" s="5">
        <v>88</v>
      </c>
      <c r="C100" s="73"/>
      <c r="D100" s="30" t="s">
        <v>94</v>
      </c>
      <c r="E100" s="32" t="e">
        <f ca="1">MIN(PDMIB)</f>
        <v>#REF!</v>
      </c>
      <c r="F100" s="32" t="e">
        <f ca="1">+MAX(PMIB)</f>
        <v>#REF!</v>
      </c>
      <c r="G100" s="32" t="e">
        <f t="shared" ca="1" si="27"/>
        <v>#REF!</v>
      </c>
      <c r="H100" s="32" t="e">
        <f ca="1">AVERAGE(PDMIB)</f>
        <v>#REF!</v>
      </c>
    </row>
    <row r="101" spans="2:8" x14ac:dyDescent="0.25">
      <c r="B101" s="5">
        <v>89</v>
      </c>
      <c r="C101" s="73"/>
      <c r="D101" s="30" t="s">
        <v>95</v>
      </c>
      <c r="E101" s="36" t="e">
        <f ca="1">MIN(PDMIB_DT)</f>
        <v>#REF!</v>
      </c>
      <c r="F101" s="36" t="e">
        <f ca="1">+MAX(PDMIB_DT)</f>
        <v>#REF!</v>
      </c>
      <c r="G101" s="36" t="e">
        <f t="shared" ref="G101:G108" ca="1" si="28">F101-E101</f>
        <v>#REF!</v>
      </c>
      <c r="H101" s="36" t="e">
        <f ca="1">AVERAGE(PDMIB_DT)</f>
        <v>#REF!</v>
      </c>
    </row>
    <row r="102" spans="2:8" x14ac:dyDescent="0.25">
      <c r="B102" s="5">
        <v>90</v>
      </c>
      <c r="C102" s="73"/>
      <c r="D102" s="30" t="s">
        <v>96</v>
      </c>
      <c r="E102" s="32" t="e">
        <f ca="1">MIN(PDMIC)</f>
        <v>#REF!</v>
      </c>
      <c r="F102" s="32" t="e">
        <f ca="1">+MAX(PDMIC)</f>
        <v>#REF!</v>
      </c>
      <c r="G102" s="32" t="e">
        <f t="shared" ca="1" si="28"/>
        <v>#REF!</v>
      </c>
      <c r="H102" s="32" t="e">
        <f ca="1">AVERAGE(PDMIC)</f>
        <v>#REF!</v>
      </c>
    </row>
    <row r="103" spans="2:8" x14ac:dyDescent="0.25">
      <c r="B103" s="5">
        <v>91</v>
      </c>
      <c r="C103" s="73"/>
      <c r="D103" s="30" t="s">
        <v>97</v>
      </c>
      <c r="E103" s="36" t="e">
        <f ca="1">MIN(PDMIC_DT)</f>
        <v>#REF!</v>
      </c>
      <c r="F103" s="36" t="e">
        <f ca="1">+MAX(PDMIC_DT)</f>
        <v>#REF!</v>
      </c>
      <c r="G103" s="36" t="e">
        <f t="shared" ca="1" si="28"/>
        <v>#REF!</v>
      </c>
      <c r="H103" s="36" t="e">
        <f ca="1">AVERAGE(PDMIC_DT)</f>
        <v>#REF!</v>
      </c>
    </row>
    <row r="104" spans="2:8" x14ac:dyDescent="0.25">
      <c r="B104" s="5">
        <v>92</v>
      </c>
      <c r="C104" s="73"/>
      <c r="D104" s="30" t="s">
        <v>98</v>
      </c>
      <c r="E104" s="32" t="e">
        <f ca="1">MIN(PDMIAVG)</f>
        <v>#REF!</v>
      </c>
      <c r="F104" s="32" t="e">
        <f ca="1">+MAX(PDMIAVG)</f>
        <v>#REF!</v>
      </c>
      <c r="G104" s="32" t="e">
        <f t="shared" ca="1" si="28"/>
        <v>#REF!</v>
      </c>
      <c r="H104" s="32" t="e">
        <f ca="1">AVERAGE(PDMIAVG)</f>
        <v>#REF!</v>
      </c>
    </row>
    <row r="105" spans="2:8" x14ac:dyDescent="0.25">
      <c r="B105" s="5">
        <v>93</v>
      </c>
      <c r="C105" s="74"/>
      <c r="D105" s="30" t="s">
        <v>99</v>
      </c>
      <c r="E105" s="36" t="e">
        <f ca="1">MIN(PDMIAVG_DT)</f>
        <v>#REF!</v>
      </c>
      <c r="F105" s="36" t="e">
        <f ca="1">+MAX(PDMIAVG_DT)</f>
        <v>#REF!</v>
      </c>
      <c r="G105" s="36" t="e">
        <f t="shared" ca="1" si="28"/>
        <v>#REF!</v>
      </c>
      <c r="H105" s="36" t="e">
        <f ca="1">AVERAGE(PDMIAVG_DT)</f>
        <v>#REF!</v>
      </c>
    </row>
    <row r="106" spans="2:8" s="15" customFormat="1" ht="30" customHeight="1" x14ac:dyDescent="0.25">
      <c r="B106" s="14">
        <v>94</v>
      </c>
      <c r="C106" s="14" t="s">
        <v>16</v>
      </c>
      <c r="D106" s="31" t="s">
        <v>100</v>
      </c>
      <c r="E106" s="32" t="e">
        <f ca="1">MIN(DMP)</f>
        <v>#REF!</v>
      </c>
      <c r="F106" s="32" t="e">
        <f ca="1">+MAX(DMP)</f>
        <v>#REF!</v>
      </c>
      <c r="G106" s="32" t="e">
        <f t="shared" ca="1" si="28"/>
        <v>#REF!</v>
      </c>
      <c r="H106" s="32" t="e">
        <f ca="1">AVERAGE(DMP)</f>
        <v>#REF!</v>
      </c>
    </row>
    <row r="107" spans="2:8" x14ac:dyDescent="0.25">
      <c r="B107" s="5">
        <v>95</v>
      </c>
      <c r="C107" s="72" t="s">
        <v>17</v>
      </c>
      <c r="D107" s="30" t="s">
        <v>101</v>
      </c>
      <c r="E107" s="32" t="e">
        <f ca="1">MIN(PDMP)</f>
        <v>#REF!</v>
      </c>
      <c r="F107" s="32" t="e">
        <f ca="1">+MAX(PDMP)</f>
        <v>#REF!</v>
      </c>
      <c r="G107" s="32" t="e">
        <f t="shared" ca="1" si="28"/>
        <v>#REF!</v>
      </c>
      <c r="H107" s="32" t="e">
        <f ca="1">AVERAGE(PDMP)</f>
        <v>#REF!</v>
      </c>
    </row>
    <row r="108" spans="2:8" x14ac:dyDescent="0.25">
      <c r="B108" s="5">
        <v>96</v>
      </c>
      <c r="C108" s="74"/>
      <c r="D108" s="30" t="s">
        <v>102</v>
      </c>
      <c r="E108" s="36" t="e">
        <f ca="1">MIN(PDMP_DT)</f>
        <v>#REF!</v>
      </c>
      <c r="F108" s="36" t="e">
        <f ca="1">+MAX(PDMP_DT)</f>
        <v>#REF!</v>
      </c>
      <c r="G108" s="36" t="e">
        <f t="shared" ca="1" si="28"/>
        <v>#REF!</v>
      </c>
      <c r="H108" s="36" t="e">
        <f ca="1">AVERAGE(PDMP_DT)</f>
        <v>#REF!</v>
      </c>
    </row>
    <row r="109" spans="2:8" s="15" customFormat="1" ht="30" customHeight="1" x14ac:dyDescent="0.25">
      <c r="B109" s="14">
        <v>97</v>
      </c>
      <c r="C109" s="14" t="s">
        <v>18</v>
      </c>
      <c r="D109" s="31" t="s">
        <v>103</v>
      </c>
      <c r="E109" s="32" t="e">
        <f ca="1">MIN(DMQ)</f>
        <v>#REF!</v>
      </c>
      <c r="F109" s="32" t="e">
        <f ca="1">+MAX(DMQ)</f>
        <v>#REF!</v>
      </c>
      <c r="G109" s="32" t="e">
        <f t="shared" ref="G109:G113" ca="1" si="29">F109-E109</f>
        <v>#REF!</v>
      </c>
      <c r="H109" s="32" t="e">
        <f ca="1">AVERAGE(DMQ)</f>
        <v>#REF!</v>
      </c>
    </row>
    <row r="110" spans="2:8" x14ac:dyDescent="0.25">
      <c r="B110" s="5">
        <v>98</v>
      </c>
      <c r="C110" s="72" t="s">
        <v>19</v>
      </c>
      <c r="D110" s="30" t="s">
        <v>104</v>
      </c>
      <c r="E110" s="32" t="e">
        <f ca="1">MIN(PDMQ)</f>
        <v>#REF!</v>
      </c>
      <c r="F110" s="32" t="e">
        <f ca="1">+MAX(PDMQ)</f>
        <v>#REF!</v>
      </c>
      <c r="G110" s="32" t="e">
        <f t="shared" ca="1" si="29"/>
        <v>#REF!</v>
      </c>
      <c r="H110" s="32" t="e">
        <f ca="1">AVERAGE(PDMQ)</f>
        <v>#REF!</v>
      </c>
    </row>
    <row r="111" spans="2:8" x14ac:dyDescent="0.25">
      <c r="B111" s="5">
        <v>99</v>
      </c>
      <c r="C111" s="74"/>
      <c r="D111" s="30" t="s">
        <v>105</v>
      </c>
      <c r="E111" s="36" t="e">
        <f ca="1">MIN(PDMQ_DT)</f>
        <v>#REF!</v>
      </c>
      <c r="F111" s="36" t="e">
        <f ca="1">MAX(PDMQ_DT)</f>
        <v>#REF!</v>
      </c>
      <c r="G111" s="36" t="e">
        <f t="shared" ca="1" si="29"/>
        <v>#REF!</v>
      </c>
      <c r="H111" s="36" t="e">
        <f ca="1">AVERAGE(PDMQ_DT)</f>
        <v>#REF!</v>
      </c>
    </row>
    <row r="112" spans="2:8" s="15" customFormat="1" ht="30" customHeight="1" x14ac:dyDescent="0.25">
      <c r="B112" s="14">
        <v>100</v>
      </c>
      <c r="C112" s="14" t="s">
        <v>20</v>
      </c>
      <c r="D112" s="31" t="s">
        <v>106</v>
      </c>
      <c r="E112" s="32" t="e">
        <f ca="1">MIN(DMS)</f>
        <v>#REF!</v>
      </c>
      <c r="F112" s="32" t="e">
        <f ca="1">MAX(DMS)</f>
        <v>#REF!</v>
      </c>
      <c r="G112" s="32" t="e">
        <f t="shared" ca="1" si="29"/>
        <v>#REF!</v>
      </c>
      <c r="H112" s="32" t="e">
        <f ca="1">AVERAGE(DMS)</f>
        <v>#REF!</v>
      </c>
    </row>
    <row r="113" spans="2:8" x14ac:dyDescent="0.25">
      <c r="B113" s="5">
        <v>101</v>
      </c>
      <c r="C113" s="72" t="s">
        <v>21</v>
      </c>
      <c r="D113" s="30" t="s">
        <v>107</v>
      </c>
      <c r="E113" s="32" t="e">
        <f ca="1">MIN(PDMS)</f>
        <v>#REF!</v>
      </c>
      <c r="F113" s="32" t="e">
        <f ca="1">+MAX(PDMS_DT)</f>
        <v>#REF!</v>
      </c>
      <c r="G113" s="32" t="e">
        <f t="shared" ca="1" si="29"/>
        <v>#REF!</v>
      </c>
      <c r="H113" s="32" t="e">
        <f ca="1">AVERAGE(PDMS)</f>
        <v>#REF!</v>
      </c>
    </row>
    <row r="114" spans="2:8" x14ac:dyDescent="0.25">
      <c r="B114" s="5">
        <v>102</v>
      </c>
      <c r="C114" s="74"/>
      <c r="D114" s="30" t="s">
        <v>108</v>
      </c>
      <c r="E114" s="36" t="e">
        <f ca="1">MIN(PDMS_DT)</f>
        <v>#REF!</v>
      </c>
      <c r="F114" s="36" t="e">
        <f ca="1">+MAX(PDMS_DT)</f>
        <v>#REF!</v>
      </c>
      <c r="G114" s="36" t="e">
        <f t="shared" ref="G114" ca="1" si="30">F114-E114</f>
        <v>#REF!</v>
      </c>
      <c r="H114" s="36" t="e">
        <f ca="1">AVERAGE(PDMS_DT)</f>
        <v>#REF!</v>
      </c>
    </row>
  </sheetData>
  <sheetProtection algorithmName="SHA-512" hashValue="bVF+dIcZsmPTJL3PSx0vJ/roEku6wEcLipJT7WheEAbsOW+PBw3HC9vg7wWFGh7E5otSt4CZ+eccsUvEay9hJA==" saltValue="u7Tskk/BYPxaYW1O8eBtyw==" spinCount="100000" sheet="1" objects="1" scenarios="1"/>
  <mergeCells count="28">
    <mergeCell ref="C98:C105"/>
    <mergeCell ref="C107:C108"/>
    <mergeCell ref="C110:C111"/>
    <mergeCell ref="C113:C114"/>
    <mergeCell ref="C74:C77"/>
    <mergeCell ref="C78:C81"/>
    <mergeCell ref="C82:C85"/>
    <mergeCell ref="C86:C89"/>
    <mergeCell ref="C90:C93"/>
    <mergeCell ref="C94:C97"/>
    <mergeCell ref="C70:C73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5"/>
    <mergeCell ref="C66:C69"/>
    <mergeCell ref="C32:C34"/>
    <mergeCell ref="C13:C14"/>
    <mergeCell ref="C15:C18"/>
    <mergeCell ref="C19:C22"/>
    <mergeCell ref="C23:C27"/>
    <mergeCell ref="C28:C31"/>
  </mergeCells>
  <hyperlinks>
    <hyperlink ref="B10" r:id="rId1" xr:uid="{FE4D8E64-A7DB-466D-8C24-041486C3FECC}"/>
    <hyperlink ref="B11" r:id="rId2" xr:uid="{2504CB92-DC0E-489A-AA62-719D5645F2F6}"/>
    <hyperlink ref="M5" r:id="rId3" xr:uid="{6DD531E4-753F-42B8-848F-CAF94F5084A4}"/>
    <hyperlink ref="M6" r:id="rId4" xr:uid="{4F270554-486F-4311-8658-4FE1E8A2CF3C}"/>
  </hyperlinks>
  <pageMargins left="0.7" right="0.7" top="0.75" bottom="0.75" header="0.3" footer="0.3"/>
  <pageSetup paperSize="9" scale="35" orientation="portrait" verticalDpi="0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GRAFICOS</vt:lpstr>
      <vt:lpstr>BANCO DE CAPACITORES</vt:lpstr>
      <vt:lpstr>HISTOGRAMAS</vt:lpstr>
      <vt:lpstr>MAX_MIN</vt:lpstr>
      <vt:lpstr>datos!fichero_2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</dc:creator>
  <cp:lastModifiedBy>Ramiro Bracco</cp:lastModifiedBy>
  <cp:lastPrinted>2019-08-10T22:44:44Z</cp:lastPrinted>
  <dcterms:created xsi:type="dcterms:W3CDTF">2019-07-03T13:29:11Z</dcterms:created>
  <dcterms:modified xsi:type="dcterms:W3CDTF">2022-11-25T15:10:08Z</dcterms:modified>
</cp:coreProperties>
</file>